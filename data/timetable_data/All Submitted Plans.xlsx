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anteesdale/Documents/GitHub/local-plan-extractor/data/timetable_data/"/>
    </mc:Choice>
  </mc:AlternateContent>
  <xr:revisionPtr revIDLastSave="0" documentId="13_ncr:1_{216533D4-71A3-5B44-A17C-D720C1D26FB1}" xr6:coauthVersionLast="47" xr6:coauthVersionMax="47" xr10:uidLastSave="{00000000-0000-0000-0000-000000000000}"/>
  <bookViews>
    <workbookView xWindow="6960" yWindow="660" windowWidth="35660" windowHeight="17200" tabRatio="603" activeTab="2" xr2:uid="{3C868784-D054-4605-980E-645EB6B0A1D3}"/>
  </bookViews>
  <sheets>
    <sheet name="Master Submitted DPDs" sheetId="2" r:id="rId1"/>
    <sheet name="Key" sheetId="14" r:id="rId2"/>
    <sheet name="LPA Lookup" sheetId="15" r:id="rId3"/>
    <sheet name="LPA" sheetId="9" state="hidden" r:id="rId4"/>
    <sheet name="MiPINS-SQL" sheetId="7" state="hidden" r:id="rId5"/>
    <sheet name="FuzzyLookup_AddIn_Undo_Sheet" sheetId="11" state="hidden" r:id="rId6"/>
    <sheet name="fuzzy LPA lookup" sheetId="10" state="hidden" r:id="rId7"/>
  </sheets>
  <definedNames>
    <definedName name="_xlnm._FilterDatabase" localSheetId="0" hidden="1">'Master Submitted DPDs'!#REF!</definedName>
    <definedName name="_xlnm._FilterDatabase" localSheetId="4" hidden="1">'MiPINS-SQL'!$A$1:$S$1078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06" i="2" l="1"/>
  <c r="AY300" i="2"/>
  <c r="AY302" i="2"/>
  <c r="AY303" i="2"/>
  <c r="AY304" i="2"/>
  <c r="AY298" i="2"/>
  <c r="AY286" i="2"/>
  <c r="AY276" i="2"/>
  <c r="AY277" i="2"/>
  <c r="AY280" i="2"/>
  <c r="AY281" i="2"/>
  <c r="AY282" i="2"/>
  <c r="AY257" i="2"/>
  <c r="AY258" i="2"/>
  <c r="AY260" i="2"/>
  <c r="AY261" i="2"/>
  <c r="AY262" i="2"/>
  <c r="AY264" i="2"/>
  <c r="AY265" i="2"/>
  <c r="AY266" i="2"/>
  <c r="AY269" i="2"/>
  <c r="AY270" i="2"/>
  <c r="AY271" i="2"/>
  <c r="AY274" i="2"/>
  <c r="AY275" i="2"/>
  <c r="AY240" i="2"/>
  <c r="AY242" i="2"/>
  <c r="AY244" i="2"/>
  <c r="AY245" i="2"/>
  <c r="AY247" i="2"/>
  <c r="AY248" i="2"/>
  <c r="AY249" i="2"/>
  <c r="AY250" i="2"/>
  <c r="AY251" i="2"/>
  <c r="AY252" i="2"/>
  <c r="AY253" i="2"/>
  <c r="AY254" i="2"/>
  <c r="AY255" i="2"/>
  <c r="AY218" i="2"/>
  <c r="AY220" i="2"/>
  <c r="AY221" i="2"/>
  <c r="AY223" i="2"/>
  <c r="AY224" i="2"/>
  <c r="AY226" i="2"/>
  <c r="AY227" i="2"/>
  <c r="AY228" i="2"/>
  <c r="AY230" i="2"/>
  <c r="AY231" i="2"/>
  <c r="AY232" i="2"/>
  <c r="AY233" i="2"/>
  <c r="AY234" i="2"/>
  <c r="AY238" i="2"/>
  <c r="AY199" i="2"/>
  <c r="AY200" i="2"/>
  <c r="AY201" i="2"/>
  <c r="AY203" i="2"/>
  <c r="AY204" i="2"/>
  <c r="AY205" i="2"/>
  <c r="AY206" i="2"/>
  <c r="AY207" i="2"/>
  <c r="AY208" i="2"/>
  <c r="AY209" i="2"/>
  <c r="AY210" i="2"/>
  <c r="AY211" i="2"/>
  <c r="AY213" i="2"/>
  <c r="AY215" i="2"/>
  <c r="AY216" i="2"/>
  <c r="AY183" i="2"/>
  <c r="AY184" i="2"/>
  <c r="AY187" i="2"/>
  <c r="AY189" i="2"/>
  <c r="AY190" i="2"/>
  <c r="AY192" i="2"/>
  <c r="AY193" i="2"/>
  <c r="AY195" i="2"/>
  <c r="AY196" i="2"/>
  <c r="AY197" i="2"/>
  <c r="AY170" i="2"/>
  <c r="AY171" i="2"/>
  <c r="AY172" i="2"/>
  <c r="AY173" i="2"/>
  <c r="AY174" i="2"/>
  <c r="AY176" i="2"/>
  <c r="AY177" i="2"/>
  <c r="AY158" i="2"/>
  <c r="AY161" i="2"/>
  <c r="AY162" i="2"/>
  <c r="AY164" i="2"/>
  <c r="AY165" i="2"/>
  <c r="AY166" i="2"/>
  <c r="AY167" i="2"/>
  <c r="AY168" i="2"/>
  <c r="AY155" i="2"/>
  <c r="AY294" i="2"/>
  <c r="AY295" i="2"/>
  <c r="AY293" i="2"/>
  <c r="AY135" i="2"/>
  <c r="AY136" i="2"/>
  <c r="AY137" i="2"/>
  <c r="AY138" i="2"/>
  <c r="AY140" i="2"/>
  <c r="AY142" i="2"/>
  <c r="AY144" i="2"/>
  <c r="AY146" i="2"/>
  <c r="AY148" i="2"/>
  <c r="AY149" i="2"/>
  <c r="AY150" i="2"/>
  <c r="AY151" i="2"/>
  <c r="AY292" i="2"/>
  <c r="AY309" i="2"/>
  <c r="AY310" i="2"/>
  <c r="AY312" i="2"/>
  <c r="AY313" i="2"/>
  <c r="AY316" i="2"/>
  <c r="AY317" i="2"/>
  <c r="AY318" i="2"/>
  <c r="AY319" i="2"/>
  <c r="AY321" i="2"/>
  <c r="AY325" i="2"/>
  <c r="AY326" i="2"/>
  <c r="AY328" i="2"/>
  <c r="AY329" i="2"/>
  <c r="AY331" i="2"/>
  <c r="AY332" i="2"/>
  <c r="AY334" i="2"/>
  <c r="AY335" i="2"/>
  <c r="AY336" i="2"/>
  <c r="AY337" i="2"/>
  <c r="AY338" i="2"/>
  <c r="AY340" i="2"/>
  <c r="AY343" i="2"/>
  <c r="AY349" i="2"/>
  <c r="AY351" i="2"/>
  <c r="AY353" i="2"/>
  <c r="AY354" i="2"/>
  <c r="AY355" i="2"/>
  <c r="AY356" i="2"/>
  <c r="AY357" i="2"/>
  <c r="AY359" i="2"/>
  <c r="AY361" i="2"/>
  <c r="AY362" i="2"/>
  <c r="AY363" i="2"/>
  <c r="AY366" i="2"/>
  <c r="AY369" i="2"/>
  <c r="AY370" i="2"/>
  <c r="AY371" i="2"/>
  <c r="AY372" i="2"/>
  <c r="AY374" i="2"/>
  <c r="AY376" i="2"/>
  <c r="AY377" i="2"/>
  <c r="AY378" i="2"/>
  <c r="AY379" i="2"/>
  <c r="AY380" i="2"/>
  <c r="AY383" i="2"/>
  <c r="AY386" i="2"/>
  <c r="AY388" i="2"/>
  <c r="AY389" i="2"/>
  <c r="AY391" i="2"/>
  <c r="AY392" i="2"/>
  <c r="AY393" i="2"/>
  <c r="AY395" i="2"/>
  <c r="AY397" i="2"/>
  <c r="AY398" i="2"/>
  <c r="AY405" i="2"/>
  <c r="AY132" i="2"/>
  <c r="AY133" i="2"/>
  <c r="AY131" i="2"/>
  <c r="BA530" i="2"/>
  <c r="AZ530" i="2"/>
  <c r="F1043" i="7"/>
  <c r="F1072" i="7"/>
  <c r="F3" i="7"/>
  <c r="L3" i="7"/>
  <c r="AE125" i="2" l="1"/>
  <c r="AV404" i="2" l="1"/>
  <c r="AV397" i="2"/>
  <c r="AV383" i="2"/>
  <c r="AV375" i="2"/>
  <c r="AV371" i="2"/>
  <c r="AV363" i="2"/>
  <c r="AV335" i="2"/>
  <c r="AV328" i="2"/>
  <c r="AV319" i="2"/>
  <c r="AV316" i="2"/>
  <c r="AV312" i="2"/>
  <c r="AV279" i="2"/>
  <c r="AV262" i="2"/>
  <c r="AV259" i="2"/>
  <c r="AV249" i="2"/>
  <c r="AV248" i="2"/>
  <c r="AV198" i="2"/>
  <c r="AV179" i="2"/>
  <c r="AV170" i="2"/>
  <c r="AV124" i="2"/>
  <c r="AV111" i="2"/>
  <c r="AV99" i="2"/>
  <c r="AV86" i="2"/>
  <c r="AV380" i="2"/>
  <c r="AV338" i="2"/>
  <c r="AV393" i="2"/>
  <c r="AV392" i="2"/>
  <c r="AV411" i="2"/>
  <c r="AV396" i="2"/>
  <c r="AV401" i="2"/>
  <c r="AV403" i="2"/>
  <c r="AV389" i="2"/>
  <c r="AV394" i="2"/>
  <c r="AV379" i="2"/>
  <c r="AV385" i="2"/>
  <c r="AV390" i="2"/>
  <c r="AV370" i="2"/>
  <c r="AV353" i="2"/>
  <c r="AV211" i="2"/>
  <c r="AV402" i="2"/>
  <c r="AV365" i="2"/>
  <c r="AV364" i="2"/>
  <c r="AV362" i="2"/>
  <c r="AV361" i="2"/>
  <c r="AV360" i="2"/>
  <c r="AV359" i="2"/>
  <c r="AV358" i="2"/>
  <c r="AV357" i="2"/>
  <c r="AV354" i="2"/>
  <c r="AV356" i="2"/>
  <c r="AV355" i="2"/>
  <c r="AV352" i="2"/>
  <c r="AV351" i="2"/>
  <c r="AV350" i="2"/>
  <c r="AV349" i="2"/>
  <c r="AV347" i="2"/>
  <c r="AV348" i="2"/>
  <c r="AV346" i="2"/>
  <c r="AV345" i="2"/>
  <c r="AV343" i="2"/>
  <c r="AV342" i="2"/>
  <c r="AV340" i="2"/>
  <c r="AV341" i="2"/>
  <c r="AV339" i="2"/>
  <c r="AV336" i="2"/>
  <c r="BA517" i="2"/>
  <c r="AZ517" i="2"/>
  <c r="AZ493" i="2"/>
  <c r="AZ516" i="2"/>
  <c r="AZ497" i="2"/>
  <c r="AZ485" i="2"/>
  <c r="BA493" i="2"/>
  <c r="BA516" i="2"/>
  <c r="BA497" i="2"/>
  <c r="BA485" i="2"/>
  <c r="BA478" i="2" l="1"/>
  <c r="AZ478" i="2"/>
  <c r="AE370" i="2"/>
  <c r="AZ489" i="2" l="1"/>
  <c r="BA489" i="2"/>
  <c r="AZ472" i="2"/>
  <c r="BA472" i="2"/>
  <c r="BA492" i="2"/>
  <c r="BA504" i="2"/>
  <c r="BA486" i="2"/>
  <c r="AZ486" i="2"/>
  <c r="BA476" i="2" l="1"/>
  <c r="AZ476" i="2"/>
  <c r="BA470" i="2"/>
  <c r="AZ470" i="2"/>
  <c r="BA498" i="2"/>
  <c r="AZ498" i="2"/>
  <c r="BA468" i="2"/>
  <c r="AZ468" i="2"/>
  <c r="AZ480" i="2"/>
  <c r="BA480" i="2"/>
  <c r="AE480" i="2"/>
  <c r="AZ496" i="2" l="1"/>
  <c r="BA496" i="2"/>
  <c r="AE496" i="2"/>
  <c r="AZ521" i="2" l="1"/>
  <c r="BA521" i="2"/>
  <c r="BA462" i="2"/>
  <c r="AZ462" i="2"/>
  <c r="AZ463" i="2"/>
  <c r="BA463" i="2"/>
  <c r="AZ477" i="2"/>
  <c r="BA477" i="2"/>
  <c r="AZ523" i="2"/>
  <c r="BA523" i="2"/>
  <c r="AZ511" i="2"/>
  <c r="BA511" i="2"/>
  <c r="AZ473" i="2"/>
  <c r="BA473" i="2"/>
  <c r="BA459" i="2"/>
  <c r="AZ459" i="2"/>
  <c r="AZ503" i="2"/>
  <c r="AZ500" i="2"/>
  <c r="BA503" i="2"/>
  <c r="BA500" i="2"/>
  <c r="AE464" i="2" l="1"/>
  <c r="AZ464" i="2"/>
  <c r="BA464" i="2"/>
  <c r="AZ483" i="2" l="1"/>
  <c r="BA483" i="2"/>
  <c r="BA455" i="2" l="1"/>
  <c r="AZ457" i="2" l="1"/>
  <c r="BA457" i="2"/>
  <c r="AZ474" i="2"/>
  <c r="BA474" i="2"/>
  <c r="AE335" i="2" l="1"/>
  <c r="AE394" i="2" l="1"/>
  <c r="AV384" i="2" l="1"/>
  <c r="AV381" i="2"/>
  <c r="AV382" i="2"/>
  <c r="AV376" i="2"/>
  <c r="AV377" i="2"/>
  <c r="AV378" i="2"/>
  <c r="AV368" i="2"/>
  <c r="AV369" i="2"/>
  <c r="A411" i="15" l="1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C438" i="15"/>
  <c r="E438" i="15"/>
  <c r="C439" i="15"/>
  <c r="E439" i="15"/>
  <c r="C440" i="15"/>
  <c r="E440" i="15"/>
  <c r="C441" i="15"/>
  <c r="E441" i="15"/>
  <c r="C442" i="15"/>
  <c r="E442" i="15"/>
  <c r="C443" i="15"/>
  <c r="E443" i="15"/>
  <c r="C444" i="15"/>
  <c r="E444" i="15"/>
  <c r="C445" i="15"/>
  <c r="E445" i="15"/>
  <c r="C446" i="15"/>
  <c r="E446" i="15"/>
  <c r="C447" i="15"/>
  <c r="E447" i="15"/>
  <c r="C448" i="15"/>
  <c r="E448" i="15"/>
  <c r="C449" i="15"/>
  <c r="E449" i="15"/>
  <c r="C450" i="15"/>
  <c r="E450" i="15"/>
  <c r="C451" i="15"/>
  <c r="E451" i="15"/>
  <c r="C452" i="15"/>
  <c r="E452" i="15"/>
  <c r="C453" i="15"/>
  <c r="E453" i="15"/>
  <c r="C454" i="15"/>
  <c r="E454" i="15"/>
  <c r="C455" i="15"/>
  <c r="E455" i="15"/>
  <c r="C456" i="15"/>
  <c r="E456" i="15"/>
  <c r="C457" i="15"/>
  <c r="E457" i="15"/>
  <c r="C458" i="15"/>
  <c r="E458" i="15"/>
  <c r="C459" i="15"/>
  <c r="E459" i="15"/>
  <c r="C460" i="15"/>
  <c r="E460" i="15"/>
  <c r="C461" i="15"/>
  <c r="E461" i="15"/>
  <c r="C462" i="15"/>
  <c r="E462" i="15"/>
  <c r="C463" i="15"/>
  <c r="E463" i="15"/>
  <c r="C464" i="15"/>
  <c r="E464" i="15"/>
  <c r="C465" i="15"/>
  <c r="E465" i="15"/>
  <c r="C466" i="15"/>
  <c r="E466" i="15"/>
  <c r="C467" i="15"/>
  <c r="E467" i="15"/>
  <c r="C468" i="15"/>
  <c r="E468" i="15"/>
  <c r="C469" i="15"/>
  <c r="E469" i="15"/>
  <c r="E470" i="15"/>
  <c r="AE406" i="2"/>
  <c r="AZ429" i="2"/>
  <c r="BA429" i="2"/>
  <c r="AY311" i="2" l="1"/>
  <c r="AY296" i="2"/>
  <c r="AY256" i="2"/>
  <c r="AY268" i="2"/>
  <c r="AY217" i="2"/>
  <c r="AY229" i="2"/>
  <c r="AY322" i="2"/>
  <c r="AY346" i="2"/>
  <c r="AY358" i="2"/>
  <c r="AY382" i="2"/>
  <c r="AY394" i="2"/>
  <c r="AY308" i="2"/>
  <c r="AY323" i="2"/>
  <c r="AY348" i="2"/>
  <c r="AY384" i="2"/>
  <c r="AY246" i="2"/>
  <c r="AY219" i="2"/>
  <c r="AY160" i="2"/>
  <c r="AY324" i="2"/>
  <c r="AY307" i="2"/>
  <c r="AY285" i="2"/>
  <c r="AY259" i="2"/>
  <c r="AY202" i="2"/>
  <c r="AY214" i="2"/>
  <c r="AY145" i="2"/>
  <c r="AY373" i="2"/>
  <c r="AY385" i="2"/>
  <c r="AY267" i="2"/>
  <c r="AY157" i="2"/>
  <c r="AY345" i="2"/>
  <c r="AY297" i="2"/>
  <c r="AY188" i="2"/>
  <c r="AY305" i="2"/>
  <c r="AY272" i="2"/>
  <c r="AY191" i="2"/>
  <c r="AY175" i="2"/>
  <c r="AY134" i="2"/>
  <c r="AY314" i="2"/>
  <c r="AY350" i="2"/>
  <c r="AY273" i="2"/>
  <c r="AY222" i="2"/>
  <c r="AY327" i="2"/>
  <c r="AY163" i="2"/>
  <c r="AY147" i="2"/>
  <c r="AY315" i="2"/>
  <c r="AY339" i="2"/>
  <c r="AY375" i="2"/>
  <c r="AY399" i="2"/>
  <c r="AY283" i="2"/>
  <c r="AY243" i="2"/>
  <c r="AY198" i="2"/>
  <c r="AY169" i="2"/>
  <c r="AY141" i="2"/>
  <c r="AY333" i="2"/>
  <c r="AY301" i="2"/>
  <c r="AY278" i="2"/>
  <c r="AY235" i="2"/>
  <c r="AY181" i="2"/>
  <c r="AY352" i="2"/>
  <c r="AY364" i="2"/>
  <c r="AY400" i="2"/>
  <c r="AY279" i="2"/>
  <c r="AY263" i="2"/>
  <c r="AY236" i="2"/>
  <c r="AY182" i="2"/>
  <c r="AY194" i="2"/>
  <c r="AY178" i="2"/>
  <c r="AY341" i="2"/>
  <c r="AY365" i="2"/>
  <c r="AY401" i="2"/>
  <c r="AY225" i="2"/>
  <c r="AY237" i="2"/>
  <c r="AY179" i="2"/>
  <c r="AY330" i="2"/>
  <c r="AY342" i="2"/>
  <c r="AY390" i="2"/>
  <c r="AY402" i="2"/>
  <c r="AY241" i="2"/>
  <c r="AY180" i="2"/>
  <c r="AY139" i="2"/>
  <c r="AY367" i="2"/>
  <c r="AY403" i="2"/>
  <c r="AY299" i="2"/>
  <c r="AY239" i="2"/>
  <c r="AY185" i="2"/>
  <c r="AY156" i="2"/>
  <c r="AY291" i="2"/>
  <c r="AY320" i="2"/>
  <c r="AY344" i="2"/>
  <c r="AY368" i="2"/>
  <c r="AY404" i="2"/>
  <c r="AY186" i="2"/>
  <c r="AY381" i="2"/>
  <c r="AY212" i="2"/>
  <c r="AY159" i="2"/>
  <c r="AY143" i="2"/>
  <c r="AY347" i="2"/>
  <c r="AY360" i="2"/>
  <c r="AY396" i="2"/>
  <c r="AZ524" i="2"/>
  <c r="BA524" i="2"/>
  <c r="AZ421" i="2"/>
  <c r="BA421" i="2"/>
  <c r="AV254" i="2"/>
  <c r="BA398" i="2" l="1"/>
  <c r="AZ398" i="2"/>
  <c r="AV333" i="2" l="1"/>
  <c r="BA399" i="2" l="1"/>
  <c r="AZ399" i="2"/>
  <c r="AV325" i="2" l="1"/>
  <c r="AV250" i="2"/>
  <c r="AV237" i="2"/>
  <c r="AV229" i="2"/>
  <c r="AV187" i="2"/>
  <c r="AV228" i="2"/>
  <c r="AV289" i="2"/>
  <c r="AV3" i="2"/>
  <c r="AV163" i="2"/>
  <c r="AV288" i="2"/>
  <c r="AV290" i="2"/>
  <c r="AV121" i="2"/>
  <c r="AV148" i="2"/>
  <c r="AV23" i="2"/>
  <c r="AV277" i="2"/>
  <c r="AV39" i="2"/>
  <c r="AV29" i="2"/>
  <c r="AV334" i="2"/>
  <c r="AV332" i="2"/>
  <c r="AV331" i="2"/>
  <c r="AV330" i="2"/>
  <c r="AV329" i="2"/>
  <c r="AV327" i="2"/>
  <c r="AV324" i="2"/>
  <c r="AV320" i="2"/>
  <c r="AV318" i="2"/>
  <c r="AV317" i="2"/>
  <c r="AV315" i="2"/>
  <c r="AV373" i="2" l="1"/>
  <c r="AV367" i="2"/>
  <c r="AV366" i="2"/>
  <c r="AV326" i="2"/>
  <c r="AV323" i="2"/>
  <c r="AV322" i="2"/>
  <c r="AZ405" i="2" l="1"/>
  <c r="BA405" i="2"/>
  <c r="AZ406" i="2"/>
  <c r="BA406" i="2"/>
  <c r="AZ394" i="2"/>
  <c r="BA394" i="2"/>
  <c r="AZ386" i="2" l="1"/>
  <c r="BA386" i="2"/>
  <c r="AZ388" i="2"/>
  <c r="BA388" i="2"/>
  <c r="BA439" i="2" l="1"/>
  <c r="AZ439" i="2"/>
  <c r="BA377" i="2"/>
  <c r="AZ377" i="2"/>
  <c r="AE2" i="2" l="1"/>
  <c r="AE3" i="2"/>
  <c r="AE5" i="2"/>
  <c r="AE4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1" i="2"/>
  <c r="AE20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7" i="2"/>
  <c r="AE36" i="2"/>
  <c r="AE38" i="2"/>
  <c r="AE39" i="2"/>
  <c r="AE40" i="2"/>
  <c r="AE42" i="2"/>
  <c r="AE41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4" i="2"/>
  <c r="AE63" i="2"/>
  <c r="AE65" i="2"/>
  <c r="AE67" i="2"/>
  <c r="AE66" i="2"/>
  <c r="AE68" i="2"/>
  <c r="AE69" i="2"/>
  <c r="AE70" i="2"/>
  <c r="AE71" i="2"/>
  <c r="AE72" i="2"/>
  <c r="AE73" i="2"/>
  <c r="AE74" i="2"/>
  <c r="AE75" i="2"/>
  <c r="AE77" i="2"/>
  <c r="AE76" i="2"/>
  <c r="AE78" i="2"/>
  <c r="AE79" i="2"/>
  <c r="AE80" i="2"/>
  <c r="AE81" i="2"/>
  <c r="AE83" i="2"/>
  <c r="AE84" i="2"/>
  <c r="AE82" i="2"/>
  <c r="AE85" i="2"/>
  <c r="AE86" i="2"/>
  <c r="AE87" i="2"/>
  <c r="AE88" i="2"/>
  <c r="AE89" i="2"/>
  <c r="AE90" i="2"/>
  <c r="AE92" i="2"/>
  <c r="AE91" i="2"/>
  <c r="AE93" i="2"/>
  <c r="AE94" i="2"/>
  <c r="AE95" i="2"/>
  <c r="AE96" i="2"/>
  <c r="AE97" i="2"/>
  <c r="AE98" i="2"/>
  <c r="AE99" i="2"/>
  <c r="AE100" i="2"/>
  <c r="AE101" i="2"/>
  <c r="AE103" i="2"/>
  <c r="AE102" i="2"/>
  <c r="AE104" i="2"/>
  <c r="AE105" i="2"/>
  <c r="AE106" i="2"/>
  <c r="AE107" i="2"/>
  <c r="AE108" i="2"/>
  <c r="AE109" i="2"/>
  <c r="AE110" i="2"/>
  <c r="AE112" i="2"/>
  <c r="AE113" i="2"/>
  <c r="AE114" i="2"/>
  <c r="AE117" i="2"/>
  <c r="AE118" i="2"/>
  <c r="AE119" i="2"/>
  <c r="AE121" i="2"/>
  <c r="AE123" i="2"/>
  <c r="AE128" i="2"/>
  <c r="AE130" i="2"/>
  <c r="AE321" i="2"/>
  <c r="AE133" i="2"/>
  <c r="AE136" i="2"/>
  <c r="AE140" i="2"/>
  <c r="AE142" i="2"/>
  <c r="AE143" i="2"/>
  <c r="AE148" i="2"/>
  <c r="AE152" i="2"/>
  <c r="AE155" i="2"/>
  <c r="AE156" i="2"/>
  <c r="AE166" i="2"/>
  <c r="AE169" i="2"/>
  <c r="AE171" i="2"/>
  <c r="AE172" i="2"/>
  <c r="AE173" i="2"/>
  <c r="AE175" i="2"/>
  <c r="AE176" i="2"/>
  <c r="AE174" i="2"/>
  <c r="AE179" i="2"/>
  <c r="AE181" i="2"/>
  <c r="AE183" i="2"/>
  <c r="AE184" i="2"/>
  <c r="AE186" i="2"/>
  <c r="AE185" i="2"/>
  <c r="AE189" i="2"/>
  <c r="AE188" i="2"/>
  <c r="AE193" i="2"/>
  <c r="AE191" i="2"/>
  <c r="AE201" i="2"/>
  <c r="AE203" i="2"/>
  <c r="AE206" i="2"/>
  <c r="AE210" i="2"/>
  <c r="AE212" i="2"/>
  <c r="AE213" i="2"/>
  <c r="AE214" i="2"/>
  <c r="AE215" i="2"/>
  <c r="AE216" i="2"/>
  <c r="AE218" i="2"/>
  <c r="AE219" i="2"/>
  <c r="AE223" i="2"/>
  <c r="AE226" i="2"/>
  <c r="AE231" i="2"/>
  <c r="AE234" i="2"/>
  <c r="AE235" i="2"/>
  <c r="AE239" i="2"/>
  <c r="AE240" i="2"/>
  <c r="AE241" i="2"/>
  <c r="AE247" i="2"/>
  <c r="AE249" i="2"/>
  <c r="AE245" i="2"/>
  <c r="AE251" i="2"/>
  <c r="AE259" i="2"/>
  <c r="AE264" i="2"/>
  <c r="AE263" i="2"/>
  <c r="AE267" i="2"/>
  <c r="AE268" i="2"/>
  <c r="AE269" i="2"/>
  <c r="AE273" i="2"/>
  <c r="AE274" i="2"/>
  <c r="AE285" i="2"/>
  <c r="AE288" i="2"/>
  <c r="AE289" i="2"/>
  <c r="AE292" i="2"/>
  <c r="AE293" i="2"/>
  <c r="AE299" i="2"/>
  <c r="AE303" i="2"/>
  <c r="AE307" i="2"/>
  <c r="AE314" i="2"/>
  <c r="AE316" i="2"/>
  <c r="AE324" i="2"/>
  <c r="AE328" i="2"/>
  <c r="AE327" i="2"/>
  <c r="AE330" i="2"/>
  <c r="AE331" i="2"/>
  <c r="AE438" i="2"/>
  <c r="AE518" i="2"/>
  <c r="AE336" i="2"/>
  <c r="AE526" i="2"/>
  <c r="AE334" i="2"/>
  <c r="AE519" i="2"/>
  <c r="AE363" i="2"/>
  <c r="AE371" i="2"/>
  <c r="AE507" i="2"/>
  <c r="AE368" i="2"/>
  <c r="AE419" i="2"/>
  <c r="AE380" i="2"/>
  <c r="AE487" i="2"/>
  <c r="AE374" i="2"/>
  <c r="AE375" i="2"/>
  <c r="AE383" i="2"/>
  <c r="AE390" i="2"/>
  <c r="AE396" i="2"/>
  <c r="AE490" i="2"/>
  <c r="AE376" i="2"/>
  <c r="AE378" i="2"/>
  <c r="AE387" i="2"/>
  <c r="AE425" i="2"/>
  <c r="AE391" i="2"/>
  <c r="AE379" i="2"/>
  <c r="AE401" i="2"/>
  <c r="AE420" i="2"/>
  <c r="AE389" i="2"/>
  <c r="AE384" i="2"/>
  <c r="AE385" i="2"/>
  <c r="AE392" i="2"/>
  <c r="AE400" i="2"/>
  <c r="AE397" i="2"/>
  <c r="AE499" i="2"/>
  <c r="AE408" i="2"/>
  <c r="AE441" i="2"/>
  <c r="AE403" i="2"/>
  <c r="AE418" i="2"/>
  <c r="AE416" i="2"/>
  <c r="AE404" i="2"/>
  <c r="AE426" i="2"/>
  <c r="AE402" i="2"/>
  <c r="AE428" i="2"/>
  <c r="AE505" i="2"/>
  <c r="AE430" i="2"/>
  <c r="AE423" i="2"/>
  <c r="AE448" i="2"/>
  <c r="AE444" i="2"/>
  <c r="AE424" i="2"/>
  <c r="AE436" i="2"/>
  <c r="AE422" i="2"/>
  <c r="AE446" i="2"/>
  <c r="AE435" i="2"/>
  <c r="AE432" i="2"/>
  <c r="AE481" i="2"/>
  <c r="AE440" i="2"/>
  <c r="AE437" i="2"/>
  <c r="AE528" i="2"/>
  <c r="AE431" i="2"/>
  <c r="AE434" i="2"/>
  <c r="AE443" i="2"/>
  <c r="AE449" i="2"/>
  <c r="AE427" i="2"/>
  <c r="AE433" i="2"/>
  <c r="AE453" i="2"/>
  <c r="AE447" i="2"/>
  <c r="AE501" i="2"/>
  <c r="AE451" i="2"/>
  <c r="AE445" i="2"/>
  <c r="AE458" i="2"/>
  <c r="AE456" i="2"/>
  <c r="AE442" i="2"/>
  <c r="AE454" i="2"/>
  <c r="AE450" i="2"/>
  <c r="AE407" i="2"/>
  <c r="AE409" i="2"/>
  <c r="AE410" i="2"/>
  <c r="AE411" i="2"/>
  <c r="AE412" i="2"/>
  <c r="AE413" i="2"/>
  <c r="AE414" i="2"/>
  <c r="AE415" i="2"/>
  <c r="AE417" i="2"/>
  <c r="AE452" i="2"/>
  <c r="AE514" i="2"/>
  <c r="AE475" i="2"/>
  <c r="AE461" i="2"/>
  <c r="AE471" i="2"/>
  <c r="AE495" i="2"/>
  <c r="AE508" i="2"/>
  <c r="AE522" i="2"/>
  <c r="AE513" i="2"/>
  <c r="AE479" i="2"/>
  <c r="AE484" i="2"/>
  <c r="AE469" i="2"/>
  <c r="AE512" i="2"/>
  <c r="AE465" i="2"/>
  <c r="AE482" i="2"/>
  <c r="AE488" i="2"/>
  <c r="AE510" i="2"/>
  <c r="AE491" i="2"/>
  <c r="AE466" i="2"/>
  <c r="AE467" i="2"/>
  <c r="AE494" i="2"/>
  <c r="AE502" i="2"/>
  <c r="AE527" i="2"/>
  <c r="AE520" i="2"/>
  <c r="AE506" i="2"/>
  <c r="AE509" i="2"/>
  <c r="AE525" i="2"/>
  <c r="AE460" i="2"/>
  <c r="B1028" i="7" l="1"/>
  <c r="C1028" i="7"/>
  <c r="F1028" i="7"/>
  <c r="G1028" i="7"/>
  <c r="H1028" i="7"/>
  <c r="L1028" i="7"/>
  <c r="M1028" i="7" s="1"/>
  <c r="N1028" i="7"/>
  <c r="O1028" i="7"/>
  <c r="P1028" i="7"/>
  <c r="Q1028" i="7"/>
  <c r="T1028" i="7"/>
  <c r="B1016" i="7"/>
  <c r="C1016" i="7"/>
  <c r="F1016" i="7"/>
  <c r="G1016" i="7"/>
  <c r="H1016" i="7"/>
  <c r="L1016" i="7"/>
  <c r="M1016" i="7" s="1"/>
  <c r="N1016" i="7"/>
  <c r="O1016" i="7"/>
  <c r="P1016" i="7"/>
  <c r="Q1016" i="7"/>
  <c r="T1016" i="7"/>
  <c r="B1017" i="7"/>
  <c r="C1017" i="7"/>
  <c r="F1017" i="7"/>
  <c r="G1017" i="7"/>
  <c r="H1017" i="7"/>
  <c r="L1017" i="7"/>
  <c r="M1017" i="7" s="1"/>
  <c r="N1017" i="7"/>
  <c r="O1017" i="7"/>
  <c r="P1017" i="7"/>
  <c r="Q1017" i="7"/>
  <c r="T1017" i="7"/>
  <c r="B2" i="7"/>
  <c r="C2" i="7"/>
  <c r="F2" i="7"/>
  <c r="G2" i="7"/>
  <c r="H2" i="7"/>
  <c r="L2" i="7"/>
  <c r="M2" i="7" s="1"/>
  <c r="N2" i="7"/>
  <c r="O2" i="7"/>
  <c r="P2" i="7"/>
  <c r="Q2" i="7"/>
  <c r="T2" i="7"/>
  <c r="B3" i="7"/>
  <c r="C3" i="7"/>
  <c r="G3" i="7"/>
  <c r="H3" i="7"/>
  <c r="M3" i="7"/>
  <c r="N3" i="7"/>
  <c r="O3" i="7"/>
  <c r="P3" i="7"/>
  <c r="Q3" i="7"/>
  <c r="T3" i="7"/>
  <c r="B4" i="7"/>
  <c r="C4" i="7"/>
  <c r="F4" i="7"/>
  <c r="G4" i="7"/>
  <c r="H4" i="7"/>
  <c r="L4" i="7"/>
  <c r="M4" i="7" s="1"/>
  <c r="N4" i="7"/>
  <c r="O4" i="7"/>
  <c r="P4" i="7"/>
  <c r="Q4" i="7"/>
  <c r="T4" i="7"/>
  <c r="B5" i="7"/>
  <c r="C5" i="7"/>
  <c r="F5" i="7"/>
  <c r="G5" i="7"/>
  <c r="H5" i="7"/>
  <c r="L5" i="7"/>
  <c r="M5" i="7" s="1"/>
  <c r="N5" i="7"/>
  <c r="O5" i="7"/>
  <c r="P5" i="7"/>
  <c r="Q5" i="7"/>
  <c r="T5" i="7"/>
  <c r="B6" i="7"/>
  <c r="C6" i="7"/>
  <c r="F6" i="7"/>
  <c r="G6" i="7"/>
  <c r="H6" i="7"/>
  <c r="L6" i="7"/>
  <c r="M6" i="7" s="1"/>
  <c r="N6" i="7"/>
  <c r="O6" i="7"/>
  <c r="P6" i="7"/>
  <c r="Q6" i="7"/>
  <c r="T6" i="7"/>
  <c r="B7" i="7"/>
  <c r="C7" i="7"/>
  <c r="F7" i="7"/>
  <c r="G7" i="7"/>
  <c r="H7" i="7"/>
  <c r="L7" i="7"/>
  <c r="M7" i="7" s="1"/>
  <c r="N7" i="7"/>
  <c r="O7" i="7"/>
  <c r="P7" i="7"/>
  <c r="Q7" i="7"/>
  <c r="T7" i="7"/>
  <c r="B8" i="7"/>
  <c r="C8" i="7"/>
  <c r="F8" i="7"/>
  <c r="G8" i="7"/>
  <c r="H8" i="7"/>
  <c r="L8" i="7"/>
  <c r="M8" i="7" s="1"/>
  <c r="N8" i="7"/>
  <c r="O8" i="7"/>
  <c r="P8" i="7"/>
  <c r="Q8" i="7"/>
  <c r="T8" i="7"/>
  <c r="B9" i="7"/>
  <c r="C9" i="7"/>
  <c r="F9" i="7"/>
  <c r="G9" i="7"/>
  <c r="H9" i="7"/>
  <c r="L9" i="7"/>
  <c r="M9" i="7" s="1"/>
  <c r="N9" i="7"/>
  <c r="O9" i="7"/>
  <c r="P9" i="7"/>
  <c r="Q9" i="7"/>
  <c r="T9" i="7"/>
  <c r="B10" i="7"/>
  <c r="C10" i="7"/>
  <c r="F10" i="7"/>
  <c r="G10" i="7"/>
  <c r="H10" i="7"/>
  <c r="L10" i="7"/>
  <c r="M10" i="7" s="1"/>
  <c r="N10" i="7"/>
  <c r="O10" i="7"/>
  <c r="P10" i="7"/>
  <c r="Q10" i="7"/>
  <c r="T10" i="7"/>
  <c r="B11" i="7"/>
  <c r="C11" i="7"/>
  <c r="F11" i="7"/>
  <c r="G11" i="7"/>
  <c r="H11" i="7"/>
  <c r="L11" i="7"/>
  <c r="M11" i="7" s="1"/>
  <c r="N11" i="7"/>
  <c r="O11" i="7"/>
  <c r="P11" i="7"/>
  <c r="Q11" i="7"/>
  <c r="T11" i="7"/>
  <c r="B12" i="7"/>
  <c r="C12" i="7"/>
  <c r="F12" i="7"/>
  <c r="G12" i="7"/>
  <c r="H12" i="7"/>
  <c r="L12" i="7"/>
  <c r="M12" i="7" s="1"/>
  <c r="N12" i="7"/>
  <c r="O12" i="7"/>
  <c r="P12" i="7"/>
  <c r="Q12" i="7"/>
  <c r="T12" i="7"/>
  <c r="B13" i="7"/>
  <c r="C13" i="7"/>
  <c r="F13" i="7"/>
  <c r="G13" i="7"/>
  <c r="H13" i="7"/>
  <c r="L13" i="7"/>
  <c r="M13" i="7" s="1"/>
  <c r="N13" i="7"/>
  <c r="O13" i="7"/>
  <c r="P13" i="7"/>
  <c r="Q13" i="7"/>
  <c r="T13" i="7"/>
  <c r="B14" i="7"/>
  <c r="C14" i="7"/>
  <c r="F14" i="7"/>
  <c r="G14" i="7"/>
  <c r="H14" i="7"/>
  <c r="L14" i="7"/>
  <c r="M14" i="7" s="1"/>
  <c r="N14" i="7"/>
  <c r="O14" i="7"/>
  <c r="P14" i="7"/>
  <c r="Q14" i="7"/>
  <c r="T14" i="7"/>
  <c r="B15" i="7"/>
  <c r="C15" i="7"/>
  <c r="F15" i="7"/>
  <c r="G15" i="7"/>
  <c r="H15" i="7"/>
  <c r="L15" i="7"/>
  <c r="M15" i="7" s="1"/>
  <c r="N15" i="7"/>
  <c r="O15" i="7"/>
  <c r="P15" i="7"/>
  <c r="Q15" i="7"/>
  <c r="T15" i="7"/>
  <c r="B16" i="7"/>
  <c r="C16" i="7"/>
  <c r="F16" i="7"/>
  <c r="G16" i="7"/>
  <c r="H16" i="7"/>
  <c r="L16" i="7"/>
  <c r="M16" i="7" s="1"/>
  <c r="N16" i="7"/>
  <c r="O16" i="7"/>
  <c r="P16" i="7"/>
  <c r="Q16" i="7"/>
  <c r="T16" i="7"/>
  <c r="B17" i="7"/>
  <c r="C17" i="7"/>
  <c r="F17" i="7"/>
  <c r="G17" i="7"/>
  <c r="H17" i="7"/>
  <c r="L17" i="7"/>
  <c r="M17" i="7" s="1"/>
  <c r="N17" i="7"/>
  <c r="O17" i="7"/>
  <c r="P17" i="7"/>
  <c r="Q17" i="7"/>
  <c r="T17" i="7"/>
  <c r="B18" i="7"/>
  <c r="C18" i="7"/>
  <c r="F18" i="7"/>
  <c r="G18" i="7"/>
  <c r="H18" i="7"/>
  <c r="L18" i="7"/>
  <c r="M18" i="7" s="1"/>
  <c r="N18" i="7"/>
  <c r="O18" i="7"/>
  <c r="P18" i="7"/>
  <c r="Q18" i="7"/>
  <c r="T18" i="7"/>
  <c r="B19" i="7"/>
  <c r="C19" i="7"/>
  <c r="F19" i="7"/>
  <c r="G19" i="7"/>
  <c r="H19" i="7"/>
  <c r="L19" i="7"/>
  <c r="M19" i="7" s="1"/>
  <c r="N19" i="7"/>
  <c r="O19" i="7"/>
  <c r="P19" i="7"/>
  <c r="Q19" i="7"/>
  <c r="T19" i="7"/>
  <c r="B20" i="7"/>
  <c r="C20" i="7"/>
  <c r="F20" i="7"/>
  <c r="G20" i="7"/>
  <c r="H20" i="7"/>
  <c r="L20" i="7"/>
  <c r="M20" i="7" s="1"/>
  <c r="N20" i="7"/>
  <c r="O20" i="7"/>
  <c r="P20" i="7"/>
  <c r="Q20" i="7"/>
  <c r="T20" i="7"/>
  <c r="B21" i="7"/>
  <c r="C21" i="7"/>
  <c r="F21" i="7"/>
  <c r="G21" i="7"/>
  <c r="H21" i="7"/>
  <c r="L21" i="7"/>
  <c r="M21" i="7" s="1"/>
  <c r="N21" i="7"/>
  <c r="O21" i="7"/>
  <c r="P21" i="7"/>
  <c r="Q21" i="7"/>
  <c r="T21" i="7"/>
  <c r="B22" i="7"/>
  <c r="C22" i="7"/>
  <c r="F22" i="7"/>
  <c r="G22" i="7"/>
  <c r="H22" i="7"/>
  <c r="L22" i="7"/>
  <c r="M22" i="7" s="1"/>
  <c r="N22" i="7"/>
  <c r="O22" i="7"/>
  <c r="P22" i="7"/>
  <c r="Q22" i="7"/>
  <c r="T22" i="7"/>
  <c r="B23" i="7"/>
  <c r="C23" i="7"/>
  <c r="F23" i="7"/>
  <c r="G23" i="7"/>
  <c r="H23" i="7"/>
  <c r="L23" i="7"/>
  <c r="M23" i="7" s="1"/>
  <c r="N23" i="7"/>
  <c r="O23" i="7"/>
  <c r="P23" i="7"/>
  <c r="Q23" i="7"/>
  <c r="T23" i="7"/>
  <c r="B24" i="7"/>
  <c r="C24" i="7"/>
  <c r="F24" i="7"/>
  <c r="G24" i="7"/>
  <c r="H24" i="7"/>
  <c r="L24" i="7"/>
  <c r="M24" i="7" s="1"/>
  <c r="N24" i="7"/>
  <c r="O24" i="7"/>
  <c r="P24" i="7"/>
  <c r="Q24" i="7"/>
  <c r="T24" i="7"/>
  <c r="B25" i="7"/>
  <c r="C25" i="7"/>
  <c r="F25" i="7"/>
  <c r="G25" i="7"/>
  <c r="H25" i="7"/>
  <c r="L25" i="7"/>
  <c r="M25" i="7" s="1"/>
  <c r="N25" i="7"/>
  <c r="O25" i="7"/>
  <c r="P25" i="7"/>
  <c r="Q25" i="7"/>
  <c r="T25" i="7"/>
  <c r="B26" i="7"/>
  <c r="C26" i="7"/>
  <c r="F26" i="7"/>
  <c r="G26" i="7"/>
  <c r="H26" i="7"/>
  <c r="L26" i="7"/>
  <c r="M26" i="7" s="1"/>
  <c r="N26" i="7"/>
  <c r="O26" i="7"/>
  <c r="P26" i="7"/>
  <c r="Q26" i="7"/>
  <c r="T26" i="7"/>
  <c r="B27" i="7"/>
  <c r="C27" i="7"/>
  <c r="F27" i="7"/>
  <c r="G27" i="7"/>
  <c r="H27" i="7"/>
  <c r="L27" i="7"/>
  <c r="M27" i="7" s="1"/>
  <c r="N27" i="7"/>
  <c r="O27" i="7"/>
  <c r="P27" i="7"/>
  <c r="Q27" i="7"/>
  <c r="T27" i="7"/>
  <c r="B28" i="7"/>
  <c r="C28" i="7"/>
  <c r="F28" i="7"/>
  <c r="G28" i="7"/>
  <c r="H28" i="7"/>
  <c r="L28" i="7"/>
  <c r="M28" i="7" s="1"/>
  <c r="N28" i="7"/>
  <c r="O28" i="7"/>
  <c r="P28" i="7"/>
  <c r="Q28" i="7"/>
  <c r="T28" i="7"/>
  <c r="B29" i="7"/>
  <c r="C29" i="7"/>
  <c r="F29" i="7"/>
  <c r="G29" i="7"/>
  <c r="H29" i="7"/>
  <c r="L29" i="7"/>
  <c r="M29" i="7" s="1"/>
  <c r="N29" i="7"/>
  <c r="O29" i="7"/>
  <c r="P29" i="7"/>
  <c r="Q29" i="7"/>
  <c r="T29" i="7"/>
  <c r="B30" i="7"/>
  <c r="C30" i="7"/>
  <c r="F30" i="7"/>
  <c r="G30" i="7"/>
  <c r="H30" i="7"/>
  <c r="L30" i="7"/>
  <c r="M30" i="7" s="1"/>
  <c r="N30" i="7"/>
  <c r="O30" i="7"/>
  <c r="P30" i="7"/>
  <c r="Q30" i="7"/>
  <c r="T30" i="7"/>
  <c r="B31" i="7"/>
  <c r="C31" i="7"/>
  <c r="F31" i="7"/>
  <c r="G31" i="7"/>
  <c r="H31" i="7"/>
  <c r="L31" i="7"/>
  <c r="M31" i="7" s="1"/>
  <c r="N31" i="7"/>
  <c r="O31" i="7"/>
  <c r="P31" i="7"/>
  <c r="Q31" i="7"/>
  <c r="T31" i="7"/>
  <c r="B32" i="7"/>
  <c r="C32" i="7"/>
  <c r="F32" i="7"/>
  <c r="G32" i="7"/>
  <c r="H32" i="7"/>
  <c r="L32" i="7"/>
  <c r="M32" i="7" s="1"/>
  <c r="N32" i="7"/>
  <c r="O32" i="7"/>
  <c r="P32" i="7"/>
  <c r="Q32" i="7"/>
  <c r="T32" i="7"/>
  <c r="B33" i="7"/>
  <c r="C33" i="7"/>
  <c r="F33" i="7"/>
  <c r="G33" i="7"/>
  <c r="H33" i="7"/>
  <c r="L33" i="7"/>
  <c r="M33" i="7" s="1"/>
  <c r="N33" i="7"/>
  <c r="O33" i="7"/>
  <c r="P33" i="7"/>
  <c r="Q33" i="7"/>
  <c r="T33" i="7"/>
  <c r="B34" i="7"/>
  <c r="C34" i="7"/>
  <c r="F34" i="7"/>
  <c r="G34" i="7"/>
  <c r="H34" i="7"/>
  <c r="L34" i="7"/>
  <c r="M34" i="7" s="1"/>
  <c r="N34" i="7"/>
  <c r="O34" i="7"/>
  <c r="P34" i="7"/>
  <c r="Q34" i="7"/>
  <c r="T34" i="7"/>
  <c r="B35" i="7"/>
  <c r="C35" i="7"/>
  <c r="F35" i="7"/>
  <c r="G35" i="7"/>
  <c r="H35" i="7"/>
  <c r="L35" i="7"/>
  <c r="M35" i="7" s="1"/>
  <c r="N35" i="7"/>
  <c r="O35" i="7"/>
  <c r="P35" i="7"/>
  <c r="Q35" i="7"/>
  <c r="T35" i="7"/>
  <c r="B36" i="7"/>
  <c r="C36" i="7"/>
  <c r="F36" i="7"/>
  <c r="G36" i="7"/>
  <c r="H36" i="7"/>
  <c r="L36" i="7"/>
  <c r="M36" i="7" s="1"/>
  <c r="N36" i="7"/>
  <c r="O36" i="7"/>
  <c r="P36" i="7"/>
  <c r="Q36" i="7"/>
  <c r="T36" i="7"/>
  <c r="B37" i="7"/>
  <c r="C37" i="7"/>
  <c r="F37" i="7"/>
  <c r="G37" i="7"/>
  <c r="H37" i="7"/>
  <c r="L37" i="7"/>
  <c r="M37" i="7" s="1"/>
  <c r="N37" i="7"/>
  <c r="O37" i="7"/>
  <c r="P37" i="7"/>
  <c r="Q37" i="7"/>
  <c r="T37" i="7"/>
  <c r="B38" i="7"/>
  <c r="C38" i="7"/>
  <c r="F38" i="7"/>
  <c r="G38" i="7"/>
  <c r="H38" i="7"/>
  <c r="L38" i="7"/>
  <c r="M38" i="7" s="1"/>
  <c r="N38" i="7"/>
  <c r="O38" i="7"/>
  <c r="P38" i="7"/>
  <c r="Q38" i="7"/>
  <c r="T38" i="7"/>
  <c r="B39" i="7"/>
  <c r="C39" i="7"/>
  <c r="F39" i="7"/>
  <c r="G39" i="7"/>
  <c r="H39" i="7"/>
  <c r="L39" i="7"/>
  <c r="M39" i="7" s="1"/>
  <c r="N39" i="7"/>
  <c r="O39" i="7"/>
  <c r="P39" i="7"/>
  <c r="Q39" i="7"/>
  <c r="T39" i="7"/>
  <c r="B40" i="7"/>
  <c r="C40" i="7"/>
  <c r="F40" i="7"/>
  <c r="G40" i="7"/>
  <c r="H40" i="7"/>
  <c r="L40" i="7"/>
  <c r="M40" i="7" s="1"/>
  <c r="N40" i="7"/>
  <c r="O40" i="7"/>
  <c r="P40" i="7"/>
  <c r="Q40" i="7"/>
  <c r="T40" i="7"/>
  <c r="B41" i="7"/>
  <c r="C41" i="7"/>
  <c r="F41" i="7"/>
  <c r="G41" i="7"/>
  <c r="H41" i="7"/>
  <c r="L41" i="7"/>
  <c r="M41" i="7" s="1"/>
  <c r="N41" i="7"/>
  <c r="O41" i="7"/>
  <c r="P41" i="7"/>
  <c r="Q41" i="7"/>
  <c r="T41" i="7"/>
  <c r="B42" i="7"/>
  <c r="C42" i="7"/>
  <c r="F42" i="7"/>
  <c r="G42" i="7"/>
  <c r="H42" i="7"/>
  <c r="L42" i="7"/>
  <c r="M42" i="7" s="1"/>
  <c r="N42" i="7"/>
  <c r="O42" i="7"/>
  <c r="P42" i="7"/>
  <c r="Q42" i="7"/>
  <c r="T42" i="7"/>
  <c r="B43" i="7"/>
  <c r="C43" i="7"/>
  <c r="F43" i="7"/>
  <c r="G43" i="7"/>
  <c r="H43" i="7"/>
  <c r="L43" i="7"/>
  <c r="M43" i="7" s="1"/>
  <c r="N43" i="7"/>
  <c r="O43" i="7"/>
  <c r="P43" i="7"/>
  <c r="Q43" i="7"/>
  <c r="T43" i="7"/>
  <c r="B44" i="7"/>
  <c r="C44" i="7"/>
  <c r="F44" i="7"/>
  <c r="G44" i="7"/>
  <c r="H44" i="7"/>
  <c r="L44" i="7"/>
  <c r="M44" i="7" s="1"/>
  <c r="N44" i="7"/>
  <c r="O44" i="7"/>
  <c r="P44" i="7"/>
  <c r="Q44" i="7"/>
  <c r="T44" i="7"/>
  <c r="B45" i="7"/>
  <c r="C45" i="7"/>
  <c r="F45" i="7"/>
  <c r="G45" i="7"/>
  <c r="H45" i="7"/>
  <c r="L45" i="7"/>
  <c r="M45" i="7" s="1"/>
  <c r="N45" i="7"/>
  <c r="O45" i="7"/>
  <c r="P45" i="7"/>
  <c r="Q45" i="7"/>
  <c r="T45" i="7"/>
  <c r="B46" i="7"/>
  <c r="C46" i="7"/>
  <c r="F46" i="7"/>
  <c r="G46" i="7"/>
  <c r="H46" i="7"/>
  <c r="L46" i="7"/>
  <c r="M46" i="7" s="1"/>
  <c r="N46" i="7"/>
  <c r="O46" i="7"/>
  <c r="P46" i="7"/>
  <c r="Q46" i="7"/>
  <c r="T46" i="7"/>
  <c r="B47" i="7"/>
  <c r="C47" i="7"/>
  <c r="F47" i="7"/>
  <c r="G47" i="7"/>
  <c r="H47" i="7"/>
  <c r="L47" i="7"/>
  <c r="M47" i="7" s="1"/>
  <c r="N47" i="7"/>
  <c r="O47" i="7"/>
  <c r="P47" i="7"/>
  <c r="Q47" i="7"/>
  <c r="T47" i="7"/>
  <c r="B48" i="7"/>
  <c r="C48" i="7"/>
  <c r="F48" i="7"/>
  <c r="G48" i="7"/>
  <c r="H48" i="7"/>
  <c r="L48" i="7"/>
  <c r="M48" i="7" s="1"/>
  <c r="N48" i="7"/>
  <c r="O48" i="7"/>
  <c r="P48" i="7"/>
  <c r="Q48" i="7"/>
  <c r="T48" i="7"/>
  <c r="B49" i="7"/>
  <c r="C49" i="7"/>
  <c r="F49" i="7"/>
  <c r="G49" i="7"/>
  <c r="H49" i="7"/>
  <c r="L49" i="7"/>
  <c r="M49" i="7" s="1"/>
  <c r="N49" i="7"/>
  <c r="O49" i="7"/>
  <c r="P49" i="7"/>
  <c r="Q49" i="7"/>
  <c r="T49" i="7"/>
  <c r="B50" i="7"/>
  <c r="C50" i="7"/>
  <c r="F50" i="7"/>
  <c r="G50" i="7"/>
  <c r="H50" i="7"/>
  <c r="L50" i="7"/>
  <c r="M50" i="7" s="1"/>
  <c r="N50" i="7"/>
  <c r="O50" i="7"/>
  <c r="P50" i="7"/>
  <c r="Q50" i="7"/>
  <c r="T50" i="7"/>
  <c r="B51" i="7"/>
  <c r="C51" i="7"/>
  <c r="F51" i="7"/>
  <c r="G51" i="7"/>
  <c r="H51" i="7"/>
  <c r="L51" i="7"/>
  <c r="M51" i="7" s="1"/>
  <c r="N51" i="7"/>
  <c r="O51" i="7"/>
  <c r="P51" i="7"/>
  <c r="Q51" i="7"/>
  <c r="T51" i="7"/>
  <c r="B52" i="7"/>
  <c r="C52" i="7"/>
  <c r="F52" i="7"/>
  <c r="G52" i="7"/>
  <c r="H52" i="7"/>
  <c r="L52" i="7"/>
  <c r="M52" i="7" s="1"/>
  <c r="N52" i="7"/>
  <c r="O52" i="7"/>
  <c r="P52" i="7"/>
  <c r="Q52" i="7"/>
  <c r="T52" i="7"/>
  <c r="B53" i="7"/>
  <c r="C53" i="7"/>
  <c r="F53" i="7"/>
  <c r="G53" i="7"/>
  <c r="H53" i="7"/>
  <c r="L53" i="7"/>
  <c r="M53" i="7" s="1"/>
  <c r="N53" i="7"/>
  <c r="O53" i="7"/>
  <c r="P53" i="7"/>
  <c r="Q53" i="7"/>
  <c r="T53" i="7"/>
  <c r="B54" i="7"/>
  <c r="C54" i="7"/>
  <c r="F54" i="7"/>
  <c r="G54" i="7"/>
  <c r="H54" i="7"/>
  <c r="L54" i="7"/>
  <c r="M54" i="7" s="1"/>
  <c r="N54" i="7"/>
  <c r="O54" i="7"/>
  <c r="P54" i="7"/>
  <c r="Q54" i="7"/>
  <c r="T54" i="7"/>
  <c r="B55" i="7"/>
  <c r="C55" i="7"/>
  <c r="F55" i="7"/>
  <c r="G55" i="7"/>
  <c r="H55" i="7"/>
  <c r="L55" i="7"/>
  <c r="M55" i="7" s="1"/>
  <c r="N55" i="7"/>
  <c r="O55" i="7"/>
  <c r="P55" i="7"/>
  <c r="Q55" i="7"/>
  <c r="T55" i="7"/>
  <c r="B56" i="7"/>
  <c r="C56" i="7"/>
  <c r="F56" i="7"/>
  <c r="G56" i="7"/>
  <c r="H56" i="7"/>
  <c r="L56" i="7"/>
  <c r="M56" i="7" s="1"/>
  <c r="N56" i="7"/>
  <c r="O56" i="7"/>
  <c r="P56" i="7"/>
  <c r="Q56" i="7"/>
  <c r="T56" i="7"/>
  <c r="B57" i="7"/>
  <c r="C57" i="7"/>
  <c r="F57" i="7"/>
  <c r="G57" i="7"/>
  <c r="H57" i="7"/>
  <c r="L57" i="7"/>
  <c r="M57" i="7" s="1"/>
  <c r="N57" i="7"/>
  <c r="O57" i="7"/>
  <c r="P57" i="7"/>
  <c r="Q57" i="7"/>
  <c r="T57" i="7"/>
  <c r="B58" i="7"/>
  <c r="C58" i="7"/>
  <c r="F58" i="7"/>
  <c r="G58" i="7"/>
  <c r="H58" i="7"/>
  <c r="L58" i="7"/>
  <c r="M58" i="7" s="1"/>
  <c r="N58" i="7"/>
  <c r="O58" i="7"/>
  <c r="P58" i="7"/>
  <c r="Q58" i="7"/>
  <c r="T58" i="7"/>
  <c r="B59" i="7"/>
  <c r="C59" i="7"/>
  <c r="F59" i="7"/>
  <c r="G59" i="7"/>
  <c r="H59" i="7"/>
  <c r="L59" i="7"/>
  <c r="M59" i="7" s="1"/>
  <c r="N59" i="7"/>
  <c r="O59" i="7"/>
  <c r="P59" i="7"/>
  <c r="Q59" i="7"/>
  <c r="T59" i="7"/>
  <c r="B60" i="7"/>
  <c r="C60" i="7"/>
  <c r="F60" i="7"/>
  <c r="G60" i="7"/>
  <c r="H60" i="7"/>
  <c r="L60" i="7"/>
  <c r="M60" i="7" s="1"/>
  <c r="N60" i="7"/>
  <c r="O60" i="7"/>
  <c r="P60" i="7"/>
  <c r="Q60" i="7"/>
  <c r="T60" i="7"/>
  <c r="B61" i="7"/>
  <c r="C61" i="7"/>
  <c r="F61" i="7"/>
  <c r="G61" i="7"/>
  <c r="H61" i="7"/>
  <c r="L61" i="7"/>
  <c r="M61" i="7" s="1"/>
  <c r="N61" i="7"/>
  <c r="O61" i="7"/>
  <c r="P61" i="7"/>
  <c r="Q61" i="7"/>
  <c r="T61" i="7"/>
  <c r="B62" i="7"/>
  <c r="C62" i="7"/>
  <c r="F62" i="7"/>
  <c r="G62" i="7"/>
  <c r="H62" i="7"/>
  <c r="L62" i="7"/>
  <c r="M62" i="7" s="1"/>
  <c r="N62" i="7"/>
  <c r="O62" i="7"/>
  <c r="P62" i="7"/>
  <c r="Q62" i="7"/>
  <c r="T62" i="7"/>
  <c r="B63" i="7"/>
  <c r="C63" i="7"/>
  <c r="F63" i="7"/>
  <c r="G63" i="7"/>
  <c r="H63" i="7"/>
  <c r="L63" i="7"/>
  <c r="M63" i="7" s="1"/>
  <c r="N63" i="7"/>
  <c r="O63" i="7"/>
  <c r="P63" i="7"/>
  <c r="Q63" i="7"/>
  <c r="T63" i="7"/>
  <c r="B64" i="7"/>
  <c r="C64" i="7"/>
  <c r="F64" i="7"/>
  <c r="G64" i="7"/>
  <c r="H64" i="7"/>
  <c r="L64" i="7"/>
  <c r="M64" i="7" s="1"/>
  <c r="N64" i="7"/>
  <c r="O64" i="7"/>
  <c r="P64" i="7"/>
  <c r="Q64" i="7"/>
  <c r="T64" i="7"/>
  <c r="B65" i="7"/>
  <c r="C65" i="7"/>
  <c r="F65" i="7"/>
  <c r="G65" i="7"/>
  <c r="H65" i="7"/>
  <c r="L65" i="7"/>
  <c r="M65" i="7" s="1"/>
  <c r="N65" i="7"/>
  <c r="O65" i="7"/>
  <c r="P65" i="7"/>
  <c r="Q65" i="7"/>
  <c r="T65" i="7"/>
  <c r="B66" i="7"/>
  <c r="C66" i="7"/>
  <c r="F66" i="7"/>
  <c r="G66" i="7"/>
  <c r="H66" i="7"/>
  <c r="L66" i="7"/>
  <c r="M66" i="7" s="1"/>
  <c r="N66" i="7"/>
  <c r="O66" i="7"/>
  <c r="P66" i="7"/>
  <c r="Q66" i="7"/>
  <c r="T66" i="7"/>
  <c r="B67" i="7"/>
  <c r="C67" i="7"/>
  <c r="F67" i="7"/>
  <c r="G67" i="7"/>
  <c r="H67" i="7"/>
  <c r="L67" i="7"/>
  <c r="M67" i="7" s="1"/>
  <c r="N67" i="7"/>
  <c r="O67" i="7"/>
  <c r="P67" i="7"/>
  <c r="Q67" i="7"/>
  <c r="T67" i="7"/>
  <c r="B68" i="7"/>
  <c r="C68" i="7"/>
  <c r="F68" i="7"/>
  <c r="G68" i="7"/>
  <c r="H68" i="7"/>
  <c r="L68" i="7"/>
  <c r="M68" i="7" s="1"/>
  <c r="N68" i="7"/>
  <c r="O68" i="7"/>
  <c r="P68" i="7"/>
  <c r="Q68" i="7"/>
  <c r="T68" i="7"/>
  <c r="B69" i="7"/>
  <c r="C69" i="7"/>
  <c r="F69" i="7"/>
  <c r="G69" i="7"/>
  <c r="H69" i="7"/>
  <c r="L69" i="7"/>
  <c r="M69" i="7" s="1"/>
  <c r="N69" i="7"/>
  <c r="O69" i="7"/>
  <c r="P69" i="7"/>
  <c r="Q69" i="7"/>
  <c r="T69" i="7"/>
  <c r="B70" i="7"/>
  <c r="C70" i="7"/>
  <c r="F70" i="7"/>
  <c r="G70" i="7"/>
  <c r="H70" i="7"/>
  <c r="L70" i="7"/>
  <c r="M70" i="7" s="1"/>
  <c r="N70" i="7"/>
  <c r="O70" i="7"/>
  <c r="P70" i="7"/>
  <c r="Q70" i="7"/>
  <c r="T70" i="7"/>
  <c r="B71" i="7"/>
  <c r="C71" i="7"/>
  <c r="F71" i="7"/>
  <c r="G71" i="7"/>
  <c r="H71" i="7"/>
  <c r="L71" i="7"/>
  <c r="M71" i="7" s="1"/>
  <c r="N71" i="7"/>
  <c r="O71" i="7"/>
  <c r="P71" i="7"/>
  <c r="Q71" i="7"/>
  <c r="T71" i="7"/>
  <c r="B72" i="7"/>
  <c r="C72" i="7"/>
  <c r="F72" i="7"/>
  <c r="G72" i="7"/>
  <c r="H72" i="7"/>
  <c r="L72" i="7"/>
  <c r="M72" i="7" s="1"/>
  <c r="N72" i="7"/>
  <c r="O72" i="7"/>
  <c r="P72" i="7"/>
  <c r="Q72" i="7"/>
  <c r="T72" i="7"/>
  <c r="B73" i="7"/>
  <c r="C73" i="7"/>
  <c r="F73" i="7"/>
  <c r="G73" i="7"/>
  <c r="H73" i="7"/>
  <c r="L73" i="7"/>
  <c r="M73" i="7" s="1"/>
  <c r="N73" i="7"/>
  <c r="O73" i="7"/>
  <c r="P73" i="7"/>
  <c r="Q73" i="7"/>
  <c r="T73" i="7"/>
  <c r="B74" i="7"/>
  <c r="C74" i="7"/>
  <c r="F74" i="7"/>
  <c r="G74" i="7"/>
  <c r="H74" i="7"/>
  <c r="L74" i="7"/>
  <c r="M74" i="7" s="1"/>
  <c r="N74" i="7"/>
  <c r="O74" i="7"/>
  <c r="P74" i="7"/>
  <c r="Q74" i="7"/>
  <c r="T74" i="7"/>
  <c r="B75" i="7"/>
  <c r="C75" i="7"/>
  <c r="F75" i="7"/>
  <c r="G75" i="7"/>
  <c r="H75" i="7"/>
  <c r="L75" i="7"/>
  <c r="M75" i="7" s="1"/>
  <c r="N75" i="7"/>
  <c r="O75" i="7"/>
  <c r="P75" i="7"/>
  <c r="Q75" i="7"/>
  <c r="T75" i="7"/>
  <c r="B76" i="7"/>
  <c r="C76" i="7"/>
  <c r="F76" i="7"/>
  <c r="G76" i="7"/>
  <c r="H76" i="7"/>
  <c r="L76" i="7"/>
  <c r="M76" i="7" s="1"/>
  <c r="N76" i="7"/>
  <c r="O76" i="7"/>
  <c r="P76" i="7"/>
  <c r="Q76" i="7"/>
  <c r="T76" i="7"/>
  <c r="B77" i="7"/>
  <c r="C77" i="7"/>
  <c r="F77" i="7"/>
  <c r="G77" i="7"/>
  <c r="H77" i="7"/>
  <c r="L77" i="7"/>
  <c r="M77" i="7" s="1"/>
  <c r="N77" i="7"/>
  <c r="O77" i="7"/>
  <c r="P77" i="7"/>
  <c r="Q77" i="7"/>
  <c r="T77" i="7"/>
  <c r="B78" i="7"/>
  <c r="C78" i="7"/>
  <c r="F78" i="7"/>
  <c r="G78" i="7"/>
  <c r="H78" i="7"/>
  <c r="L78" i="7"/>
  <c r="M78" i="7" s="1"/>
  <c r="N78" i="7"/>
  <c r="O78" i="7"/>
  <c r="P78" i="7"/>
  <c r="Q78" i="7"/>
  <c r="T78" i="7"/>
  <c r="B79" i="7"/>
  <c r="C79" i="7"/>
  <c r="F79" i="7"/>
  <c r="G79" i="7"/>
  <c r="H79" i="7"/>
  <c r="L79" i="7"/>
  <c r="M79" i="7" s="1"/>
  <c r="N79" i="7"/>
  <c r="O79" i="7"/>
  <c r="P79" i="7"/>
  <c r="Q79" i="7"/>
  <c r="T79" i="7"/>
  <c r="B80" i="7"/>
  <c r="C80" i="7"/>
  <c r="F80" i="7"/>
  <c r="G80" i="7"/>
  <c r="H80" i="7"/>
  <c r="L80" i="7"/>
  <c r="M80" i="7" s="1"/>
  <c r="N80" i="7"/>
  <c r="O80" i="7"/>
  <c r="P80" i="7"/>
  <c r="Q80" i="7"/>
  <c r="T80" i="7"/>
  <c r="B81" i="7"/>
  <c r="C81" i="7"/>
  <c r="F81" i="7"/>
  <c r="G81" i="7"/>
  <c r="H81" i="7"/>
  <c r="L81" i="7"/>
  <c r="M81" i="7" s="1"/>
  <c r="N81" i="7"/>
  <c r="O81" i="7"/>
  <c r="P81" i="7"/>
  <c r="Q81" i="7"/>
  <c r="T81" i="7"/>
  <c r="B82" i="7"/>
  <c r="C82" i="7"/>
  <c r="F82" i="7"/>
  <c r="G82" i="7"/>
  <c r="H82" i="7"/>
  <c r="L82" i="7"/>
  <c r="M82" i="7" s="1"/>
  <c r="N82" i="7"/>
  <c r="O82" i="7"/>
  <c r="P82" i="7"/>
  <c r="Q82" i="7"/>
  <c r="T82" i="7"/>
  <c r="B83" i="7"/>
  <c r="C83" i="7"/>
  <c r="F83" i="7"/>
  <c r="G83" i="7"/>
  <c r="H83" i="7"/>
  <c r="L83" i="7"/>
  <c r="M83" i="7" s="1"/>
  <c r="N83" i="7"/>
  <c r="O83" i="7"/>
  <c r="P83" i="7"/>
  <c r="Q83" i="7"/>
  <c r="T83" i="7"/>
  <c r="B84" i="7"/>
  <c r="C84" i="7"/>
  <c r="F84" i="7"/>
  <c r="G84" i="7"/>
  <c r="H84" i="7"/>
  <c r="L84" i="7"/>
  <c r="M84" i="7" s="1"/>
  <c r="N84" i="7"/>
  <c r="O84" i="7"/>
  <c r="P84" i="7"/>
  <c r="Q84" i="7"/>
  <c r="T84" i="7"/>
  <c r="B85" i="7"/>
  <c r="C85" i="7"/>
  <c r="F85" i="7"/>
  <c r="G85" i="7"/>
  <c r="H85" i="7"/>
  <c r="L85" i="7"/>
  <c r="M85" i="7" s="1"/>
  <c r="N85" i="7"/>
  <c r="O85" i="7"/>
  <c r="P85" i="7"/>
  <c r="Q85" i="7"/>
  <c r="T85" i="7"/>
  <c r="B86" i="7"/>
  <c r="C86" i="7"/>
  <c r="F86" i="7"/>
  <c r="G86" i="7"/>
  <c r="H86" i="7"/>
  <c r="L86" i="7"/>
  <c r="M86" i="7" s="1"/>
  <c r="N86" i="7"/>
  <c r="O86" i="7"/>
  <c r="P86" i="7"/>
  <c r="Q86" i="7"/>
  <c r="T86" i="7"/>
  <c r="B87" i="7"/>
  <c r="C87" i="7"/>
  <c r="F87" i="7"/>
  <c r="G87" i="7"/>
  <c r="H87" i="7"/>
  <c r="L87" i="7"/>
  <c r="M87" i="7" s="1"/>
  <c r="N87" i="7"/>
  <c r="O87" i="7"/>
  <c r="P87" i="7"/>
  <c r="Q87" i="7"/>
  <c r="T87" i="7"/>
  <c r="B88" i="7"/>
  <c r="C88" i="7"/>
  <c r="F88" i="7"/>
  <c r="G88" i="7"/>
  <c r="H88" i="7"/>
  <c r="L88" i="7"/>
  <c r="M88" i="7" s="1"/>
  <c r="N88" i="7"/>
  <c r="O88" i="7"/>
  <c r="P88" i="7"/>
  <c r="Q88" i="7"/>
  <c r="T88" i="7"/>
  <c r="B89" i="7"/>
  <c r="C89" i="7"/>
  <c r="F89" i="7"/>
  <c r="G89" i="7"/>
  <c r="H89" i="7"/>
  <c r="L89" i="7"/>
  <c r="M89" i="7" s="1"/>
  <c r="N89" i="7"/>
  <c r="O89" i="7"/>
  <c r="P89" i="7"/>
  <c r="Q89" i="7"/>
  <c r="T89" i="7"/>
  <c r="B90" i="7"/>
  <c r="C90" i="7"/>
  <c r="F90" i="7"/>
  <c r="G90" i="7"/>
  <c r="H90" i="7"/>
  <c r="L90" i="7"/>
  <c r="M90" i="7" s="1"/>
  <c r="N90" i="7"/>
  <c r="O90" i="7"/>
  <c r="P90" i="7"/>
  <c r="Q90" i="7"/>
  <c r="T90" i="7"/>
  <c r="B91" i="7"/>
  <c r="C91" i="7"/>
  <c r="F91" i="7"/>
  <c r="G91" i="7"/>
  <c r="H91" i="7"/>
  <c r="L91" i="7"/>
  <c r="M91" i="7" s="1"/>
  <c r="N91" i="7"/>
  <c r="O91" i="7"/>
  <c r="P91" i="7"/>
  <c r="Q91" i="7"/>
  <c r="T91" i="7"/>
  <c r="B92" i="7"/>
  <c r="C92" i="7"/>
  <c r="F92" i="7"/>
  <c r="G92" i="7"/>
  <c r="H92" i="7"/>
  <c r="L92" i="7"/>
  <c r="M92" i="7" s="1"/>
  <c r="N92" i="7"/>
  <c r="O92" i="7"/>
  <c r="P92" i="7"/>
  <c r="Q92" i="7"/>
  <c r="T92" i="7"/>
  <c r="B93" i="7"/>
  <c r="C93" i="7"/>
  <c r="F93" i="7"/>
  <c r="G93" i="7"/>
  <c r="H93" i="7"/>
  <c r="L93" i="7"/>
  <c r="M93" i="7" s="1"/>
  <c r="N93" i="7"/>
  <c r="O93" i="7"/>
  <c r="P93" i="7"/>
  <c r="Q93" i="7"/>
  <c r="T93" i="7"/>
  <c r="B94" i="7"/>
  <c r="C94" i="7"/>
  <c r="F94" i="7"/>
  <c r="G94" i="7"/>
  <c r="H94" i="7"/>
  <c r="L94" i="7"/>
  <c r="M94" i="7" s="1"/>
  <c r="N94" i="7"/>
  <c r="O94" i="7"/>
  <c r="P94" i="7"/>
  <c r="Q94" i="7"/>
  <c r="T94" i="7"/>
  <c r="B95" i="7"/>
  <c r="C95" i="7"/>
  <c r="F95" i="7"/>
  <c r="G95" i="7"/>
  <c r="H95" i="7"/>
  <c r="L95" i="7"/>
  <c r="M95" i="7" s="1"/>
  <c r="N95" i="7"/>
  <c r="O95" i="7"/>
  <c r="P95" i="7"/>
  <c r="Q95" i="7"/>
  <c r="T95" i="7"/>
  <c r="B96" i="7"/>
  <c r="C96" i="7"/>
  <c r="F96" i="7"/>
  <c r="G96" i="7"/>
  <c r="H96" i="7"/>
  <c r="L96" i="7"/>
  <c r="M96" i="7" s="1"/>
  <c r="N96" i="7"/>
  <c r="O96" i="7"/>
  <c r="P96" i="7"/>
  <c r="Q96" i="7"/>
  <c r="T96" i="7"/>
  <c r="B97" i="7"/>
  <c r="C97" i="7"/>
  <c r="F97" i="7"/>
  <c r="G97" i="7"/>
  <c r="H97" i="7"/>
  <c r="L97" i="7"/>
  <c r="M97" i="7" s="1"/>
  <c r="N97" i="7"/>
  <c r="O97" i="7"/>
  <c r="P97" i="7"/>
  <c r="Q97" i="7"/>
  <c r="T97" i="7"/>
  <c r="B98" i="7"/>
  <c r="C98" i="7"/>
  <c r="F98" i="7"/>
  <c r="G98" i="7"/>
  <c r="H98" i="7"/>
  <c r="L98" i="7"/>
  <c r="M98" i="7" s="1"/>
  <c r="N98" i="7"/>
  <c r="O98" i="7"/>
  <c r="P98" i="7"/>
  <c r="Q98" i="7"/>
  <c r="T98" i="7"/>
  <c r="B99" i="7"/>
  <c r="C99" i="7"/>
  <c r="F99" i="7"/>
  <c r="G99" i="7"/>
  <c r="H99" i="7"/>
  <c r="L99" i="7"/>
  <c r="M99" i="7" s="1"/>
  <c r="N99" i="7"/>
  <c r="O99" i="7"/>
  <c r="P99" i="7"/>
  <c r="Q99" i="7"/>
  <c r="T99" i="7"/>
  <c r="B100" i="7"/>
  <c r="C100" i="7"/>
  <c r="F100" i="7"/>
  <c r="G100" i="7"/>
  <c r="H100" i="7"/>
  <c r="L100" i="7"/>
  <c r="M100" i="7" s="1"/>
  <c r="N100" i="7"/>
  <c r="O100" i="7"/>
  <c r="P100" i="7"/>
  <c r="Q100" i="7"/>
  <c r="T100" i="7"/>
  <c r="B101" i="7"/>
  <c r="C101" i="7"/>
  <c r="F101" i="7"/>
  <c r="G101" i="7"/>
  <c r="H101" i="7"/>
  <c r="L101" i="7"/>
  <c r="M101" i="7" s="1"/>
  <c r="N101" i="7"/>
  <c r="O101" i="7"/>
  <c r="P101" i="7"/>
  <c r="Q101" i="7"/>
  <c r="T101" i="7"/>
  <c r="B102" i="7"/>
  <c r="C102" i="7"/>
  <c r="F102" i="7"/>
  <c r="G102" i="7"/>
  <c r="H102" i="7"/>
  <c r="L102" i="7"/>
  <c r="M102" i="7" s="1"/>
  <c r="N102" i="7"/>
  <c r="O102" i="7"/>
  <c r="P102" i="7"/>
  <c r="Q102" i="7"/>
  <c r="T102" i="7"/>
  <c r="B103" i="7"/>
  <c r="C103" i="7"/>
  <c r="F103" i="7"/>
  <c r="G103" i="7"/>
  <c r="H103" i="7"/>
  <c r="L103" i="7"/>
  <c r="M103" i="7" s="1"/>
  <c r="N103" i="7"/>
  <c r="O103" i="7"/>
  <c r="P103" i="7"/>
  <c r="Q103" i="7"/>
  <c r="T103" i="7"/>
  <c r="B104" i="7"/>
  <c r="C104" i="7"/>
  <c r="F104" i="7"/>
  <c r="G104" i="7"/>
  <c r="H104" i="7"/>
  <c r="L104" i="7"/>
  <c r="M104" i="7" s="1"/>
  <c r="N104" i="7"/>
  <c r="O104" i="7"/>
  <c r="P104" i="7"/>
  <c r="Q104" i="7"/>
  <c r="T104" i="7"/>
  <c r="B105" i="7"/>
  <c r="C105" i="7"/>
  <c r="F105" i="7"/>
  <c r="G105" i="7"/>
  <c r="H105" i="7"/>
  <c r="L105" i="7"/>
  <c r="M105" i="7" s="1"/>
  <c r="N105" i="7"/>
  <c r="O105" i="7"/>
  <c r="P105" i="7"/>
  <c r="Q105" i="7"/>
  <c r="T105" i="7"/>
  <c r="B106" i="7"/>
  <c r="C106" i="7"/>
  <c r="F106" i="7"/>
  <c r="G106" i="7"/>
  <c r="H106" i="7"/>
  <c r="L106" i="7"/>
  <c r="M106" i="7" s="1"/>
  <c r="N106" i="7"/>
  <c r="O106" i="7"/>
  <c r="P106" i="7"/>
  <c r="Q106" i="7"/>
  <c r="T106" i="7"/>
  <c r="B107" i="7"/>
  <c r="C107" i="7"/>
  <c r="F107" i="7"/>
  <c r="G107" i="7"/>
  <c r="H107" i="7"/>
  <c r="L107" i="7"/>
  <c r="M107" i="7" s="1"/>
  <c r="N107" i="7"/>
  <c r="O107" i="7"/>
  <c r="P107" i="7"/>
  <c r="Q107" i="7"/>
  <c r="T107" i="7"/>
  <c r="B108" i="7"/>
  <c r="C108" i="7"/>
  <c r="F108" i="7"/>
  <c r="G108" i="7"/>
  <c r="H108" i="7"/>
  <c r="L108" i="7"/>
  <c r="M108" i="7" s="1"/>
  <c r="N108" i="7"/>
  <c r="O108" i="7"/>
  <c r="P108" i="7"/>
  <c r="Q108" i="7"/>
  <c r="T108" i="7"/>
  <c r="B109" i="7"/>
  <c r="C109" i="7"/>
  <c r="F109" i="7"/>
  <c r="G109" i="7"/>
  <c r="H109" i="7"/>
  <c r="L109" i="7"/>
  <c r="M109" i="7" s="1"/>
  <c r="N109" i="7"/>
  <c r="O109" i="7"/>
  <c r="P109" i="7"/>
  <c r="Q109" i="7"/>
  <c r="T109" i="7"/>
  <c r="B110" i="7"/>
  <c r="C110" i="7"/>
  <c r="F110" i="7"/>
  <c r="G110" i="7"/>
  <c r="H110" i="7"/>
  <c r="L110" i="7"/>
  <c r="M110" i="7" s="1"/>
  <c r="N110" i="7"/>
  <c r="O110" i="7"/>
  <c r="P110" i="7"/>
  <c r="Q110" i="7"/>
  <c r="T110" i="7"/>
  <c r="B111" i="7"/>
  <c r="C111" i="7"/>
  <c r="F111" i="7"/>
  <c r="G111" i="7"/>
  <c r="H111" i="7"/>
  <c r="L111" i="7"/>
  <c r="M111" i="7" s="1"/>
  <c r="N111" i="7"/>
  <c r="O111" i="7"/>
  <c r="P111" i="7"/>
  <c r="Q111" i="7"/>
  <c r="T111" i="7"/>
  <c r="B112" i="7"/>
  <c r="C112" i="7"/>
  <c r="F112" i="7"/>
  <c r="G112" i="7"/>
  <c r="H112" i="7"/>
  <c r="L112" i="7"/>
  <c r="M112" i="7" s="1"/>
  <c r="N112" i="7"/>
  <c r="O112" i="7"/>
  <c r="P112" i="7"/>
  <c r="Q112" i="7"/>
  <c r="T112" i="7"/>
  <c r="B113" i="7"/>
  <c r="C113" i="7"/>
  <c r="F113" i="7"/>
  <c r="G113" i="7"/>
  <c r="H113" i="7"/>
  <c r="L113" i="7"/>
  <c r="M113" i="7" s="1"/>
  <c r="N113" i="7"/>
  <c r="O113" i="7"/>
  <c r="P113" i="7"/>
  <c r="Q113" i="7"/>
  <c r="T113" i="7"/>
  <c r="B114" i="7"/>
  <c r="C114" i="7"/>
  <c r="F114" i="7"/>
  <c r="G114" i="7"/>
  <c r="H114" i="7"/>
  <c r="L114" i="7"/>
  <c r="M114" i="7" s="1"/>
  <c r="N114" i="7"/>
  <c r="O114" i="7"/>
  <c r="P114" i="7"/>
  <c r="Q114" i="7"/>
  <c r="T114" i="7"/>
  <c r="B115" i="7"/>
  <c r="C115" i="7"/>
  <c r="F115" i="7"/>
  <c r="G115" i="7"/>
  <c r="H115" i="7"/>
  <c r="L115" i="7"/>
  <c r="M115" i="7" s="1"/>
  <c r="N115" i="7"/>
  <c r="O115" i="7"/>
  <c r="P115" i="7"/>
  <c r="Q115" i="7"/>
  <c r="T115" i="7"/>
  <c r="B116" i="7"/>
  <c r="C116" i="7"/>
  <c r="F116" i="7"/>
  <c r="G116" i="7"/>
  <c r="H116" i="7"/>
  <c r="L116" i="7"/>
  <c r="M116" i="7" s="1"/>
  <c r="N116" i="7"/>
  <c r="O116" i="7"/>
  <c r="P116" i="7"/>
  <c r="Q116" i="7"/>
  <c r="T116" i="7"/>
  <c r="B117" i="7"/>
  <c r="C117" i="7"/>
  <c r="F117" i="7"/>
  <c r="G117" i="7"/>
  <c r="H117" i="7"/>
  <c r="L117" i="7"/>
  <c r="M117" i="7" s="1"/>
  <c r="N117" i="7"/>
  <c r="O117" i="7"/>
  <c r="P117" i="7"/>
  <c r="Q117" i="7"/>
  <c r="T117" i="7"/>
  <c r="B118" i="7"/>
  <c r="C118" i="7"/>
  <c r="F118" i="7"/>
  <c r="G118" i="7"/>
  <c r="H118" i="7"/>
  <c r="L118" i="7"/>
  <c r="M118" i="7" s="1"/>
  <c r="N118" i="7"/>
  <c r="O118" i="7"/>
  <c r="P118" i="7"/>
  <c r="Q118" i="7"/>
  <c r="T118" i="7"/>
  <c r="B119" i="7"/>
  <c r="C119" i="7"/>
  <c r="F119" i="7"/>
  <c r="G119" i="7"/>
  <c r="H119" i="7"/>
  <c r="L119" i="7"/>
  <c r="M119" i="7" s="1"/>
  <c r="N119" i="7"/>
  <c r="O119" i="7"/>
  <c r="P119" i="7"/>
  <c r="Q119" i="7"/>
  <c r="T119" i="7"/>
  <c r="B120" i="7"/>
  <c r="C120" i="7"/>
  <c r="F120" i="7"/>
  <c r="G120" i="7"/>
  <c r="H120" i="7"/>
  <c r="L120" i="7"/>
  <c r="M120" i="7" s="1"/>
  <c r="N120" i="7"/>
  <c r="O120" i="7"/>
  <c r="P120" i="7"/>
  <c r="Q120" i="7"/>
  <c r="T120" i="7"/>
  <c r="B121" i="7"/>
  <c r="C121" i="7"/>
  <c r="F121" i="7"/>
  <c r="G121" i="7"/>
  <c r="H121" i="7"/>
  <c r="L121" i="7"/>
  <c r="M121" i="7" s="1"/>
  <c r="N121" i="7"/>
  <c r="O121" i="7"/>
  <c r="P121" i="7"/>
  <c r="Q121" i="7"/>
  <c r="T121" i="7"/>
  <c r="B122" i="7"/>
  <c r="C122" i="7"/>
  <c r="F122" i="7"/>
  <c r="G122" i="7"/>
  <c r="H122" i="7"/>
  <c r="L122" i="7"/>
  <c r="M122" i="7" s="1"/>
  <c r="N122" i="7"/>
  <c r="O122" i="7"/>
  <c r="P122" i="7"/>
  <c r="Q122" i="7"/>
  <c r="T122" i="7"/>
  <c r="B123" i="7"/>
  <c r="C123" i="7"/>
  <c r="F123" i="7"/>
  <c r="G123" i="7"/>
  <c r="H123" i="7"/>
  <c r="L123" i="7"/>
  <c r="M123" i="7" s="1"/>
  <c r="N123" i="7"/>
  <c r="O123" i="7"/>
  <c r="P123" i="7"/>
  <c r="Q123" i="7"/>
  <c r="T123" i="7"/>
  <c r="B124" i="7"/>
  <c r="C124" i="7"/>
  <c r="F124" i="7"/>
  <c r="G124" i="7"/>
  <c r="H124" i="7"/>
  <c r="L124" i="7"/>
  <c r="M124" i="7" s="1"/>
  <c r="N124" i="7"/>
  <c r="O124" i="7"/>
  <c r="P124" i="7"/>
  <c r="Q124" i="7"/>
  <c r="T124" i="7"/>
  <c r="B125" i="7"/>
  <c r="C125" i="7"/>
  <c r="F125" i="7"/>
  <c r="G125" i="7"/>
  <c r="H125" i="7"/>
  <c r="L125" i="7"/>
  <c r="M125" i="7" s="1"/>
  <c r="N125" i="7"/>
  <c r="O125" i="7"/>
  <c r="P125" i="7"/>
  <c r="Q125" i="7"/>
  <c r="T125" i="7"/>
  <c r="B126" i="7"/>
  <c r="C126" i="7"/>
  <c r="F126" i="7"/>
  <c r="G126" i="7"/>
  <c r="H126" i="7"/>
  <c r="L126" i="7"/>
  <c r="M126" i="7" s="1"/>
  <c r="N126" i="7"/>
  <c r="O126" i="7"/>
  <c r="P126" i="7"/>
  <c r="Q126" i="7"/>
  <c r="T126" i="7"/>
  <c r="B127" i="7"/>
  <c r="C127" i="7"/>
  <c r="F127" i="7"/>
  <c r="G127" i="7"/>
  <c r="H127" i="7"/>
  <c r="L127" i="7"/>
  <c r="M127" i="7" s="1"/>
  <c r="N127" i="7"/>
  <c r="O127" i="7"/>
  <c r="P127" i="7"/>
  <c r="Q127" i="7"/>
  <c r="T127" i="7"/>
  <c r="B128" i="7"/>
  <c r="C128" i="7"/>
  <c r="F128" i="7"/>
  <c r="G128" i="7"/>
  <c r="H128" i="7"/>
  <c r="L128" i="7"/>
  <c r="M128" i="7" s="1"/>
  <c r="N128" i="7"/>
  <c r="O128" i="7"/>
  <c r="P128" i="7"/>
  <c r="Q128" i="7"/>
  <c r="T128" i="7"/>
  <c r="B129" i="7"/>
  <c r="C129" i="7"/>
  <c r="F129" i="7"/>
  <c r="G129" i="7"/>
  <c r="H129" i="7"/>
  <c r="L129" i="7"/>
  <c r="M129" i="7" s="1"/>
  <c r="N129" i="7"/>
  <c r="O129" i="7"/>
  <c r="P129" i="7"/>
  <c r="Q129" i="7"/>
  <c r="T129" i="7"/>
  <c r="B130" i="7"/>
  <c r="C130" i="7"/>
  <c r="F130" i="7"/>
  <c r="G130" i="7"/>
  <c r="H130" i="7"/>
  <c r="L130" i="7"/>
  <c r="M130" i="7" s="1"/>
  <c r="N130" i="7"/>
  <c r="O130" i="7"/>
  <c r="P130" i="7"/>
  <c r="Q130" i="7"/>
  <c r="T130" i="7"/>
  <c r="B131" i="7"/>
  <c r="C131" i="7"/>
  <c r="F131" i="7"/>
  <c r="G131" i="7"/>
  <c r="H131" i="7"/>
  <c r="L131" i="7"/>
  <c r="M131" i="7" s="1"/>
  <c r="N131" i="7"/>
  <c r="O131" i="7"/>
  <c r="P131" i="7"/>
  <c r="Q131" i="7"/>
  <c r="T131" i="7"/>
  <c r="B132" i="7"/>
  <c r="C132" i="7"/>
  <c r="F132" i="7"/>
  <c r="G132" i="7"/>
  <c r="H132" i="7"/>
  <c r="L132" i="7"/>
  <c r="M132" i="7" s="1"/>
  <c r="N132" i="7"/>
  <c r="O132" i="7"/>
  <c r="P132" i="7"/>
  <c r="Q132" i="7"/>
  <c r="T132" i="7"/>
  <c r="B133" i="7"/>
  <c r="C133" i="7"/>
  <c r="F133" i="7"/>
  <c r="G133" i="7"/>
  <c r="H133" i="7"/>
  <c r="L133" i="7"/>
  <c r="M133" i="7" s="1"/>
  <c r="N133" i="7"/>
  <c r="O133" i="7"/>
  <c r="P133" i="7"/>
  <c r="Q133" i="7"/>
  <c r="T133" i="7"/>
  <c r="B134" i="7"/>
  <c r="C134" i="7"/>
  <c r="F134" i="7"/>
  <c r="G134" i="7"/>
  <c r="H134" i="7"/>
  <c r="L134" i="7"/>
  <c r="M134" i="7" s="1"/>
  <c r="N134" i="7"/>
  <c r="O134" i="7"/>
  <c r="P134" i="7"/>
  <c r="Q134" i="7"/>
  <c r="T134" i="7"/>
  <c r="B135" i="7"/>
  <c r="C135" i="7"/>
  <c r="F135" i="7"/>
  <c r="G135" i="7"/>
  <c r="H135" i="7"/>
  <c r="L135" i="7"/>
  <c r="M135" i="7" s="1"/>
  <c r="N135" i="7"/>
  <c r="O135" i="7"/>
  <c r="P135" i="7"/>
  <c r="Q135" i="7"/>
  <c r="T135" i="7"/>
  <c r="B136" i="7"/>
  <c r="C136" i="7"/>
  <c r="F136" i="7"/>
  <c r="G136" i="7"/>
  <c r="H136" i="7"/>
  <c r="L136" i="7"/>
  <c r="M136" i="7" s="1"/>
  <c r="N136" i="7"/>
  <c r="O136" i="7"/>
  <c r="P136" i="7"/>
  <c r="Q136" i="7"/>
  <c r="T136" i="7"/>
  <c r="B137" i="7"/>
  <c r="C137" i="7"/>
  <c r="F137" i="7"/>
  <c r="G137" i="7"/>
  <c r="H137" i="7"/>
  <c r="L137" i="7"/>
  <c r="M137" i="7" s="1"/>
  <c r="N137" i="7"/>
  <c r="O137" i="7"/>
  <c r="P137" i="7"/>
  <c r="Q137" i="7"/>
  <c r="T137" i="7"/>
  <c r="B138" i="7"/>
  <c r="C138" i="7"/>
  <c r="F138" i="7"/>
  <c r="G138" i="7"/>
  <c r="H138" i="7"/>
  <c r="L138" i="7"/>
  <c r="M138" i="7" s="1"/>
  <c r="N138" i="7"/>
  <c r="O138" i="7"/>
  <c r="P138" i="7"/>
  <c r="Q138" i="7"/>
  <c r="T138" i="7"/>
  <c r="B139" i="7"/>
  <c r="C139" i="7"/>
  <c r="F139" i="7"/>
  <c r="G139" i="7"/>
  <c r="H139" i="7"/>
  <c r="L139" i="7"/>
  <c r="M139" i="7" s="1"/>
  <c r="N139" i="7"/>
  <c r="O139" i="7"/>
  <c r="P139" i="7"/>
  <c r="Q139" i="7"/>
  <c r="T139" i="7"/>
  <c r="B140" i="7"/>
  <c r="C140" i="7"/>
  <c r="F140" i="7"/>
  <c r="G140" i="7"/>
  <c r="H140" i="7"/>
  <c r="L140" i="7"/>
  <c r="M140" i="7" s="1"/>
  <c r="N140" i="7"/>
  <c r="O140" i="7"/>
  <c r="P140" i="7"/>
  <c r="Q140" i="7"/>
  <c r="T140" i="7"/>
  <c r="B141" i="7"/>
  <c r="C141" i="7"/>
  <c r="F141" i="7"/>
  <c r="G141" i="7"/>
  <c r="H141" i="7"/>
  <c r="L141" i="7"/>
  <c r="M141" i="7" s="1"/>
  <c r="N141" i="7"/>
  <c r="O141" i="7"/>
  <c r="P141" i="7"/>
  <c r="Q141" i="7"/>
  <c r="T141" i="7"/>
  <c r="B142" i="7"/>
  <c r="C142" i="7"/>
  <c r="F142" i="7"/>
  <c r="G142" i="7"/>
  <c r="H142" i="7"/>
  <c r="L142" i="7"/>
  <c r="M142" i="7" s="1"/>
  <c r="N142" i="7"/>
  <c r="O142" i="7"/>
  <c r="P142" i="7"/>
  <c r="Q142" i="7"/>
  <c r="T142" i="7"/>
  <c r="B143" i="7"/>
  <c r="C143" i="7"/>
  <c r="F143" i="7"/>
  <c r="G143" i="7"/>
  <c r="H143" i="7"/>
  <c r="L143" i="7"/>
  <c r="M143" i="7" s="1"/>
  <c r="N143" i="7"/>
  <c r="O143" i="7"/>
  <c r="P143" i="7"/>
  <c r="Q143" i="7"/>
  <c r="T143" i="7"/>
  <c r="B144" i="7"/>
  <c r="C144" i="7"/>
  <c r="F144" i="7"/>
  <c r="G144" i="7"/>
  <c r="H144" i="7"/>
  <c r="L144" i="7"/>
  <c r="M144" i="7" s="1"/>
  <c r="N144" i="7"/>
  <c r="O144" i="7"/>
  <c r="P144" i="7"/>
  <c r="Q144" i="7"/>
  <c r="T144" i="7"/>
  <c r="B145" i="7"/>
  <c r="C145" i="7"/>
  <c r="F145" i="7"/>
  <c r="G145" i="7"/>
  <c r="H145" i="7"/>
  <c r="L145" i="7"/>
  <c r="M145" i="7" s="1"/>
  <c r="N145" i="7"/>
  <c r="O145" i="7"/>
  <c r="P145" i="7"/>
  <c r="Q145" i="7"/>
  <c r="T145" i="7"/>
  <c r="B146" i="7"/>
  <c r="C146" i="7"/>
  <c r="F146" i="7"/>
  <c r="G146" i="7"/>
  <c r="H146" i="7"/>
  <c r="L146" i="7"/>
  <c r="M146" i="7" s="1"/>
  <c r="N146" i="7"/>
  <c r="O146" i="7"/>
  <c r="P146" i="7"/>
  <c r="Q146" i="7"/>
  <c r="T146" i="7"/>
  <c r="B147" i="7"/>
  <c r="C147" i="7"/>
  <c r="F147" i="7"/>
  <c r="G147" i="7"/>
  <c r="H147" i="7"/>
  <c r="L147" i="7"/>
  <c r="M147" i="7" s="1"/>
  <c r="N147" i="7"/>
  <c r="O147" i="7"/>
  <c r="P147" i="7"/>
  <c r="Q147" i="7"/>
  <c r="T147" i="7"/>
  <c r="B148" i="7"/>
  <c r="C148" i="7"/>
  <c r="F148" i="7"/>
  <c r="G148" i="7"/>
  <c r="H148" i="7"/>
  <c r="L148" i="7"/>
  <c r="M148" i="7" s="1"/>
  <c r="N148" i="7"/>
  <c r="O148" i="7"/>
  <c r="P148" i="7"/>
  <c r="Q148" i="7"/>
  <c r="T148" i="7"/>
  <c r="B149" i="7"/>
  <c r="C149" i="7"/>
  <c r="F149" i="7"/>
  <c r="G149" i="7"/>
  <c r="H149" i="7"/>
  <c r="L149" i="7"/>
  <c r="M149" i="7" s="1"/>
  <c r="N149" i="7"/>
  <c r="O149" i="7"/>
  <c r="P149" i="7"/>
  <c r="Q149" i="7"/>
  <c r="T149" i="7"/>
  <c r="B150" i="7"/>
  <c r="C150" i="7"/>
  <c r="F150" i="7"/>
  <c r="G150" i="7"/>
  <c r="H150" i="7"/>
  <c r="L150" i="7"/>
  <c r="M150" i="7" s="1"/>
  <c r="N150" i="7"/>
  <c r="O150" i="7"/>
  <c r="P150" i="7"/>
  <c r="Q150" i="7"/>
  <c r="T150" i="7"/>
  <c r="B151" i="7"/>
  <c r="C151" i="7"/>
  <c r="F151" i="7"/>
  <c r="G151" i="7"/>
  <c r="H151" i="7"/>
  <c r="L151" i="7"/>
  <c r="M151" i="7" s="1"/>
  <c r="N151" i="7"/>
  <c r="O151" i="7"/>
  <c r="P151" i="7"/>
  <c r="Q151" i="7"/>
  <c r="T151" i="7"/>
  <c r="B152" i="7"/>
  <c r="C152" i="7"/>
  <c r="F152" i="7"/>
  <c r="G152" i="7"/>
  <c r="H152" i="7"/>
  <c r="L152" i="7"/>
  <c r="M152" i="7" s="1"/>
  <c r="N152" i="7"/>
  <c r="O152" i="7"/>
  <c r="P152" i="7"/>
  <c r="Q152" i="7"/>
  <c r="T152" i="7"/>
  <c r="B153" i="7"/>
  <c r="C153" i="7"/>
  <c r="F153" i="7"/>
  <c r="G153" i="7"/>
  <c r="H153" i="7"/>
  <c r="L153" i="7"/>
  <c r="M153" i="7" s="1"/>
  <c r="N153" i="7"/>
  <c r="O153" i="7"/>
  <c r="P153" i="7"/>
  <c r="Q153" i="7"/>
  <c r="T153" i="7"/>
  <c r="B154" i="7"/>
  <c r="C154" i="7"/>
  <c r="F154" i="7"/>
  <c r="G154" i="7"/>
  <c r="H154" i="7"/>
  <c r="L154" i="7"/>
  <c r="M154" i="7" s="1"/>
  <c r="N154" i="7"/>
  <c r="O154" i="7"/>
  <c r="P154" i="7"/>
  <c r="Q154" i="7"/>
  <c r="T154" i="7"/>
  <c r="B155" i="7"/>
  <c r="C155" i="7"/>
  <c r="F155" i="7"/>
  <c r="G155" i="7"/>
  <c r="H155" i="7"/>
  <c r="L155" i="7"/>
  <c r="M155" i="7" s="1"/>
  <c r="N155" i="7"/>
  <c r="O155" i="7"/>
  <c r="P155" i="7"/>
  <c r="Q155" i="7"/>
  <c r="T155" i="7"/>
  <c r="B156" i="7"/>
  <c r="C156" i="7"/>
  <c r="F156" i="7"/>
  <c r="G156" i="7"/>
  <c r="H156" i="7"/>
  <c r="L156" i="7"/>
  <c r="M156" i="7" s="1"/>
  <c r="N156" i="7"/>
  <c r="O156" i="7"/>
  <c r="P156" i="7"/>
  <c r="Q156" i="7"/>
  <c r="T156" i="7"/>
  <c r="B157" i="7"/>
  <c r="C157" i="7"/>
  <c r="F157" i="7"/>
  <c r="G157" i="7"/>
  <c r="H157" i="7"/>
  <c r="L157" i="7"/>
  <c r="M157" i="7" s="1"/>
  <c r="N157" i="7"/>
  <c r="O157" i="7"/>
  <c r="P157" i="7"/>
  <c r="Q157" i="7"/>
  <c r="T157" i="7"/>
  <c r="B158" i="7"/>
  <c r="C158" i="7"/>
  <c r="F158" i="7"/>
  <c r="G158" i="7"/>
  <c r="H158" i="7"/>
  <c r="L158" i="7"/>
  <c r="M158" i="7" s="1"/>
  <c r="N158" i="7"/>
  <c r="O158" i="7"/>
  <c r="P158" i="7"/>
  <c r="Q158" i="7"/>
  <c r="T158" i="7"/>
  <c r="B159" i="7"/>
  <c r="C159" i="7"/>
  <c r="F159" i="7"/>
  <c r="G159" i="7"/>
  <c r="H159" i="7"/>
  <c r="L159" i="7"/>
  <c r="M159" i="7" s="1"/>
  <c r="N159" i="7"/>
  <c r="O159" i="7"/>
  <c r="P159" i="7"/>
  <c r="Q159" i="7"/>
  <c r="T159" i="7"/>
  <c r="B160" i="7"/>
  <c r="C160" i="7"/>
  <c r="F160" i="7"/>
  <c r="G160" i="7"/>
  <c r="H160" i="7"/>
  <c r="L160" i="7"/>
  <c r="M160" i="7" s="1"/>
  <c r="N160" i="7"/>
  <c r="O160" i="7"/>
  <c r="P160" i="7"/>
  <c r="Q160" i="7"/>
  <c r="T160" i="7"/>
  <c r="B161" i="7"/>
  <c r="C161" i="7"/>
  <c r="F161" i="7"/>
  <c r="G161" i="7"/>
  <c r="H161" i="7"/>
  <c r="L161" i="7"/>
  <c r="M161" i="7" s="1"/>
  <c r="N161" i="7"/>
  <c r="O161" i="7"/>
  <c r="P161" i="7"/>
  <c r="Q161" i="7"/>
  <c r="T161" i="7"/>
  <c r="B162" i="7"/>
  <c r="C162" i="7"/>
  <c r="F162" i="7"/>
  <c r="G162" i="7"/>
  <c r="H162" i="7"/>
  <c r="L162" i="7"/>
  <c r="M162" i="7" s="1"/>
  <c r="N162" i="7"/>
  <c r="O162" i="7"/>
  <c r="P162" i="7"/>
  <c r="Q162" i="7"/>
  <c r="T162" i="7"/>
  <c r="B163" i="7"/>
  <c r="C163" i="7"/>
  <c r="F163" i="7"/>
  <c r="G163" i="7"/>
  <c r="H163" i="7"/>
  <c r="L163" i="7"/>
  <c r="M163" i="7" s="1"/>
  <c r="N163" i="7"/>
  <c r="O163" i="7"/>
  <c r="P163" i="7"/>
  <c r="Q163" i="7"/>
  <c r="T163" i="7"/>
  <c r="B164" i="7"/>
  <c r="C164" i="7"/>
  <c r="F164" i="7"/>
  <c r="G164" i="7"/>
  <c r="H164" i="7"/>
  <c r="L164" i="7"/>
  <c r="M164" i="7" s="1"/>
  <c r="N164" i="7"/>
  <c r="O164" i="7"/>
  <c r="P164" i="7"/>
  <c r="Q164" i="7"/>
  <c r="T164" i="7"/>
  <c r="B165" i="7"/>
  <c r="C165" i="7"/>
  <c r="F165" i="7"/>
  <c r="G165" i="7"/>
  <c r="H165" i="7"/>
  <c r="L165" i="7"/>
  <c r="M165" i="7" s="1"/>
  <c r="N165" i="7"/>
  <c r="O165" i="7"/>
  <c r="P165" i="7"/>
  <c r="Q165" i="7"/>
  <c r="T165" i="7"/>
  <c r="B166" i="7"/>
  <c r="C166" i="7"/>
  <c r="F166" i="7"/>
  <c r="G166" i="7"/>
  <c r="H166" i="7"/>
  <c r="L166" i="7"/>
  <c r="M166" i="7" s="1"/>
  <c r="N166" i="7"/>
  <c r="O166" i="7"/>
  <c r="P166" i="7"/>
  <c r="Q166" i="7"/>
  <c r="T166" i="7"/>
  <c r="B167" i="7"/>
  <c r="C167" i="7"/>
  <c r="F167" i="7"/>
  <c r="G167" i="7"/>
  <c r="H167" i="7"/>
  <c r="L167" i="7"/>
  <c r="M167" i="7" s="1"/>
  <c r="N167" i="7"/>
  <c r="O167" i="7"/>
  <c r="P167" i="7"/>
  <c r="Q167" i="7"/>
  <c r="T167" i="7"/>
  <c r="B168" i="7"/>
  <c r="C168" i="7"/>
  <c r="F168" i="7"/>
  <c r="G168" i="7"/>
  <c r="H168" i="7"/>
  <c r="L168" i="7"/>
  <c r="M168" i="7" s="1"/>
  <c r="N168" i="7"/>
  <c r="O168" i="7"/>
  <c r="P168" i="7"/>
  <c r="Q168" i="7"/>
  <c r="T168" i="7"/>
  <c r="B169" i="7"/>
  <c r="C169" i="7"/>
  <c r="F169" i="7"/>
  <c r="G169" i="7"/>
  <c r="H169" i="7"/>
  <c r="L169" i="7"/>
  <c r="M169" i="7" s="1"/>
  <c r="N169" i="7"/>
  <c r="O169" i="7"/>
  <c r="P169" i="7"/>
  <c r="Q169" i="7"/>
  <c r="T169" i="7"/>
  <c r="B170" i="7"/>
  <c r="C170" i="7"/>
  <c r="F170" i="7"/>
  <c r="G170" i="7"/>
  <c r="H170" i="7"/>
  <c r="L170" i="7"/>
  <c r="M170" i="7" s="1"/>
  <c r="N170" i="7"/>
  <c r="O170" i="7"/>
  <c r="P170" i="7"/>
  <c r="Q170" i="7"/>
  <c r="T170" i="7"/>
  <c r="B171" i="7"/>
  <c r="C171" i="7"/>
  <c r="F171" i="7"/>
  <c r="G171" i="7"/>
  <c r="H171" i="7"/>
  <c r="L171" i="7"/>
  <c r="M171" i="7" s="1"/>
  <c r="N171" i="7"/>
  <c r="O171" i="7"/>
  <c r="P171" i="7"/>
  <c r="Q171" i="7"/>
  <c r="T171" i="7"/>
  <c r="B172" i="7"/>
  <c r="C172" i="7"/>
  <c r="F172" i="7"/>
  <c r="G172" i="7"/>
  <c r="H172" i="7"/>
  <c r="L172" i="7"/>
  <c r="M172" i="7" s="1"/>
  <c r="N172" i="7"/>
  <c r="O172" i="7"/>
  <c r="P172" i="7"/>
  <c r="Q172" i="7"/>
  <c r="T172" i="7"/>
  <c r="B173" i="7"/>
  <c r="C173" i="7"/>
  <c r="F173" i="7"/>
  <c r="G173" i="7"/>
  <c r="H173" i="7"/>
  <c r="L173" i="7"/>
  <c r="M173" i="7" s="1"/>
  <c r="N173" i="7"/>
  <c r="O173" i="7"/>
  <c r="P173" i="7"/>
  <c r="Q173" i="7"/>
  <c r="T173" i="7"/>
  <c r="B174" i="7"/>
  <c r="C174" i="7"/>
  <c r="F174" i="7"/>
  <c r="G174" i="7"/>
  <c r="H174" i="7"/>
  <c r="L174" i="7"/>
  <c r="M174" i="7" s="1"/>
  <c r="N174" i="7"/>
  <c r="O174" i="7"/>
  <c r="P174" i="7"/>
  <c r="Q174" i="7"/>
  <c r="T174" i="7"/>
  <c r="B175" i="7"/>
  <c r="C175" i="7"/>
  <c r="F175" i="7"/>
  <c r="G175" i="7"/>
  <c r="H175" i="7"/>
  <c r="L175" i="7"/>
  <c r="M175" i="7" s="1"/>
  <c r="N175" i="7"/>
  <c r="O175" i="7"/>
  <c r="P175" i="7"/>
  <c r="Q175" i="7"/>
  <c r="T175" i="7"/>
  <c r="B176" i="7"/>
  <c r="C176" i="7"/>
  <c r="F176" i="7"/>
  <c r="G176" i="7"/>
  <c r="H176" i="7"/>
  <c r="L176" i="7"/>
  <c r="M176" i="7" s="1"/>
  <c r="N176" i="7"/>
  <c r="O176" i="7"/>
  <c r="P176" i="7"/>
  <c r="Q176" i="7"/>
  <c r="T176" i="7"/>
  <c r="B177" i="7"/>
  <c r="C177" i="7"/>
  <c r="F177" i="7"/>
  <c r="G177" i="7"/>
  <c r="H177" i="7"/>
  <c r="L177" i="7"/>
  <c r="M177" i="7" s="1"/>
  <c r="N177" i="7"/>
  <c r="O177" i="7"/>
  <c r="P177" i="7"/>
  <c r="Q177" i="7"/>
  <c r="T177" i="7"/>
  <c r="B178" i="7"/>
  <c r="C178" i="7"/>
  <c r="F178" i="7"/>
  <c r="G178" i="7"/>
  <c r="H178" i="7"/>
  <c r="L178" i="7"/>
  <c r="M178" i="7" s="1"/>
  <c r="N178" i="7"/>
  <c r="O178" i="7"/>
  <c r="P178" i="7"/>
  <c r="Q178" i="7"/>
  <c r="T178" i="7"/>
  <c r="B179" i="7"/>
  <c r="C179" i="7"/>
  <c r="F179" i="7"/>
  <c r="G179" i="7"/>
  <c r="H179" i="7"/>
  <c r="L179" i="7"/>
  <c r="M179" i="7" s="1"/>
  <c r="N179" i="7"/>
  <c r="O179" i="7"/>
  <c r="P179" i="7"/>
  <c r="Q179" i="7"/>
  <c r="T179" i="7"/>
  <c r="B180" i="7"/>
  <c r="C180" i="7"/>
  <c r="F180" i="7"/>
  <c r="G180" i="7"/>
  <c r="H180" i="7"/>
  <c r="L180" i="7"/>
  <c r="M180" i="7" s="1"/>
  <c r="N180" i="7"/>
  <c r="O180" i="7"/>
  <c r="P180" i="7"/>
  <c r="Q180" i="7"/>
  <c r="T180" i="7"/>
  <c r="B181" i="7"/>
  <c r="C181" i="7"/>
  <c r="F181" i="7"/>
  <c r="G181" i="7"/>
  <c r="H181" i="7"/>
  <c r="L181" i="7"/>
  <c r="M181" i="7" s="1"/>
  <c r="N181" i="7"/>
  <c r="O181" i="7"/>
  <c r="P181" i="7"/>
  <c r="Q181" i="7"/>
  <c r="T181" i="7"/>
  <c r="B182" i="7"/>
  <c r="C182" i="7"/>
  <c r="F182" i="7"/>
  <c r="G182" i="7"/>
  <c r="H182" i="7"/>
  <c r="L182" i="7"/>
  <c r="M182" i="7" s="1"/>
  <c r="N182" i="7"/>
  <c r="O182" i="7"/>
  <c r="P182" i="7"/>
  <c r="Q182" i="7"/>
  <c r="T182" i="7"/>
  <c r="B183" i="7"/>
  <c r="C183" i="7"/>
  <c r="F183" i="7"/>
  <c r="G183" i="7"/>
  <c r="H183" i="7"/>
  <c r="L183" i="7"/>
  <c r="M183" i="7" s="1"/>
  <c r="N183" i="7"/>
  <c r="O183" i="7"/>
  <c r="P183" i="7"/>
  <c r="Q183" i="7"/>
  <c r="T183" i="7"/>
  <c r="B184" i="7"/>
  <c r="C184" i="7"/>
  <c r="F184" i="7"/>
  <c r="G184" i="7"/>
  <c r="H184" i="7"/>
  <c r="L184" i="7"/>
  <c r="M184" i="7" s="1"/>
  <c r="N184" i="7"/>
  <c r="O184" i="7"/>
  <c r="P184" i="7"/>
  <c r="Q184" i="7"/>
  <c r="T184" i="7"/>
  <c r="B185" i="7"/>
  <c r="C185" i="7"/>
  <c r="F185" i="7"/>
  <c r="G185" i="7"/>
  <c r="H185" i="7"/>
  <c r="L185" i="7"/>
  <c r="M185" i="7" s="1"/>
  <c r="N185" i="7"/>
  <c r="O185" i="7"/>
  <c r="P185" i="7"/>
  <c r="Q185" i="7"/>
  <c r="T185" i="7"/>
  <c r="B186" i="7"/>
  <c r="C186" i="7"/>
  <c r="F186" i="7"/>
  <c r="G186" i="7"/>
  <c r="H186" i="7"/>
  <c r="L186" i="7"/>
  <c r="M186" i="7" s="1"/>
  <c r="N186" i="7"/>
  <c r="O186" i="7"/>
  <c r="P186" i="7"/>
  <c r="Q186" i="7"/>
  <c r="T186" i="7"/>
  <c r="B187" i="7"/>
  <c r="C187" i="7"/>
  <c r="F187" i="7"/>
  <c r="G187" i="7"/>
  <c r="H187" i="7"/>
  <c r="L187" i="7"/>
  <c r="M187" i="7" s="1"/>
  <c r="N187" i="7"/>
  <c r="O187" i="7"/>
  <c r="P187" i="7"/>
  <c r="Q187" i="7"/>
  <c r="T187" i="7"/>
  <c r="B188" i="7"/>
  <c r="C188" i="7"/>
  <c r="F188" i="7"/>
  <c r="G188" i="7"/>
  <c r="H188" i="7"/>
  <c r="L188" i="7"/>
  <c r="M188" i="7" s="1"/>
  <c r="N188" i="7"/>
  <c r="O188" i="7"/>
  <c r="P188" i="7"/>
  <c r="Q188" i="7"/>
  <c r="T188" i="7"/>
  <c r="B189" i="7"/>
  <c r="C189" i="7"/>
  <c r="F189" i="7"/>
  <c r="G189" i="7"/>
  <c r="H189" i="7"/>
  <c r="L189" i="7"/>
  <c r="M189" i="7" s="1"/>
  <c r="N189" i="7"/>
  <c r="O189" i="7"/>
  <c r="P189" i="7"/>
  <c r="Q189" i="7"/>
  <c r="T189" i="7"/>
  <c r="B190" i="7"/>
  <c r="C190" i="7"/>
  <c r="F190" i="7"/>
  <c r="G190" i="7"/>
  <c r="H190" i="7"/>
  <c r="L190" i="7"/>
  <c r="M190" i="7" s="1"/>
  <c r="N190" i="7"/>
  <c r="O190" i="7"/>
  <c r="P190" i="7"/>
  <c r="Q190" i="7"/>
  <c r="T190" i="7"/>
  <c r="B191" i="7"/>
  <c r="C191" i="7"/>
  <c r="F191" i="7"/>
  <c r="G191" i="7"/>
  <c r="H191" i="7"/>
  <c r="L191" i="7"/>
  <c r="M191" i="7" s="1"/>
  <c r="N191" i="7"/>
  <c r="O191" i="7"/>
  <c r="P191" i="7"/>
  <c r="Q191" i="7"/>
  <c r="T191" i="7"/>
  <c r="B192" i="7"/>
  <c r="C192" i="7"/>
  <c r="F192" i="7"/>
  <c r="G192" i="7"/>
  <c r="H192" i="7"/>
  <c r="L192" i="7"/>
  <c r="M192" i="7" s="1"/>
  <c r="N192" i="7"/>
  <c r="O192" i="7"/>
  <c r="P192" i="7"/>
  <c r="Q192" i="7"/>
  <c r="T192" i="7"/>
  <c r="B193" i="7"/>
  <c r="C193" i="7"/>
  <c r="F193" i="7"/>
  <c r="G193" i="7"/>
  <c r="H193" i="7"/>
  <c r="L193" i="7"/>
  <c r="M193" i="7" s="1"/>
  <c r="N193" i="7"/>
  <c r="O193" i="7"/>
  <c r="P193" i="7"/>
  <c r="Q193" i="7"/>
  <c r="T193" i="7"/>
  <c r="B194" i="7"/>
  <c r="C194" i="7"/>
  <c r="F194" i="7"/>
  <c r="G194" i="7"/>
  <c r="H194" i="7"/>
  <c r="L194" i="7"/>
  <c r="M194" i="7" s="1"/>
  <c r="N194" i="7"/>
  <c r="O194" i="7"/>
  <c r="P194" i="7"/>
  <c r="Q194" i="7"/>
  <c r="T194" i="7"/>
  <c r="B195" i="7"/>
  <c r="C195" i="7"/>
  <c r="F195" i="7"/>
  <c r="G195" i="7"/>
  <c r="H195" i="7"/>
  <c r="L195" i="7"/>
  <c r="M195" i="7" s="1"/>
  <c r="N195" i="7"/>
  <c r="O195" i="7"/>
  <c r="P195" i="7"/>
  <c r="Q195" i="7"/>
  <c r="T195" i="7"/>
  <c r="B196" i="7"/>
  <c r="C196" i="7"/>
  <c r="F196" i="7"/>
  <c r="G196" i="7"/>
  <c r="H196" i="7"/>
  <c r="L196" i="7"/>
  <c r="M196" i="7" s="1"/>
  <c r="N196" i="7"/>
  <c r="O196" i="7"/>
  <c r="P196" i="7"/>
  <c r="Q196" i="7"/>
  <c r="T196" i="7"/>
  <c r="B197" i="7"/>
  <c r="C197" i="7"/>
  <c r="F197" i="7"/>
  <c r="G197" i="7"/>
  <c r="H197" i="7"/>
  <c r="L197" i="7"/>
  <c r="M197" i="7" s="1"/>
  <c r="N197" i="7"/>
  <c r="O197" i="7"/>
  <c r="P197" i="7"/>
  <c r="Q197" i="7"/>
  <c r="T197" i="7"/>
  <c r="B198" i="7"/>
  <c r="C198" i="7"/>
  <c r="F198" i="7"/>
  <c r="G198" i="7"/>
  <c r="H198" i="7"/>
  <c r="L198" i="7"/>
  <c r="M198" i="7" s="1"/>
  <c r="N198" i="7"/>
  <c r="O198" i="7"/>
  <c r="P198" i="7"/>
  <c r="Q198" i="7"/>
  <c r="T198" i="7"/>
  <c r="B199" i="7"/>
  <c r="C199" i="7"/>
  <c r="F199" i="7"/>
  <c r="G199" i="7"/>
  <c r="H199" i="7"/>
  <c r="L199" i="7"/>
  <c r="M199" i="7" s="1"/>
  <c r="N199" i="7"/>
  <c r="O199" i="7"/>
  <c r="P199" i="7"/>
  <c r="Q199" i="7"/>
  <c r="T199" i="7"/>
  <c r="B200" i="7"/>
  <c r="C200" i="7"/>
  <c r="F200" i="7"/>
  <c r="G200" i="7"/>
  <c r="H200" i="7"/>
  <c r="L200" i="7"/>
  <c r="M200" i="7" s="1"/>
  <c r="N200" i="7"/>
  <c r="O200" i="7"/>
  <c r="P200" i="7"/>
  <c r="Q200" i="7"/>
  <c r="T200" i="7"/>
  <c r="B201" i="7"/>
  <c r="C201" i="7"/>
  <c r="F201" i="7"/>
  <c r="G201" i="7"/>
  <c r="H201" i="7"/>
  <c r="L201" i="7"/>
  <c r="M201" i="7" s="1"/>
  <c r="N201" i="7"/>
  <c r="O201" i="7"/>
  <c r="P201" i="7"/>
  <c r="Q201" i="7"/>
  <c r="T201" i="7"/>
  <c r="B202" i="7"/>
  <c r="C202" i="7"/>
  <c r="F202" i="7"/>
  <c r="G202" i="7"/>
  <c r="H202" i="7"/>
  <c r="L202" i="7"/>
  <c r="M202" i="7" s="1"/>
  <c r="N202" i="7"/>
  <c r="O202" i="7"/>
  <c r="P202" i="7"/>
  <c r="Q202" i="7"/>
  <c r="T202" i="7"/>
  <c r="B203" i="7"/>
  <c r="C203" i="7"/>
  <c r="F203" i="7"/>
  <c r="G203" i="7"/>
  <c r="H203" i="7"/>
  <c r="L203" i="7"/>
  <c r="M203" i="7" s="1"/>
  <c r="N203" i="7"/>
  <c r="O203" i="7"/>
  <c r="P203" i="7"/>
  <c r="Q203" i="7"/>
  <c r="T203" i="7"/>
  <c r="B204" i="7"/>
  <c r="C204" i="7"/>
  <c r="F204" i="7"/>
  <c r="G204" i="7"/>
  <c r="H204" i="7"/>
  <c r="L204" i="7"/>
  <c r="M204" i="7" s="1"/>
  <c r="N204" i="7"/>
  <c r="O204" i="7"/>
  <c r="P204" i="7"/>
  <c r="Q204" i="7"/>
  <c r="T204" i="7"/>
  <c r="B205" i="7"/>
  <c r="C205" i="7"/>
  <c r="F205" i="7"/>
  <c r="G205" i="7"/>
  <c r="H205" i="7"/>
  <c r="L205" i="7"/>
  <c r="M205" i="7" s="1"/>
  <c r="N205" i="7"/>
  <c r="O205" i="7"/>
  <c r="P205" i="7"/>
  <c r="Q205" i="7"/>
  <c r="T205" i="7"/>
  <c r="B206" i="7"/>
  <c r="C206" i="7"/>
  <c r="F206" i="7"/>
  <c r="G206" i="7"/>
  <c r="H206" i="7"/>
  <c r="L206" i="7"/>
  <c r="M206" i="7" s="1"/>
  <c r="N206" i="7"/>
  <c r="O206" i="7"/>
  <c r="P206" i="7"/>
  <c r="Q206" i="7"/>
  <c r="T206" i="7"/>
  <c r="B207" i="7"/>
  <c r="C207" i="7"/>
  <c r="F207" i="7"/>
  <c r="G207" i="7"/>
  <c r="H207" i="7"/>
  <c r="L207" i="7"/>
  <c r="M207" i="7" s="1"/>
  <c r="N207" i="7"/>
  <c r="O207" i="7"/>
  <c r="P207" i="7"/>
  <c r="Q207" i="7"/>
  <c r="T207" i="7"/>
  <c r="B208" i="7"/>
  <c r="C208" i="7"/>
  <c r="F208" i="7"/>
  <c r="G208" i="7"/>
  <c r="H208" i="7"/>
  <c r="L208" i="7"/>
  <c r="M208" i="7" s="1"/>
  <c r="N208" i="7"/>
  <c r="O208" i="7"/>
  <c r="P208" i="7"/>
  <c r="Q208" i="7"/>
  <c r="T208" i="7"/>
  <c r="B209" i="7"/>
  <c r="C209" i="7"/>
  <c r="F209" i="7"/>
  <c r="G209" i="7"/>
  <c r="H209" i="7"/>
  <c r="L209" i="7"/>
  <c r="M209" i="7" s="1"/>
  <c r="N209" i="7"/>
  <c r="O209" i="7"/>
  <c r="P209" i="7"/>
  <c r="Q209" i="7"/>
  <c r="T209" i="7"/>
  <c r="B210" i="7"/>
  <c r="C210" i="7"/>
  <c r="F210" i="7"/>
  <c r="G210" i="7"/>
  <c r="H210" i="7"/>
  <c r="L210" i="7"/>
  <c r="M210" i="7" s="1"/>
  <c r="N210" i="7"/>
  <c r="O210" i="7"/>
  <c r="P210" i="7"/>
  <c r="Q210" i="7"/>
  <c r="T210" i="7"/>
  <c r="B211" i="7"/>
  <c r="C211" i="7"/>
  <c r="F211" i="7"/>
  <c r="G211" i="7"/>
  <c r="H211" i="7"/>
  <c r="L211" i="7"/>
  <c r="M211" i="7" s="1"/>
  <c r="N211" i="7"/>
  <c r="O211" i="7"/>
  <c r="P211" i="7"/>
  <c r="Q211" i="7"/>
  <c r="T211" i="7"/>
  <c r="B212" i="7"/>
  <c r="C212" i="7"/>
  <c r="F212" i="7"/>
  <c r="G212" i="7"/>
  <c r="H212" i="7"/>
  <c r="L212" i="7"/>
  <c r="M212" i="7" s="1"/>
  <c r="N212" i="7"/>
  <c r="O212" i="7"/>
  <c r="P212" i="7"/>
  <c r="Q212" i="7"/>
  <c r="T212" i="7"/>
  <c r="B213" i="7"/>
  <c r="C213" i="7"/>
  <c r="F213" i="7"/>
  <c r="G213" i="7"/>
  <c r="H213" i="7"/>
  <c r="L213" i="7"/>
  <c r="M213" i="7" s="1"/>
  <c r="N213" i="7"/>
  <c r="O213" i="7"/>
  <c r="P213" i="7"/>
  <c r="Q213" i="7"/>
  <c r="T213" i="7"/>
  <c r="B214" i="7"/>
  <c r="C214" i="7"/>
  <c r="F214" i="7"/>
  <c r="G214" i="7"/>
  <c r="H214" i="7"/>
  <c r="L214" i="7"/>
  <c r="M214" i="7" s="1"/>
  <c r="N214" i="7"/>
  <c r="O214" i="7"/>
  <c r="P214" i="7"/>
  <c r="Q214" i="7"/>
  <c r="T214" i="7"/>
  <c r="B215" i="7"/>
  <c r="C215" i="7"/>
  <c r="F215" i="7"/>
  <c r="G215" i="7"/>
  <c r="H215" i="7"/>
  <c r="L215" i="7"/>
  <c r="M215" i="7" s="1"/>
  <c r="N215" i="7"/>
  <c r="O215" i="7"/>
  <c r="P215" i="7"/>
  <c r="Q215" i="7"/>
  <c r="T215" i="7"/>
  <c r="B216" i="7"/>
  <c r="C216" i="7"/>
  <c r="F216" i="7"/>
  <c r="G216" i="7"/>
  <c r="H216" i="7"/>
  <c r="L216" i="7"/>
  <c r="M216" i="7" s="1"/>
  <c r="N216" i="7"/>
  <c r="O216" i="7"/>
  <c r="P216" i="7"/>
  <c r="Q216" i="7"/>
  <c r="T216" i="7"/>
  <c r="B217" i="7"/>
  <c r="C217" i="7"/>
  <c r="F217" i="7"/>
  <c r="G217" i="7"/>
  <c r="H217" i="7"/>
  <c r="L217" i="7"/>
  <c r="M217" i="7" s="1"/>
  <c r="N217" i="7"/>
  <c r="O217" i="7"/>
  <c r="P217" i="7"/>
  <c r="Q217" i="7"/>
  <c r="T217" i="7"/>
  <c r="B218" i="7"/>
  <c r="C218" i="7"/>
  <c r="F218" i="7"/>
  <c r="G218" i="7"/>
  <c r="H218" i="7"/>
  <c r="L218" i="7"/>
  <c r="M218" i="7" s="1"/>
  <c r="N218" i="7"/>
  <c r="O218" i="7"/>
  <c r="P218" i="7"/>
  <c r="Q218" i="7"/>
  <c r="T218" i="7"/>
  <c r="B219" i="7"/>
  <c r="C219" i="7"/>
  <c r="F219" i="7"/>
  <c r="G219" i="7"/>
  <c r="H219" i="7"/>
  <c r="L219" i="7"/>
  <c r="M219" i="7" s="1"/>
  <c r="N219" i="7"/>
  <c r="O219" i="7"/>
  <c r="P219" i="7"/>
  <c r="Q219" i="7"/>
  <c r="T219" i="7"/>
  <c r="B220" i="7"/>
  <c r="C220" i="7"/>
  <c r="F220" i="7"/>
  <c r="G220" i="7"/>
  <c r="H220" i="7"/>
  <c r="L220" i="7"/>
  <c r="M220" i="7" s="1"/>
  <c r="N220" i="7"/>
  <c r="O220" i="7"/>
  <c r="P220" i="7"/>
  <c r="Q220" i="7"/>
  <c r="T220" i="7"/>
  <c r="B221" i="7"/>
  <c r="C221" i="7"/>
  <c r="F221" i="7"/>
  <c r="G221" i="7"/>
  <c r="H221" i="7"/>
  <c r="L221" i="7"/>
  <c r="M221" i="7" s="1"/>
  <c r="N221" i="7"/>
  <c r="O221" i="7"/>
  <c r="P221" i="7"/>
  <c r="Q221" i="7"/>
  <c r="T221" i="7"/>
  <c r="B222" i="7"/>
  <c r="C222" i="7"/>
  <c r="F222" i="7"/>
  <c r="G222" i="7"/>
  <c r="H222" i="7"/>
  <c r="L222" i="7"/>
  <c r="M222" i="7" s="1"/>
  <c r="N222" i="7"/>
  <c r="O222" i="7"/>
  <c r="P222" i="7"/>
  <c r="Q222" i="7"/>
  <c r="T222" i="7"/>
  <c r="B223" i="7"/>
  <c r="C223" i="7"/>
  <c r="F223" i="7"/>
  <c r="G223" i="7"/>
  <c r="H223" i="7"/>
  <c r="L223" i="7"/>
  <c r="M223" i="7" s="1"/>
  <c r="N223" i="7"/>
  <c r="O223" i="7"/>
  <c r="P223" i="7"/>
  <c r="Q223" i="7"/>
  <c r="T223" i="7"/>
  <c r="B224" i="7"/>
  <c r="C224" i="7"/>
  <c r="F224" i="7"/>
  <c r="G224" i="7"/>
  <c r="H224" i="7"/>
  <c r="L224" i="7"/>
  <c r="M224" i="7" s="1"/>
  <c r="N224" i="7"/>
  <c r="O224" i="7"/>
  <c r="P224" i="7"/>
  <c r="Q224" i="7"/>
  <c r="T224" i="7"/>
  <c r="B225" i="7"/>
  <c r="C225" i="7"/>
  <c r="F225" i="7"/>
  <c r="G225" i="7"/>
  <c r="H225" i="7"/>
  <c r="L225" i="7"/>
  <c r="M225" i="7" s="1"/>
  <c r="N225" i="7"/>
  <c r="O225" i="7"/>
  <c r="P225" i="7"/>
  <c r="Q225" i="7"/>
  <c r="T225" i="7"/>
  <c r="B226" i="7"/>
  <c r="C226" i="7"/>
  <c r="F226" i="7"/>
  <c r="G226" i="7"/>
  <c r="H226" i="7"/>
  <c r="L226" i="7"/>
  <c r="M226" i="7" s="1"/>
  <c r="N226" i="7"/>
  <c r="O226" i="7"/>
  <c r="P226" i="7"/>
  <c r="Q226" i="7"/>
  <c r="T226" i="7"/>
  <c r="B227" i="7"/>
  <c r="C227" i="7"/>
  <c r="F227" i="7"/>
  <c r="G227" i="7"/>
  <c r="H227" i="7"/>
  <c r="L227" i="7"/>
  <c r="M227" i="7" s="1"/>
  <c r="N227" i="7"/>
  <c r="O227" i="7"/>
  <c r="P227" i="7"/>
  <c r="Q227" i="7"/>
  <c r="T227" i="7"/>
  <c r="B228" i="7"/>
  <c r="C228" i="7"/>
  <c r="F228" i="7"/>
  <c r="G228" i="7"/>
  <c r="H228" i="7"/>
  <c r="L228" i="7"/>
  <c r="M228" i="7" s="1"/>
  <c r="N228" i="7"/>
  <c r="O228" i="7"/>
  <c r="P228" i="7"/>
  <c r="Q228" i="7"/>
  <c r="T228" i="7"/>
  <c r="B229" i="7"/>
  <c r="C229" i="7"/>
  <c r="F229" i="7"/>
  <c r="G229" i="7"/>
  <c r="H229" i="7"/>
  <c r="L229" i="7"/>
  <c r="M229" i="7" s="1"/>
  <c r="N229" i="7"/>
  <c r="O229" i="7"/>
  <c r="P229" i="7"/>
  <c r="Q229" i="7"/>
  <c r="T229" i="7"/>
  <c r="B230" i="7"/>
  <c r="C230" i="7"/>
  <c r="F230" i="7"/>
  <c r="G230" i="7"/>
  <c r="H230" i="7"/>
  <c r="L230" i="7"/>
  <c r="M230" i="7" s="1"/>
  <c r="N230" i="7"/>
  <c r="O230" i="7"/>
  <c r="P230" i="7"/>
  <c r="Q230" i="7"/>
  <c r="T230" i="7"/>
  <c r="B231" i="7"/>
  <c r="C231" i="7"/>
  <c r="F231" i="7"/>
  <c r="G231" i="7"/>
  <c r="H231" i="7"/>
  <c r="L231" i="7"/>
  <c r="M231" i="7" s="1"/>
  <c r="N231" i="7"/>
  <c r="O231" i="7"/>
  <c r="P231" i="7"/>
  <c r="Q231" i="7"/>
  <c r="T231" i="7"/>
  <c r="B232" i="7"/>
  <c r="C232" i="7"/>
  <c r="F232" i="7"/>
  <c r="G232" i="7"/>
  <c r="H232" i="7"/>
  <c r="L232" i="7"/>
  <c r="M232" i="7" s="1"/>
  <c r="N232" i="7"/>
  <c r="O232" i="7"/>
  <c r="P232" i="7"/>
  <c r="Q232" i="7"/>
  <c r="T232" i="7"/>
  <c r="B233" i="7"/>
  <c r="C233" i="7"/>
  <c r="F233" i="7"/>
  <c r="G233" i="7"/>
  <c r="H233" i="7"/>
  <c r="L233" i="7"/>
  <c r="M233" i="7" s="1"/>
  <c r="N233" i="7"/>
  <c r="O233" i="7"/>
  <c r="P233" i="7"/>
  <c r="Q233" i="7"/>
  <c r="T233" i="7"/>
  <c r="B234" i="7"/>
  <c r="C234" i="7"/>
  <c r="F234" i="7"/>
  <c r="G234" i="7"/>
  <c r="H234" i="7"/>
  <c r="L234" i="7"/>
  <c r="M234" i="7" s="1"/>
  <c r="N234" i="7"/>
  <c r="O234" i="7"/>
  <c r="P234" i="7"/>
  <c r="Q234" i="7"/>
  <c r="T234" i="7"/>
  <c r="B235" i="7"/>
  <c r="C235" i="7"/>
  <c r="F235" i="7"/>
  <c r="G235" i="7"/>
  <c r="H235" i="7"/>
  <c r="L235" i="7"/>
  <c r="M235" i="7" s="1"/>
  <c r="N235" i="7"/>
  <c r="O235" i="7"/>
  <c r="P235" i="7"/>
  <c r="Q235" i="7"/>
  <c r="T235" i="7"/>
  <c r="B236" i="7"/>
  <c r="C236" i="7"/>
  <c r="F236" i="7"/>
  <c r="G236" i="7"/>
  <c r="H236" i="7"/>
  <c r="L236" i="7"/>
  <c r="M236" i="7" s="1"/>
  <c r="N236" i="7"/>
  <c r="O236" i="7"/>
  <c r="P236" i="7"/>
  <c r="Q236" i="7"/>
  <c r="T236" i="7"/>
  <c r="B237" i="7"/>
  <c r="C237" i="7"/>
  <c r="F237" i="7"/>
  <c r="G237" i="7"/>
  <c r="H237" i="7"/>
  <c r="L237" i="7"/>
  <c r="M237" i="7" s="1"/>
  <c r="N237" i="7"/>
  <c r="O237" i="7"/>
  <c r="P237" i="7"/>
  <c r="Q237" i="7"/>
  <c r="T237" i="7"/>
  <c r="B238" i="7"/>
  <c r="C238" i="7"/>
  <c r="F238" i="7"/>
  <c r="G238" i="7"/>
  <c r="H238" i="7"/>
  <c r="L238" i="7"/>
  <c r="M238" i="7" s="1"/>
  <c r="N238" i="7"/>
  <c r="O238" i="7"/>
  <c r="P238" i="7"/>
  <c r="Q238" i="7"/>
  <c r="T238" i="7"/>
  <c r="B239" i="7"/>
  <c r="C239" i="7"/>
  <c r="F239" i="7"/>
  <c r="G239" i="7"/>
  <c r="H239" i="7"/>
  <c r="L239" i="7"/>
  <c r="M239" i="7" s="1"/>
  <c r="N239" i="7"/>
  <c r="O239" i="7"/>
  <c r="P239" i="7"/>
  <c r="Q239" i="7"/>
  <c r="T239" i="7"/>
  <c r="B240" i="7"/>
  <c r="C240" i="7"/>
  <c r="F240" i="7"/>
  <c r="G240" i="7"/>
  <c r="H240" i="7"/>
  <c r="L240" i="7"/>
  <c r="M240" i="7" s="1"/>
  <c r="N240" i="7"/>
  <c r="O240" i="7"/>
  <c r="P240" i="7"/>
  <c r="Q240" i="7"/>
  <c r="T240" i="7"/>
  <c r="B241" i="7"/>
  <c r="C241" i="7"/>
  <c r="F241" i="7"/>
  <c r="G241" i="7"/>
  <c r="H241" i="7"/>
  <c r="L241" i="7"/>
  <c r="M241" i="7" s="1"/>
  <c r="N241" i="7"/>
  <c r="O241" i="7"/>
  <c r="P241" i="7"/>
  <c r="Q241" i="7"/>
  <c r="T241" i="7"/>
  <c r="B242" i="7"/>
  <c r="C242" i="7"/>
  <c r="F242" i="7"/>
  <c r="G242" i="7"/>
  <c r="H242" i="7"/>
  <c r="L242" i="7"/>
  <c r="M242" i="7" s="1"/>
  <c r="N242" i="7"/>
  <c r="O242" i="7"/>
  <c r="P242" i="7"/>
  <c r="Q242" i="7"/>
  <c r="T242" i="7"/>
  <c r="B243" i="7"/>
  <c r="C243" i="7"/>
  <c r="F243" i="7"/>
  <c r="G243" i="7"/>
  <c r="H243" i="7"/>
  <c r="L243" i="7"/>
  <c r="M243" i="7" s="1"/>
  <c r="N243" i="7"/>
  <c r="O243" i="7"/>
  <c r="P243" i="7"/>
  <c r="Q243" i="7"/>
  <c r="T243" i="7"/>
  <c r="B244" i="7"/>
  <c r="C244" i="7"/>
  <c r="F244" i="7"/>
  <c r="G244" i="7"/>
  <c r="H244" i="7"/>
  <c r="L244" i="7"/>
  <c r="M244" i="7" s="1"/>
  <c r="N244" i="7"/>
  <c r="O244" i="7"/>
  <c r="P244" i="7"/>
  <c r="Q244" i="7"/>
  <c r="T244" i="7"/>
  <c r="B245" i="7"/>
  <c r="C245" i="7"/>
  <c r="F245" i="7"/>
  <c r="G245" i="7"/>
  <c r="H245" i="7"/>
  <c r="L245" i="7"/>
  <c r="M245" i="7" s="1"/>
  <c r="N245" i="7"/>
  <c r="O245" i="7"/>
  <c r="P245" i="7"/>
  <c r="Q245" i="7"/>
  <c r="T245" i="7"/>
  <c r="B246" i="7"/>
  <c r="C246" i="7"/>
  <c r="F246" i="7"/>
  <c r="G246" i="7"/>
  <c r="H246" i="7"/>
  <c r="L246" i="7"/>
  <c r="M246" i="7" s="1"/>
  <c r="N246" i="7"/>
  <c r="O246" i="7"/>
  <c r="P246" i="7"/>
  <c r="Q246" i="7"/>
  <c r="T246" i="7"/>
  <c r="B247" i="7"/>
  <c r="C247" i="7"/>
  <c r="F247" i="7"/>
  <c r="G247" i="7"/>
  <c r="H247" i="7"/>
  <c r="L247" i="7"/>
  <c r="M247" i="7" s="1"/>
  <c r="N247" i="7"/>
  <c r="O247" i="7"/>
  <c r="P247" i="7"/>
  <c r="Q247" i="7"/>
  <c r="T247" i="7"/>
  <c r="B248" i="7"/>
  <c r="C248" i="7"/>
  <c r="F248" i="7"/>
  <c r="G248" i="7"/>
  <c r="H248" i="7"/>
  <c r="L248" i="7"/>
  <c r="M248" i="7" s="1"/>
  <c r="N248" i="7"/>
  <c r="O248" i="7"/>
  <c r="P248" i="7"/>
  <c r="Q248" i="7"/>
  <c r="T248" i="7"/>
  <c r="B249" i="7"/>
  <c r="C249" i="7"/>
  <c r="F249" i="7"/>
  <c r="G249" i="7"/>
  <c r="H249" i="7"/>
  <c r="L249" i="7"/>
  <c r="M249" i="7" s="1"/>
  <c r="N249" i="7"/>
  <c r="O249" i="7"/>
  <c r="P249" i="7"/>
  <c r="Q249" i="7"/>
  <c r="T249" i="7"/>
  <c r="B250" i="7"/>
  <c r="C250" i="7"/>
  <c r="F250" i="7"/>
  <c r="G250" i="7"/>
  <c r="H250" i="7"/>
  <c r="L250" i="7"/>
  <c r="M250" i="7" s="1"/>
  <c r="N250" i="7"/>
  <c r="O250" i="7"/>
  <c r="P250" i="7"/>
  <c r="Q250" i="7"/>
  <c r="T250" i="7"/>
  <c r="B251" i="7"/>
  <c r="C251" i="7"/>
  <c r="F251" i="7"/>
  <c r="G251" i="7"/>
  <c r="H251" i="7"/>
  <c r="L251" i="7"/>
  <c r="M251" i="7" s="1"/>
  <c r="N251" i="7"/>
  <c r="O251" i="7"/>
  <c r="P251" i="7"/>
  <c r="Q251" i="7"/>
  <c r="T251" i="7"/>
  <c r="B252" i="7"/>
  <c r="C252" i="7"/>
  <c r="F252" i="7"/>
  <c r="G252" i="7"/>
  <c r="H252" i="7"/>
  <c r="L252" i="7"/>
  <c r="M252" i="7" s="1"/>
  <c r="N252" i="7"/>
  <c r="O252" i="7"/>
  <c r="P252" i="7"/>
  <c r="Q252" i="7"/>
  <c r="T252" i="7"/>
  <c r="B253" i="7"/>
  <c r="C253" i="7"/>
  <c r="F253" i="7"/>
  <c r="G253" i="7"/>
  <c r="H253" i="7"/>
  <c r="L253" i="7"/>
  <c r="M253" i="7" s="1"/>
  <c r="N253" i="7"/>
  <c r="O253" i="7"/>
  <c r="P253" i="7"/>
  <c r="Q253" i="7"/>
  <c r="T253" i="7"/>
  <c r="B254" i="7"/>
  <c r="C254" i="7"/>
  <c r="F254" i="7"/>
  <c r="G254" i="7"/>
  <c r="H254" i="7"/>
  <c r="L254" i="7"/>
  <c r="M254" i="7" s="1"/>
  <c r="N254" i="7"/>
  <c r="O254" i="7"/>
  <c r="P254" i="7"/>
  <c r="Q254" i="7"/>
  <c r="T254" i="7"/>
  <c r="B255" i="7"/>
  <c r="C255" i="7"/>
  <c r="F255" i="7"/>
  <c r="G255" i="7"/>
  <c r="H255" i="7"/>
  <c r="L255" i="7"/>
  <c r="M255" i="7" s="1"/>
  <c r="N255" i="7"/>
  <c r="O255" i="7"/>
  <c r="P255" i="7"/>
  <c r="Q255" i="7"/>
  <c r="T255" i="7"/>
  <c r="B256" i="7"/>
  <c r="C256" i="7"/>
  <c r="F256" i="7"/>
  <c r="G256" i="7"/>
  <c r="H256" i="7"/>
  <c r="L256" i="7"/>
  <c r="M256" i="7" s="1"/>
  <c r="N256" i="7"/>
  <c r="O256" i="7"/>
  <c r="P256" i="7"/>
  <c r="Q256" i="7"/>
  <c r="T256" i="7"/>
  <c r="B257" i="7"/>
  <c r="C257" i="7"/>
  <c r="F257" i="7"/>
  <c r="G257" i="7"/>
  <c r="H257" i="7"/>
  <c r="L257" i="7"/>
  <c r="M257" i="7" s="1"/>
  <c r="N257" i="7"/>
  <c r="O257" i="7"/>
  <c r="P257" i="7"/>
  <c r="Q257" i="7"/>
  <c r="T257" i="7"/>
  <c r="B258" i="7"/>
  <c r="C258" i="7"/>
  <c r="F258" i="7"/>
  <c r="G258" i="7"/>
  <c r="H258" i="7"/>
  <c r="L258" i="7"/>
  <c r="M258" i="7" s="1"/>
  <c r="N258" i="7"/>
  <c r="O258" i="7"/>
  <c r="P258" i="7"/>
  <c r="Q258" i="7"/>
  <c r="T258" i="7"/>
  <c r="B259" i="7"/>
  <c r="C259" i="7"/>
  <c r="F259" i="7"/>
  <c r="G259" i="7"/>
  <c r="H259" i="7"/>
  <c r="L259" i="7"/>
  <c r="M259" i="7" s="1"/>
  <c r="N259" i="7"/>
  <c r="O259" i="7"/>
  <c r="P259" i="7"/>
  <c r="Q259" i="7"/>
  <c r="T259" i="7"/>
  <c r="B260" i="7"/>
  <c r="C260" i="7"/>
  <c r="F260" i="7"/>
  <c r="G260" i="7"/>
  <c r="H260" i="7"/>
  <c r="L260" i="7"/>
  <c r="M260" i="7" s="1"/>
  <c r="N260" i="7"/>
  <c r="O260" i="7"/>
  <c r="P260" i="7"/>
  <c r="Q260" i="7"/>
  <c r="T260" i="7"/>
  <c r="B261" i="7"/>
  <c r="C261" i="7"/>
  <c r="F261" i="7"/>
  <c r="G261" i="7"/>
  <c r="H261" i="7"/>
  <c r="L261" i="7"/>
  <c r="M261" i="7" s="1"/>
  <c r="N261" i="7"/>
  <c r="O261" i="7"/>
  <c r="P261" i="7"/>
  <c r="Q261" i="7"/>
  <c r="T261" i="7"/>
  <c r="B262" i="7"/>
  <c r="C262" i="7"/>
  <c r="F262" i="7"/>
  <c r="G262" i="7"/>
  <c r="H262" i="7"/>
  <c r="L262" i="7"/>
  <c r="M262" i="7" s="1"/>
  <c r="N262" i="7"/>
  <c r="O262" i="7"/>
  <c r="P262" i="7"/>
  <c r="Q262" i="7"/>
  <c r="T262" i="7"/>
  <c r="B263" i="7"/>
  <c r="C263" i="7"/>
  <c r="F263" i="7"/>
  <c r="G263" i="7"/>
  <c r="H263" i="7"/>
  <c r="L263" i="7"/>
  <c r="M263" i="7" s="1"/>
  <c r="N263" i="7"/>
  <c r="O263" i="7"/>
  <c r="P263" i="7"/>
  <c r="Q263" i="7"/>
  <c r="T263" i="7"/>
  <c r="B264" i="7"/>
  <c r="C264" i="7"/>
  <c r="F264" i="7"/>
  <c r="G264" i="7"/>
  <c r="H264" i="7"/>
  <c r="L264" i="7"/>
  <c r="M264" i="7" s="1"/>
  <c r="N264" i="7"/>
  <c r="O264" i="7"/>
  <c r="P264" i="7"/>
  <c r="Q264" i="7"/>
  <c r="T264" i="7"/>
  <c r="B265" i="7"/>
  <c r="C265" i="7"/>
  <c r="F265" i="7"/>
  <c r="G265" i="7"/>
  <c r="H265" i="7"/>
  <c r="L265" i="7"/>
  <c r="M265" i="7" s="1"/>
  <c r="N265" i="7"/>
  <c r="O265" i="7"/>
  <c r="P265" i="7"/>
  <c r="Q265" i="7"/>
  <c r="T265" i="7"/>
  <c r="B266" i="7"/>
  <c r="C266" i="7"/>
  <c r="F266" i="7"/>
  <c r="G266" i="7"/>
  <c r="H266" i="7"/>
  <c r="L266" i="7"/>
  <c r="M266" i="7" s="1"/>
  <c r="N266" i="7"/>
  <c r="O266" i="7"/>
  <c r="P266" i="7"/>
  <c r="Q266" i="7"/>
  <c r="T266" i="7"/>
  <c r="B267" i="7"/>
  <c r="C267" i="7"/>
  <c r="F267" i="7"/>
  <c r="G267" i="7"/>
  <c r="H267" i="7"/>
  <c r="L267" i="7"/>
  <c r="M267" i="7" s="1"/>
  <c r="N267" i="7"/>
  <c r="O267" i="7"/>
  <c r="P267" i="7"/>
  <c r="Q267" i="7"/>
  <c r="T267" i="7"/>
  <c r="B268" i="7"/>
  <c r="C268" i="7"/>
  <c r="F268" i="7"/>
  <c r="G268" i="7"/>
  <c r="H268" i="7"/>
  <c r="L268" i="7"/>
  <c r="M268" i="7" s="1"/>
  <c r="N268" i="7"/>
  <c r="O268" i="7"/>
  <c r="P268" i="7"/>
  <c r="Q268" i="7"/>
  <c r="T268" i="7"/>
  <c r="B269" i="7"/>
  <c r="C269" i="7"/>
  <c r="F269" i="7"/>
  <c r="G269" i="7"/>
  <c r="H269" i="7"/>
  <c r="L269" i="7"/>
  <c r="M269" i="7" s="1"/>
  <c r="N269" i="7"/>
  <c r="O269" i="7"/>
  <c r="P269" i="7"/>
  <c r="Q269" i="7"/>
  <c r="T269" i="7"/>
  <c r="B270" i="7"/>
  <c r="C270" i="7"/>
  <c r="F270" i="7"/>
  <c r="G270" i="7"/>
  <c r="H270" i="7"/>
  <c r="L270" i="7"/>
  <c r="M270" i="7" s="1"/>
  <c r="N270" i="7"/>
  <c r="O270" i="7"/>
  <c r="P270" i="7"/>
  <c r="Q270" i="7"/>
  <c r="T270" i="7"/>
  <c r="B271" i="7"/>
  <c r="C271" i="7"/>
  <c r="F271" i="7"/>
  <c r="G271" i="7"/>
  <c r="H271" i="7"/>
  <c r="L271" i="7"/>
  <c r="M271" i="7" s="1"/>
  <c r="N271" i="7"/>
  <c r="O271" i="7"/>
  <c r="P271" i="7"/>
  <c r="Q271" i="7"/>
  <c r="T271" i="7"/>
  <c r="B272" i="7"/>
  <c r="C272" i="7"/>
  <c r="F272" i="7"/>
  <c r="G272" i="7"/>
  <c r="H272" i="7"/>
  <c r="L272" i="7"/>
  <c r="M272" i="7" s="1"/>
  <c r="N272" i="7"/>
  <c r="O272" i="7"/>
  <c r="P272" i="7"/>
  <c r="Q272" i="7"/>
  <c r="T272" i="7"/>
  <c r="B273" i="7"/>
  <c r="C273" i="7"/>
  <c r="F273" i="7"/>
  <c r="G273" i="7"/>
  <c r="H273" i="7"/>
  <c r="L273" i="7"/>
  <c r="M273" i="7" s="1"/>
  <c r="N273" i="7"/>
  <c r="O273" i="7"/>
  <c r="P273" i="7"/>
  <c r="Q273" i="7"/>
  <c r="T273" i="7"/>
  <c r="B274" i="7"/>
  <c r="C274" i="7"/>
  <c r="F274" i="7"/>
  <c r="G274" i="7"/>
  <c r="H274" i="7"/>
  <c r="L274" i="7"/>
  <c r="M274" i="7" s="1"/>
  <c r="N274" i="7"/>
  <c r="O274" i="7"/>
  <c r="P274" i="7"/>
  <c r="Q274" i="7"/>
  <c r="T274" i="7"/>
  <c r="B275" i="7"/>
  <c r="C275" i="7"/>
  <c r="F275" i="7"/>
  <c r="G275" i="7"/>
  <c r="H275" i="7"/>
  <c r="L275" i="7"/>
  <c r="M275" i="7" s="1"/>
  <c r="N275" i="7"/>
  <c r="O275" i="7"/>
  <c r="P275" i="7"/>
  <c r="Q275" i="7"/>
  <c r="T275" i="7"/>
  <c r="B276" i="7"/>
  <c r="C276" i="7"/>
  <c r="F276" i="7"/>
  <c r="G276" i="7"/>
  <c r="H276" i="7"/>
  <c r="L276" i="7"/>
  <c r="M276" i="7" s="1"/>
  <c r="N276" i="7"/>
  <c r="O276" i="7"/>
  <c r="P276" i="7"/>
  <c r="Q276" i="7"/>
  <c r="T276" i="7"/>
  <c r="B277" i="7"/>
  <c r="C277" i="7"/>
  <c r="F277" i="7"/>
  <c r="G277" i="7"/>
  <c r="H277" i="7"/>
  <c r="L277" i="7"/>
  <c r="M277" i="7" s="1"/>
  <c r="N277" i="7"/>
  <c r="O277" i="7"/>
  <c r="P277" i="7"/>
  <c r="Q277" i="7"/>
  <c r="T277" i="7"/>
  <c r="B278" i="7"/>
  <c r="C278" i="7"/>
  <c r="F278" i="7"/>
  <c r="G278" i="7"/>
  <c r="H278" i="7"/>
  <c r="L278" i="7"/>
  <c r="M278" i="7" s="1"/>
  <c r="N278" i="7"/>
  <c r="O278" i="7"/>
  <c r="P278" i="7"/>
  <c r="Q278" i="7"/>
  <c r="T278" i="7"/>
  <c r="B279" i="7"/>
  <c r="C279" i="7"/>
  <c r="F279" i="7"/>
  <c r="G279" i="7"/>
  <c r="H279" i="7"/>
  <c r="L279" i="7"/>
  <c r="M279" i="7" s="1"/>
  <c r="N279" i="7"/>
  <c r="O279" i="7"/>
  <c r="P279" i="7"/>
  <c r="Q279" i="7"/>
  <c r="T279" i="7"/>
  <c r="B280" i="7"/>
  <c r="C280" i="7"/>
  <c r="F280" i="7"/>
  <c r="G280" i="7"/>
  <c r="H280" i="7"/>
  <c r="L280" i="7"/>
  <c r="M280" i="7" s="1"/>
  <c r="N280" i="7"/>
  <c r="O280" i="7"/>
  <c r="P280" i="7"/>
  <c r="Q280" i="7"/>
  <c r="T280" i="7"/>
  <c r="B281" i="7"/>
  <c r="C281" i="7"/>
  <c r="F281" i="7"/>
  <c r="G281" i="7"/>
  <c r="H281" i="7"/>
  <c r="L281" i="7"/>
  <c r="M281" i="7" s="1"/>
  <c r="N281" i="7"/>
  <c r="O281" i="7"/>
  <c r="P281" i="7"/>
  <c r="Q281" i="7"/>
  <c r="T281" i="7"/>
  <c r="B282" i="7"/>
  <c r="C282" i="7"/>
  <c r="F282" i="7"/>
  <c r="G282" i="7"/>
  <c r="H282" i="7"/>
  <c r="L282" i="7"/>
  <c r="M282" i="7" s="1"/>
  <c r="N282" i="7"/>
  <c r="O282" i="7"/>
  <c r="P282" i="7"/>
  <c r="Q282" i="7"/>
  <c r="T282" i="7"/>
  <c r="B283" i="7"/>
  <c r="C283" i="7"/>
  <c r="F283" i="7"/>
  <c r="G283" i="7"/>
  <c r="H283" i="7"/>
  <c r="L283" i="7"/>
  <c r="M283" i="7" s="1"/>
  <c r="N283" i="7"/>
  <c r="O283" i="7"/>
  <c r="P283" i="7"/>
  <c r="Q283" i="7"/>
  <c r="T283" i="7"/>
  <c r="B284" i="7"/>
  <c r="C284" i="7"/>
  <c r="F284" i="7"/>
  <c r="G284" i="7"/>
  <c r="H284" i="7"/>
  <c r="L284" i="7"/>
  <c r="M284" i="7" s="1"/>
  <c r="N284" i="7"/>
  <c r="O284" i="7"/>
  <c r="P284" i="7"/>
  <c r="Q284" i="7"/>
  <c r="T284" i="7"/>
  <c r="B285" i="7"/>
  <c r="C285" i="7"/>
  <c r="F285" i="7"/>
  <c r="G285" i="7"/>
  <c r="H285" i="7"/>
  <c r="L285" i="7"/>
  <c r="M285" i="7" s="1"/>
  <c r="N285" i="7"/>
  <c r="O285" i="7"/>
  <c r="P285" i="7"/>
  <c r="Q285" i="7"/>
  <c r="T285" i="7"/>
  <c r="B286" i="7"/>
  <c r="C286" i="7"/>
  <c r="F286" i="7"/>
  <c r="G286" i="7"/>
  <c r="H286" i="7"/>
  <c r="L286" i="7"/>
  <c r="M286" i="7" s="1"/>
  <c r="N286" i="7"/>
  <c r="O286" i="7"/>
  <c r="P286" i="7"/>
  <c r="Q286" i="7"/>
  <c r="T286" i="7"/>
  <c r="B287" i="7"/>
  <c r="C287" i="7"/>
  <c r="F287" i="7"/>
  <c r="G287" i="7"/>
  <c r="H287" i="7"/>
  <c r="L287" i="7"/>
  <c r="M287" i="7" s="1"/>
  <c r="N287" i="7"/>
  <c r="O287" i="7"/>
  <c r="P287" i="7"/>
  <c r="Q287" i="7"/>
  <c r="T287" i="7"/>
  <c r="B288" i="7"/>
  <c r="C288" i="7"/>
  <c r="F288" i="7"/>
  <c r="G288" i="7"/>
  <c r="H288" i="7"/>
  <c r="L288" i="7"/>
  <c r="M288" i="7" s="1"/>
  <c r="N288" i="7"/>
  <c r="O288" i="7"/>
  <c r="P288" i="7"/>
  <c r="Q288" i="7"/>
  <c r="T288" i="7"/>
  <c r="B289" i="7"/>
  <c r="C289" i="7"/>
  <c r="F289" i="7"/>
  <c r="G289" i="7"/>
  <c r="H289" i="7"/>
  <c r="L289" i="7"/>
  <c r="M289" i="7" s="1"/>
  <c r="N289" i="7"/>
  <c r="O289" i="7"/>
  <c r="P289" i="7"/>
  <c r="Q289" i="7"/>
  <c r="T289" i="7"/>
  <c r="B290" i="7"/>
  <c r="C290" i="7"/>
  <c r="F290" i="7"/>
  <c r="G290" i="7"/>
  <c r="H290" i="7"/>
  <c r="L290" i="7"/>
  <c r="M290" i="7" s="1"/>
  <c r="N290" i="7"/>
  <c r="O290" i="7"/>
  <c r="P290" i="7"/>
  <c r="Q290" i="7"/>
  <c r="T290" i="7"/>
  <c r="B291" i="7"/>
  <c r="C291" i="7"/>
  <c r="F291" i="7"/>
  <c r="G291" i="7"/>
  <c r="H291" i="7"/>
  <c r="L291" i="7"/>
  <c r="M291" i="7" s="1"/>
  <c r="N291" i="7"/>
  <c r="O291" i="7"/>
  <c r="P291" i="7"/>
  <c r="Q291" i="7"/>
  <c r="T291" i="7"/>
  <c r="B292" i="7"/>
  <c r="C292" i="7"/>
  <c r="F292" i="7"/>
  <c r="G292" i="7"/>
  <c r="H292" i="7"/>
  <c r="L292" i="7"/>
  <c r="M292" i="7" s="1"/>
  <c r="N292" i="7"/>
  <c r="O292" i="7"/>
  <c r="P292" i="7"/>
  <c r="Q292" i="7"/>
  <c r="T292" i="7"/>
  <c r="B293" i="7"/>
  <c r="C293" i="7"/>
  <c r="F293" i="7"/>
  <c r="G293" i="7"/>
  <c r="H293" i="7"/>
  <c r="L293" i="7"/>
  <c r="M293" i="7" s="1"/>
  <c r="N293" i="7"/>
  <c r="O293" i="7"/>
  <c r="P293" i="7"/>
  <c r="Q293" i="7"/>
  <c r="T293" i="7"/>
  <c r="B294" i="7"/>
  <c r="C294" i="7"/>
  <c r="F294" i="7"/>
  <c r="G294" i="7"/>
  <c r="H294" i="7"/>
  <c r="L294" i="7"/>
  <c r="M294" i="7" s="1"/>
  <c r="N294" i="7"/>
  <c r="O294" i="7"/>
  <c r="P294" i="7"/>
  <c r="Q294" i="7"/>
  <c r="T294" i="7"/>
  <c r="B295" i="7"/>
  <c r="C295" i="7"/>
  <c r="F295" i="7"/>
  <c r="G295" i="7"/>
  <c r="H295" i="7"/>
  <c r="L295" i="7"/>
  <c r="M295" i="7" s="1"/>
  <c r="N295" i="7"/>
  <c r="O295" i="7"/>
  <c r="P295" i="7"/>
  <c r="Q295" i="7"/>
  <c r="T295" i="7"/>
  <c r="B296" i="7"/>
  <c r="C296" i="7"/>
  <c r="F296" i="7"/>
  <c r="G296" i="7"/>
  <c r="H296" i="7"/>
  <c r="L296" i="7"/>
  <c r="M296" i="7" s="1"/>
  <c r="N296" i="7"/>
  <c r="O296" i="7"/>
  <c r="P296" i="7"/>
  <c r="Q296" i="7"/>
  <c r="T296" i="7"/>
  <c r="B297" i="7"/>
  <c r="C297" i="7"/>
  <c r="F297" i="7"/>
  <c r="G297" i="7"/>
  <c r="H297" i="7"/>
  <c r="L297" i="7"/>
  <c r="M297" i="7" s="1"/>
  <c r="N297" i="7"/>
  <c r="O297" i="7"/>
  <c r="P297" i="7"/>
  <c r="Q297" i="7"/>
  <c r="T297" i="7"/>
  <c r="B298" i="7"/>
  <c r="C298" i="7"/>
  <c r="F298" i="7"/>
  <c r="G298" i="7"/>
  <c r="H298" i="7"/>
  <c r="L298" i="7"/>
  <c r="M298" i="7" s="1"/>
  <c r="N298" i="7"/>
  <c r="O298" i="7"/>
  <c r="P298" i="7"/>
  <c r="Q298" i="7"/>
  <c r="T298" i="7"/>
  <c r="B299" i="7"/>
  <c r="C299" i="7"/>
  <c r="F299" i="7"/>
  <c r="G299" i="7"/>
  <c r="H299" i="7"/>
  <c r="L299" i="7"/>
  <c r="M299" i="7" s="1"/>
  <c r="N299" i="7"/>
  <c r="O299" i="7"/>
  <c r="P299" i="7"/>
  <c r="Q299" i="7"/>
  <c r="T299" i="7"/>
  <c r="B300" i="7"/>
  <c r="C300" i="7"/>
  <c r="F300" i="7"/>
  <c r="G300" i="7"/>
  <c r="H300" i="7"/>
  <c r="L300" i="7"/>
  <c r="M300" i="7" s="1"/>
  <c r="N300" i="7"/>
  <c r="O300" i="7"/>
  <c r="P300" i="7"/>
  <c r="Q300" i="7"/>
  <c r="T300" i="7"/>
  <c r="B301" i="7"/>
  <c r="C301" i="7"/>
  <c r="F301" i="7"/>
  <c r="G301" i="7"/>
  <c r="H301" i="7"/>
  <c r="L301" i="7"/>
  <c r="M301" i="7" s="1"/>
  <c r="N301" i="7"/>
  <c r="O301" i="7"/>
  <c r="P301" i="7"/>
  <c r="Q301" i="7"/>
  <c r="T301" i="7"/>
  <c r="B302" i="7"/>
  <c r="C302" i="7"/>
  <c r="F302" i="7"/>
  <c r="G302" i="7"/>
  <c r="H302" i="7"/>
  <c r="L302" i="7"/>
  <c r="M302" i="7" s="1"/>
  <c r="N302" i="7"/>
  <c r="O302" i="7"/>
  <c r="P302" i="7"/>
  <c r="Q302" i="7"/>
  <c r="T302" i="7"/>
  <c r="B303" i="7"/>
  <c r="C303" i="7"/>
  <c r="F303" i="7"/>
  <c r="G303" i="7"/>
  <c r="H303" i="7"/>
  <c r="L303" i="7"/>
  <c r="M303" i="7" s="1"/>
  <c r="N303" i="7"/>
  <c r="O303" i="7"/>
  <c r="P303" i="7"/>
  <c r="Q303" i="7"/>
  <c r="T303" i="7"/>
  <c r="B304" i="7"/>
  <c r="C304" i="7"/>
  <c r="F304" i="7"/>
  <c r="G304" i="7"/>
  <c r="H304" i="7"/>
  <c r="L304" i="7"/>
  <c r="M304" i="7" s="1"/>
  <c r="N304" i="7"/>
  <c r="O304" i="7"/>
  <c r="P304" i="7"/>
  <c r="Q304" i="7"/>
  <c r="T304" i="7"/>
  <c r="B305" i="7"/>
  <c r="C305" i="7"/>
  <c r="F305" i="7"/>
  <c r="G305" i="7"/>
  <c r="H305" i="7"/>
  <c r="L305" i="7"/>
  <c r="M305" i="7" s="1"/>
  <c r="N305" i="7"/>
  <c r="O305" i="7"/>
  <c r="P305" i="7"/>
  <c r="Q305" i="7"/>
  <c r="T305" i="7"/>
  <c r="B306" i="7"/>
  <c r="C306" i="7"/>
  <c r="F306" i="7"/>
  <c r="G306" i="7"/>
  <c r="H306" i="7"/>
  <c r="L306" i="7"/>
  <c r="M306" i="7" s="1"/>
  <c r="N306" i="7"/>
  <c r="O306" i="7"/>
  <c r="P306" i="7"/>
  <c r="Q306" i="7"/>
  <c r="T306" i="7"/>
  <c r="B307" i="7"/>
  <c r="C307" i="7"/>
  <c r="F307" i="7"/>
  <c r="G307" i="7"/>
  <c r="H307" i="7"/>
  <c r="L307" i="7"/>
  <c r="M307" i="7" s="1"/>
  <c r="N307" i="7"/>
  <c r="O307" i="7"/>
  <c r="P307" i="7"/>
  <c r="Q307" i="7"/>
  <c r="T307" i="7"/>
  <c r="B308" i="7"/>
  <c r="C308" i="7"/>
  <c r="F308" i="7"/>
  <c r="G308" i="7"/>
  <c r="H308" i="7"/>
  <c r="L308" i="7"/>
  <c r="M308" i="7" s="1"/>
  <c r="N308" i="7"/>
  <c r="O308" i="7"/>
  <c r="P308" i="7"/>
  <c r="Q308" i="7"/>
  <c r="T308" i="7"/>
  <c r="B309" i="7"/>
  <c r="C309" i="7"/>
  <c r="F309" i="7"/>
  <c r="G309" i="7"/>
  <c r="H309" i="7"/>
  <c r="L309" i="7"/>
  <c r="M309" i="7" s="1"/>
  <c r="N309" i="7"/>
  <c r="O309" i="7"/>
  <c r="P309" i="7"/>
  <c r="Q309" i="7"/>
  <c r="T309" i="7"/>
  <c r="B310" i="7"/>
  <c r="C310" i="7"/>
  <c r="F310" i="7"/>
  <c r="G310" i="7"/>
  <c r="H310" i="7"/>
  <c r="L310" i="7"/>
  <c r="M310" i="7" s="1"/>
  <c r="N310" i="7"/>
  <c r="O310" i="7"/>
  <c r="P310" i="7"/>
  <c r="Q310" i="7"/>
  <c r="T310" i="7"/>
  <c r="B311" i="7"/>
  <c r="C311" i="7"/>
  <c r="F311" i="7"/>
  <c r="G311" i="7"/>
  <c r="H311" i="7"/>
  <c r="L311" i="7"/>
  <c r="M311" i="7" s="1"/>
  <c r="N311" i="7"/>
  <c r="O311" i="7"/>
  <c r="P311" i="7"/>
  <c r="Q311" i="7"/>
  <c r="T311" i="7"/>
  <c r="B312" i="7"/>
  <c r="C312" i="7"/>
  <c r="F312" i="7"/>
  <c r="G312" i="7"/>
  <c r="H312" i="7"/>
  <c r="L312" i="7"/>
  <c r="M312" i="7" s="1"/>
  <c r="N312" i="7"/>
  <c r="O312" i="7"/>
  <c r="P312" i="7"/>
  <c r="Q312" i="7"/>
  <c r="T312" i="7"/>
  <c r="B313" i="7"/>
  <c r="C313" i="7"/>
  <c r="F313" i="7"/>
  <c r="G313" i="7"/>
  <c r="H313" i="7"/>
  <c r="L313" i="7"/>
  <c r="M313" i="7" s="1"/>
  <c r="N313" i="7"/>
  <c r="O313" i="7"/>
  <c r="P313" i="7"/>
  <c r="Q313" i="7"/>
  <c r="T313" i="7"/>
  <c r="B314" i="7"/>
  <c r="C314" i="7"/>
  <c r="F314" i="7"/>
  <c r="G314" i="7"/>
  <c r="H314" i="7"/>
  <c r="L314" i="7"/>
  <c r="M314" i="7" s="1"/>
  <c r="N314" i="7"/>
  <c r="O314" i="7"/>
  <c r="P314" i="7"/>
  <c r="Q314" i="7"/>
  <c r="T314" i="7"/>
  <c r="B315" i="7"/>
  <c r="C315" i="7"/>
  <c r="F315" i="7"/>
  <c r="G315" i="7"/>
  <c r="H315" i="7"/>
  <c r="L315" i="7"/>
  <c r="M315" i="7" s="1"/>
  <c r="N315" i="7"/>
  <c r="O315" i="7"/>
  <c r="P315" i="7"/>
  <c r="Q315" i="7"/>
  <c r="T315" i="7"/>
  <c r="B316" i="7"/>
  <c r="C316" i="7"/>
  <c r="F316" i="7"/>
  <c r="G316" i="7"/>
  <c r="H316" i="7"/>
  <c r="L316" i="7"/>
  <c r="M316" i="7" s="1"/>
  <c r="N316" i="7"/>
  <c r="O316" i="7"/>
  <c r="P316" i="7"/>
  <c r="Q316" i="7"/>
  <c r="T316" i="7"/>
  <c r="B317" i="7"/>
  <c r="C317" i="7"/>
  <c r="F317" i="7"/>
  <c r="G317" i="7"/>
  <c r="H317" i="7"/>
  <c r="L317" i="7"/>
  <c r="M317" i="7" s="1"/>
  <c r="N317" i="7"/>
  <c r="O317" i="7"/>
  <c r="P317" i="7"/>
  <c r="Q317" i="7"/>
  <c r="T317" i="7"/>
  <c r="B318" i="7"/>
  <c r="C318" i="7"/>
  <c r="F318" i="7"/>
  <c r="G318" i="7"/>
  <c r="H318" i="7"/>
  <c r="L318" i="7"/>
  <c r="M318" i="7" s="1"/>
  <c r="N318" i="7"/>
  <c r="O318" i="7"/>
  <c r="P318" i="7"/>
  <c r="Q318" i="7"/>
  <c r="T318" i="7"/>
  <c r="B319" i="7"/>
  <c r="C319" i="7"/>
  <c r="F319" i="7"/>
  <c r="G319" i="7"/>
  <c r="H319" i="7"/>
  <c r="L319" i="7"/>
  <c r="M319" i="7" s="1"/>
  <c r="N319" i="7"/>
  <c r="O319" i="7"/>
  <c r="P319" i="7"/>
  <c r="Q319" i="7"/>
  <c r="T319" i="7"/>
  <c r="B320" i="7"/>
  <c r="C320" i="7"/>
  <c r="F320" i="7"/>
  <c r="G320" i="7"/>
  <c r="H320" i="7"/>
  <c r="L320" i="7"/>
  <c r="M320" i="7" s="1"/>
  <c r="N320" i="7"/>
  <c r="O320" i="7"/>
  <c r="P320" i="7"/>
  <c r="Q320" i="7"/>
  <c r="T320" i="7"/>
  <c r="B321" i="7"/>
  <c r="C321" i="7"/>
  <c r="F321" i="7"/>
  <c r="G321" i="7"/>
  <c r="H321" i="7"/>
  <c r="L321" i="7"/>
  <c r="M321" i="7" s="1"/>
  <c r="N321" i="7"/>
  <c r="O321" i="7"/>
  <c r="P321" i="7"/>
  <c r="Q321" i="7"/>
  <c r="T321" i="7"/>
  <c r="B322" i="7"/>
  <c r="C322" i="7"/>
  <c r="F322" i="7"/>
  <c r="G322" i="7"/>
  <c r="H322" i="7"/>
  <c r="L322" i="7"/>
  <c r="M322" i="7" s="1"/>
  <c r="N322" i="7"/>
  <c r="O322" i="7"/>
  <c r="P322" i="7"/>
  <c r="Q322" i="7"/>
  <c r="T322" i="7"/>
  <c r="B323" i="7"/>
  <c r="C323" i="7"/>
  <c r="F323" i="7"/>
  <c r="G323" i="7"/>
  <c r="H323" i="7"/>
  <c r="L323" i="7"/>
  <c r="M323" i="7" s="1"/>
  <c r="N323" i="7"/>
  <c r="O323" i="7"/>
  <c r="P323" i="7"/>
  <c r="Q323" i="7"/>
  <c r="T323" i="7"/>
  <c r="B324" i="7"/>
  <c r="C324" i="7"/>
  <c r="F324" i="7"/>
  <c r="G324" i="7"/>
  <c r="H324" i="7"/>
  <c r="L324" i="7"/>
  <c r="M324" i="7" s="1"/>
  <c r="N324" i="7"/>
  <c r="O324" i="7"/>
  <c r="P324" i="7"/>
  <c r="Q324" i="7"/>
  <c r="T324" i="7"/>
  <c r="B325" i="7"/>
  <c r="C325" i="7"/>
  <c r="F325" i="7"/>
  <c r="G325" i="7"/>
  <c r="H325" i="7"/>
  <c r="L325" i="7"/>
  <c r="M325" i="7" s="1"/>
  <c r="N325" i="7"/>
  <c r="O325" i="7"/>
  <c r="P325" i="7"/>
  <c r="Q325" i="7"/>
  <c r="T325" i="7"/>
  <c r="B326" i="7"/>
  <c r="C326" i="7"/>
  <c r="F326" i="7"/>
  <c r="G326" i="7"/>
  <c r="H326" i="7"/>
  <c r="L326" i="7"/>
  <c r="M326" i="7" s="1"/>
  <c r="N326" i="7"/>
  <c r="O326" i="7"/>
  <c r="P326" i="7"/>
  <c r="Q326" i="7"/>
  <c r="T326" i="7"/>
  <c r="B327" i="7"/>
  <c r="C327" i="7"/>
  <c r="F327" i="7"/>
  <c r="G327" i="7"/>
  <c r="H327" i="7"/>
  <c r="L327" i="7"/>
  <c r="M327" i="7" s="1"/>
  <c r="N327" i="7"/>
  <c r="O327" i="7"/>
  <c r="P327" i="7"/>
  <c r="Q327" i="7"/>
  <c r="T327" i="7"/>
  <c r="B328" i="7"/>
  <c r="C328" i="7"/>
  <c r="F328" i="7"/>
  <c r="G328" i="7"/>
  <c r="H328" i="7"/>
  <c r="L328" i="7"/>
  <c r="M328" i="7" s="1"/>
  <c r="N328" i="7"/>
  <c r="O328" i="7"/>
  <c r="P328" i="7"/>
  <c r="Q328" i="7"/>
  <c r="T328" i="7"/>
  <c r="B329" i="7"/>
  <c r="C329" i="7"/>
  <c r="F329" i="7"/>
  <c r="G329" i="7"/>
  <c r="H329" i="7"/>
  <c r="L329" i="7"/>
  <c r="M329" i="7" s="1"/>
  <c r="N329" i="7"/>
  <c r="O329" i="7"/>
  <c r="P329" i="7"/>
  <c r="Q329" i="7"/>
  <c r="T329" i="7"/>
  <c r="B330" i="7"/>
  <c r="C330" i="7"/>
  <c r="F330" i="7"/>
  <c r="G330" i="7"/>
  <c r="H330" i="7"/>
  <c r="L330" i="7"/>
  <c r="M330" i="7" s="1"/>
  <c r="N330" i="7"/>
  <c r="O330" i="7"/>
  <c r="P330" i="7"/>
  <c r="Q330" i="7"/>
  <c r="T330" i="7"/>
  <c r="B331" i="7"/>
  <c r="C331" i="7"/>
  <c r="F331" i="7"/>
  <c r="G331" i="7"/>
  <c r="H331" i="7"/>
  <c r="L331" i="7"/>
  <c r="M331" i="7" s="1"/>
  <c r="N331" i="7"/>
  <c r="O331" i="7"/>
  <c r="P331" i="7"/>
  <c r="Q331" i="7"/>
  <c r="T331" i="7"/>
  <c r="B332" i="7"/>
  <c r="C332" i="7"/>
  <c r="F332" i="7"/>
  <c r="G332" i="7"/>
  <c r="H332" i="7"/>
  <c r="L332" i="7"/>
  <c r="M332" i="7" s="1"/>
  <c r="N332" i="7"/>
  <c r="O332" i="7"/>
  <c r="P332" i="7"/>
  <c r="Q332" i="7"/>
  <c r="T332" i="7"/>
  <c r="B333" i="7"/>
  <c r="C333" i="7"/>
  <c r="F333" i="7"/>
  <c r="G333" i="7"/>
  <c r="H333" i="7"/>
  <c r="L333" i="7"/>
  <c r="M333" i="7" s="1"/>
  <c r="N333" i="7"/>
  <c r="O333" i="7"/>
  <c r="P333" i="7"/>
  <c r="Q333" i="7"/>
  <c r="T333" i="7"/>
  <c r="B334" i="7"/>
  <c r="C334" i="7"/>
  <c r="F334" i="7"/>
  <c r="G334" i="7"/>
  <c r="H334" i="7"/>
  <c r="L334" i="7"/>
  <c r="M334" i="7" s="1"/>
  <c r="N334" i="7"/>
  <c r="O334" i="7"/>
  <c r="P334" i="7"/>
  <c r="Q334" i="7"/>
  <c r="T334" i="7"/>
  <c r="B335" i="7"/>
  <c r="C335" i="7"/>
  <c r="F335" i="7"/>
  <c r="G335" i="7"/>
  <c r="H335" i="7"/>
  <c r="L335" i="7"/>
  <c r="M335" i="7" s="1"/>
  <c r="N335" i="7"/>
  <c r="O335" i="7"/>
  <c r="P335" i="7"/>
  <c r="Q335" i="7"/>
  <c r="T335" i="7"/>
  <c r="B336" i="7"/>
  <c r="C336" i="7"/>
  <c r="F336" i="7"/>
  <c r="G336" i="7"/>
  <c r="H336" i="7"/>
  <c r="L336" i="7"/>
  <c r="M336" i="7" s="1"/>
  <c r="N336" i="7"/>
  <c r="O336" i="7"/>
  <c r="P336" i="7"/>
  <c r="Q336" i="7"/>
  <c r="T336" i="7"/>
  <c r="B337" i="7"/>
  <c r="C337" i="7"/>
  <c r="F337" i="7"/>
  <c r="G337" i="7"/>
  <c r="H337" i="7"/>
  <c r="L337" i="7"/>
  <c r="M337" i="7" s="1"/>
  <c r="N337" i="7"/>
  <c r="O337" i="7"/>
  <c r="P337" i="7"/>
  <c r="Q337" i="7"/>
  <c r="T337" i="7"/>
  <c r="B338" i="7"/>
  <c r="C338" i="7"/>
  <c r="F338" i="7"/>
  <c r="G338" i="7"/>
  <c r="H338" i="7"/>
  <c r="L338" i="7"/>
  <c r="M338" i="7" s="1"/>
  <c r="N338" i="7"/>
  <c r="O338" i="7"/>
  <c r="P338" i="7"/>
  <c r="Q338" i="7"/>
  <c r="T338" i="7"/>
  <c r="B339" i="7"/>
  <c r="C339" i="7"/>
  <c r="F339" i="7"/>
  <c r="G339" i="7"/>
  <c r="H339" i="7"/>
  <c r="L339" i="7"/>
  <c r="M339" i="7" s="1"/>
  <c r="N339" i="7"/>
  <c r="O339" i="7"/>
  <c r="P339" i="7"/>
  <c r="Q339" i="7"/>
  <c r="T339" i="7"/>
  <c r="B340" i="7"/>
  <c r="C340" i="7"/>
  <c r="F340" i="7"/>
  <c r="G340" i="7"/>
  <c r="H340" i="7"/>
  <c r="L340" i="7"/>
  <c r="M340" i="7" s="1"/>
  <c r="N340" i="7"/>
  <c r="O340" i="7"/>
  <c r="P340" i="7"/>
  <c r="Q340" i="7"/>
  <c r="T340" i="7"/>
  <c r="B341" i="7"/>
  <c r="C341" i="7"/>
  <c r="F341" i="7"/>
  <c r="G341" i="7"/>
  <c r="H341" i="7"/>
  <c r="L341" i="7"/>
  <c r="M341" i="7" s="1"/>
  <c r="N341" i="7"/>
  <c r="O341" i="7"/>
  <c r="P341" i="7"/>
  <c r="Q341" i="7"/>
  <c r="T341" i="7"/>
  <c r="B342" i="7"/>
  <c r="C342" i="7"/>
  <c r="F342" i="7"/>
  <c r="G342" i="7"/>
  <c r="H342" i="7"/>
  <c r="L342" i="7"/>
  <c r="M342" i="7" s="1"/>
  <c r="N342" i="7"/>
  <c r="O342" i="7"/>
  <c r="P342" i="7"/>
  <c r="Q342" i="7"/>
  <c r="T342" i="7"/>
  <c r="B343" i="7"/>
  <c r="C343" i="7"/>
  <c r="F343" i="7"/>
  <c r="G343" i="7"/>
  <c r="H343" i="7"/>
  <c r="L343" i="7"/>
  <c r="M343" i="7" s="1"/>
  <c r="N343" i="7"/>
  <c r="O343" i="7"/>
  <c r="P343" i="7"/>
  <c r="Q343" i="7"/>
  <c r="T343" i="7"/>
  <c r="B344" i="7"/>
  <c r="C344" i="7"/>
  <c r="F344" i="7"/>
  <c r="G344" i="7"/>
  <c r="H344" i="7"/>
  <c r="L344" i="7"/>
  <c r="M344" i="7" s="1"/>
  <c r="N344" i="7"/>
  <c r="O344" i="7"/>
  <c r="P344" i="7"/>
  <c r="Q344" i="7"/>
  <c r="T344" i="7"/>
  <c r="B345" i="7"/>
  <c r="C345" i="7"/>
  <c r="F345" i="7"/>
  <c r="G345" i="7"/>
  <c r="H345" i="7"/>
  <c r="L345" i="7"/>
  <c r="M345" i="7" s="1"/>
  <c r="N345" i="7"/>
  <c r="O345" i="7"/>
  <c r="P345" i="7"/>
  <c r="Q345" i="7"/>
  <c r="T345" i="7"/>
  <c r="B346" i="7"/>
  <c r="C346" i="7"/>
  <c r="F346" i="7"/>
  <c r="G346" i="7"/>
  <c r="H346" i="7"/>
  <c r="L346" i="7"/>
  <c r="M346" i="7" s="1"/>
  <c r="N346" i="7"/>
  <c r="O346" i="7"/>
  <c r="P346" i="7"/>
  <c r="Q346" i="7"/>
  <c r="T346" i="7"/>
  <c r="B347" i="7"/>
  <c r="C347" i="7"/>
  <c r="F347" i="7"/>
  <c r="G347" i="7"/>
  <c r="H347" i="7"/>
  <c r="L347" i="7"/>
  <c r="M347" i="7" s="1"/>
  <c r="N347" i="7"/>
  <c r="O347" i="7"/>
  <c r="P347" i="7"/>
  <c r="Q347" i="7"/>
  <c r="T347" i="7"/>
  <c r="B348" i="7"/>
  <c r="C348" i="7"/>
  <c r="F348" i="7"/>
  <c r="G348" i="7"/>
  <c r="H348" i="7"/>
  <c r="L348" i="7"/>
  <c r="M348" i="7" s="1"/>
  <c r="N348" i="7"/>
  <c r="O348" i="7"/>
  <c r="P348" i="7"/>
  <c r="Q348" i="7"/>
  <c r="T348" i="7"/>
  <c r="B349" i="7"/>
  <c r="C349" i="7"/>
  <c r="F349" i="7"/>
  <c r="G349" i="7"/>
  <c r="H349" i="7"/>
  <c r="L349" i="7"/>
  <c r="M349" i="7" s="1"/>
  <c r="N349" i="7"/>
  <c r="O349" i="7"/>
  <c r="P349" i="7"/>
  <c r="Q349" i="7"/>
  <c r="T349" i="7"/>
  <c r="B350" i="7"/>
  <c r="C350" i="7"/>
  <c r="F350" i="7"/>
  <c r="G350" i="7"/>
  <c r="H350" i="7"/>
  <c r="L350" i="7"/>
  <c r="M350" i="7" s="1"/>
  <c r="N350" i="7"/>
  <c r="O350" i="7"/>
  <c r="P350" i="7"/>
  <c r="Q350" i="7"/>
  <c r="T350" i="7"/>
  <c r="B351" i="7"/>
  <c r="C351" i="7"/>
  <c r="F351" i="7"/>
  <c r="G351" i="7"/>
  <c r="H351" i="7"/>
  <c r="L351" i="7"/>
  <c r="M351" i="7" s="1"/>
  <c r="N351" i="7"/>
  <c r="O351" i="7"/>
  <c r="P351" i="7"/>
  <c r="Q351" i="7"/>
  <c r="T351" i="7"/>
  <c r="B352" i="7"/>
  <c r="C352" i="7"/>
  <c r="F352" i="7"/>
  <c r="G352" i="7"/>
  <c r="H352" i="7"/>
  <c r="L352" i="7"/>
  <c r="M352" i="7" s="1"/>
  <c r="N352" i="7"/>
  <c r="O352" i="7"/>
  <c r="P352" i="7"/>
  <c r="Q352" i="7"/>
  <c r="T352" i="7"/>
  <c r="B353" i="7"/>
  <c r="C353" i="7"/>
  <c r="F353" i="7"/>
  <c r="G353" i="7"/>
  <c r="H353" i="7"/>
  <c r="L353" i="7"/>
  <c r="M353" i="7" s="1"/>
  <c r="N353" i="7"/>
  <c r="O353" i="7"/>
  <c r="P353" i="7"/>
  <c r="Q353" i="7"/>
  <c r="T353" i="7"/>
  <c r="B354" i="7"/>
  <c r="C354" i="7"/>
  <c r="F354" i="7"/>
  <c r="G354" i="7"/>
  <c r="H354" i="7"/>
  <c r="L354" i="7"/>
  <c r="M354" i="7" s="1"/>
  <c r="N354" i="7"/>
  <c r="O354" i="7"/>
  <c r="P354" i="7"/>
  <c r="Q354" i="7"/>
  <c r="T354" i="7"/>
  <c r="B355" i="7"/>
  <c r="C355" i="7"/>
  <c r="F355" i="7"/>
  <c r="G355" i="7"/>
  <c r="H355" i="7"/>
  <c r="L355" i="7"/>
  <c r="M355" i="7" s="1"/>
  <c r="N355" i="7"/>
  <c r="O355" i="7"/>
  <c r="P355" i="7"/>
  <c r="Q355" i="7"/>
  <c r="T355" i="7"/>
  <c r="B356" i="7"/>
  <c r="C356" i="7"/>
  <c r="F356" i="7"/>
  <c r="G356" i="7"/>
  <c r="H356" i="7"/>
  <c r="L356" i="7"/>
  <c r="M356" i="7" s="1"/>
  <c r="N356" i="7"/>
  <c r="O356" i="7"/>
  <c r="P356" i="7"/>
  <c r="Q356" i="7"/>
  <c r="T356" i="7"/>
  <c r="B357" i="7"/>
  <c r="C357" i="7"/>
  <c r="F357" i="7"/>
  <c r="G357" i="7"/>
  <c r="H357" i="7"/>
  <c r="L357" i="7"/>
  <c r="M357" i="7" s="1"/>
  <c r="N357" i="7"/>
  <c r="O357" i="7"/>
  <c r="P357" i="7"/>
  <c r="Q357" i="7"/>
  <c r="T357" i="7"/>
  <c r="B358" i="7"/>
  <c r="C358" i="7"/>
  <c r="F358" i="7"/>
  <c r="G358" i="7"/>
  <c r="H358" i="7"/>
  <c r="L358" i="7"/>
  <c r="M358" i="7" s="1"/>
  <c r="N358" i="7"/>
  <c r="O358" i="7"/>
  <c r="P358" i="7"/>
  <c r="Q358" i="7"/>
  <c r="T358" i="7"/>
  <c r="B359" i="7"/>
  <c r="C359" i="7"/>
  <c r="F359" i="7"/>
  <c r="G359" i="7"/>
  <c r="H359" i="7"/>
  <c r="L359" i="7"/>
  <c r="M359" i="7" s="1"/>
  <c r="N359" i="7"/>
  <c r="O359" i="7"/>
  <c r="P359" i="7"/>
  <c r="Q359" i="7"/>
  <c r="T359" i="7"/>
  <c r="B360" i="7"/>
  <c r="C360" i="7"/>
  <c r="F360" i="7"/>
  <c r="G360" i="7"/>
  <c r="H360" i="7"/>
  <c r="L360" i="7"/>
  <c r="M360" i="7" s="1"/>
  <c r="N360" i="7"/>
  <c r="O360" i="7"/>
  <c r="P360" i="7"/>
  <c r="Q360" i="7"/>
  <c r="T360" i="7"/>
  <c r="B361" i="7"/>
  <c r="C361" i="7"/>
  <c r="F361" i="7"/>
  <c r="G361" i="7"/>
  <c r="H361" i="7"/>
  <c r="L361" i="7"/>
  <c r="M361" i="7" s="1"/>
  <c r="N361" i="7"/>
  <c r="O361" i="7"/>
  <c r="P361" i="7"/>
  <c r="Q361" i="7"/>
  <c r="T361" i="7"/>
  <c r="B362" i="7"/>
  <c r="C362" i="7"/>
  <c r="F362" i="7"/>
  <c r="G362" i="7"/>
  <c r="H362" i="7"/>
  <c r="L362" i="7"/>
  <c r="M362" i="7" s="1"/>
  <c r="N362" i="7"/>
  <c r="O362" i="7"/>
  <c r="P362" i="7"/>
  <c r="Q362" i="7"/>
  <c r="T362" i="7"/>
  <c r="B363" i="7"/>
  <c r="C363" i="7"/>
  <c r="F363" i="7"/>
  <c r="G363" i="7"/>
  <c r="H363" i="7"/>
  <c r="L363" i="7"/>
  <c r="M363" i="7" s="1"/>
  <c r="N363" i="7"/>
  <c r="O363" i="7"/>
  <c r="P363" i="7"/>
  <c r="Q363" i="7"/>
  <c r="T363" i="7"/>
  <c r="B364" i="7"/>
  <c r="C364" i="7"/>
  <c r="F364" i="7"/>
  <c r="G364" i="7"/>
  <c r="H364" i="7"/>
  <c r="L364" i="7"/>
  <c r="M364" i="7" s="1"/>
  <c r="N364" i="7"/>
  <c r="O364" i="7"/>
  <c r="P364" i="7"/>
  <c r="Q364" i="7"/>
  <c r="T364" i="7"/>
  <c r="B365" i="7"/>
  <c r="C365" i="7"/>
  <c r="F365" i="7"/>
  <c r="G365" i="7"/>
  <c r="H365" i="7"/>
  <c r="L365" i="7"/>
  <c r="M365" i="7" s="1"/>
  <c r="N365" i="7"/>
  <c r="O365" i="7"/>
  <c r="P365" i="7"/>
  <c r="Q365" i="7"/>
  <c r="T365" i="7"/>
  <c r="B366" i="7"/>
  <c r="C366" i="7"/>
  <c r="F366" i="7"/>
  <c r="G366" i="7"/>
  <c r="H366" i="7"/>
  <c r="L366" i="7"/>
  <c r="M366" i="7" s="1"/>
  <c r="N366" i="7"/>
  <c r="O366" i="7"/>
  <c r="P366" i="7"/>
  <c r="Q366" i="7"/>
  <c r="T366" i="7"/>
  <c r="B367" i="7"/>
  <c r="C367" i="7"/>
  <c r="F367" i="7"/>
  <c r="G367" i="7"/>
  <c r="H367" i="7"/>
  <c r="L367" i="7"/>
  <c r="M367" i="7" s="1"/>
  <c r="N367" i="7"/>
  <c r="O367" i="7"/>
  <c r="P367" i="7"/>
  <c r="Q367" i="7"/>
  <c r="T367" i="7"/>
  <c r="B368" i="7"/>
  <c r="C368" i="7"/>
  <c r="F368" i="7"/>
  <c r="G368" i="7"/>
  <c r="H368" i="7"/>
  <c r="L368" i="7"/>
  <c r="M368" i="7" s="1"/>
  <c r="N368" i="7"/>
  <c r="O368" i="7"/>
  <c r="P368" i="7"/>
  <c r="Q368" i="7"/>
  <c r="T368" i="7"/>
  <c r="B369" i="7"/>
  <c r="C369" i="7"/>
  <c r="F369" i="7"/>
  <c r="G369" i="7"/>
  <c r="H369" i="7"/>
  <c r="L369" i="7"/>
  <c r="M369" i="7" s="1"/>
  <c r="N369" i="7"/>
  <c r="O369" i="7"/>
  <c r="P369" i="7"/>
  <c r="Q369" i="7"/>
  <c r="T369" i="7"/>
  <c r="B370" i="7"/>
  <c r="C370" i="7"/>
  <c r="F370" i="7"/>
  <c r="G370" i="7"/>
  <c r="H370" i="7"/>
  <c r="L370" i="7"/>
  <c r="M370" i="7" s="1"/>
  <c r="N370" i="7"/>
  <c r="O370" i="7"/>
  <c r="P370" i="7"/>
  <c r="Q370" i="7"/>
  <c r="T370" i="7"/>
  <c r="B371" i="7"/>
  <c r="C371" i="7"/>
  <c r="F371" i="7"/>
  <c r="G371" i="7"/>
  <c r="H371" i="7"/>
  <c r="L371" i="7"/>
  <c r="M371" i="7" s="1"/>
  <c r="N371" i="7"/>
  <c r="O371" i="7"/>
  <c r="P371" i="7"/>
  <c r="Q371" i="7"/>
  <c r="T371" i="7"/>
  <c r="B372" i="7"/>
  <c r="C372" i="7"/>
  <c r="F372" i="7"/>
  <c r="G372" i="7"/>
  <c r="H372" i="7"/>
  <c r="L372" i="7"/>
  <c r="M372" i="7" s="1"/>
  <c r="N372" i="7"/>
  <c r="O372" i="7"/>
  <c r="P372" i="7"/>
  <c r="Q372" i="7"/>
  <c r="T372" i="7"/>
  <c r="B373" i="7"/>
  <c r="C373" i="7"/>
  <c r="F373" i="7"/>
  <c r="G373" i="7"/>
  <c r="H373" i="7"/>
  <c r="L373" i="7"/>
  <c r="M373" i="7" s="1"/>
  <c r="N373" i="7"/>
  <c r="O373" i="7"/>
  <c r="P373" i="7"/>
  <c r="Q373" i="7"/>
  <c r="T373" i="7"/>
  <c r="B374" i="7"/>
  <c r="C374" i="7"/>
  <c r="F374" i="7"/>
  <c r="G374" i="7"/>
  <c r="H374" i="7"/>
  <c r="L374" i="7"/>
  <c r="M374" i="7" s="1"/>
  <c r="N374" i="7"/>
  <c r="O374" i="7"/>
  <c r="P374" i="7"/>
  <c r="Q374" i="7"/>
  <c r="T374" i="7"/>
  <c r="B375" i="7"/>
  <c r="C375" i="7"/>
  <c r="F375" i="7"/>
  <c r="G375" i="7"/>
  <c r="H375" i="7"/>
  <c r="L375" i="7"/>
  <c r="M375" i="7" s="1"/>
  <c r="N375" i="7"/>
  <c r="O375" i="7"/>
  <c r="P375" i="7"/>
  <c r="Q375" i="7"/>
  <c r="T375" i="7"/>
  <c r="B376" i="7"/>
  <c r="C376" i="7"/>
  <c r="F376" i="7"/>
  <c r="G376" i="7"/>
  <c r="H376" i="7"/>
  <c r="L376" i="7"/>
  <c r="M376" i="7" s="1"/>
  <c r="N376" i="7"/>
  <c r="O376" i="7"/>
  <c r="P376" i="7"/>
  <c r="Q376" i="7"/>
  <c r="T376" i="7"/>
  <c r="B377" i="7"/>
  <c r="C377" i="7"/>
  <c r="F377" i="7"/>
  <c r="G377" i="7"/>
  <c r="H377" i="7"/>
  <c r="L377" i="7"/>
  <c r="M377" i="7" s="1"/>
  <c r="N377" i="7"/>
  <c r="O377" i="7"/>
  <c r="P377" i="7"/>
  <c r="Q377" i="7"/>
  <c r="T377" i="7"/>
  <c r="B378" i="7"/>
  <c r="C378" i="7"/>
  <c r="F378" i="7"/>
  <c r="G378" i="7"/>
  <c r="H378" i="7"/>
  <c r="L378" i="7"/>
  <c r="M378" i="7" s="1"/>
  <c r="N378" i="7"/>
  <c r="O378" i="7"/>
  <c r="P378" i="7"/>
  <c r="Q378" i="7"/>
  <c r="T378" i="7"/>
  <c r="B379" i="7"/>
  <c r="C379" i="7"/>
  <c r="F379" i="7"/>
  <c r="G379" i="7"/>
  <c r="H379" i="7"/>
  <c r="L379" i="7"/>
  <c r="M379" i="7" s="1"/>
  <c r="N379" i="7"/>
  <c r="O379" i="7"/>
  <c r="P379" i="7"/>
  <c r="Q379" i="7"/>
  <c r="T379" i="7"/>
  <c r="B380" i="7"/>
  <c r="C380" i="7"/>
  <c r="F380" i="7"/>
  <c r="G380" i="7"/>
  <c r="H380" i="7"/>
  <c r="L380" i="7"/>
  <c r="M380" i="7" s="1"/>
  <c r="N380" i="7"/>
  <c r="O380" i="7"/>
  <c r="P380" i="7"/>
  <c r="Q380" i="7"/>
  <c r="T380" i="7"/>
  <c r="B381" i="7"/>
  <c r="C381" i="7"/>
  <c r="F381" i="7"/>
  <c r="G381" i="7"/>
  <c r="H381" i="7"/>
  <c r="L381" i="7"/>
  <c r="M381" i="7" s="1"/>
  <c r="N381" i="7"/>
  <c r="O381" i="7"/>
  <c r="P381" i="7"/>
  <c r="Q381" i="7"/>
  <c r="T381" i="7"/>
  <c r="B382" i="7"/>
  <c r="C382" i="7"/>
  <c r="F382" i="7"/>
  <c r="G382" i="7"/>
  <c r="H382" i="7"/>
  <c r="L382" i="7"/>
  <c r="M382" i="7" s="1"/>
  <c r="N382" i="7"/>
  <c r="O382" i="7"/>
  <c r="P382" i="7"/>
  <c r="Q382" i="7"/>
  <c r="T382" i="7"/>
  <c r="B383" i="7"/>
  <c r="C383" i="7"/>
  <c r="F383" i="7"/>
  <c r="G383" i="7"/>
  <c r="H383" i="7"/>
  <c r="L383" i="7"/>
  <c r="M383" i="7" s="1"/>
  <c r="N383" i="7"/>
  <c r="O383" i="7"/>
  <c r="P383" i="7"/>
  <c r="Q383" i="7"/>
  <c r="T383" i="7"/>
  <c r="B384" i="7"/>
  <c r="C384" i="7"/>
  <c r="F384" i="7"/>
  <c r="G384" i="7"/>
  <c r="H384" i="7"/>
  <c r="L384" i="7"/>
  <c r="M384" i="7" s="1"/>
  <c r="N384" i="7"/>
  <c r="O384" i="7"/>
  <c r="P384" i="7"/>
  <c r="Q384" i="7"/>
  <c r="T384" i="7"/>
  <c r="B385" i="7"/>
  <c r="C385" i="7"/>
  <c r="F385" i="7"/>
  <c r="G385" i="7"/>
  <c r="H385" i="7"/>
  <c r="L385" i="7"/>
  <c r="M385" i="7" s="1"/>
  <c r="N385" i="7"/>
  <c r="O385" i="7"/>
  <c r="P385" i="7"/>
  <c r="Q385" i="7"/>
  <c r="T385" i="7"/>
  <c r="B386" i="7"/>
  <c r="C386" i="7"/>
  <c r="F386" i="7"/>
  <c r="G386" i="7"/>
  <c r="H386" i="7"/>
  <c r="L386" i="7"/>
  <c r="M386" i="7" s="1"/>
  <c r="N386" i="7"/>
  <c r="O386" i="7"/>
  <c r="P386" i="7"/>
  <c r="Q386" i="7"/>
  <c r="T386" i="7"/>
  <c r="B387" i="7"/>
  <c r="C387" i="7"/>
  <c r="F387" i="7"/>
  <c r="G387" i="7"/>
  <c r="H387" i="7"/>
  <c r="L387" i="7"/>
  <c r="M387" i="7" s="1"/>
  <c r="N387" i="7"/>
  <c r="O387" i="7"/>
  <c r="P387" i="7"/>
  <c r="Q387" i="7"/>
  <c r="T387" i="7"/>
  <c r="B388" i="7"/>
  <c r="C388" i="7"/>
  <c r="F388" i="7"/>
  <c r="G388" i="7"/>
  <c r="H388" i="7"/>
  <c r="L388" i="7"/>
  <c r="M388" i="7" s="1"/>
  <c r="N388" i="7"/>
  <c r="O388" i="7"/>
  <c r="P388" i="7"/>
  <c r="Q388" i="7"/>
  <c r="T388" i="7"/>
  <c r="B389" i="7"/>
  <c r="C389" i="7"/>
  <c r="F389" i="7"/>
  <c r="G389" i="7"/>
  <c r="H389" i="7"/>
  <c r="L389" i="7"/>
  <c r="M389" i="7" s="1"/>
  <c r="N389" i="7"/>
  <c r="O389" i="7"/>
  <c r="P389" i="7"/>
  <c r="Q389" i="7"/>
  <c r="T389" i="7"/>
  <c r="B390" i="7"/>
  <c r="C390" i="7"/>
  <c r="F390" i="7"/>
  <c r="G390" i="7"/>
  <c r="H390" i="7"/>
  <c r="L390" i="7"/>
  <c r="M390" i="7" s="1"/>
  <c r="N390" i="7"/>
  <c r="O390" i="7"/>
  <c r="P390" i="7"/>
  <c r="Q390" i="7"/>
  <c r="T390" i="7"/>
  <c r="B391" i="7"/>
  <c r="C391" i="7"/>
  <c r="F391" i="7"/>
  <c r="G391" i="7"/>
  <c r="H391" i="7"/>
  <c r="L391" i="7"/>
  <c r="M391" i="7" s="1"/>
  <c r="N391" i="7"/>
  <c r="O391" i="7"/>
  <c r="P391" i="7"/>
  <c r="Q391" i="7"/>
  <c r="T391" i="7"/>
  <c r="B392" i="7"/>
  <c r="C392" i="7"/>
  <c r="F392" i="7"/>
  <c r="G392" i="7"/>
  <c r="H392" i="7"/>
  <c r="L392" i="7"/>
  <c r="M392" i="7" s="1"/>
  <c r="N392" i="7"/>
  <c r="O392" i="7"/>
  <c r="P392" i="7"/>
  <c r="Q392" i="7"/>
  <c r="T392" i="7"/>
  <c r="B393" i="7"/>
  <c r="C393" i="7"/>
  <c r="F393" i="7"/>
  <c r="G393" i="7"/>
  <c r="H393" i="7"/>
  <c r="L393" i="7"/>
  <c r="M393" i="7" s="1"/>
  <c r="N393" i="7"/>
  <c r="O393" i="7"/>
  <c r="P393" i="7"/>
  <c r="Q393" i="7"/>
  <c r="T393" i="7"/>
  <c r="B394" i="7"/>
  <c r="C394" i="7"/>
  <c r="F394" i="7"/>
  <c r="G394" i="7"/>
  <c r="H394" i="7"/>
  <c r="L394" i="7"/>
  <c r="M394" i="7" s="1"/>
  <c r="N394" i="7"/>
  <c r="O394" i="7"/>
  <c r="P394" i="7"/>
  <c r="Q394" i="7"/>
  <c r="T394" i="7"/>
  <c r="B395" i="7"/>
  <c r="C395" i="7"/>
  <c r="F395" i="7"/>
  <c r="G395" i="7"/>
  <c r="H395" i="7"/>
  <c r="L395" i="7"/>
  <c r="M395" i="7" s="1"/>
  <c r="N395" i="7"/>
  <c r="O395" i="7"/>
  <c r="P395" i="7"/>
  <c r="Q395" i="7"/>
  <c r="T395" i="7"/>
  <c r="B396" i="7"/>
  <c r="C396" i="7"/>
  <c r="F396" i="7"/>
  <c r="G396" i="7"/>
  <c r="H396" i="7"/>
  <c r="L396" i="7"/>
  <c r="M396" i="7" s="1"/>
  <c r="N396" i="7"/>
  <c r="O396" i="7"/>
  <c r="P396" i="7"/>
  <c r="Q396" i="7"/>
  <c r="T396" i="7"/>
  <c r="B397" i="7"/>
  <c r="C397" i="7"/>
  <c r="F397" i="7"/>
  <c r="G397" i="7"/>
  <c r="H397" i="7"/>
  <c r="L397" i="7"/>
  <c r="M397" i="7" s="1"/>
  <c r="N397" i="7"/>
  <c r="O397" i="7"/>
  <c r="P397" i="7"/>
  <c r="Q397" i="7"/>
  <c r="T397" i="7"/>
  <c r="B398" i="7"/>
  <c r="C398" i="7"/>
  <c r="F398" i="7"/>
  <c r="G398" i="7"/>
  <c r="H398" i="7"/>
  <c r="L398" i="7"/>
  <c r="M398" i="7" s="1"/>
  <c r="N398" i="7"/>
  <c r="O398" i="7"/>
  <c r="P398" i="7"/>
  <c r="Q398" i="7"/>
  <c r="T398" i="7"/>
  <c r="B399" i="7"/>
  <c r="C399" i="7"/>
  <c r="F399" i="7"/>
  <c r="G399" i="7"/>
  <c r="H399" i="7"/>
  <c r="L399" i="7"/>
  <c r="M399" i="7" s="1"/>
  <c r="N399" i="7"/>
  <c r="O399" i="7"/>
  <c r="P399" i="7"/>
  <c r="Q399" i="7"/>
  <c r="T399" i="7"/>
  <c r="B400" i="7"/>
  <c r="C400" i="7"/>
  <c r="F400" i="7"/>
  <c r="G400" i="7"/>
  <c r="H400" i="7"/>
  <c r="L400" i="7"/>
  <c r="M400" i="7" s="1"/>
  <c r="N400" i="7"/>
  <c r="O400" i="7"/>
  <c r="P400" i="7"/>
  <c r="Q400" i="7"/>
  <c r="T400" i="7"/>
  <c r="B401" i="7"/>
  <c r="C401" i="7"/>
  <c r="F401" i="7"/>
  <c r="G401" i="7"/>
  <c r="H401" i="7"/>
  <c r="L401" i="7"/>
  <c r="M401" i="7" s="1"/>
  <c r="N401" i="7"/>
  <c r="O401" i="7"/>
  <c r="P401" i="7"/>
  <c r="Q401" i="7"/>
  <c r="T401" i="7"/>
  <c r="B402" i="7"/>
  <c r="C402" i="7"/>
  <c r="F402" i="7"/>
  <c r="G402" i="7"/>
  <c r="H402" i="7"/>
  <c r="L402" i="7"/>
  <c r="M402" i="7" s="1"/>
  <c r="N402" i="7"/>
  <c r="O402" i="7"/>
  <c r="P402" i="7"/>
  <c r="Q402" i="7"/>
  <c r="T402" i="7"/>
  <c r="B403" i="7"/>
  <c r="C403" i="7"/>
  <c r="F403" i="7"/>
  <c r="G403" i="7"/>
  <c r="H403" i="7"/>
  <c r="L403" i="7"/>
  <c r="M403" i="7" s="1"/>
  <c r="N403" i="7"/>
  <c r="O403" i="7"/>
  <c r="P403" i="7"/>
  <c r="Q403" i="7"/>
  <c r="T403" i="7"/>
  <c r="B404" i="7"/>
  <c r="C404" i="7"/>
  <c r="F404" i="7"/>
  <c r="G404" i="7"/>
  <c r="H404" i="7"/>
  <c r="L404" i="7"/>
  <c r="M404" i="7" s="1"/>
  <c r="N404" i="7"/>
  <c r="O404" i="7"/>
  <c r="P404" i="7"/>
  <c r="Q404" i="7"/>
  <c r="T404" i="7"/>
  <c r="B405" i="7"/>
  <c r="C405" i="7"/>
  <c r="F405" i="7"/>
  <c r="G405" i="7"/>
  <c r="H405" i="7"/>
  <c r="L405" i="7"/>
  <c r="M405" i="7" s="1"/>
  <c r="N405" i="7"/>
  <c r="O405" i="7"/>
  <c r="P405" i="7"/>
  <c r="Q405" i="7"/>
  <c r="T405" i="7"/>
  <c r="B406" i="7"/>
  <c r="C406" i="7"/>
  <c r="F406" i="7"/>
  <c r="G406" i="7"/>
  <c r="H406" i="7"/>
  <c r="L406" i="7"/>
  <c r="M406" i="7" s="1"/>
  <c r="N406" i="7"/>
  <c r="O406" i="7"/>
  <c r="P406" i="7"/>
  <c r="Q406" i="7"/>
  <c r="T406" i="7"/>
  <c r="B407" i="7"/>
  <c r="C407" i="7"/>
  <c r="F407" i="7"/>
  <c r="G407" i="7"/>
  <c r="H407" i="7"/>
  <c r="L407" i="7"/>
  <c r="M407" i="7" s="1"/>
  <c r="N407" i="7"/>
  <c r="O407" i="7"/>
  <c r="P407" i="7"/>
  <c r="Q407" i="7"/>
  <c r="T407" i="7"/>
  <c r="B408" i="7"/>
  <c r="C408" i="7"/>
  <c r="F408" i="7"/>
  <c r="G408" i="7"/>
  <c r="H408" i="7"/>
  <c r="L408" i="7"/>
  <c r="M408" i="7" s="1"/>
  <c r="N408" i="7"/>
  <c r="O408" i="7"/>
  <c r="P408" i="7"/>
  <c r="Q408" i="7"/>
  <c r="T408" i="7"/>
  <c r="B409" i="7"/>
  <c r="C409" i="7"/>
  <c r="F409" i="7"/>
  <c r="G409" i="7"/>
  <c r="H409" i="7"/>
  <c r="L409" i="7"/>
  <c r="M409" i="7" s="1"/>
  <c r="N409" i="7"/>
  <c r="O409" i="7"/>
  <c r="P409" i="7"/>
  <c r="Q409" i="7"/>
  <c r="T409" i="7"/>
  <c r="B410" i="7"/>
  <c r="C410" i="7"/>
  <c r="F410" i="7"/>
  <c r="G410" i="7"/>
  <c r="H410" i="7"/>
  <c r="L410" i="7"/>
  <c r="M410" i="7" s="1"/>
  <c r="N410" i="7"/>
  <c r="O410" i="7"/>
  <c r="P410" i="7"/>
  <c r="Q410" i="7"/>
  <c r="T410" i="7"/>
  <c r="B411" i="7"/>
  <c r="C411" i="7"/>
  <c r="F411" i="7"/>
  <c r="G411" i="7"/>
  <c r="H411" i="7"/>
  <c r="L411" i="7"/>
  <c r="M411" i="7" s="1"/>
  <c r="N411" i="7"/>
  <c r="O411" i="7"/>
  <c r="P411" i="7"/>
  <c r="Q411" i="7"/>
  <c r="T411" i="7"/>
  <c r="B412" i="7"/>
  <c r="C412" i="7"/>
  <c r="F412" i="7"/>
  <c r="G412" i="7"/>
  <c r="H412" i="7"/>
  <c r="L412" i="7"/>
  <c r="M412" i="7" s="1"/>
  <c r="N412" i="7"/>
  <c r="O412" i="7"/>
  <c r="P412" i="7"/>
  <c r="Q412" i="7"/>
  <c r="T412" i="7"/>
  <c r="B413" i="7"/>
  <c r="C413" i="7"/>
  <c r="F413" i="7"/>
  <c r="G413" i="7"/>
  <c r="H413" i="7"/>
  <c r="L413" i="7"/>
  <c r="M413" i="7" s="1"/>
  <c r="N413" i="7"/>
  <c r="O413" i="7"/>
  <c r="P413" i="7"/>
  <c r="Q413" i="7"/>
  <c r="T413" i="7"/>
  <c r="B414" i="7"/>
  <c r="C414" i="7"/>
  <c r="F414" i="7"/>
  <c r="G414" i="7"/>
  <c r="H414" i="7"/>
  <c r="L414" i="7"/>
  <c r="M414" i="7" s="1"/>
  <c r="N414" i="7"/>
  <c r="O414" i="7"/>
  <c r="P414" i="7"/>
  <c r="Q414" i="7"/>
  <c r="T414" i="7"/>
  <c r="B415" i="7"/>
  <c r="C415" i="7"/>
  <c r="F415" i="7"/>
  <c r="G415" i="7"/>
  <c r="H415" i="7"/>
  <c r="L415" i="7"/>
  <c r="M415" i="7" s="1"/>
  <c r="N415" i="7"/>
  <c r="O415" i="7"/>
  <c r="P415" i="7"/>
  <c r="Q415" i="7"/>
  <c r="T415" i="7"/>
  <c r="B416" i="7"/>
  <c r="C416" i="7"/>
  <c r="F416" i="7"/>
  <c r="G416" i="7"/>
  <c r="H416" i="7"/>
  <c r="L416" i="7"/>
  <c r="M416" i="7" s="1"/>
  <c r="N416" i="7"/>
  <c r="O416" i="7"/>
  <c r="P416" i="7"/>
  <c r="Q416" i="7"/>
  <c r="T416" i="7"/>
  <c r="B417" i="7"/>
  <c r="C417" i="7"/>
  <c r="F417" i="7"/>
  <c r="G417" i="7"/>
  <c r="H417" i="7"/>
  <c r="L417" i="7"/>
  <c r="M417" i="7" s="1"/>
  <c r="N417" i="7"/>
  <c r="O417" i="7"/>
  <c r="P417" i="7"/>
  <c r="Q417" i="7"/>
  <c r="T417" i="7"/>
  <c r="B418" i="7"/>
  <c r="C418" i="7"/>
  <c r="F418" i="7"/>
  <c r="G418" i="7"/>
  <c r="H418" i="7"/>
  <c r="L418" i="7"/>
  <c r="M418" i="7" s="1"/>
  <c r="N418" i="7"/>
  <c r="O418" i="7"/>
  <c r="P418" i="7"/>
  <c r="Q418" i="7"/>
  <c r="T418" i="7"/>
  <c r="B419" i="7"/>
  <c r="C419" i="7"/>
  <c r="F419" i="7"/>
  <c r="G419" i="7"/>
  <c r="H419" i="7"/>
  <c r="L419" i="7"/>
  <c r="M419" i="7" s="1"/>
  <c r="N419" i="7"/>
  <c r="O419" i="7"/>
  <c r="P419" i="7"/>
  <c r="Q419" i="7"/>
  <c r="T419" i="7"/>
  <c r="B420" i="7"/>
  <c r="C420" i="7"/>
  <c r="F420" i="7"/>
  <c r="G420" i="7"/>
  <c r="H420" i="7"/>
  <c r="L420" i="7"/>
  <c r="M420" i="7" s="1"/>
  <c r="N420" i="7"/>
  <c r="O420" i="7"/>
  <c r="P420" i="7"/>
  <c r="Q420" i="7"/>
  <c r="T420" i="7"/>
  <c r="B421" i="7"/>
  <c r="C421" i="7"/>
  <c r="F421" i="7"/>
  <c r="G421" i="7"/>
  <c r="H421" i="7"/>
  <c r="L421" i="7"/>
  <c r="M421" i="7" s="1"/>
  <c r="N421" i="7"/>
  <c r="O421" i="7"/>
  <c r="P421" i="7"/>
  <c r="Q421" i="7"/>
  <c r="T421" i="7"/>
  <c r="B422" i="7"/>
  <c r="C422" i="7"/>
  <c r="F422" i="7"/>
  <c r="G422" i="7"/>
  <c r="H422" i="7"/>
  <c r="L422" i="7"/>
  <c r="M422" i="7" s="1"/>
  <c r="N422" i="7"/>
  <c r="O422" i="7"/>
  <c r="P422" i="7"/>
  <c r="Q422" i="7"/>
  <c r="T422" i="7"/>
  <c r="B423" i="7"/>
  <c r="C423" i="7"/>
  <c r="F423" i="7"/>
  <c r="G423" i="7"/>
  <c r="H423" i="7"/>
  <c r="L423" i="7"/>
  <c r="M423" i="7" s="1"/>
  <c r="N423" i="7"/>
  <c r="O423" i="7"/>
  <c r="P423" i="7"/>
  <c r="Q423" i="7"/>
  <c r="T423" i="7"/>
  <c r="B424" i="7"/>
  <c r="C424" i="7"/>
  <c r="F424" i="7"/>
  <c r="G424" i="7"/>
  <c r="H424" i="7"/>
  <c r="L424" i="7"/>
  <c r="M424" i="7" s="1"/>
  <c r="N424" i="7"/>
  <c r="O424" i="7"/>
  <c r="P424" i="7"/>
  <c r="Q424" i="7"/>
  <c r="T424" i="7"/>
  <c r="B425" i="7"/>
  <c r="C425" i="7"/>
  <c r="F425" i="7"/>
  <c r="G425" i="7"/>
  <c r="H425" i="7"/>
  <c r="L425" i="7"/>
  <c r="M425" i="7" s="1"/>
  <c r="N425" i="7"/>
  <c r="O425" i="7"/>
  <c r="P425" i="7"/>
  <c r="Q425" i="7"/>
  <c r="T425" i="7"/>
  <c r="B426" i="7"/>
  <c r="C426" i="7"/>
  <c r="F426" i="7"/>
  <c r="G426" i="7"/>
  <c r="H426" i="7"/>
  <c r="L426" i="7"/>
  <c r="M426" i="7" s="1"/>
  <c r="N426" i="7"/>
  <c r="O426" i="7"/>
  <c r="P426" i="7"/>
  <c r="Q426" i="7"/>
  <c r="T426" i="7"/>
  <c r="B427" i="7"/>
  <c r="C427" i="7"/>
  <c r="F427" i="7"/>
  <c r="G427" i="7"/>
  <c r="H427" i="7"/>
  <c r="L427" i="7"/>
  <c r="M427" i="7" s="1"/>
  <c r="N427" i="7"/>
  <c r="O427" i="7"/>
  <c r="P427" i="7"/>
  <c r="Q427" i="7"/>
  <c r="T427" i="7"/>
  <c r="B428" i="7"/>
  <c r="C428" i="7"/>
  <c r="F428" i="7"/>
  <c r="G428" i="7"/>
  <c r="H428" i="7"/>
  <c r="L428" i="7"/>
  <c r="M428" i="7" s="1"/>
  <c r="N428" i="7"/>
  <c r="O428" i="7"/>
  <c r="P428" i="7"/>
  <c r="Q428" i="7"/>
  <c r="T428" i="7"/>
  <c r="B429" i="7"/>
  <c r="C429" i="7"/>
  <c r="F429" i="7"/>
  <c r="G429" i="7"/>
  <c r="H429" i="7"/>
  <c r="L429" i="7"/>
  <c r="M429" i="7" s="1"/>
  <c r="N429" i="7"/>
  <c r="O429" i="7"/>
  <c r="P429" i="7"/>
  <c r="Q429" i="7"/>
  <c r="T429" i="7"/>
  <c r="B430" i="7"/>
  <c r="C430" i="7"/>
  <c r="F430" i="7"/>
  <c r="G430" i="7"/>
  <c r="H430" i="7"/>
  <c r="L430" i="7"/>
  <c r="M430" i="7" s="1"/>
  <c r="N430" i="7"/>
  <c r="O430" i="7"/>
  <c r="P430" i="7"/>
  <c r="Q430" i="7"/>
  <c r="T430" i="7"/>
  <c r="B431" i="7"/>
  <c r="C431" i="7"/>
  <c r="F431" i="7"/>
  <c r="G431" i="7"/>
  <c r="H431" i="7"/>
  <c r="L431" i="7"/>
  <c r="M431" i="7" s="1"/>
  <c r="N431" i="7"/>
  <c r="O431" i="7"/>
  <c r="P431" i="7"/>
  <c r="Q431" i="7"/>
  <c r="T431" i="7"/>
  <c r="B432" i="7"/>
  <c r="C432" i="7"/>
  <c r="F432" i="7"/>
  <c r="G432" i="7"/>
  <c r="H432" i="7"/>
  <c r="L432" i="7"/>
  <c r="M432" i="7" s="1"/>
  <c r="N432" i="7"/>
  <c r="O432" i="7"/>
  <c r="P432" i="7"/>
  <c r="Q432" i="7"/>
  <c r="T432" i="7"/>
  <c r="B433" i="7"/>
  <c r="C433" i="7"/>
  <c r="F433" i="7"/>
  <c r="G433" i="7"/>
  <c r="H433" i="7"/>
  <c r="L433" i="7"/>
  <c r="M433" i="7" s="1"/>
  <c r="N433" i="7"/>
  <c r="O433" i="7"/>
  <c r="P433" i="7"/>
  <c r="Q433" i="7"/>
  <c r="T433" i="7"/>
  <c r="B434" i="7"/>
  <c r="C434" i="7"/>
  <c r="F434" i="7"/>
  <c r="G434" i="7"/>
  <c r="H434" i="7"/>
  <c r="L434" i="7"/>
  <c r="M434" i="7" s="1"/>
  <c r="N434" i="7"/>
  <c r="O434" i="7"/>
  <c r="P434" i="7"/>
  <c r="Q434" i="7"/>
  <c r="T434" i="7"/>
  <c r="B435" i="7"/>
  <c r="C435" i="7"/>
  <c r="F435" i="7"/>
  <c r="G435" i="7"/>
  <c r="H435" i="7"/>
  <c r="L435" i="7"/>
  <c r="M435" i="7" s="1"/>
  <c r="N435" i="7"/>
  <c r="O435" i="7"/>
  <c r="P435" i="7"/>
  <c r="Q435" i="7"/>
  <c r="T435" i="7"/>
  <c r="B436" i="7"/>
  <c r="C436" i="7"/>
  <c r="F436" i="7"/>
  <c r="G436" i="7"/>
  <c r="H436" i="7"/>
  <c r="L436" i="7"/>
  <c r="M436" i="7" s="1"/>
  <c r="N436" i="7"/>
  <c r="O436" i="7"/>
  <c r="P436" i="7"/>
  <c r="Q436" i="7"/>
  <c r="T436" i="7"/>
  <c r="B437" i="7"/>
  <c r="C437" i="7"/>
  <c r="F437" i="7"/>
  <c r="G437" i="7"/>
  <c r="H437" i="7"/>
  <c r="L437" i="7"/>
  <c r="M437" i="7" s="1"/>
  <c r="N437" i="7"/>
  <c r="O437" i="7"/>
  <c r="P437" i="7"/>
  <c r="Q437" i="7"/>
  <c r="T437" i="7"/>
  <c r="B438" i="7"/>
  <c r="C438" i="7"/>
  <c r="F438" i="7"/>
  <c r="G438" i="7"/>
  <c r="H438" i="7"/>
  <c r="L438" i="7"/>
  <c r="M438" i="7" s="1"/>
  <c r="N438" i="7"/>
  <c r="O438" i="7"/>
  <c r="P438" i="7"/>
  <c r="Q438" i="7"/>
  <c r="T438" i="7"/>
  <c r="B439" i="7"/>
  <c r="C439" i="7"/>
  <c r="F439" i="7"/>
  <c r="G439" i="7"/>
  <c r="H439" i="7"/>
  <c r="L439" i="7"/>
  <c r="M439" i="7" s="1"/>
  <c r="N439" i="7"/>
  <c r="O439" i="7"/>
  <c r="P439" i="7"/>
  <c r="Q439" i="7"/>
  <c r="T439" i="7"/>
  <c r="B440" i="7"/>
  <c r="C440" i="7"/>
  <c r="F440" i="7"/>
  <c r="G440" i="7"/>
  <c r="H440" i="7"/>
  <c r="L440" i="7"/>
  <c r="M440" i="7" s="1"/>
  <c r="N440" i="7"/>
  <c r="O440" i="7"/>
  <c r="P440" i="7"/>
  <c r="Q440" i="7"/>
  <c r="T440" i="7"/>
  <c r="B441" i="7"/>
  <c r="C441" i="7"/>
  <c r="F441" i="7"/>
  <c r="G441" i="7"/>
  <c r="H441" i="7"/>
  <c r="L441" i="7"/>
  <c r="M441" i="7" s="1"/>
  <c r="N441" i="7"/>
  <c r="O441" i="7"/>
  <c r="P441" i="7"/>
  <c r="Q441" i="7"/>
  <c r="T441" i="7"/>
  <c r="B442" i="7"/>
  <c r="C442" i="7"/>
  <c r="F442" i="7"/>
  <c r="G442" i="7"/>
  <c r="H442" i="7"/>
  <c r="L442" i="7"/>
  <c r="M442" i="7" s="1"/>
  <c r="N442" i="7"/>
  <c r="O442" i="7"/>
  <c r="P442" i="7"/>
  <c r="Q442" i="7"/>
  <c r="T442" i="7"/>
  <c r="B443" i="7"/>
  <c r="C443" i="7"/>
  <c r="F443" i="7"/>
  <c r="G443" i="7"/>
  <c r="H443" i="7"/>
  <c r="L443" i="7"/>
  <c r="M443" i="7" s="1"/>
  <c r="N443" i="7"/>
  <c r="O443" i="7"/>
  <c r="P443" i="7"/>
  <c r="Q443" i="7"/>
  <c r="T443" i="7"/>
  <c r="B444" i="7"/>
  <c r="C444" i="7"/>
  <c r="F444" i="7"/>
  <c r="G444" i="7"/>
  <c r="H444" i="7"/>
  <c r="L444" i="7"/>
  <c r="M444" i="7" s="1"/>
  <c r="N444" i="7"/>
  <c r="O444" i="7"/>
  <c r="P444" i="7"/>
  <c r="Q444" i="7"/>
  <c r="T444" i="7"/>
  <c r="B445" i="7"/>
  <c r="C445" i="7"/>
  <c r="F445" i="7"/>
  <c r="G445" i="7"/>
  <c r="H445" i="7"/>
  <c r="L445" i="7"/>
  <c r="M445" i="7" s="1"/>
  <c r="N445" i="7"/>
  <c r="O445" i="7"/>
  <c r="P445" i="7"/>
  <c r="Q445" i="7"/>
  <c r="T445" i="7"/>
  <c r="B446" i="7"/>
  <c r="C446" i="7"/>
  <c r="F446" i="7"/>
  <c r="G446" i="7"/>
  <c r="H446" i="7"/>
  <c r="L446" i="7"/>
  <c r="M446" i="7" s="1"/>
  <c r="N446" i="7"/>
  <c r="O446" i="7"/>
  <c r="P446" i="7"/>
  <c r="Q446" i="7"/>
  <c r="T446" i="7"/>
  <c r="B447" i="7"/>
  <c r="C447" i="7"/>
  <c r="F447" i="7"/>
  <c r="G447" i="7"/>
  <c r="H447" i="7"/>
  <c r="L447" i="7"/>
  <c r="M447" i="7" s="1"/>
  <c r="N447" i="7"/>
  <c r="O447" i="7"/>
  <c r="P447" i="7"/>
  <c r="Q447" i="7"/>
  <c r="T447" i="7"/>
  <c r="B448" i="7"/>
  <c r="C448" i="7"/>
  <c r="F448" i="7"/>
  <c r="G448" i="7"/>
  <c r="H448" i="7"/>
  <c r="L448" i="7"/>
  <c r="M448" i="7" s="1"/>
  <c r="N448" i="7"/>
  <c r="O448" i="7"/>
  <c r="P448" i="7"/>
  <c r="Q448" i="7"/>
  <c r="T448" i="7"/>
  <c r="B449" i="7"/>
  <c r="C449" i="7"/>
  <c r="F449" i="7"/>
  <c r="G449" i="7"/>
  <c r="H449" i="7"/>
  <c r="L449" i="7"/>
  <c r="M449" i="7" s="1"/>
  <c r="N449" i="7"/>
  <c r="O449" i="7"/>
  <c r="P449" i="7"/>
  <c r="Q449" i="7"/>
  <c r="T449" i="7"/>
  <c r="B450" i="7"/>
  <c r="C450" i="7"/>
  <c r="F450" i="7"/>
  <c r="G450" i="7"/>
  <c r="H450" i="7"/>
  <c r="L450" i="7"/>
  <c r="M450" i="7" s="1"/>
  <c r="N450" i="7"/>
  <c r="O450" i="7"/>
  <c r="P450" i="7"/>
  <c r="Q450" i="7"/>
  <c r="T450" i="7"/>
  <c r="B451" i="7"/>
  <c r="C451" i="7"/>
  <c r="F451" i="7"/>
  <c r="G451" i="7"/>
  <c r="H451" i="7"/>
  <c r="L451" i="7"/>
  <c r="M451" i="7" s="1"/>
  <c r="N451" i="7"/>
  <c r="O451" i="7"/>
  <c r="P451" i="7"/>
  <c r="Q451" i="7"/>
  <c r="T451" i="7"/>
  <c r="B452" i="7"/>
  <c r="C452" i="7"/>
  <c r="F452" i="7"/>
  <c r="G452" i="7"/>
  <c r="H452" i="7"/>
  <c r="L452" i="7"/>
  <c r="M452" i="7" s="1"/>
  <c r="N452" i="7"/>
  <c r="O452" i="7"/>
  <c r="P452" i="7"/>
  <c r="Q452" i="7"/>
  <c r="T452" i="7"/>
  <c r="B453" i="7"/>
  <c r="C453" i="7"/>
  <c r="F453" i="7"/>
  <c r="G453" i="7"/>
  <c r="H453" i="7"/>
  <c r="L453" i="7"/>
  <c r="M453" i="7" s="1"/>
  <c r="N453" i="7"/>
  <c r="O453" i="7"/>
  <c r="P453" i="7"/>
  <c r="Q453" i="7"/>
  <c r="T453" i="7"/>
  <c r="B454" i="7"/>
  <c r="C454" i="7"/>
  <c r="F454" i="7"/>
  <c r="G454" i="7"/>
  <c r="H454" i="7"/>
  <c r="L454" i="7"/>
  <c r="M454" i="7" s="1"/>
  <c r="N454" i="7"/>
  <c r="O454" i="7"/>
  <c r="P454" i="7"/>
  <c r="Q454" i="7"/>
  <c r="T454" i="7"/>
  <c r="B455" i="7"/>
  <c r="C455" i="7"/>
  <c r="F455" i="7"/>
  <c r="G455" i="7"/>
  <c r="H455" i="7"/>
  <c r="L455" i="7"/>
  <c r="M455" i="7" s="1"/>
  <c r="N455" i="7"/>
  <c r="O455" i="7"/>
  <c r="P455" i="7"/>
  <c r="Q455" i="7"/>
  <c r="T455" i="7"/>
  <c r="B456" i="7"/>
  <c r="C456" i="7"/>
  <c r="F456" i="7"/>
  <c r="G456" i="7"/>
  <c r="H456" i="7"/>
  <c r="L456" i="7"/>
  <c r="M456" i="7" s="1"/>
  <c r="N456" i="7"/>
  <c r="O456" i="7"/>
  <c r="P456" i="7"/>
  <c r="Q456" i="7"/>
  <c r="T456" i="7"/>
  <c r="B457" i="7"/>
  <c r="C457" i="7"/>
  <c r="F457" i="7"/>
  <c r="G457" i="7"/>
  <c r="H457" i="7"/>
  <c r="L457" i="7"/>
  <c r="M457" i="7" s="1"/>
  <c r="N457" i="7"/>
  <c r="O457" i="7"/>
  <c r="P457" i="7"/>
  <c r="Q457" i="7"/>
  <c r="T457" i="7"/>
  <c r="B458" i="7"/>
  <c r="C458" i="7"/>
  <c r="F458" i="7"/>
  <c r="G458" i="7"/>
  <c r="H458" i="7"/>
  <c r="L458" i="7"/>
  <c r="M458" i="7" s="1"/>
  <c r="N458" i="7"/>
  <c r="O458" i="7"/>
  <c r="P458" i="7"/>
  <c r="Q458" i="7"/>
  <c r="T458" i="7"/>
  <c r="B459" i="7"/>
  <c r="C459" i="7"/>
  <c r="F459" i="7"/>
  <c r="G459" i="7"/>
  <c r="H459" i="7"/>
  <c r="L459" i="7"/>
  <c r="M459" i="7" s="1"/>
  <c r="N459" i="7"/>
  <c r="O459" i="7"/>
  <c r="P459" i="7"/>
  <c r="Q459" i="7"/>
  <c r="T459" i="7"/>
  <c r="B460" i="7"/>
  <c r="C460" i="7"/>
  <c r="F460" i="7"/>
  <c r="G460" i="7"/>
  <c r="H460" i="7"/>
  <c r="L460" i="7"/>
  <c r="M460" i="7" s="1"/>
  <c r="N460" i="7"/>
  <c r="O460" i="7"/>
  <c r="P460" i="7"/>
  <c r="Q460" i="7"/>
  <c r="T460" i="7"/>
  <c r="B461" i="7"/>
  <c r="C461" i="7"/>
  <c r="F461" i="7"/>
  <c r="G461" i="7"/>
  <c r="H461" i="7"/>
  <c r="L461" i="7"/>
  <c r="M461" i="7" s="1"/>
  <c r="N461" i="7"/>
  <c r="O461" i="7"/>
  <c r="P461" i="7"/>
  <c r="Q461" i="7"/>
  <c r="T461" i="7"/>
  <c r="B462" i="7"/>
  <c r="C462" i="7"/>
  <c r="F462" i="7"/>
  <c r="G462" i="7"/>
  <c r="H462" i="7"/>
  <c r="L462" i="7"/>
  <c r="M462" i="7" s="1"/>
  <c r="N462" i="7"/>
  <c r="O462" i="7"/>
  <c r="P462" i="7"/>
  <c r="Q462" i="7"/>
  <c r="T462" i="7"/>
  <c r="B463" i="7"/>
  <c r="C463" i="7"/>
  <c r="F463" i="7"/>
  <c r="G463" i="7"/>
  <c r="H463" i="7"/>
  <c r="L463" i="7"/>
  <c r="M463" i="7" s="1"/>
  <c r="N463" i="7"/>
  <c r="O463" i="7"/>
  <c r="P463" i="7"/>
  <c r="Q463" i="7"/>
  <c r="T463" i="7"/>
  <c r="B464" i="7"/>
  <c r="C464" i="7"/>
  <c r="F464" i="7"/>
  <c r="G464" i="7"/>
  <c r="H464" i="7"/>
  <c r="L464" i="7"/>
  <c r="M464" i="7" s="1"/>
  <c r="N464" i="7"/>
  <c r="O464" i="7"/>
  <c r="P464" i="7"/>
  <c r="Q464" i="7"/>
  <c r="T464" i="7"/>
  <c r="B465" i="7"/>
  <c r="C465" i="7"/>
  <c r="F465" i="7"/>
  <c r="G465" i="7"/>
  <c r="H465" i="7"/>
  <c r="L465" i="7"/>
  <c r="M465" i="7" s="1"/>
  <c r="N465" i="7"/>
  <c r="O465" i="7"/>
  <c r="P465" i="7"/>
  <c r="Q465" i="7"/>
  <c r="T465" i="7"/>
  <c r="B466" i="7"/>
  <c r="C466" i="7"/>
  <c r="F466" i="7"/>
  <c r="G466" i="7"/>
  <c r="H466" i="7"/>
  <c r="L466" i="7"/>
  <c r="M466" i="7" s="1"/>
  <c r="N466" i="7"/>
  <c r="O466" i="7"/>
  <c r="P466" i="7"/>
  <c r="Q466" i="7"/>
  <c r="T466" i="7"/>
  <c r="B467" i="7"/>
  <c r="C467" i="7"/>
  <c r="F467" i="7"/>
  <c r="G467" i="7"/>
  <c r="H467" i="7"/>
  <c r="L467" i="7"/>
  <c r="M467" i="7" s="1"/>
  <c r="N467" i="7"/>
  <c r="O467" i="7"/>
  <c r="P467" i="7"/>
  <c r="Q467" i="7"/>
  <c r="T467" i="7"/>
  <c r="B468" i="7"/>
  <c r="C468" i="7"/>
  <c r="F468" i="7"/>
  <c r="G468" i="7"/>
  <c r="H468" i="7"/>
  <c r="L468" i="7"/>
  <c r="M468" i="7" s="1"/>
  <c r="N468" i="7"/>
  <c r="O468" i="7"/>
  <c r="P468" i="7"/>
  <c r="Q468" i="7"/>
  <c r="T468" i="7"/>
  <c r="B469" i="7"/>
  <c r="C469" i="7"/>
  <c r="F469" i="7"/>
  <c r="G469" i="7"/>
  <c r="H469" i="7"/>
  <c r="L469" i="7"/>
  <c r="M469" i="7" s="1"/>
  <c r="N469" i="7"/>
  <c r="O469" i="7"/>
  <c r="P469" i="7"/>
  <c r="Q469" i="7"/>
  <c r="T469" i="7"/>
  <c r="B470" i="7"/>
  <c r="C470" i="7"/>
  <c r="F470" i="7"/>
  <c r="G470" i="7"/>
  <c r="H470" i="7"/>
  <c r="L470" i="7"/>
  <c r="M470" i="7" s="1"/>
  <c r="N470" i="7"/>
  <c r="O470" i="7"/>
  <c r="P470" i="7"/>
  <c r="Q470" i="7"/>
  <c r="T470" i="7"/>
  <c r="B471" i="7"/>
  <c r="C471" i="7"/>
  <c r="F471" i="7"/>
  <c r="G471" i="7"/>
  <c r="H471" i="7"/>
  <c r="L471" i="7"/>
  <c r="M471" i="7" s="1"/>
  <c r="N471" i="7"/>
  <c r="O471" i="7"/>
  <c r="P471" i="7"/>
  <c r="Q471" i="7"/>
  <c r="T471" i="7"/>
  <c r="B472" i="7"/>
  <c r="C472" i="7"/>
  <c r="F472" i="7"/>
  <c r="G472" i="7"/>
  <c r="H472" i="7"/>
  <c r="L472" i="7"/>
  <c r="M472" i="7" s="1"/>
  <c r="N472" i="7"/>
  <c r="O472" i="7"/>
  <c r="P472" i="7"/>
  <c r="Q472" i="7"/>
  <c r="T472" i="7"/>
  <c r="B473" i="7"/>
  <c r="C473" i="7"/>
  <c r="F473" i="7"/>
  <c r="G473" i="7"/>
  <c r="H473" i="7"/>
  <c r="L473" i="7"/>
  <c r="M473" i="7" s="1"/>
  <c r="N473" i="7"/>
  <c r="O473" i="7"/>
  <c r="P473" i="7"/>
  <c r="Q473" i="7"/>
  <c r="T473" i="7"/>
  <c r="B474" i="7"/>
  <c r="C474" i="7"/>
  <c r="F474" i="7"/>
  <c r="G474" i="7"/>
  <c r="H474" i="7"/>
  <c r="L474" i="7"/>
  <c r="M474" i="7" s="1"/>
  <c r="N474" i="7"/>
  <c r="O474" i="7"/>
  <c r="P474" i="7"/>
  <c r="Q474" i="7"/>
  <c r="T474" i="7"/>
  <c r="B475" i="7"/>
  <c r="C475" i="7"/>
  <c r="F475" i="7"/>
  <c r="G475" i="7"/>
  <c r="H475" i="7"/>
  <c r="L475" i="7"/>
  <c r="M475" i="7" s="1"/>
  <c r="N475" i="7"/>
  <c r="O475" i="7"/>
  <c r="P475" i="7"/>
  <c r="Q475" i="7"/>
  <c r="T475" i="7"/>
  <c r="B476" i="7"/>
  <c r="C476" i="7"/>
  <c r="F476" i="7"/>
  <c r="G476" i="7"/>
  <c r="H476" i="7"/>
  <c r="L476" i="7"/>
  <c r="M476" i="7" s="1"/>
  <c r="N476" i="7"/>
  <c r="O476" i="7"/>
  <c r="P476" i="7"/>
  <c r="Q476" i="7"/>
  <c r="T476" i="7"/>
  <c r="B477" i="7"/>
  <c r="C477" i="7"/>
  <c r="F477" i="7"/>
  <c r="G477" i="7"/>
  <c r="H477" i="7"/>
  <c r="L477" i="7"/>
  <c r="M477" i="7" s="1"/>
  <c r="N477" i="7"/>
  <c r="O477" i="7"/>
  <c r="P477" i="7"/>
  <c r="Q477" i="7"/>
  <c r="T477" i="7"/>
  <c r="B478" i="7"/>
  <c r="C478" i="7"/>
  <c r="F478" i="7"/>
  <c r="G478" i="7"/>
  <c r="H478" i="7"/>
  <c r="L478" i="7"/>
  <c r="M478" i="7" s="1"/>
  <c r="N478" i="7"/>
  <c r="O478" i="7"/>
  <c r="P478" i="7"/>
  <c r="Q478" i="7"/>
  <c r="T478" i="7"/>
  <c r="B479" i="7"/>
  <c r="C479" i="7"/>
  <c r="F479" i="7"/>
  <c r="G479" i="7"/>
  <c r="H479" i="7"/>
  <c r="L479" i="7"/>
  <c r="M479" i="7" s="1"/>
  <c r="N479" i="7"/>
  <c r="O479" i="7"/>
  <c r="P479" i="7"/>
  <c r="Q479" i="7"/>
  <c r="T479" i="7"/>
  <c r="B480" i="7"/>
  <c r="C480" i="7"/>
  <c r="F480" i="7"/>
  <c r="G480" i="7"/>
  <c r="H480" i="7"/>
  <c r="L480" i="7"/>
  <c r="M480" i="7" s="1"/>
  <c r="N480" i="7"/>
  <c r="O480" i="7"/>
  <c r="P480" i="7"/>
  <c r="Q480" i="7"/>
  <c r="T480" i="7"/>
  <c r="B481" i="7"/>
  <c r="C481" i="7"/>
  <c r="F481" i="7"/>
  <c r="G481" i="7"/>
  <c r="H481" i="7"/>
  <c r="L481" i="7"/>
  <c r="M481" i="7" s="1"/>
  <c r="N481" i="7"/>
  <c r="O481" i="7"/>
  <c r="P481" i="7"/>
  <c r="Q481" i="7"/>
  <c r="T481" i="7"/>
  <c r="B482" i="7"/>
  <c r="C482" i="7"/>
  <c r="F482" i="7"/>
  <c r="G482" i="7"/>
  <c r="H482" i="7"/>
  <c r="L482" i="7"/>
  <c r="M482" i="7" s="1"/>
  <c r="N482" i="7"/>
  <c r="O482" i="7"/>
  <c r="P482" i="7"/>
  <c r="Q482" i="7"/>
  <c r="T482" i="7"/>
  <c r="B483" i="7"/>
  <c r="C483" i="7"/>
  <c r="F483" i="7"/>
  <c r="G483" i="7"/>
  <c r="H483" i="7"/>
  <c r="L483" i="7"/>
  <c r="M483" i="7" s="1"/>
  <c r="N483" i="7"/>
  <c r="O483" i="7"/>
  <c r="P483" i="7"/>
  <c r="Q483" i="7"/>
  <c r="T483" i="7"/>
  <c r="B484" i="7"/>
  <c r="C484" i="7"/>
  <c r="F484" i="7"/>
  <c r="G484" i="7"/>
  <c r="H484" i="7"/>
  <c r="L484" i="7"/>
  <c r="M484" i="7" s="1"/>
  <c r="N484" i="7"/>
  <c r="O484" i="7"/>
  <c r="P484" i="7"/>
  <c r="Q484" i="7"/>
  <c r="T484" i="7"/>
  <c r="B485" i="7"/>
  <c r="C485" i="7"/>
  <c r="F485" i="7"/>
  <c r="G485" i="7"/>
  <c r="H485" i="7"/>
  <c r="L485" i="7"/>
  <c r="M485" i="7" s="1"/>
  <c r="N485" i="7"/>
  <c r="O485" i="7"/>
  <c r="P485" i="7"/>
  <c r="Q485" i="7"/>
  <c r="T485" i="7"/>
  <c r="B486" i="7"/>
  <c r="C486" i="7"/>
  <c r="F486" i="7"/>
  <c r="G486" i="7"/>
  <c r="H486" i="7"/>
  <c r="L486" i="7"/>
  <c r="M486" i="7" s="1"/>
  <c r="N486" i="7"/>
  <c r="O486" i="7"/>
  <c r="P486" i="7"/>
  <c r="Q486" i="7"/>
  <c r="T486" i="7"/>
  <c r="B487" i="7"/>
  <c r="C487" i="7"/>
  <c r="F487" i="7"/>
  <c r="G487" i="7"/>
  <c r="H487" i="7"/>
  <c r="L487" i="7"/>
  <c r="M487" i="7" s="1"/>
  <c r="N487" i="7"/>
  <c r="O487" i="7"/>
  <c r="P487" i="7"/>
  <c r="Q487" i="7"/>
  <c r="T487" i="7"/>
  <c r="B488" i="7"/>
  <c r="C488" i="7"/>
  <c r="F488" i="7"/>
  <c r="G488" i="7"/>
  <c r="H488" i="7"/>
  <c r="L488" i="7"/>
  <c r="M488" i="7" s="1"/>
  <c r="N488" i="7"/>
  <c r="O488" i="7"/>
  <c r="P488" i="7"/>
  <c r="Q488" i="7"/>
  <c r="T488" i="7"/>
  <c r="B489" i="7"/>
  <c r="C489" i="7"/>
  <c r="F489" i="7"/>
  <c r="G489" i="7"/>
  <c r="H489" i="7"/>
  <c r="L489" i="7"/>
  <c r="M489" i="7" s="1"/>
  <c r="N489" i="7"/>
  <c r="O489" i="7"/>
  <c r="P489" i="7"/>
  <c r="Q489" i="7"/>
  <c r="T489" i="7"/>
  <c r="B490" i="7"/>
  <c r="C490" i="7"/>
  <c r="F490" i="7"/>
  <c r="G490" i="7"/>
  <c r="H490" i="7"/>
  <c r="L490" i="7"/>
  <c r="M490" i="7" s="1"/>
  <c r="N490" i="7"/>
  <c r="O490" i="7"/>
  <c r="P490" i="7"/>
  <c r="Q490" i="7"/>
  <c r="T490" i="7"/>
  <c r="B491" i="7"/>
  <c r="C491" i="7"/>
  <c r="F491" i="7"/>
  <c r="G491" i="7"/>
  <c r="H491" i="7"/>
  <c r="L491" i="7"/>
  <c r="M491" i="7" s="1"/>
  <c r="N491" i="7"/>
  <c r="O491" i="7"/>
  <c r="P491" i="7"/>
  <c r="Q491" i="7"/>
  <c r="T491" i="7"/>
  <c r="B492" i="7"/>
  <c r="C492" i="7"/>
  <c r="F492" i="7"/>
  <c r="G492" i="7"/>
  <c r="H492" i="7"/>
  <c r="L492" i="7"/>
  <c r="M492" i="7" s="1"/>
  <c r="N492" i="7"/>
  <c r="O492" i="7"/>
  <c r="P492" i="7"/>
  <c r="Q492" i="7"/>
  <c r="T492" i="7"/>
  <c r="B493" i="7"/>
  <c r="C493" i="7"/>
  <c r="F493" i="7"/>
  <c r="G493" i="7"/>
  <c r="H493" i="7"/>
  <c r="L493" i="7"/>
  <c r="M493" i="7" s="1"/>
  <c r="N493" i="7"/>
  <c r="O493" i="7"/>
  <c r="P493" i="7"/>
  <c r="Q493" i="7"/>
  <c r="T493" i="7"/>
  <c r="B494" i="7"/>
  <c r="C494" i="7"/>
  <c r="F494" i="7"/>
  <c r="G494" i="7"/>
  <c r="H494" i="7"/>
  <c r="L494" i="7"/>
  <c r="M494" i="7" s="1"/>
  <c r="N494" i="7"/>
  <c r="O494" i="7"/>
  <c r="P494" i="7"/>
  <c r="Q494" i="7"/>
  <c r="T494" i="7"/>
  <c r="B495" i="7"/>
  <c r="C495" i="7"/>
  <c r="F495" i="7"/>
  <c r="G495" i="7"/>
  <c r="H495" i="7"/>
  <c r="L495" i="7"/>
  <c r="M495" i="7" s="1"/>
  <c r="N495" i="7"/>
  <c r="O495" i="7"/>
  <c r="P495" i="7"/>
  <c r="Q495" i="7"/>
  <c r="T495" i="7"/>
  <c r="B496" i="7"/>
  <c r="C496" i="7"/>
  <c r="F496" i="7"/>
  <c r="G496" i="7"/>
  <c r="H496" i="7"/>
  <c r="L496" i="7"/>
  <c r="M496" i="7" s="1"/>
  <c r="N496" i="7"/>
  <c r="O496" i="7"/>
  <c r="P496" i="7"/>
  <c r="Q496" i="7"/>
  <c r="T496" i="7"/>
  <c r="B497" i="7"/>
  <c r="C497" i="7"/>
  <c r="F497" i="7"/>
  <c r="G497" i="7"/>
  <c r="H497" i="7"/>
  <c r="L497" i="7"/>
  <c r="M497" i="7" s="1"/>
  <c r="N497" i="7"/>
  <c r="O497" i="7"/>
  <c r="P497" i="7"/>
  <c r="Q497" i="7"/>
  <c r="T497" i="7"/>
  <c r="B498" i="7"/>
  <c r="C498" i="7"/>
  <c r="F498" i="7"/>
  <c r="G498" i="7"/>
  <c r="H498" i="7"/>
  <c r="L498" i="7"/>
  <c r="M498" i="7" s="1"/>
  <c r="N498" i="7"/>
  <c r="O498" i="7"/>
  <c r="P498" i="7"/>
  <c r="Q498" i="7"/>
  <c r="T498" i="7"/>
  <c r="B499" i="7"/>
  <c r="C499" i="7"/>
  <c r="F499" i="7"/>
  <c r="G499" i="7"/>
  <c r="H499" i="7"/>
  <c r="L499" i="7"/>
  <c r="M499" i="7" s="1"/>
  <c r="N499" i="7"/>
  <c r="O499" i="7"/>
  <c r="P499" i="7"/>
  <c r="Q499" i="7"/>
  <c r="T499" i="7"/>
  <c r="B500" i="7"/>
  <c r="C500" i="7"/>
  <c r="F500" i="7"/>
  <c r="G500" i="7"/>
  <c r="H500" i="7"/>
  <c r="L500" i="7"/>
  <c r="M500" i="7" s="1"/>
  <c r="N500" i="7"/>
  <c r="O500" i="7"/>
  <c r="P500" i="7"/>
  <c r="Q500" i="7"/>
  <c r="T500" i="7"/>
  <c r="B501" i="7"/>
  <c r="C501" i="7"/>
  <c r="F501" i="7"/>
  <c r="G501" i="7"/>
  <c r="H501" i="7"/>
  <c r="L501" i="7"/>
  <c r="M501" i="7" s="1"/>
  <c r="N501" i="7"/>
  <c r="O501" i="7"/>
  <c r="P501" i="7"/>
  <c r="Q501" i="7"/>
  <c r="T501" i="7"/>
  <c r="B502" i="7"/>
  <c r="C502" i="7"/>
  <c r="F502" i="7"/>
  <c r="G502" i="7"/>
  <c r="H502" i="7"/>
  <c r="L502" i="7"/>
  <c r="M502" i="7" s="1"/>
  <c r="N502" i="7"/>
  <c r="O502" i="7"/>
  <c r="P502" i="7"/>
  <c r="Q502" i="7"/>
  <c r="T502" i="7"/>
  <c r="B503" i="7"/>
  <c r="C503" i="7"/>
  <c r="F503" i="7"/>
  <c r="G503" i="7"/>
  <c r="H503" i="7"/>
  <c r="L503" i="7"/>
  <c r="M503" i="7" s="1"/>
  <c r="N503" i="7"/>
  <c r="O503" i="7"/>
  <c r="P503" i="7"/>
  <c r="Q503" i="7"/>
  <c r="T503" i="7"/>
  <c r="B504" i="7"/>
  <c r="C504" i="7"/>
  <c r="F504" i="7"/>
  <c r="G504" i="7"/>
  <c r="H504" i="7"/>
  <c r="L504" i="7"/>
  <c r="M504" i="7" s="1"/>
  <c r="N504" i="7"/>
  <c r="O504" i="7"/>
  <c r="P504" i="7"/>
  <c r="Q504" i="7"/>
  <c r="T504" i="7"/>
  <c r="B505" i="7"/>
  <c r="C505" i="7"/>
  <c r="F505" i="7"/>
  <c r="G505" i="7"/>
  <c r="H505" i="7"/>
  <c r="L505" i="7"/>
  <c r="M505" i="7" s="1"/>
  <c r="N505" i="7"/>
  <c r="O505" i="7"/>
  <c r="P505" i="7"/>
  <c r="Q505" i="7"/>
  <c r="T505" i="7"/>
  <c r="B506" i="7"/>
  <c r="C506" i="7"/>
  <c r="F506" i="7"/>
  <c r="G506" i="7"/>
  <c r="H506" i="7"/>
  <c r="L506" i="7"/>
  <c r="M506" i="7" s="1"/>
  <c r="N506" i="7"/>
  <c r="O506" i="7"/>
  <c r="P506" i="7"/>
  <c r="Q506" i="7"/>
  <c r="T506" i="7"/>
  <c r="B507" i="7"/>
  <c r="C507" i="7"/>
  <c r="F507" i="7"/>
  <c r="G507" i="7"/>
  <c r="H507" i="7"/>
  <c r="L507" i="7"/>
  <c r="M507" i="7" s="1"/>
  <c r="N507" i="7"/>
  <c r="O507" i="7"/>
  <c r="P507" i="7"/>
  <c r="Q507" i="7"/>
  <c r="T507" i="7"/>
  <c r="B508" i="7"/>
  <c r="C508" i="7"/>
  <c r="F508" i="7"/>
  <c r="G508" i="7"/>
  <c r="H508" i="7"/>
  <c r="L508" i="7"/>
  <c r="M508" i="7" s="1"/>
  <c r="N508" i="7"/>
  <c r="O508" i="7"/>
  <c r="P508" i="7"/>
  <c r="Q508" i="7"/>
  <c r="T508" i="7"/>
  <c r="B509" i="7"/>
  <c r="C509" i="7"/>
  <c r="F509" i="7"/>
  <c r="G509" i="7"/>
  <c r="H509" i="7"/>
  <c r="L509" i="7"/>
  <c r="M509" i="7" s="1"/>
  <c r="N509" i="7"/>
  <c r="O509" i="7"/>
  <c r="P509" i="7"/>
  <c r="Q509" i="7"/>
  <c r="T509" i="7"/>
  <c r="B510" i="7"/>
  <c r="C510" i="7"/>
  <c r="F510" i="7"/>
  <c r="G510" i="7"/>
  <c r="H510" i="7"/>
  <c r="L510" i="7"/>
  <c r="M510" i="7" s="1"/>
  <c r="N510" i="7"/>
  <c r="O510" i="7"/>
  <c r="P510" i="7"/>
  <c r="Q510" i="7"/>
  <c r="T510" i="7"/>
  <c r="B511" i="7"/>
  <c r="C511" i="7"/>
  <c r="F511" i="7"/>
  <c r="G511" i="7"/>
  <c r="H511" i="7"/>
  <c r="L511" i="7"/>
  <c r="M511" i="7" s="1"/>
  <c r="N511" i="7"/>
  <c r="O511" i="7"/>
  <c r="P511" i="7"/>
  <c r="Q511" i="7"/>
  <c r="T511" i="7"/>
  <c r="B512" i="7"/>
  <c r="C512" i="7"/>
  <c r="F512" i="7"/>
  <c r="G512" i="7"/>
  <c r="H512" i="7"/>
  <c r="L512" i="7"/>
  <c r="M512" i="7" s="1"/>
  <c r="N512" i="7"/>
  <c r="O512" i="7"/>
  <c r="P512" i="7"/>
  <c r="Q512" i="7"/>
  <c r="T512" i="7"/>
  <c r="B513" i="7"/>
  <c r="C513" i="7"/>
  <c r="F513" i="7"/>
  <c r="G513" i="7"/>
  <c r="H513" i="7"/>
  <c r="L513" i="7"/>
  <c r="M513" i="7" s="1"/>
  <c r="N513" i="7"/>
  <c r="O513" i="7"/>
  <c r="P513" i="7"/>
  <c r="Q513" i="7"/>
  <c r="T513" i="7"/>
  <c r="B514" i="7"/>
  <c r="C514" i="7"/>
  <c r="F514" i="7"/>
  <c r="G514" i="7"/>
  <c r="H514" i="7"/>
  <c r="L514" i="7"/>
  <c r="M514" i="7" s="1"/>
  <c r="N514" i="7"/>
  <c r="O514" i="7"/>
  <c r="P514" i="7"/>
  <c r="Q514" i="7"/>
  <c r="T514" i="7"/>
  <c r="B515" i="7"/>
  <c r="C515" i="7"/>
  <c r="F515" i="7"/>
  <c r="G515" i="7"/>
  <c r="H515" i="7"/>
  <c r="L515" i="7"/>
  <c r="M515" i="7" s="1"/>
  <c r="N515" i="7"/>
  <c r="O515" i="7"/>
  <c r="P515" i="7"/>
  <c r="Q515" i="7"/>
  <c r="T515" i="7"/>
  <c r="B516" i="7"/>
  <c r="C516" i="7"/>
  <c r="F516" i="7"/>
  <c r="G516" i="7"/>
  <c r="H516" i="7"/>
  <c r="L516" i="7"/>
  <c r="M516" i="7" s="1"/>
  <c r="N516" i="7"/>
  <c r="O516" i="7"/>
  <c r="P516" i="7"/>
  <c r="Q516" i="7"/>
  <c r="T516" i="7"/>
  <c r="B517" i="7"/>
  <c r="C517" i="7"/>
  <c r="F517" i="7"/>
  <c r="G517" i="7"/>
  <c r="H517" i="7"/>
  <c r="L517" i="7"/>
  <c r="M517" i="7" s="1"/>
  <c r="N517" i="7"/>
  <c r="O517" i="7"/>
  <c r="P517" i="7"/>
  <c r="Q517" i="7"/>
  <c r="T517" i="7"/>
  <c r="B518" i="7"/>
  <c r="C518" i="7"/>
  <c r="F518" i="7"/>
  <c r="G518" i="7"/>
  <c r="H518" i="7"/>
  <c r="L518" i="7"/>
  <c r="M518" i="7" s="1"/>
  <c r="N518" i="7"/>
  <c r="O518" i="7"/>
  <c r="P518" i="7"/>
  <c r="Q518" i="7"/>
  <c r="T518" i="7"/>
  <c r="B519" i="7"/>
  <c r="C519" i="7"/>
  <c r="F519" i="7"/>
  <c r="G519" i="7"/>
  <c r="H519" i="7"/>
  <c r="L519" i="7"/>
  <c r="M519" i="7" s="1"/>
  <c r="N519" i="7"/>
  <c r="O519" i="7"/>
  <c r="P519" i="7"/>
  <c r="Q519" i="7"/>
  <c r="T519" i="7"/>
  <c r="B520" i="7"/>
  <c r="C520" i="7"/>
  <c r="F520" i="7"/>
  <c r="G520" i="7"/>
  <c r="H520" i="7"/>
  <c r="L520" i="7"/>
  <c r="M520" i="7" s="1"/>
  <c r="N520" i="7"/>
  <c r="O520" i="7"/>
  <c r="P520" i="7"/>
  <c r="Q520" i="7"/>
  <c r="T520" i="7"/>
  <c r="B521" i="7"/>
  <c r="C521" i="7"/>
  <c r="F521" i="7"/>
  <c r="G521" i="7"/>
  <c r="H521" i="7"/>
  <c r="L521" i="7"/>
  <c r="M521" i="7" s="1"/>
  <c r="N521" i="7"/>
  <c r="O521" i="7"/>
  <c r="P521" i="7"/>
  <c r="Q521" i="7"/>
  <c r="T521" i="7"/>
  <c r="B522" i="7"/>
  <c r="C522" i="7"/>
  <c r="F522" i="7"/>
  <c r="G522" i="7"/>
  <c r="H522" i="7"/>
  <c r="L522" i="7"/>
  <c r="M522" i="7" s="1"/>
  <c r="N522" i="7"/>
  <c r="O522" i="7"/>
  <c r="P522" i="7"/>
  <c r="Q522" i="7"/>
  <c r="T522" i="7"/>
  <c r="B523" i="7"/>
  <c r="C523" i="7"/>
  <c r="F523" i="7"/>
  <c r="G523" i="7"/>
  <c r="H523" i="7"/>
  <c r="L523" i="7"/>
  <c r="M523" i="7" s="1"/>
  <c r="N523" i="7"/>
  <c r="O523" i="7"/>
  <c r="P523" i="7"/>
  <c r="Q523" i="7"/>
  <c r="T523" i="7"/>
  <c r="B524" i="7"/>
  <c r="C524" i="7"/>
  <c r="F524" i="7"/>
  <c r="G524" i="7"/>
  <c r="H524" i="7"/>
  <c r="L524" i="7"/>
  <c r="M524" i="7" s="1"/>
  <c r="N524" i="7"/>
  <c r="O524" i="7"/>
  <c r="P524" i="7"/>
  <c r="Q524" i="7"/>
  <c r="T524" i="7"/>
  <c r="B525" i="7"/>
  <c r="C525" i="7"/>
  <c r="F525" i="7"/>
  <c r="G525" i="7"/>
  <c r="H525" i="7"/>
  <c r="L525" i="7"/>
  <c r="M525" i="7" s="1"/>
  <c r="N525" i="7"/>
  <c r="O525" i="7"/>
  <c r="P525" i="7"/>
  <c r="Q525" i="7"/>
  <c r="T525" i="7"/>
  <c r="B526" i="7"/>
  <c r="C526" i="7"/>
  <c r="F526" i="7"/>
  <c r="G526" i="7"/>
  <c r="H526" i="7"/>
  <c r="L526" i="7"/>
  <c r="M526" i="7" s="1"/>
  <c r="N526" i="7"/>
  <c r="O526" i="7"/>
  <c r="P526" i="7"/>
  <c r="Q526" i="7"/>
  <c r="T526" i="7"/>
  <c r="B527" i="7"/>
  <c r="C527" i="7"/>
  <c r="F527" i="7"/>
  <c r="G527" i="7"/>
  <c r="H527" i="7"/>
  <c r="L527" i="7"/>
  <c r="M527" i="7" s="1"/>
  <c r="N527" i="7"/>
  <c r="O527" i="7"/>
  <c r="P527" i="7"/>
  <c r="Q527" i="7"/>
  <c r="T527" i="7"/>
  <c r="B528" i="7"/>
  <c r="C528" i="7"/>
  <c r="F528" i="7"/>
  <c r="G528" i="7"/>
  <c r="H528" i="7"/>
  <c r="L528" i="7"/>
  <c r="M528" i="7" s="1"/>
  <c r="N528" i="7"/>
  <c r="O528" i="7"/>
  <c r="P528" i="7"/>
  <c r="Q528" i="7"/>
  <c r="T528" i="7"/>
  <c r="B529" i="7"/>
  <c r="C529" i="7"/>
  <c r="F529" i="7"/>
  <c r="G529" i="7"/>
  <c r="H529" i="7"/>
  <c r="L529" i="7"/>
  <c r="M529" i="7" s="1"/>
  <c r="N529" i="7"/>
  <c r="O529" i="7"/>
  <c r="P529" i="7"/>
  <c r="Q529" i="7"/>
  <c r="T529" i="7"/>
  <c r="B530" i="7"/>
  <c r="C530" i="7"/>
  <c r="F530" i="7"/>
  <c r="G530" i="7"/>
  <c r="H530" i="7"/>
  <c r="L530" i="7"/>
  <c r="M530" i="7" s="1"/>
  <c r="N530" i="7"/>
  <c r="O530" i="7"/>
  <c r="P530" i="7"/>
  <c r="Q530" i="7"/>
  <c r="T530" i="7"/>
  <c r="B531" i="7"/>
  <c r="C531" i="7"/>
  <c r="F531" i="7"/>
  <c r="G531" i="7"/>
  <c r="H531" i="7"/>
  <c r="L531" i="7"/>
  <c r="M531" i="7" s="1"/>
  <c r="N531" i="7"/>
  <c r="O531" i="7"/>
  <c r="P531" i="7"/>
  <c r="Q531" i="7"/>
  <c r="T531" i="7"/>
  <c r="B532" i="7"/>
  <c r="C532" i="7"/>
  <c r="F532" i="7"/>
  <c r="G532" i="7"/>
  <c r="H532" i="7"/>
  <c r="L532" i="7"/>
  <c r="M532" i="7" s="1"/>
  <c r="N532" i="7"/>
  <c r="O532" i="7"/>
  <c r="P532" i="7"/>
  <c r="Q532" i="7"/>
  <c r="T532" i="7"/>
  <c r="B533" i="7"/>
  <c r="C533" i="7"/>
  <c r="F533" i="7"/>
  <c r="G533" i="7"/>
  <c r="H533" i="7"/>
  <c r="L533" i="7"/>
  <c r="M533" i="7" s="1"/>
  <c r="N533" i="7"/>
  <c r="O533" i="7"/>
  <c r="P533" i="7"/>
  <c r="Q533" i="7"/>
  <c r="T533" i="7"/>
  <c r="B534" i="7"/>
  <c r="C534" i="7"/>
  <c r="F534" i="7"/>
  <c r="G534" i="7"/>
  <c r="H534" i="7"/>
  <c r="L534" i="7"/>
  <c r="M534" i="7" s="1"/>
  <c r="N534" i="7"/>
  <c r="O534" i="7"/>
  <c r="P534" i="7"/>
  <c r="Q534" i="7"/>
  <c r="T534" i="7"/>
  <c r="B535" i="7"/>
  <c r="C535" i="7"/>
  <c r="F535" i="7"/>
  <c r="G535" i="7"/>
  <c r="H535" i="7"/>
  <c r="L535" i="7"/>
  <c r="M535" i="7" s="1"/>
  <c r="N535" i="7"/>
  <c r="O535" i="7"/>
  <c r="P535" i="7"/>
  <c r="Q535" i="7"/>
  <c r="T535" i="7"/>
  <c r="B536" i="7"/>
  <c r="C536" i="7"/>
  <c r="F536" i="7"/>
  <c r="G536" i="7"/>
  <c r="H536" i="7"/>
  <c r="L536" i="7"/>
  <c r="M536" i="7" s="1"/>
  <c r="N536" i="7"/>
  <c r="O536" i="7"/>
  <c r="P536" i="7"/>
  <c r="Q536" i="7"/>
  <c r="T536" i="7"/>
  <c r="B537" i="7"/>
  <c r="C537" i="7"/>
  <c r="F537" i="7"/>
  <c r="G537" i="7"/>
  <c r="H537" i="7"/>
  <c r="L537" i="7"/>
  <c r="M537" i="7" s="1"/>
  <c r="N537" i="7"/>
  <c r="O537" i="7"/>
  <c r="P537" i="7"/>
  <c r="Q537" i="7"/>
  <c r="T537" i="7"/>
  <c r="B538" i="7"/>
  <c r="C538" i="7"/>
  <c r="F538" i="7"/>
  <c r="G538" i="7"/>
  <c r="H538" i="7"/>
  <c r="L538" i="7"/>
  <c r="M538" i="7" s="1"/>
  <c r="N538" i="7"/>
  <c r="O538" i="7"/>
  <c r="P538" i="7"/>
  <c r="Q538" i="7"/>
  <c r="T538" i="7"/>
  <c r="B539" i="7"/>
  <c r="C539" i="7"/>
  <c r="F539" i="7"/>
  <c r="G539" i="7"/>
  <c r="H539" i="7"/>
  <c r="L539" i="7"/>
  <c r="M539" i="7" s="1"/>
  <c r="N539" i="7"/>
  <c r="O539" i="7"/>
  <c r="P539" i="7"/>
  <c r="Q539" i="7"/>
  <c r="T539" i="7"/>
  <c r="B540" i="7"/>
  <c r="C540" i="7"/>
  <c r="F540" i="7"/>
  <c r="G540" i="7"/>
  <c r="H540" i="7"/>
  <c r="L540" i="7"/>
  <c r="M540" i="7" s="1"/>
  <c r="N540" i="7"/>
  <c r="O540" i="7"/>
  <c r="P540" i="7"/>
  <c r="Q540" i="7"/>
  <c r="T540" i="7"/>
  <c r="B541" i="7"/>
  <c r="C541" i="7"/>
  <c r="F541" i="7"/>
  <c r="G541" i="7"/>
  <c r="H541" i="7"/>
  <c r="L541" i="7"/>
  <c r="M541" i="7" s="1"/>
  <c r="N541" i="7"/>
  <c r="O541" i="7"/>
  <c r="P541" i="7"/>
  <c r="Q541" i="7"/>
  <c r="T541" i="7"/>
  <c r="B542" i="7"/>
  <c r="C542" i="7"/>
  <c r="F542" i="7"/>
  <c r="G542" i="7"/>
  <c r="H542" i="7"/>
  <c r="L542" i="7"/>
  <c r="M542" i="7" s="1"/>
  <c r="N542" i="7"/>
  <c r="O542" i="7"/>
  <c r="P542" i="7"/>
  <c r="Q542" i="7"/>
  <c r="T542" i="7"/>
  <c r="B543" i="7"/>
  <c r="C543" i="7"/>
  <c r="F543" i="7"/>
  <c r="G543" i="7"/>
  <c r="H543" i="7"/>
  <c r="L543" i="7"/>
  <c r="M543" i="7" s="1"/>
  <c r="N543" i="7"/>
  <c r="O543" i="7"/>
  <c r="P543" i="7"/>
  <c r="Q543" i="7"/>
  <c r="T543" i="7"/>
  <c r="B544" i="7"/>
  <c r="C544" i="7"/>
  <c r="F544" i="7"/>
  <c r="G544" i="7"/>
  <c r="H544" i="7"/>
  <c r="L544" i="7"/>
  <c r="M544" i="7" s="1"/>
  <c r="N544" i="7"/>
  <c r="O544" i="7"/>
  <c r="P544" i="7"/>
  <c r="Q544" i="7"/>
  <c r="T544" i="7"/>
  <c r="B545" i="7"/>
  <c r="C545" i="7"/>
  <c r="F545" i="7"/>
  <c r="G545" i="7"/>
  <c r="H545" i="7"/>
  <c r="L545" i="7"/>
  <c r="M545" i="7" s="1"/>
  <c r="N545" i="7"/>
  <c r="O545" i="7"/>
  <c r="P545" i="7"/>
  <c r="Q545" i="7"/>
  <c r="T545" i="7"/>
  <c r="B546" i="7"/>
  <c r="C546" i="7"/>
  <c r="F546" i="7"/>
  <c r="G546" i="7"/>
  <c r="H546" i="7"/>
  <c r="L546" i="7"/>
  <c r="M546" i="7" s="1"/>
  <c r="N546" i="7"/>
  <c r="O546" i="7"/>
  <c r="P546" i="7"/>
  <c r="Q546" i="7"/>
  <c r="T546" i="7"/>
  <c r="B547" i="7"/>
  <c r="C547" i="7"/>
  <c r="F547" i="7"/>
  <c r="G547" i="7"/>
  <c r="H547" i="7"/>
  <c r="L547" i="7"/>
  <c r="M547" i="7" s="1"/>
  <c r="N547" i="7"/>
  <c r="O547" i="7"/>
  <c r="P547" i="7"/>
  <c r="Q547" i="7"/>
  <c r="T547" i="7"/>
  <c r="B548" i="7"/>
  <c r="C548" i="7"/>
  <c r="F548" i="7"/>
  <c r="G548" i="7"/>
  <c r="H548" i="7"/>
  <c r="L548" i="7"/>
  <c r="M548" i="7" s="1"/>
  <c r="N548" i="7"/>
  <c r="O548" i="7"/>
  <c r="P548" i="7"/>
  <c r="Q548" i="7"/>
  <c r="T548" i="7"/>
  <c r="B549" i="7"/>
  <c r="C549" i="7"/>
  <c r="F549" i="7"/>
  <c r="G549" i="7"/>
  <c r="H549" i="7"/>
  <c r="L549" i="7"/>
  <c r="M549" i="7" s="1"/>
  <c r="N549" i="7"/>
  <c r="O549" i="7"/>
  <c r="P549" i="7"/>
  <c r="Q549" i="7"/>
  <c r="T549" i="7"/>
  <c r="B550" i="7"/>
  <c r="C550" i="7"/>
  <c r="F550" i="7"/>
  <c r="G550" i="7"/>
  <c r="H550" i="7"/>
  <c r="L550" i="7"/>
  <c r="M550" i="7" s="1"/>
  <c r="N550" i="7"/>
  <c r="O550" i="7"/>
  <c r="P550" i="7"/>
  <c r="Q550" i="7"/>
  <c r="T550" i="7"/>
  <c r="B551" i="7"/>
  <c r="C551" i="7"/>
  <c r="F551" i="7"/>
  <c r="G551" i="7"/>
  <c r="H551" i="7"/>
  <c r="L551" i="7"/>
  <c r="M551" i="7" s="1"/>
  <c r="N551" i="7"/>
  <c r="O551" i="7"/>
  <c r="P551" i="7"/>
  <c r="Q551" i="7"/>
  <c r="T551" i="7"/>
  <c r="B552" i="7"/>
  <c r="C552" i="7"/>
  <c r="F552" i="7"/>
  <c r="G552" i="7"/>
  <c r="H552" i="7"/>
  <c r="L552" i="7"/>
  <c r="M552" i="7" s="1"/>
  <c r="N552" i="7"/>
  <c r="O552" i="7"/>
  <c r="P552" i="7"/>
  <c r="Q552" i="7"/>
  <c r="T552" i="7"/>
  <c r="B553" i="7"/>
  <c r="C553" i="7"/>
  <c r="F553" i="7"/>
  <c r="G553" i="7"/>
  <c r="H553" i="7"/>
  <c r="L553" i="7"/>
  <c r="M553" i="7" s="1"/>
  <c r="N553" i="7"/>
  <c r="O553" i="7"/>
  <c r="P553" i="7"/>
  <c r="Q553" i="7"/>
  <c r="T553" i="7"/>
  <c r="B554" i="7"/>
  <c r="C554" i="7"/>
  <c r="F554" i="7"/>
  <c r="G554" i="7"/>
  <c r="H554" i="7"/>
  <c r="L554" i="7"/>
  <c r="M554" i="7" s="1"/>
  <c r="N554" i="7"/>
  <c r="O554" i="7"/>
  <c r="P554" i="7"/>
  <c r="Q554" i="7"/>
  <c r="T554" i="7"/>
  <c r="B555" i="7"/>
  <c r="C555" i="7"/>
  <c r="F555" i="7"/>
  <c r="G555" i="7"/>
  <c r="H555" i="7"/>
  <c r="L555" i="7"/>
  <c r="M555" i="7" s="1"/>
  <c r="N555" i="7"/>
  <c r="O555" i="7"/>
  <c r="P555" i="7"/>
  <c r="Q555" i="7"/>
  <c r="T555" i="7"/>
  <c r="B556" i="7"/>
  <c r="C556" i="7"/>
  <c r="F556" i="7"/>
  <c r="G556" i="7"/>
  <c r="H556" i="7"/>
  <c r="L556" i="7"/>
  <c r="M556" i="7" s="1"/>
  <c r="N556" i="7"/>
  <c r="O556" i="7"/>
  <c r="P556" i="7"/>
  <c r="Q556" i="7"/>
  <c r="T556" i="7"/>
  <c r="B557" i="7"/>
  <c r="C557" i="7"/>
  <c r="F557" i="7"/>
  <c r="G557" i="7"/>
  <c r="H557" i="7"/>
  <c r="L557" i="7"/>
  <c r="M557" i="7" s="1"/>
  <c r="N557" i="7"/>
  <c r="O557" i="7"/>
  <c r="P557" i="7"/>
  <c r="Q557" i="7"/>
  <c r="T557" i="7"/>
  <c r="B558" i="7"/>
  <c r="C558" i="7"/>
  <c r="F558" i="7"/>
  <c r="G558" i="7"/>
  <c r="H558" i="7"/>
  <c r="L558" i="7"/>
  <c r="M558" i="7" s="1"/>
  <c r="N558" i="7"/>
  <c r="O558" i="7"/>
  <c r="P558" i="7"/>
  <c r="Q558" i="7"/>
  <c r="T558" i="7"/>
  <c r="B559" i="7"/>
  <c r="C559" i="7"/>
  <c r="F559" i="7"/>
  <c r="G559" i="7"/>
  <c r="H559" i="7"/>
  <c r="L559" i="7"/>
  <c r="M559" i="7" s="1"/>
  <c r="N559" i="7"/>
  <c r="O559" i="7"/>
  <c r="P559" i="7"/>
  <c r="Q559" i="7"/>
  <c r="T559" i="7"/>
  <c r="B560" i="7"/>
  <c r="C560" i="7"/>
  <c r="F560" i="7"/>
  <c r="G560" i="7"/>
  <c r="H560" i="7"/>
  <c r="L560" i="7"/>
  <c r="M560" i="7" s="1"/>
  <c r="N560" i="7"/>
  <c r="O560" i="7"/>
  <c r="P560" i="7"/>
  <c r="Q560" i="7"/>
  <c r="T560" i="7"/>
  <c r="B561" i="7"/>
  <c r="C561" i="7"/>
  <c r="F561" i="7"/>
  <c r="G561" i="7"/>
  <c r="H561" i="7"/>
  <c r="L561" i="7"/>
  <c r="M561" i="7" s="1"/>
  <c r="N561" i="7"/>
  <c r="O561" i="7"/>
  <c r="P561" i="7"/>
  <c r="Q561" i="7"/>
  <c r="T561" i="7"/>
  <c r="B562" i="7"/>
  <c r="C562" i="7"/>
  <c r="F562" i="7"/>
  <c r="G562" i="7"/>
  <c r="H562" i="7"/>
  <c r="L562" i="7"/>
  <c r="M562" i="7" s="1"/>
  <c r="N562" i="7"/>
  <c r="O562" i="7"/>
  <c r="P562" i="7"/>
  <c r="Q562" i="7"/>
  <c r="T562" i="7"/>
  <c r="B563" i="7"/>
  <c r="C563" i="7"/>
  <c r="F563" i="7"/>
  <c r="G563" i="7"/>
  <c r="H563" i="7"/>
  <c r="L563" i="7"/>
  <c r="M563" i="7" s="1"/>
  <c r="N563" i="7"/>
  <c r="O563" i="7"/>
  <c r="P563" i="7"/>
  <c r="Q563" i="7"/>
  <c r="T563" i="7"/>
  <c r="B564" i="7"/>
  <c r="C564" i="7"/>
  <c r="F564" i="7"/>
  <c r="G564" i="7"/>
  <c r="H564" i="7"/>
  <c r="L564" i="7"/>
  <c r="M564" i="7" s="1"/>
  <c r="N564" i="7"/>
  <c r="O564" i="7"/>
  <c r="P564" i="7"/>
  <c r="Q564" i="7"/>
  <c r="T564" i="7"/>
  <c r="B565" i="7"/>
  <c r="C565" i="7"/>
  <c r="F565" i="7"/>
  <c r="G565" i="7"/>
  <c r="H565" i="7"/>
  <c r="L565" i="7"/>
  <c r="M565" i="7" s="1"/>
  <c r="N565" i="7"/>
  <c r="O565" i="7"/>
  <c r="P565" i="7"/>
  <c r="Q565" i="7"/>
  <c r="T565" i="7"/>
  <c r="B566" i="7"/>
  <c r="C566" i="7"/>
  <c r="F566" i="7"/>
  <c r="G566" i="7"/>
  <c r="H566" i="7"/>
  <c r="L566" i="7"/>
  <c r="M566" i="7" s="1"/>
  <c r="N566" i="7"/>
  <c r="O566" i="7"/>
  <c r="P566" i="7"/>
  <c r="Q566" i="7"/>
  <c r="T566" i="7"/>
  <c r="B567" i="7"/>
  <c r="C567" i="7"/>
  <c r="F567" i="7"/>
  <c r="G567" i="7"/>
  <c r="H567" i="7"/>
  <c r="L567" i="7"/>
  <c r="M567" i="7" s="1"/>
  <c r="N567" i="7"/>
  <c r="O567" i="7"/>
  <c r="P567" i="7"/>
  <c r="Q567" i="7"/>
  <c r="T567" i="7"/>
  <c r="B568" i="7"/>
  <c r="C568" i="7"/>
  <c r="F568" i="7"/>
  <c r="G568" i="7"/>
  <c r="H568" i="7"/>
  <c r="L568" i="7"/>
  <c r="M568" i="7" s="1"/>
  <c r="N568" i="7"/>
  <c r="O568" i="7"/>
  <c r="P568" i="7"/>
  <c r="Q568" i="7"/>
  <c r="T568" i="7"/>
  <c r="B569" i="7"/>
  <c r="C569" i="7"/>
  <c r="F569" i="7"/>
  <c r="G569" i="7"/>
  <c r="H569" i="7"/>
  <c r="L569" i="7"/>
  <c r="M569" i="7" s="1"/>
  <c r="N569" i="7"/>
  <c r="O569" i="7"/>
  <c r="P569" i="7"/>
  <c r="Q569" i="7"/>
  <c r="T569" i="7"/>
  <c r="B570" i="7"/>
  <c r="C570" i="7"/>
  <c r="F570" i="7"/>
  <c r="G570" i="7"/>
  <c r="H570" i="7"/>
  <c r="L570" i="7"/>
  <c r="M570" i="7" s="1"/>
  <c r="N570" i="7"/>
  <c r="O570" i="7"/>
  <c r="P570" i="7"/>
  <c r="Q570" i="7"/>
  <c r="T570" i="7"/>
  <c r="B571" i="7"/>
  <c r="C571" i="7"/>
  <c r="F571" i="7"/>
  <c r="G571" i="7"/>
  <c r="H571" i="7"/>
  <c r="L571" i="7"/>
  <c r="M571" i="7" s="1"/>
  <c r="N571" i="7"/>
  <c r="O571" i="7"/>
  <c r="P571" i="7"/>
  <c r="Q571" i="7"/>
  <c r="T571" i="7"/>
  <c r="B572" i="7"/>
  <c r="C572" i="7"/>
  <c r="F572" i="7"/>
  <c r="G572" i="7"/>
  <c r="H572" i="7"/>
  <c r="L572" i="7"/>
  <c r="M572" i="7" s="1"/>
  <c r="N572" i="7"/>
  <c r="O572" i="7"/>
  <c r="P572" i="7"/>
  <c r="Q572" i="7"/>
  <c r="T572" i="7"/>
  <c r="B573" i="7"/>
  <c r="C573" i="7"/>
  <c r="F573" i="7"/>
  <c r="G573" i="7"/>
  <c r="H573" i="7"/>
  <c r="L573" i="7"/>
  <c r="M573" i="7" s="1"/>
  <c r="N573" i="7"/>
  <c r="O573" i="7"/>
  <c r="P573" i="7"/>
  <c r="Q573" i="7"/>
  <c r="T573" i="7"/>
  <c r="B574" i="7"/>
  <c r="C574" i="7"/>
  <c r="F574" i="7"/>
  <c r="G574" i="7"/>
  <c r="H574" i="7"/>
  <c r="L574" i="7"/>
  <c r="M574" i="7" s="1"/>
  <c r="N574" i="7"/>
  <c r="O574" i="7"/>
  <c r="P574" i="7"/>
  <c r="Q574" i="7"/>
  <c r="T574" i="7"/>
  <c r="B575" i="7"/>
  <c r="C575" i="7"/>
  <c r="F575" i="7"/>
  <c r="G575" i="7"/>
  <c r="H575" i="7"/>
  <c r="L575" i="7"/>
  <c r="M575" i="7" s="1"/>
  <c r="N575" i="7"/>
  <c r="O575" i="7"/>
  <c r="P575" i="7"/>
  <c r="Q575" i="7"/>
  <c r="T575" i="7"/>
  <c r="B576" i="7"/>
  <c r="C576" i="7"/>
  <c r="F576" i="7"/>
  <c r="G576" i="7"/>
  <c r="H576" i="7"/>
  <c r="L576" i="7"/>
  <c r="M576" i="7" s="1"/>
  <c r="N576" i="7"/>
  <c r="O576" i="7"/>
  <c r="P576" i="7"/>
  <c r="Q576" i="7"/>
  <c r="T576" i="7"/>
  <c r="B577" i="7"/>
  <c r="C577" i="7"/>
  <c r="F577" i="7"/>
  <c r="G577" i="7"/>
  <c r="H577" i="7"/>
  <c r="L577" i="7"/>
  <c r="M577" i="7" s="1"/>
  <c r="N577" i="7"/>
  <c r="O577" i="7"/>
  <c r="P577" i="7"/>
  <c r="Q577" i="7"/>
  <c r="T577" i="7"/>
  <c r="B578" i="7"/>
  <c r="C578" i="7"/>
  <c r="F578" i="7"/>
  <c r="G578" i="7"/>
  <c r="H578" i="7"/>
  <c r="L578" i="7"/>
  <c r="M578" i="7" s="1"/>
  <c r="N578" i="7"/>
  <c r="O578" i="7"/>
  <c r="P578" i="7"/>
  <c r="Q578" i="7"/>
  <c r="T578" i="7"/>
  <c r="B579" i="7"/>
  <c r="C579" i="7"/>
  <c r="F579" i="7"/>
  <c r="G579" i="7"/>
  <c r="H579" i="7"/>
  <c r="L579" i="7"/>
  <c r="M579" i="7" s="1"/>
  <c r="N579" i="7"/>
  <c r="O579" i="7"/>
  <c r="P579" i="7"/>
  <c r="Q579" i="7"/>
  <c r="T579" i="7"/>
  <c r="B580" i="7"/>
  <c r="C580" i="7"/>
  <c r="F580" i="7"/>
  <c r="G580" i="7"/>
  <c r="H580" i="7"/>
  <c r="L580" i="7"/>
  <c r="M580" i="7" s="1"/>
  <c r="N580" i="7"/>
  <c r="O580" i="7"/>
  <c r="P580" i="7"/>
  <c r="Q580" i="7"/>
  <c r="T580" i="7"/>
  <c r="B581" i="7"/>
  <c r="C581" i="7"/>
  <c r="F581" i="7"/>
  <c r="G581" i="7"/>
  <c r="H581" i="7"/>
  <c r="L581" i="7"/>
  <c r="M581" i="7" s="1"/>
  <c r="N581" i="7"/>
  <c r="O581" i="7"/>
  <c r="P581" i="7"/>
  <c r="Q581" i="7"/>
  <c r="T581" i="7"/>
  <c r="B582" i="7"/>
  <c r="C582" i="7"/>
  <c r="F582" i="7"/>
  <c r="G582" i="7"/>
  <c r="H582" i="7"/>
  <c r="L582" i="7"/>
  <c r="M582" i="7" s="1"/>
  <c r="N582" i="7"/>
  <c r="O582" i="7"/>
  <c r="P582" i="7"/>
  <c r="Q582" i="7"/>
  <c r="T582" i="7"/>
  <c r="B583" i="7"/>
  <c r="C583" i="7"/>
  <c r="F583" i="7"/>
  <c r="G583" i="7"/>
  <c r="H583" i="7"/>
  <c r="L583" i="7"/>
  <c r="M583" i="7" s="1"/>
  <c r="N583" i="7"/>
  <c r="O583" i="7"/>
  <c r="P583" i="7"/>
  <c r="Q583" i="7"/>
  <c r="T583" i="7"/>
  <c r="B584" i="7"/>
  <c r="C584" i="7"/>
  <c r="F584" i="7"/>
  <c r="G584" i="7"/>
  <c r="H584" i="7"/>
  <c r="L584" i="7"/>
  <c r="M584" i="7" s="1"/>
  <c r="N584" i="7"/>
  <c r="O584" i="7"/>
  <c r="P584" i="7"/>
  <c r="Q584" i="7"/>
  <c r="T584" i="7"/>
  <c r="B585" i="7"/>
  <c r="C585" i="7"/>
  <c r="F585" i="7"/>
  <c r="G585" i="7"/>
  <c r="H585" i="7"/>
  <c r="L585" i="7"/>
  <c r="M585" i="7" s="1"/>
  <c r="N585" i="7"/>
  <c r="O585" i="7"/>
  <c r="P585" i="7"/>
  <c r="Q585" i="7"/>
  <c r="T585" i="7"/>
  <c r="B586" i="7"/>
  <c r="C586" i="7"/>
  <c r="F586" i="7"/>
  <c r="G586" i="7"/>
  <c r="H586" i="7"/>
  <c r="L586" i="7"/>
  <c r="M586" i="7" s="1"/>
  <c r="N586" i="7"/>
  <c r="O586" i="7"/>
  <c r="P586" i="7"/>
  <c r="Q586" i="7"/>
  <c r="T586" i="7"/>
  <c r="B587" i="7"/>
  <c r="C587" i="7"/>
  <c r="F587" i="7"/>
  <c r="G587" i="7"/>
  <c r="H587" i="7"/>
  <c r="L587" i="7"/>
  <c r="M587" i="7" s="1"/>
  <c r="N587" i="7"/>
  <c r="O587" i="7"/>
  <c r="P587" i="7"/>
  <c r="Q587" i="7"/>
  <c r="T587" i="7"/>
  <c r="B588" i="7"/>
  <c r="C588" i="7"/>
  <c r="F588" i="7"/>
  <c r="G588" i="7"/>
  <c r="H588" i="7"/>
  <c r="L588" i="7"/>
  <c r="M588" i="7" s="1"/>
  <c r="N588" i="7"/>
  <c r="O588" i="7"/>
  <c r="P588" i="7"/>
  <c r="Q588" i="7"/>
  <c r="T588" i="7"/>
  <c r="B589" i="7"/>
  <c r="C589" i="7"/>
  <c r="F589" i="7"/>
  <c r="G589" i="7"/>
  <c r="H589" i="7"/>
  <c r="L589" i="7"/>
  <c r="M589" i="7" s="1"/>
  <c r="N589" i="7"/>
  <c r="O589" i="7"/>
  <c r="P589" i="7"/>
  <c r="Q589" i="7"/>
  <c r="T589" i="7"/>
  <c r="B590" i="7"/>
  <c r="C590" i="7"/>
  <c r="F590" i="7"/>
  <c r="G590" i="7"/>
  <c r="H590" i="7"/>
  <c r="L590" i="7"/>
  <c r="M590" i="7" s="1"/>
  <c r="N590" i="7"/>
  <c r="O590" i="7"/>
  <c r="P590" i="7"/>
  <c r="Q590" i="7"/>
  <c r="T590" i="7"/>
  <c r="B591" i="7"/>
  <c r="C591" i="7"/>
  <c r="F591" i="7"/>
  <c r="G591" i="7"/>
  <c r="H591" i="7"/>
  <c r="L591" i="7"/>
  <c r="M591" i="7" s="1"/>
  <c r="N591" i="7"/>
  <c r="O591" i="7"/>
  <c r="P591" i="7"/>
  <c r="Q591" i="7"/>
  <c r="T591" i="7"/>
  <c r="B592" i="7"/>
  <c r="C592" i="7"/>
  <c r="F592" i="7"/>
  <c r="G592" i="7"/>
  <c r="H592" i="7"/>
  <c r="L592" i="7"/>
  <c r="M592" i="7" s="1"/>
  <c r="N592" i="7"/>
  <c r="O592" i="7"/>
  <c r="P592" i="7"/>
  <c r="Q592" i="7"/>
  <c r="T592" i="7"/>
  <c r="B593" i="7"/>
  <c r="C593" i="7"/>
  <c r="F593" i="7"/>
  <c r="G593" i="7"/>
  <c r="H593" i="7"/>
  <c r="L593" i="7"/>
  <c r="M593" i="7" s="1"/>
  <c r="N593" i="7"/>
  <c r="O593" i="7"/>
  <c r="P593" i="7"/>
  <c r="Q593" i="7"/>
  <c r="T593" i="7"/>
  <c r="B594" i="7"/>
  <c r="C594" i="7"/>
  <c r="F594" i="7"/>
  <c r="G594" i="7"/>
  <c r="H594" i="7"/>
  <c r="L594" i="7"/>
  <c r="M594" i="7" s="1"/>
  <c r="N594" i="7"/>
  <c r="O594" i="7"/>
  <c r="P594" i="7"/>
  <c r="Q594" i="7"/>
  <c r="T594" i="7"/>
  <c r="B595" i="7"/>
  <c r="C595" i="7"/>
  <c r="F595" i="7"/>
  <c r="G595" i="7"/>
  <c r="H595" i="7"/>
  <c r="L595" i="7"/>
  <c r="M595" i="7" s="1"/>
  <c r="N595" i="7"/>
  <c r="O595" i="7"/>
  <c r="P595" i="7"/>
  <c r="Q595" i="7"/>
  <c r="T595" i="7"/>
  <c r="B596" i="7"/>
  <c r="C596" i="7"/>
  <c r="F596" i="7"/>
  <c r="G596" i="7"/>
  <c r="H596" i="7"/>
  <c r="L596" i="7"/>
  <c r="M596" i="7" s="1"/>
  <c r="N596" i="7"/>
  <c r="O596" i="7"/>
  <c r="P596" i="7"/>
  <c r="Q596" i="7"/>
  <c r="T596" i="7"/>
  <c r="B597" i="7"/>
  <c r="C597" i="7"/>
  <c r="F597" i="7"/>
  <c r="G597" i="7"/>
  <c r="H597" i="7"/>
  <c r="L597" i="7"/>
  <c r="M597" i="7" s="1"/>
  <c r="N597" i="7"/>
  <c r="O597" i="7"/>
  <c r="P597" i="7"/>
  <c r="Q597" i="7"/>
  <c r="T597" i="7"/>
  <c r="B598" i="7"/>
  <c r="C598" i="7"/>
  <c r="F598" i="7"/>
  <c r="G598" i="7"/>
  <c r="H598" i="7"/>
  <c r="L598" i="7"/>
  <c r="M598" i="7" s="1"/>
  <c r="N598" i="7"/>
  <c r="O598" i="7"/>
  <c r="P598" i="7"/>
  <c r="Q598" i="7"/>
  <c r="T598" i="7"/>
  <c r="B599" i="7"/>
  <c r="C599" i="7"/>
  <c r="F599" i="7"/>
  <c r="G599" i="7"/>
  <c r="H599" i="7"/>
  <c r="L599" i="7"/>
  <c r="M599" i="7" s="1"/>
  <c r="N599" i="7"/>
  <c r="O599" i="7"/>
  <c r="P599" i="7"/>
  <c r="Q599" i="7"/>
  <c r="T599" i="7"/>
  <c r="B600" i="7"/>
  <c r="C600" i="7"/>
  <c r="F600" i="7"/>
  <c r="G600" i="7"/>
  <c r="H600" i="7"/>
  <c r="L600" i="7"/>
  <c r="M600" i="7" s="1"/>
  <c r="N600" i="7"/>
  <c r="O600" i="7"/>
  <c r="P600" i="7"/>
  <c r="Q600" i="7"/>
  <c r="T600" i="7"/>
  <c r="B601" i="7"/>
  <c r="C601" i="7"/>
  <c r="F601" i="7"/>
  <c r="G601" i="7"/>
  <c r="H601" i="7"/>
  <c r="L601" i="7"/>
  <c r="M601" i="7" s="1"/>
  <c r="N601" i="7"/>
  <c r="O601" i="7"/>
  <c r="P601" i="7"/>
  <c r="Q601" i="7"/>
  <c r="T601" i="7"/>
  <c r="B602" i="7"/>
  <c r="C602" i="7"/>
  <c r="F602" i="7"/>
  <c r="G602" i="7"/>
  <c r="H602" i="7"/>
  <c r="L602" i="7"/>
  <c r="M602" i="7" s="1"/>
  <c r="N602" i="7"/>
  <c r="O602" i="7"/>
  <c r="P602" i="7"/>
  <c r="Q602" i="7"/>
  <c r="T602" i="7"/>
  <c r="B603" i="7"/>
  <c r="C603" i="7"/>
  <c r="F603" i="7"/>
  <c r="G603" i="7"/>
  <c r="H603" i="7"/>
  <c r="L603" i="7"/>
  <c r="M603" i="7" s="1"/>
  <c r="N603" i="7"/>
  <c r="O603" i="7"/>
  <c r="P603" i="7"/>
  <c r="Q603" i="7"/>
  <c r="T603" i="7"/>
  <c r="B604" i="7"/>
  <c r="C604" i="7"/>
  <c r="F604" i="7"/>
  <c r="G604" i="7"/>
  <c r="H604" i="7"/>
  <c r="L604" i="7"/>
  <c r="M604" i="7" s="1"/>
  <c r="N604" i="7"/>
  <c r="O604" i="7"/>
  <c r="P604" i="7"/>
  <c r="Q604" i="7"/>
  <c r="T604" i="7"/>
  <c r="B605" i="7"/>
  <c r="C605" i="7"/>
  <c r="F605" i="7"/>
  <c r="G605" i="7"/>
  <c r="H605" i="7"/>
  <c r="L605" i="7"/>
  <c r="M605" i="7" s="1"/>
  <c r="N605" i="7"/>
  <c r="O605" i="7"/>
  <c r="P605" i="7"/>
  <c r="Q605" i="7"/>
  <c r="T605" i="7"/>
  <c r="B606" i="7"/>
  <c r="C606" i="7"/>
  <c r="F606" i="7"/>
  <c r="G606" i="7"/>
  <c r="H606" i="7"/>
  <c r="L606" i="7"/>
  <c r="M606" i="7" s="1"/>
  <c r="N606" i="7"/>
  <c r="O606" i="7"/>
  <c r="P606" i="7"/>
  <c r="Q606" i="7"/>
  <c r="T606" i="7"/>
  <c r="B607" i="7"/>
  <c r="C607" i="7"/>
  <c r="F607" i="7"/>
  <c r="G607" i="7"/>
  <c r="H607" i="7"/>
  <c r="L607" i="7"/>
  <c r="M607" i="7" s="1"/>
  <c r="N607" i="7"/>
  <c r="O607" i="7"/>
  <c r="P607" i="7"/>
  <c r="Q607" i="7"/>
  <c r="T607" i="7"/>
  <c r="B608" i="7"/>
  <c r="C608" i="7"/>
  <c r="F608" i="7"/>
  <c r="G608" i="7"/>
  <c r="H608" i="7"/>
  <c r="L608" i="7"/>
  <c r="M608" i="7" s="1"/>
  <c r="N608" i="7"/>
  <c r="O608" i="7"/>
  <c r="P608" i="7"/>
  <c r="Q608" i="7"/>
  <c r="T608" i="7"/>
  <c r="B609" i="7"/>
  <c r="C609" i="7"/>
  <c r="F609" i="7"/>
  <c r="G609" i="7"/>
  <c r="H609" i="7"/>
  <c r="L609" i="7"/>
  <c r="M609" i="7" s="1"/>
  <c r="N609" i="7"/>
  <c r="O609" i="7"/>
  <c r="P609" i="7"/>
  <c r="Q609" i="7"/>
  <c r="T609" i="7"/>
  <c r="B610" i="7"/>
  <c r="C610" i="7"/>
  <c r="F610" i="7"/>
  <c r="G610" i="7"/>
  <c r="H610" i="7"/>
  <c r="L610" i="7"/>
  <c r="M610" i="7" s="1"/>
  <c r="N610" i="7"/>
  <c r="O610" i="7"/>
  <c r="P610" i="7"/>
  <c r="Q610" i="7"/>
  <c r="T610" i="7"/>
  <c r="B611" i="7"/>
  <c r="C611" i="7"/>
  <c r="F611" i="7"/>
  <c r="G611" i="7"/>
  <c r="H611" i="7"/>
  <c r="L611" i="7"/>
  <c r="M611" i="7" s="1"/>
  <c r="N611" i="7"/>
  <c r="O611" i="7"/>
  <c r="P611" i="7"/>
  <c r="Q611" i="7"/>
  <c r="T611" i="7"/>
  <c r="B612" i="7"/>
  <c r="C612" i="7"/>
  <c r="F612" i="7"/>
  <c r="G612" i="7"/>
  <c r="H612" i="7"/>
  <c r="L612" i="7"/>
  <c r="M612" i="7" s="1"/>
  <c r="N612" i="7"/>
  <c r="O612" i="7"/>
  <c r="P612" i="7"/>
  <c r="Q612" i="7"/>
  <c r="T612" i="7"/>
  <c r="B613" i="7"/>
  <c r="C613" i="7"/>
  <c r="F613" i="7"/>
  <c r="G613" i="7"/>
  <c r="H613" i="7"/>
  <c r="L613" i="7"/>
  <c r="M613" i="7" s="1"/>
  <c r="N613" i="7"/>
  <c r="O613" i="7"/>
  <c r="P613" i="7"/>
  <c r="Q613" i="7"/>
  <c r="T613" i="7"/>
  <c r="B614" i="7"/>
  <c r="C614" i="7"/>
  <c r="F614" i="7"/>
  <c r="G614" i="7"/>
  <c r="H614" i="7"/>
  <c r="L614" i="7"/>
  <c r="M614" i="7" s="1"/>
  <c r="N614" i="7"/>
  <c r="O614" i="7"/>
  <c r="P614" i="7"/>
  <c r="Q614" i="7"/>
  <c r="T614" i="7"/>
  <c r="B615" i="7"/>
  <c r="C615" i="7"/>
  <c r="F615" i="7"/>
  <c r="G615" i="7"/>
  <c r="H615" i="7"/>
  <c r="L615" i="7"/>
  <c r="M615" i="7" s="1"/>
  <c r="N615" i="7"/>
  <c r="O615" i="7"/>
  <c r="P615" i="7"/>
  <c r="Q615" i="7"/>
  <c r="T615" i="7"/>
  <c r="B616" i="7"/>
  <c r="C616" i="7"/>
  <c r="F616" i="7"/>
  <c r="G616" i="7"/>
  <c r="H616" i="7"/>
  <c r="L616" i="7"/>
  <c r="M616" i="7" s="1"/>
  <c r="N616" i="7"/>
  <c r="O616" i="7"/>
  <c r="P616" i="7"/>
  <c r="Q616" i="7"/>
  <c r="T616" i="7"/>
  <c r="B617" i="7"/>
  <c r="C617" i="7"/>
  <c r="F617" i="7"/>
  <c r="G617" i="7"/>
  <c r="H617" i="7"/>
  <c r="L617" i="7"/>
  <c r="M617" i="7" s="1"/>
  <c r="N617" i="7"/>
  <c r="O617" i="7"/>
  <c r="P617" i="7"/>
  <c r="Q617" i="7"/>
  <c r="T617" i="7"/>
  <c r="B618" i="7"/>
  <c r="C618" i="7"/>
  <c r="F618" i="7"/>
  <c r="G618" i="7"/>
  <c r="H618" i="7"/>
  <c r="L618" i="7"/>
  <c r="M618" i="7" s="1"/>
  <c r="N618" i="7"/>
  <c r="O618" i="7"/>
  <c r="P618" i="7"/>
  <c r="Q618" i="7"/>
  <c r="T618" i="7"/>
  <c r="B619" i="7"/>
  <c r="C619" i="7"/>
  <c r="F619" i="7"/>
  <c r="G619" i="7"/>
  <c r="H619" i="7"/>
  <c r="L619" i="7"/>
  <c r="M619" i="7" s="1"/>
  <c r="N619" i="7"/>
  <c r="O619" i="7"/>
  <c r="P619" i="7"/>
  <c r="Q619" i="7"/>
  <c r="T619" i="7"/>
  <c r="B620" i="7"/>
  <c r="C620" i="7"/>
  <c r="F620" i="7"/>
  <c r="G620" i="7"/>
  <c r="H620" i="7"/>
  <c r="L620" i="7"/>
  <c r="M620" i="7" s="1"/>
  <c r="N620" i="7"/>
  <c r="O620" i="7"/>
  <c r="P620" i="7"/>
  <c r="Q620" i="7"/>
  <c r="T620" i="7"/>
  <c r="B621" i="7"/>
  <c r="C621" i="7"/>
  <c r="F621" i="7"/>
  <c r="G621" i="7"/>
  <c r="H621" i="7"/>
  <c r="L621" i="7"/>
  <c r="M621" i="7" s="1"/>
  <c r="N621" i="7"/>
  <c r="O621" i="7"/>
  <c r="P621" i="7"/>
  <c r="Q621" i="7"/>
  <c r="T621" i="7"/>
  <c r="B622" i="7"/>
  <c r="C622" i="7"/>
  <c r="F622" i="7"/>
  <c r="G622" i="7"/>
  <c r="H622" i="7"/>
  <c r="L622" i="7"/>
  <c r="M622" i="7" s="1"/>
  <c r="N622" i="7"/>
  <c r="O622" i="7"/>
  <c r="P622" i="7"/>
  <c r="Q622" i="7"/>
  <c r="T622" i="7"/>
  <c r="B623" i="7"/>
  <c r="C623" i="7"/>
  <c r="F623" i="7"/>
  <c r="G623" i="7"/>
  <c r="H623" i="7"/>
  <c r="L623" i="7"/>
  <c r="M623" i="7" s="1"/>
  <c r="N623" i="7"/>
  <c r="O623" i="7"/>
  <c r="P623" i="7"/>
  <c r="Q623" i="7"/>
  <c r="T623" i="7"/>
  <c r="B624" i="7"/>
  <c r="C624" i="7"/>
  <c r="F624" i="7"/>
  <c r="G624" i="7"/>
  <c r="H624" i="7"/>
  <c r="L624" i="7"/>
  <c r="M624" i="7" s="1"/>
  <c r="N624" i="7"/>
  <c r="O624" i="7"/>
  <c r="P624" i="7"/>
  <c r="Q624" i="7"/>
  <c r="T624" i="7"/>
  <c r="B625" i="7"/>
  <c r="C625" i="7"/>
  <c r="F625" i="7"/>
  <c r="G625" i="7"/>
  <c r="H625" i="7"/>
  <c r="L625" i="7"/>
  <c r="M625" i="7" s="1"/>
  <c r="N625" i="7"/>
  <c r="O625" i="7"/>
  <c r="P625" i="7"/>
  <c r="Q625" i="7"/>
  <c r="T625" i="7"/>
  <c r="B626" i="7"/>
  <c r="C626" i="7"/>
  <c r="F626" i="7"/>
  <c r="G626" i="7"/>
  <c r="H626" i="7"/>
  <c r="L626" i="7"/>
  <c r="M626" i="7" s="1"/>
  <c r="N626" i="7"/>
  <c r="O626" i="7"/>
  <c r="P626" i="7"/>
  <c r="Q626" i="7"/>
  <c r="T626" i="7"/>
  <c r="B627" i="7"/>
  <c r="C627" i="7"/>
  <c r="F627" i="7"/>
  <c r="G627" i="7"/>
  <c r="H627" i="7"/>
  <c r="L627" i="7"/>
  <c r="M627" i="7" s="1"/>
  <c r="N627" i="7"/>
  <c r="O627" i="7"/>
  <c r="P627" i="7"/>
  <c r="Q627" i="7"/>
  <c r="T627" i="7"/>
  <c r="B628" i="7"/>
  <c r="C628" i="7"/>
  <c r="F628" i="7"/>
  <c r="G628" i="7"/>
  <c r="H628" i="7"/>
  <c r="L628" i="7"/>
  <c r="M628" i="7" s="1"/>
  <c r="N628" i="7"/>
  <c r="O628" i="7"/>
  <c r="P628" i="7"/>
  <c r="Q628" i="7"/>
  <c r="T628" i="7"/>
  <c r="B629" i="7"/>
  <c r="C629" i="7"/>
  <c r="F629" i="7"/>
  <c r="G629" i="7"/>
  <c r="H629" i="7"/>
  <c r="L629" i="7"/>
  <c r="M629" i="7" s="1"/>
  <c r="N629" i="7"/>
  <c r="O629" i="7"/>
  <c r="P629" i="7"/>
  <c r="Q629" i="7"/>
  <c r="T629" i="7"/>
  <c r="B630" i="7"/>
  <c r="C630" i="7"/>
  <c r="F630" i="7"/>
  <c r="G630" i="7"/>
  <c r="H630" i="7"/>
  <c r="L630" i="7"/>
  <c r="M630" i="7" s="1"/>
  <c r="N630" i="7"/>
  <c r="O630" i="7"/>
  <c r="P630" i="7"/>
  <c r="Q630" i="7"/>
  <c r="T630" i="7"/>
  <c r="B631" i="7"/>
  <c r="C631" i="7"/>
  <c r="F631" i="7"/>
  <c r="G631" i="7"/>
  <c r="H631" i="7"/>
  <c r="L631" i="7"/>
  <c r="M631" i="7" s="1"/>
  <c r="N631" i="7"/>
  <c r="O631" i="7"/>
  <c r="P631" i="7"/>
  <c r="Q631" i="7"/>
  <c r="T631" i="7"/>
  <c r="B632" i="7"/>
  <c r="C632" i="7"/>
  <c r="F632" i="7"/>
  <c r="G632" i="7"/>
  <c r="H632" i="7"/>
  <c r="L632" i="7"/>
  <c r="M632" i="7" s="1"/>
  <c r="N632" i="7"/>
  <c r="O632" i="7"/>
  <c r="P632" i="7"/>
  <c r="Q632" i="7"/>
  <c r="T632" i="7"/>
  <c r="B633" i="7"/>
  <c r="C633" i="7"/>
  <c r="F633" i="7"/>
  <c r="G633" i="7"/>
  <c r="H633" i="7"/>
  <c r="L633" i="7"/>
  <c r="M633" i="7" s="1"/>
  <c r="N633" i="7"/>
  <c r="O633" i="7"/>
  <c r="P633" i="7"/>
  <c r="Q633" i="7"/>
  <c r="T633" i="7"/>
  <c r="B634" i="7"/>
  <c r="C634" i="7"/>
  <c r="F634" i="7"/>
  <c r="G634" i="7"/>
  <c r="H634" i="7"/>
  <c r="L634" i="7"/>
  <c r="M634" i="7" s="1"/>
  <c r="N634" i="7"/>
  <c r="O634" i="7"/>
  <c r="P634" i="7"/>
  <c r="Q634" i="7"/>
  <c r="T634" i="7"/>
  <c r="B635" i="7"/>
  <c r="C635" i="7"/>
  <c r="F635" i="7"/>
  <c r="G635" i="7"/>
  <c r="H635" i="7"/>
  <c r="L635" i="7"/>
  <c r="M635" i="7" s="1"/>
  <c r="N635" i="7"/>
  <c r="O635" i="7"/>
  <c r="P635" i="7"/>
  <c r="Q635" i="7"/>
  <c r="T635" i="7"/>
  <c r="B636" i="7"/>
  <c r="C636" i="7"/>
  <c r="F636" i="7"/>
  <c r="G636" i="7"/>
  <c r="H636" i="7"/>
  <c r="L636" i="7"/>
  <c r="M636" i="7" s="1"/>
  <c r="N636" i="7"/>
  <c r="O636" i="7"/>
  <c r="P636" i="7"/>
  <c r="Q636" i="7"/>
  <c r="T636" i="7"/>
  <c r="B637" i="7"/>
  <c r="C637" i="7"/>
  <c r="F637" i="7"/>
  <c r="G637" i="7"/>
  <c r="H637" i="7"/>
  <c r="L637" i="7"/>
  <c r="M637" i="7" s="1"/>
  <c r="N637" i="7"/>
  <c r="O637" i="7"/>
  <c r="P637" i="7"/>
  <c r="Q637" i="7"/>
  <c r="T637" i="7"/>
  <c r="B638" i="7"/>
  <c r="C638" i="7"/>
  <c r="F638" i="7"/>
  <c r="G638" i="7"/>
  <c r="H638" i="7"/>
  <c r="L638" i="7"/>
  <c r="M638" i="7" s="1"/>
  <c r="N638" i="7"/>
  <c r="O638" i="7"/>
  <c r="P638" i="7"/>
  <c r="Q638" i="7"/>
  <c r="T638" i="7"/>
  <c r="B639" i="7"/>
  <c r="C639" i="7"/>
  <c r="F639" i="7"/>
  <c r="G639" i="7"/>
  <c r="H639" i="7"/>
  <c r="L639" i="7"/>
  <c r="M639" i="7" s="1"/>
  <c r="N639" i="7"/>
  <c r="O639" i="7"/>
  <c r="P639" i="7"/>
  <c r="Q639" i="7"/>
  <c r="T639" i="7"/>
  <c r="B640" i="7"/>
  <c r="C640" i="7"/>
  <c r="F640" i="7"/>
  <c r="G640" i="7"/>
  <c r="H640" i="7"/>
  <c r="L640" i="7"/>
  <c r="M640" i="7" s="1"/>
  <c r="N640" i="7"/>
  <c r="O640" i="7"/>
  <c r="P640" i="7"/>
  <c r="Q640" i="7"/>
  <c r="T640" i="7"/>
  <c r="B641" i="7"/>
  <c r="C641" i="7"/>
  <c r="F641" i="7"/>
  <c r="G641" i="7"/>
  <c r="H641" i="7"/>
  <c r="L641" i="7"/>
  <c r="M641" i="7" s="1"/>
  <c r="N641" i="7"/>
  <c r="O641" i="7"/>
  <c r="P641" i="7"/>
  <c r="Q641" i="7"/>
  <c r="T641" i="7"/>
  <c r="B642" i="7"/>
  <c r="C642" i="7"/>
  <c r="F642" i="7"/>
  <c r="G642" i="7"/>
  <c r="H642" i="7"/>
  <c r="L642" i="7"/>
  <c r="M642" i="7" s="1"/>
  <c r="N642" i="7"/>
  <c r="O642" i="7"/>
  <c r="P642" i="7"/>
  <c r="Q642" i="7"/>
  <c r="T642" i="7"/>
  <c r="B643" i="7"/>
  <c r="C643" i="7"/>
  <c r="F643" i="7"/>
  <c r="G643" i="7"/>
  <c r="H643" i="7"/>
  <c r="L643" i="7"/>
  <c r="M643" i="7" s="1"/>
  <c r="N643" i="7"/>
  <c r="O643" i="7"/>
  <c r="P643" i="7"/>
  <c r="Q643" i="7"/>
  <c r="T643" i="7"/>
  <c r="B644" i="7"/>
  <c r="C644" i="7"/>
  <c r="F644" i="7"/>
  <c r="G644" i="7"/>
  <c r="H644" i="7"/>
  <c r="L644" i="7"/>
  <c r="M644" i="7" s="1"/>
  <c r="N644" i="7"/>
  <c r="O644" i="7"/>
  <c r="P644" i="7"/>
  <c r="Q644" i="7"/>
  <c r="T644" i="7"/>
  <c r="B645" i="7"/>
  <c r="C645" i="7"/>
  <c r="F645" i="7"/>
  <c r="G645" i="7"/>
  <c r="H645" i="7"/>
  <c r="L645" i="7"/>
  <c r="M645" i="7" s="1"/>
  <c r="N645" i="7"/>
  <c r="O645" i="7"/>
  <c r="P645" i="7"/>
  <c r="Q645" i="7"/>
  <c r="T645" i="7"/>
  <c r="B646" i="7"/>
  <c r="C646" i="7"/>
  <c r="F646" i="7"/>
  <c r="G646" i="7"/>
  <c r="H646" i="7"/>
  <c r="L646" i="7"/>
  <c r="M646" i="7" s="1"/>
  <c r="N646" i="7"/>
  <c r="O646" i="7"/>
  <c r="P646" i="7"/>
  <c r="Q646" i="7"/>
  <c r="T646" i="7"/>
  <c r="B647" i="7"/>
  <c r="C647" i="7"/>
  <c r="F647" i="7"/>
  <c r="G647" i="7"/>
  <c r="H647" i="7"/>
  <c r="L647" i="7"/>
  <c r="M647" i="7" s="1"/>
  <c r="N647" i="7"/>
  <c r="O647" i="7"/>
  <c r="P647" i="7"/>
  <c r="Q647" i="7"/>
  <c r="T647" i="7"/>
  <c r="B648" i="7"/>
  <c r="C648" i="7"/>
  <c r="F648" i="7"/>
  <c r="G648" i="7"/>
  <c r="H648" i="7"/>
  <c r="L648" i="7"/>
  <c r="M648" i="7" s="1"/>
  <c r="N648" i="7"/>
  <c r="O648" i="7"/>
  <c r="P648" i="7"/>
  <c r="Q648" i="7"/>
  <c r="T648" i="7"/>
  <c r="B649" i="7"/>
  <c r="C649" i="7"/>
  <c r="F649" i="7"/>
  <c r="G649" i="7"/>
  <c r="H649" i="7"/>
  <c r="L649" i="7"/>
  <c r="M649" i="7" s="1"/>
  <c r="N649" i="7"/>
  <c r="O649" i="7"/>
  <c r="P649" i="7"/>
  <c r="Q649" i="7"/>
  <c r="T649" i="7"/>
  <c r="B650" i="7"/>
  <c r="C650" i="7"/>
  <c r="F650" i="7"/>
  <c r="G650" i="7"/>
  <c r="H650" i="7"/>
  <c r="L650" i="7"/>
  <c r="M650" i="7" s="1"/>
  <c r="N650" i="7"/>
  <c r="O650" i="7"/>
  <c r="P650" i="7"/>
  <c r="Q650" i="7"/>
  <c r="T650" i="7"/>
  <c r="B651" i="7"/>
  <c r="C651" i="7"/>
  <c r="F651" i="7"/>
  <c r="G651" i="7"/>
  <c r="H651" i="7"/>
  <c r="L651" i="7"/>
  <c r="M651" i="7" s="1"/>
  <c r="N651" i="7"/>
  <c r="O651" i="7"/>
  <c r="P651" i="7"/>
  <c r="Q651" i="7"/>
  <c r="T651" i="7"/>
  <c r="B652" i="7"/>
  <c r="C652" i="7"/>
  <c r="F652" i="7"/>
  <c r="G652" i="7"/>
  <c r="H652" i="7"/>
  <c r="L652" i="7"/>
  <c r="M652" i="7" s="1"/>
  <c r="N652" i="7"/>
  <c r="O652" i="7"/>
  <c r="P652" i="7"/>
  <c r="Q652" i="7"/>
  <c r="T652" i="7"/>
  <c r="B653" i="7"/>
  <c r="C653" i="7"/>
  <c r="F653" i="7"/>
  <c r="G653" i="7"/>
  <c r="H653" i="7"/>
  <c r="L653" i="7"/>
  <c r="M653" i="7" s="1"/>
  <c r="N653" i="7"/>
  <c r="O653" i="7"/>
  <c r="P653" i="7"/>
  <c r="Q653" i="7"/>
  <c r="T653" i="7"/>
  <c r="B654" i="7"/>
  <c r="C654" i="7"/>
  <c r="F654" i="7"/>
  <c r="G654" i="7"/>
  <c r="H654" i="7"/>
  <c r="L654" i="7"/>
  <c r="M654" i="7" s="1"/>
  <c r="N654" i="7"/>
  <c r="O654" i="7"/>
  <c r="P654" i="7"/>
  <c r="Q654" i="7"/>
  <c r="T654" i="7"/>
  <c r="B655" i="7"/>
  <c r="C655" i="7"/>
  <c r="F655" i="7"/>
  <c r="G655" i="7"/>
  <c r="H655" i="7"/>
  <c r="L655" i="7"/>
  <c r="M655" i="7" s="1"/>
  <c r="N655" i="7"/>
  <c r="O655" i="7"/>
  <c r="P655" i="7"/>
  <c r="Q655" i="7"/>
  <c r="T655" i="7"/>
  <c r="B656" i="7"/>
  <c r="C656" i="7"/>
  <c r="F656" i="7"/>
  <c r="G656" i="7"/>
  <c r="H656" i="7"/>
  <c r="L656" i="7"/>
  <c r="M656" i="7" s="1"/>
  <c r="N656" i="7"/>
  <c r="O656" i="7"/>
  <c r="P656" i="7"/>
  <c r="Q656" i="7"/>
  <c r="T656" i="7"/>
  <c r="B657" i="7"/>
  <c r="C657" i="7"/>
  <c r="F657" i="7"/>
  <c r="G657" i="7"/>
  <c r="H657" i="7"/>
  <c r="L657" i="7"/>
  <c r="M657" i="7" s="1"/>
  <c r="N657" i="7"/>
  <c r="O657" i="7"/>
  <c r="P657" i="7"/>
  <c r="Q657" i="7"/>
  <c r="T657" i="7"/>
  <c r="B658" i="7"/>
  <c r="C658" i="7"/>
  <c r="F658" i="7"/>
  <c r="G658" i="7"/>
  <c r="H658" i="7"/>
  <c r="L658" i="7"/>
  <c r="M658" i="7" s="1"/>
  <c r="N658" i="7"/>
  <c r="O658" i="7"/>
  <c r="P658" i="7"/>
  <c r="Q658" i="7"/>
  <c r="T658" i="7"/>
  <c r="B659" i="7"/>
  <c r="C659" i="7"/>
  <c r="F659" i="7"/>
  <c r="G659" i="7"/>
  <c r="H659" i="7"/>
  <c r="L659" i="7"/>
  <c r="M659" i="7" s="1"/>
  <c r="N659" i="7"/>
  <c r="O659" i="7"/>
  <c r="P659" i="7"/>
  <c r="Q659" i="7"/>
  <c r="T659" i="7"/>
  <c r="B660" i="7"/>
  <c r="C660" i="7"/>
  <c r="F660" i="7"/>
  <c r="G660" i="7"/>
  <c r="H660" i="7"/>
  <c r="L660" i="7"/>
  <c r="M660" i="7" s="1"/>
  <c r="N660" i="7"/>
  <c r="O660" i="7"/>
  <c r="P660" i="7"/>
  <c r="Q660" i="7"/>
  <c r="T660" i="7"/>
  <c r="B661" i="7"/>
  <c r="C661" i="7"/>
  <c r="F661" i="7"/>
  <c r="G661" i="7"/>
  <c r="H661" i="7"/>
  <c r="L661" i="7"/>
  <c r="M661" i="7" s="1"/>
  <c r="N661" i="7"/>
  <c r="O661" i="7"/>
  <c r="P661" i="7"/>
  <c r="Q661" i="7"/>
  <c r="T661" i="7"/>
  <c r="B662" i="7"/>
  <c r="C662" i="7"/>
  <c r="F662" i="7"/>
  <c r="G662" i="7"/>
  <c r="H662" i="7"/>
  <c r="L662" i="7"/>
  <c r="M662" i="7" s="1"/>
  <c r="N662" i="7"/>
  <c r="O662" i="7"/>
  <c r="P662" i="7"/>
  <c r="Q662" i="7"/>
  <c r="T662" i="7"/>
  <c r="B663" i="7"/>
  <c r="C663" i="7"/>
  <c r="F663" i="7"/>
  <c r="G663" i="7"/>
  <c r="H663" i="7"/>
  <c r="L663" i="7"/>
  <c r="M663" i="7" s="1"/>
  <c r="N663" i="7"/>
  <c r="O663" i="7"/>
  <c r="P663" i="7"/>
  <c r="Q663" i="7"/>
  <c r="T663" i="7"/>
  <c r="B664" i="7"/>
  <c r="C664" i="7"/>
  <c r="F664" i="7"/>
  <c r="G664" i="7"/>
  <c r="H664" i="7"/>
  <c r="L664" i="7"/>
  <c r="M664" i="7" s="1"/>
  <c r="N664" i="7"/>
  <c r="O664" i="7"/>
  <c r="P664" i="7"/>
  <c r="Q664" i="7"/>
  <c r="T664" i="7"/>
  <c r="B665" i="7"/>
  <c r="C665" i="7"/>
  <c r="F665" i="7"/>
  <c r="G665" i="7"/>
  <c r="H665" i="7"/>
  <c r="L665" i="7"/>
  <c r="M665" i="7" s="1"/>
  <c r="N665" i="7"/>
  <c r="O665" i="7"/>
  <c r="P665" i="7"/>
  <c r="Q665" i="7"/>
  <c r="T665" i="7"/>
  <c r="B666" i="7"/>
  <c r="C666" i="7"/>
  <c r="F666" i="7"/>
  <c r="G666" i="7"/>
  <c r="H666" i="7"/>
  <c r="L666" i="7"/>
  <c r="M666" i="7" s="1"/>
  <c r="N666" i="7"/>
  <c r="O666" i="7"/>
  <c r="P666" i="7"/>
  <c r="Q666" i="7"/>
  <c r="T666" i="7"/>
  <c r="B667" i="7"/>
  <c r="C667" i="7"/>
  <c r="F667" i="7"/>
  <c r="G667" i="7"/>
  <c r="H667" i="7"/>
  <c r="L667" i="7"/>
  <c r="M667" i="7" s="1"/>
  <c r="N667" i="7"/>
  <c r="O667" i="7"/>
  <c r="P667" i="7"/>
  <c r="Q667" i="7"/>
  <c r="T667" i="7"/>
  <c r="B668" i="7"/>
  <c r="C668" i="7"/>
  <c r="F668" i="7"/>
  <c r="G668" i="7"/>
  <c r="H668" i="7"/>
  <c r="L668" i="7"/>
  <c r="M668" i="7" s="1"/>
  <c r="N668" i="7"/>
  <c r="O668" i="7"/>
  <c r="P668" i="7"/>
  <c r="Q668" i="7"/>
  <c r="T668" i="7"/>
  <c r="B669" i="7"/>
  <c r="C669" i="7"/>
  <c r="F669" i="7"/>
  <c r="G669" i="7"/>
  <c r="H669" i="7"/>
  <c r="L669" i="7"/>
  <c r="M669" i="7" s="1"/>
  <c r="N669" i="7"/>
  <c r="O669" i="7"/>
  <c r="P669" i="7"/>
  <c r="Q669" i="7"/>
  <c r="T669" i="7"/>
  <c r="B670" i="7"/>
  <c r="C670" i="7"/>
  <c r="F670" i="7"/>
  <c r="G670" i="7"/>
  <c r="H670" i="7"/>
  <c r="L670" i="7"/>
  <c r="M670" i="7" s="1"/>
  <c r="N670" i="7"/>
  <c r="O670" i="7"/>
  <c r="P670" i="7"/>
  <c r="Q670" i="7"/>
  <c r="T670" i="7"/>
  <c r="B671" i="7"/>
  <c r="C671" i="7"/>
  <c r="F671" i="7"/>
  <c r="G671" i="7"/>
  <c r="H671" i="7"/>
  <c r="L671" i="7"/>
  <c r="M671" i="7" s="1"/>
  <c r="N671" i="7"/>
  <c r="O671" i="7"/>
  <c r="P671" i="7"/>
  <c r="Q671" i="7"/>
  <c r="T671" i="7"/>
  <c r="B672" i="7"/>
  <c r="C672" i="7"/>
  <c r="F672" i="7"/>
  <c r="G672" i="7"/>
  <c r="H672" i="7"/>
  <c r="L672" i="7"/>
  <c r="M672" i="7" s="1"/>
  <c r="N672" i="7"/>
  <c r="O672" i="7"/>
  <c r="P672" i="7"/>
  <c r="Q672" i="7"/>
  <c r="T672" i="7"/>
  <c r="B673" i="7"/>
  <c r="C673" i="7"/>
  <c r="F673" i="7"/>
  <c r="G673" i="7"/>
  <c r="H673" i="7"/>
  <c r="L673" i="7"/>
  <c r="M673" i="7" s="1"/>
  <c r="N673" i="7"/>
  <c r="O673" i="7"/>
  <c r="P673" i="7"/>
  <c r="Q673" i="7"/>
  <c r="T673" i="7"/>
  <c r="B674" i="7"/>
  <c r="C674" i="7"/>
  <c r="F674" i="7"/>
  <c r="G674" i="7"/>
  <c r="H674" i="7"/>
  <c r="L674" i="7"/>
  <c r="M674" i="7" s="1"/>
  <c r="N674" i="7"/>
  <c r="O674" i="7"/>
  <c r="P674" i="7"/>
  <c r="Q674" i="7"/>
  <c r="T674" i="7"/>
  <c r="B675" i="7"/>
  <c r="C675" i="7"/>
  <c r="F675" i="7"/>
  <c r="G675" i="7"/>
  <c r="H675" i="7"/>
  <c r="L675" i="7"/>
  <c r="M675" i="7" s="1"/>
  <c r="N675" i="7"/>
  <c r="O675" i="7"/>
  <c r="P675" i="7"/>
  <c r="Q675" i="7"/>
  <c r="T675" i="7"/>
  <c r="B676" i="7"/>
  <c r="C676" i="7"/>
  <c r="F676" i="7"/>
  <c r="G676" i="7"/>
  <c r="H676" i="7"/>
  <c r="L676" i="7"/>
  <c r="M676" i="7" s="1"/>
  <c r="N676" i="7"/>
  <c r="O676" i="7"/>
  <c r="P676" i="7"/>
  <c r="Q676" i="7"/>
  <c r="T676" i="7"/>
  <c r="B677" i="7"/>
  <c r="C677" i="7"/>
  <c r="F677" i="7"/>
  <c r="G677" i="7"/>
  <c r="H677" i="7"/>
  <c r="L677" i="7"/>
  <c r="M677" i="7" s="1"/>
  <c r="N677" i="7"/>
  <c r="O677" i="7"/>
  <c r="P677" i="7"/>
  <c r="Q677" i="7"/>
  <c r="T677" i="7"/>
  <c r="B678" i="7"/>
  <c r="C678" i="7"/>
  <c r="F678" i="7"/>
  <c r="G678" i="7"/>
  <c r="H678" i="7"/>
  <c r="L678" i="7"/>
  <c r="M678" i="7" s="1"/>
  <c r="N678" i="7"/>
  <c r="O678" i="7"/>
  <c r="P678" i="7"/>
  <c r="Q678" i="7"/>
  <c r="T678" i="7"/>
  <c r="B679" i="7"/>
  <c r="C679" i="7"/>
  <c r="F679" i="7"/>
  <c r="G679" i="7"/>
  <c r="H679" i="7"/>
  <c r="L679" i="7"/>
  <c r="M679" i="7" s="1"/>
  <c r="N679" i="7"/>
  <c r="O679" i="7"/>
  <c r="P679" i="7"/>
  <c r="Q679" i="7"/>
  <c r="T679" i="7"/>
  <c r="B680" i="7"/>
  <c r="C680" i="7"/>
  <c r="F680" i="7"/>
  <c r="G680" i="7"/>
  <c r="H680" i="7"/>
  <c r="L680" i="7"/>
  <c r="M680" i="7" s="1"/>
  <c r="N680" i="7"/>
  <c r="O680" i="7"/>
  <c r="P680" i="7"/>
  <c r="Q680" i="7"/>
  <c r="T680" i="7"/>
  <c r="B681" i="7"/>
  <c r="C681" i="7"/>
  <c r="F681" i="7"/>
  <c r="G681" i="7"/>
  <c r="H681" i="7"/>
  <c r="L681" i="7"/>
  <c r="M681" i="7" s="1"/>
  <c r="N681" i="7"/>
  <c r="O681" i="7"/>
  <c r="P681" i="7"/>
  <c r="Q681" i="7"/>
  <c r="T681" i="7"/>
  <c r="B682" i="7"/>
  <c r="C682" i="7"/>
  <c r="F682" i="7"/>
  <c r="G682" i="7"/>
  <c r="H682" i="7"/>
  <c r="L682" i="7"/>
  <c r="M682" i="7" s="1"/>
  <c r="N682" i="7"/>
  <c r="O682" i="7"/>
  <c r="P682" i="7"/>
  <c r="Q682" i="7"/>
  <c r="T682" i="7"/>
  <c r="B683" i="7"/>
  <c r="C683" i="7"/>
  <c r="F683" i="7"/>
  <c r="G683" i="7"/>
  <c r="H683" i="7"/>
  <c r="L683" i="7"/>
  <c r="M683" i="7" s="1"/>
  <c r="N683" i="7"/>
  <c r="O683" i="7"/>
  <c r="P683" i="7"/>
  <c r="Q683" i="7"/>
  <c r="T683" i="7"/>
  <c r="B684" i="7"/>
  <c r="C684" i="7"/>
  <c r="F684" i="7"/>
  <c r="G684" i="7"/>
  <c r="H684" i="7"/>
  <c r="L684" i="7"/>
  <c r="M684" i="7" s="1"/>
  <c r="N684" i="7"/>
  <c r="O684" i="7"/>
  <c r="P684" i="7"/>
  <c r="Q684" i="7"/>
  <c r="T684" i="7"/>
  <c r="B685" i="7"/>
  <c r="C685" i="7"/>
  <c r="F685" i="7"/>
  <c r="G685" i="7"/>
  <c r="H685" i="7"/>
  <c r="L685" i="7"/>
  <c r="M685" i="7" s="1"/>
  <c r="N685" i="7"/>
  <c r="O685" i="7"/>
  <c r="P685" i="7"/>
  <c r="Q685" i="7"/>
  <c r="T685" i="7"/>
  <c r="B686" i="7"/>
  <c r="C686" i="7"/>
  <c r="F686" i="7"/>
  <c r="G686" i="7"/>
  <c r="H686" i="7"/>
  <c r="L686" i="7"/>
  <c r="M686" i="7" s="1"/>
  <c r="N686" i="7"/>
  <c r="O686" i="7"/>
  <c r="P686" i="7"/>
  <c r="Q686" i="7"/>
  <c r="T686" i="7"/>
  <c r="B687" i="7"/>
  <c r="C687" i="7"/>
  <c r="F687" i="7"/>
  <c r="G687" i="7"/>
  <c r="H687" i="7"/>
  <c r="L687" i="7"/>
  <c r="M687" i="7" s="1"/>
  <c r="N687" i="7"/>
  <c r="O687" i="7"/>
  <c r="P687" i="7"/>
  <c r="Q687" i="7"/>
  <c r="T687" i="7"/>
  <c r="B688" i="7"/>
  <c r="C688" i="7"/>
  <c r="F688" i="7"/>
  <c r="G688" i="7"/>
  <c r="H688" i="7"/>
  <c r="L688" i="7"/>
  <c r="M688" i="7" s="1"/>
  <c r="N688" i="7"/>
  <c r="O688" i="7"/>
  <c r="P688" i="7"/>
  <c r="Q688" i="7"/>
  <c r="T688" i="7"/>
  <c r="B689" i="7"/>
  <c r="C689" i="7"/>
  <c r="F689" i="7"/>
  <c r="G689" i="7"/>
  <c r="H689" i="7"/>
  <c r="L689" i="7"/>
  <c r="M689" i="7" s="1"/>
  <c r="N689" i="7"/>
  <c r="O689" i="7"/>
  <c r="P689" i="7"/>
  <c r="Q689" i="7"/>
  <c r="T689" i="7"/>
  <c r="B690" i="7"/>
  <c r="C690" i="7"/>
  <c r="F690" i="7"/>
  <c r="G690" i="7"/>
  <c r="H690" i="7"/>
  <c r="L690" i="7"/>
  <c r="M690" i="7" s="1"/>
  <c r="N690" i="7"/>
  <c r="O690" i="7"/>
  <c r="P690" i="7"/>
  <c r="Q690" i="7"/>
  <c r="T690" i="7"/>
  <c r="B691" i="7"/>
  <c r="C691" i="7"/>
  <c r="F691" i="7"/>
  <c r="G691" i="7"/>
  <c r="H691" i="7"/>
  <c r="L691" i="7"/>
  <c r="M691" i="7" s="1"/>
  <c r="N691" i="7"/>
  <c r="O691" i="7"/>
  <c r="P691" i="7"/>
  <c r="Q691" i="7"/>
  <c r="T691" i="7"/>
  <c r="B692" i="7"/>
  <c r="C692" i="7"/>
  <c r="F692" i="7"/>
  <c r="G692" i="7"/>
  <c r="H692" i="7"/>
  <c r="L692" i="7"/>
  <c r="M692" i="7" s="1"/>
  <c r="N692" i="7"/>
  <c r="O692" i="7"/>
  <c r="P692" i="7"/>
  <c r="Q692" i="7"/>
  <c r="T692" i="7"/>
  <c r="B693" i="7"/>
  <c r="C693" i="7"/>
  <c r="F693" i="7"/>
  <c r="G693" i="7"/>
  <c r="H693" i="7"/>
  <c r="L693" i="7"/>
  <c r="M693" i="7" s="1"/>
  <c r="N693" i="7"/>
  <c r="O693" i="7"/>
  <c r="P693" i="7"/>
  <c r="Q693" i="7"/>
  <c r="T693" i="7"/>
  <c r="B694" i="7"/>
  <c r="C694" i="7"/>
  <c r="F694" i="7"/>
  <c r="G694" i="7"/>
  <c r="H694" i="7"/>
  <c r="L694" i="7"/>
  <c r="M694" i="7" s="1"/>
  <c r="N694" i="7"/>
  <c r="O694" i="7"/>
  <c r="P694" i="7"/>
  <c r="Q694" i="7"/>
  <c r="T694" i="7"/>
  <c r="B695" i="7"/>
  <c r="C695" i="7"/>
  <c r="F695" i="7"/>
  <c r="G695" i="7"/>
  <c r="H695" i="7"/>
  <c r="L695" i="7"/>
  <c r="M695" i="7" s="1"/>
  <c r="N695" i="7"/>
  <c r="O695" i="7"/>
  <c r="P695" i="7"/>
  <c r="Q695" i="7"/>
  <c r="T695" i="7"/>
  <c r="B696" i="7"/>
  <c r="C696" i="7"/>
  <c r="F696" i="7"/>
  <c r="G696" i="7"/>
  <c r="H696" i="7"/>
  <c r="L696" i="7"/>
  <c r="M696" i="7" s="1"/>
  <c r="N696" i="7"/>
  <c r="O696" i="7"/>
  <c r="P696" i="7"/>
  <c r="Q696" i="7"/>
  <c r="T696" i="7"/>
  <c r="B697" i="7"/>
  <c r="C697" i="7"/>
  <c r="F697" i="7"/>
  <c r="G697" i="7"/>
  <c r="H697" i="7"/>
  <c r="L697" i="7"/>
  <c r="M697" i="7" s="1"/>
  <c r="N697" i="7"/>
  <c r="O697" i="7"/>
  <c r="P697" i="7"/>
  <c r="Q697" i="7"/>
  <c r="T697" i="7"/>
  <c r="B698" i="7"/>
  <c r="C698" i="7"/>
  <c r="F698" i="7"/>
  <c r="G698" i="7"/>
  <c r="H698" i="7"/>
  <c r="L698" i="7"/>
  <c r="M698" i="7" s="1"/>
  <c r="N698" i="7"/>
  <c r="O698" i="7"/>
  <c r="P698" i="7"/>
  <c r="Q698" i="7"/>
  <c r="T698" i="7"/>
  <c r="B699" i="7"/>
  <c r="C699" i="7"/>
  <c r="F699" i="7"/>
  <c r="G699" i="7"/>
  <c r="H699" i="7"/>
  <c r="L699" i="7"/>
  <c r="M699" i="7" s="1"/>
  <c r="N699" i="7"/>
  <c r="O699" i="7"/>
  <c r="P699" i="7"/>
  <c r="Q699" i="7"/>
  <c r="T699" i="7"/>
  <c r="B700" i="7"/>
  <c r="C700" i="7"/>
  <c r="F700" i="7"/>
  <c r="G700" i="7"/>
  <c r="H700" i="7"/>
  <c r="L700" i="7"/>
  <c r="M700" i="7" s="1"/>
  <c r="N700" i="7"/>
  <c r="O700" i="7"/>
  <c r="P700" i="7"/>
  <c r="Q700" i="7"/>
  <c r="T700" i="7"/>
  <c r="B701" i="7"/>
  <c r="C701" i="7"/>
  <c r="F701" i="7"/>
  <c r="G701" i="7"/>
  <c r="H701" i="7"/>
  <c r="L701" i="7"/>
  <c r="M701" i="7" s="1"/>
  <c r="N701" i="7"/>
  <c r="O701" i="7"/>
  <c r="P701" i="7"/>
  <c r="Q701" i="7"/>
  <c r="T701" i="7"/>
  <c r="B702" i="7"/>
  <c r="C702" i="7"/>
  <c r="F702" i="7"/>
  <c r="G702" i="7"/>
  <c r="H702" i="7"/>
  <c r="L702" i="7"/>
  <c r="M702" i="7" s="1"/>
  <c r="N702" i="7"/>
  <c r="O702" i="7"/>
  <c r="P702" i="7"/>
  <c r="Q702" i="7"/>
  <c r="T702" i="7"/>
  <c r="B703" i="7"/>
  <c r="C703" i="7"/>
  <c r="F703" i="7"/>
  <c r="G703" i="7"/>
  <c r="H703" i="7"/>
  <c r="L703" i="7"/>
  <c r="M703" i="7" s="1"/>
  <c r="N703" i="7"/>
  <c r="O703" i="7"/>
  <c r="P703" i="7"/>
  <c r="Q703" i="7"/>
  <c r="T703" i="7"/>
  <c r="B704" i="7"/>
  <c r="C704" i="7"/>
  <c r="F704" i="7"/>
  <c r="G704" i="7"/>
  <c r="H704" i="7"/>
  <c r="L704" i="7"/>
  <c r="M704" i="7" s="1"/>
  <c r="N704" i="7"/>
  <c r="O704" i="7"/>
  <c r="P704" i="7"/>
  <c r="Q704" i="7"/>
  <c r="T704" i="7"/>
  <c r="B705" i="7"/>
  <c r="C705" i="7"/>
  <c r="F705" i="7"/>
  <c r="G705" i="7"/>
  <c r="H705" i="7"/>
  <c r="L705" i="7"/>
  <c r="M705" i="7" s="1"/>
  <c r="N705" i="7"/>
  <c r="O705" i="7"/>
  <c r="P705" i="7"/>
  <c r="Q705" i="7"/>
  <c r="T705" i="7"/>
  <c r="B706" i="7"/>
  <c r="C706" i="7"/>
  <c r="F706" i="7"/>
  <c r="G706" i="7"/>
  <c r="H706" i="7"/>
  <c r="L706" i="7"/>
  <c r="M706" i="7" s="1"/>
  <c r="N706" i="7"/>
  <c r="O706" i="7"/>
  <c r="P706" i="7"/>
  <c r="Q706" i="7"/>
  <c r="T706" i="7"/>
  <c r="B707" i="7"/>
  <c r="C707" i="7"/>
  <c r="F707" i="7"/>
  <c r="G707" i="7"/>
  <c r="H707" i="7"/>
  <c r="L707" i="7"/>
  <c r="M707" i="7" s="1"/>
  <c r="N707" i="7"/>
  <c r="O707" i="7"/>
  <c r="P707" i="7"/>
  <c r="Q707" i="7"/>
  <c r="T707" i="7"/>
  <c r="B708" i="7"/>
  <c r="C708" i="7"/>
  <c r="F708" i="7"/>
  <c r="G708" i="7"/>
  <c r="H708" i="7"/>
  <c r="L708" i="7"/>
  <c r="M708" i="7" s="1"/>
  <c r="N708" i="7"/>
  <c r="O708" i="7"/>
  <c r="P708" i="7"/>
  <c r="Q708" i="7"/>
  <c r="T708" i="7"/>
  <c r="B709" i="7"/>
  <c r="C709" i="7"/>
  <c r="F709" i="7"/>
  <c r="G709" i="7"/>
  <c r="H709" i="7"/>
  <c r="L709" i="7"/>
  <c r="M709" i="7" s="1"/>
  <c r="N709" i="7"/>
  <c r="O709" i="7"/>
  <c r="P709" i="7"/>
  <c r="Q709" i="7"/>
  <c r="T709" i="7"/>
  <c r="B710" i="7"/>
  <c r="C710" i="7"/>
  <c r="F710" i="7"/>
  <c r="G710" i="7"/>
  <c r="H710" i="7"/>
  <c r="L710" i="7"/>
  <c r="M710" i="7" s="1"/>
  <c r="N710" i="7"/>
  <c r="O710" i="7"/>
  <c r="P710" i="7"/>
  <c r="Q710" i="7"/>
  <c r="T710" i="7"/>
  <c r="B711" i="7"/>
  <c r="C711" i="7"/>
  <c r="F711" i="7"/>
  <c r="G711" i="7"/>
  <c r="H711" i="7"/>
  <c r="L711" i="7"/>
  <c r="M711" i="7" s="1"/>
  <c r="N711" i="7"/>
  <c r="O711" i="7"/>
  <c r="P711" i="7"/>
  <c r="Q711" i="7"/>
  <c r="T711" i="7"/>
  <c r="B712" i="7"/>
  <c r="C712" i="7"/>
  <c r="F712" i="7"/>
  <c r="G712" i="7"/>
  <c r="H712" i="7"/>
  <c r="L712" i="7"/>
  <c r="M712" i="7" s="1"/>
  <c r="N712" i="7"/>
  <c r="O712" i="7"/>
  <c r="P712" i="7"/>
  <c r="Q712" i="7"/>
  <c r="T712" i="7"/>
  <c r="B713" i="7"/>
  <c r="C713" i="7"/>
  <c r="F713" i="7"/>
  <c r="G713" i="7"/>
  <c r="H713" i="7"/>
  <c r="L713" i="7"/>
  <c r="M713" i="7" s="1"/>
  <c r="N713" i="7"/>
  <c r="O713" i="7"/>
  <c r="P713" i="7"/>
  <c r="Q713" i="7"/>
  <c r="T713" i="7"/>
  <c r="B714" i="7"/>
  <c r="C714" i="7"/>
  <c r="F714" i="7"/>
  <c r="G714" i="7"/>
  <c r="H714" i="7"/>
  <c r="L714" i="7"/>
  <c r="M714" i="7" s="1"/>
  <c r="N714" i="7"/>
  <c r="O714" i="7"/>
  <c r="P714" i="7"/>
  <c r="Q714" i="7"/>
  <c r="T714" i="7"/>
  <c r="B715" i="7"/>
  <c r="C715" i="7"/>
  <c r="F715" i="7"/>
  <c r="G715" i="7"/>
  <c r="H715" i="7"/>
  <c r="L715" i="7"/>
  <c r="M715" i="7" s="1"/>
  <c r="N715" i="7"/>
  <c r="O715" i="7"/>
  <c r="P715" i="7"/>
  <c r="Q715" i="7"/>
  <c r="T715" i="7"/>
  <c r="B716" i="7"/>
  <c r="C716" i="7"/>
  <c r="F716" i="7"/>
  <c r="G716" i="7"/>
  <c r="H716" i="7"/>
  <c r="L716" i="7"/>
  <c r="M716" i="7" s="1"/>
  <c r="N716" i="7"/>
  <c r="O716" i="7"/>
  <c r="P716" i="7"/>
  <c r="Q716" i="7"/>
  <c r="T716" i="7"/>
  <c r="B717" i="7"/>
  <c r="C717" i="7"/>
  <c r="F717" i="7"/>
  <c r="G717" i="7"/>
  <c r="H717" i="7"/>
  <c r="L717" i="7"/>
  <c r="M717" i="7" s="1"/>
  <c r="N717" i="7"/>
  <c r="O717" i="7"/>
  <c r="P717" i="7"/>
  <c r="Q717" i="7"/>
  <c r="T717" i="7"/>
  <c r="B718" i="7"/>
  <c r="C718" i="7"/>
  <c r="F718" i="7"/>
  <c r="G718" i="7"/>
  <c r="H718" i="7"/>
  <c r="L718" i="7"/>
  <c r="M718" i="7" s="1"/>
  <c r="N718" i="7"/>
  <c r="O718" i="7"/>
  <c r="P718" i="7"/>
  <c r="Q718" i="7"/>
  <c r="T718" i="7"/>
  <c r="B719" i="7"/>
  <c r="C719" i="7"/>
  <c r="F719" i="7"/>
  <c r="G719" i="7"/>
  <c r="H719" i="7"/>
  <c r="L719" i="7"/>
  <c r="M719" i="7" s="1"/>
  <c r="N719" i="7"/>
  <c r="O719" i="7"/>
  <c r="P719" i="7"/>
  <c r="Q719" i="7"/>
  <c r="T719" i="7"/>
  <c r="B720" i="7"/>
  <c r="C720" i="7"/>
  <c r="F720" i="7"/>
  <c r="G720" i="7"/>
  <c r="H720" i="7"/>
  <c r="L720" i="7"/>
  <c r="M720" i="7" s="1"/>
  <c r="N720" i="7"/>
  <c r="O720" i="7"/>
  <c r="P720" i="7"/>
  <c r="Q720" i="7"/>
  <c r="T720" i="7"/>
  <c r="B721" i="7"/>
  <c r="C721" i="7"/>
  <c r="F721" i="7"/>
  <c r="G721" i="7"/>
  <c r="H721" i="7"/>
  <c r="L721" i="7"/>
  <c r="M721" i="7" s="1"/>
  <c r="N721" i="7"/>
  <c r="O721" i="7"/>
  <c r="P721" i="7"/>
  <c r="Q721" i="7"/>
  <c r="T721" i="7"/>
  <c r="B722" i="7"/>
  <c r="C722" i="7"/>
  <c r="F722" i="7"/>
  <c r="G722" i="7"/>
  <c r="H722" i="7"/>
  <c r="L722" i="7"/>
  <c r="M722" i="7" s="1"/>
  <c r="N722" i="7"/>
  <c r="O722" i="7"/>
  <c r="P722" i="7"/>
  <c r="Q722" i="7"/>
  <c r="T722" i="7"/>
  <c r="B723" i="7"/>
  <c r="C723" i="7"/>
  <c r="F723" i="7"/>
  <c r="G723" i="7"/>
  <c r="H723" i="7"/>
  <c r="L723" i="7"/>
  <c r="M723" i="7" s="1"/>
  <c r="N723" i="7"/>
  <c r="O723" i="7"/>
  <c r="P723" i="7"/>
  <c r="Q723" i="7"/>
  <c r="T723" i="7"/>
  <c r="B724" i="7"/>
  <c r="C724" i="7"/>
  <c r="F724" i="7"/>
  <c r="G724" i="7"/>
  <c r="H724" i="7"/>
  <c r="L724" i="7"/>
  <c r="M724" i="7" s="1"/>
  <c r="N724" i="7"/>
  <c r="O724" i="7"/>
  <c r="P724" i="7"/>
  <c r="Q724" i="7"/>
  <c r="T724" i="7"/>
  <c r="B725" i="7"/>
  <c r="C725" i="7"/>
  <c r="F725" i="7"/>
  <c r="G725" i="7"/>
  <c r="H725" i="7"/>
  <c r="L725" i="7"/>
  <c r="M725" i="7" s="1"/>
  <c r="N725" i="7"/>
  <c r="O725" i="7"/>
  <c r="P725" i="7"/>
  <c r="Q725" i="7"/>
  <c r="T725" i="7"/>
  <c r="B726" i="7"/>
  <c r="C726" i="7"/>
  <c r="F726" i="7"/>
  <c r="G726" i="7"/>
  <c r="H726" i="7"/>
  <c r="L726" i="7"/>
  <c r="M726" i="7" s="1"/>
  <c r="N726" i="7"/>
  <c r="O726" i="7"/>
  <c r="P726" i="7"/>
  <c r="Q726" i="7"/>
  <c r="T726" i="7"/>
  <c r="B727" i="7"/>
  <c r="C727" i="7"/>
  <c r="F727" i="7"/>
  <c r="G727" i="7"/>
  <c r="H727" i="7"/>
  <c r="L727" i="7"/>
  <c r="M727" i="7" s="1"/>
  <c r="N727" i="7"/>
  <c r="O727" i="7"/>
  <c r="P727" i="7"/>
  <c r="Q727" i="7"/>
  <c r="T727" i="7"/>
  <c r="B728" i="7"/>
  <c r="C728" i="7"/>
  <c r="F728" i="7"/>
  <c r="G728" i="7"/>
  <c r="H728" i="7"/>
  <c r="L728" i="7"/>
  <c r="M728" i="7" s="1"/>
  <c r="N728" i="7"/>
  <c r="O728" i="7"/>
  <c r="P728" i="7"/>
  <c r="Q728" i="7"/>
  <c r="T728" i="7"/>
  <c r="B729" i="7"/>
  <c r="C729" i="7"/>
  <c r="F729" i="7"/>
  <c r="G729" i="7"/>
  <c r="H729" i="7"/>
  <c r="L729" i="7"/>
  <c r="M729" i="7" s="1"/>
  <c r="N729" i="7"/>
  <c r="O729" i="7"/>
  <c r="P729" i="7"/>
  <c r="Q729" i="7"/>
  <c r="T729" i="7"/>
  <c r="B730" i="7"/>
  <c r="C730" i="7"/>
  <c r="F730" i="7"/>
  <c r="G730" i="7"/>
  <c r="H730" i="7"/>
  <c r="L730" i="7"/>
  <c r="M730" i="7" s="1"/>
  <c r="N730" i="7"/>
  <c r="O730" i="7"/>
  <c r="P730" i="7"/>
  <c r="Q730" i="7"/>
  <c r="T730" i="7"/>
  <c r="B731" i="7"/>
  <c r="C731" i="7"/>
  <c r="F731" i="7"/>
  <c r="G731" i="7"/>
  <c r="H731" i="7"/>
  <c r="L731" i="7"/>
  <c r="M731" i="7" s="1"/>
  <c r="N731" i="7"/>
  <c r="O731" i="7"/>
  <c r="P731" i="7"/>
  <c r="Q731" i="7"/>
  <c r="T731" i="7"/>
  <c r="B732" i="7"/>
  <c r="C732" i="7"/>
  <c r="F732" i="7"/>
  <c r="G732" i="7"/>
  <c r="H732" i="7"/>
  <c r="L732" i="7"/>
  <c r="M732" i="7" s="1"/>
  <c r="N732" i="7"/>
  <c r="O732" i="7"/>
  <c r="P732" i="7"/>
  <c r="Q732" i="7"/>
  <c r="T732" i="7"/>
  <c r="B733" i="7"/>
  <c r="C733" i="7"/>
  <c r="F733" i="7"/>
  <c r="G733" i="7"/>
  <c r="H733" i="7"/>
  <c r="L733" i="7"/>
  <c r="M733" i="7" s="1"/>
  <c r="N733" i="7"/>
  <c r="O733" i="7"/>
  <c r="P733" i="7"/>
  <c r="Q733" i="7"/>
  <c r="T733" i="7"/>
  <c r="B734" i="7"/>
  <c r="C734" i="7"/>
  <c r="F734" i="7"/>
  <c r="G734" i="7"/>
  <c r="H734" i="7"/>
  <c r="L734" i="7"/>
  <c r="M734" i="7" s="1"/>
  <c r="N734" i="7"/>
  <c r="O734" i="7"/>
  <c r="P734" i="7"/>
  <c r="Q734" i="7"/>
  <c r="T734" i="7"/>
  <c r="B735" i="7"/>
  <c r="C735" i="7"/>
  <c r="F735" i="7"/>
  <c r="G735" i="7"/>
  <c r="H735" i="7"/>
  <c r="L735" i="7"/>
  <c r="M735" i="7" s="1"/>
  <c r="N735" i="7"/>
  <c r="O735" i="7"/>
  <c r="P735" i="7"/>
  <c r="Q735" i="7"/>
  <c r="T735" i="7"/>
  <c r="B736" i="7"/>
  <c r="C736" i="7"/>
  <c r="F736" i="7"/>
  <c r="G736" i="7"/>
  <c r="H736" i="7"/>
  <c r="L736" i="7"/>
  <c r="M736" i="7" s="1"/>
  <c r="N736" i="7"/>
  <c r="O736" i="7"/>
  <c r="P736" i="7"/>
  <c r="Q736" i="7"/>
  <c r="T736" i="7"/>
  <c r="B737" i="7"/>
  <c r="C737" i="7"/>
  <c r="F737" i="7"/>
  <c r="G737" i="7"/>
  <c r="H737" i="7"/>
  <c r="L737" i="7"/>
  <c r="M737" i="7" s="1"/>
  <c r="N737" i="7"/>
  <c r="O737" i="7"/>
  <c r="P737" i="7"/>
  <c r="Q737" i="7"/>
  <c r="T737" i="7"/>
  <c r="B738" i="7"/>
  <c r="C738" i="7"/>
  <c r="F738" i="7"/>
  <c r="G738" i="7"/>
  <c r="H738" i="7"/>
  <c r="L738" i="7"/>
  <c r="M738" i="7" s="1"/>
  <c r="N738" i="7"/>
  <c r="O738" i="7"/>
  <c r="P738" i="7"/>
  <c r="Q738" i="7"/>
  <c r="T738" i="7"/>
  <c r="B739" i="7"/>
  <c r="C739" i="7"/>
  <c r="F739" i="7"/>
  <c r="G739" i="7"/>
  <c r="H739" i="7"/>
  <c r="L739" i="7"/>
  <c r="M739" i="7" s="1"/>
  <c r="N739" i="7"/>
  <c r="O739" i="7"/>
  <c r="P739" i="7"/>
  <c r="Q739" i="7"/>
  <c r="T739" i="7"/>
  <c r="B740" i="7"/>
  <c r="C740" i="7"/>
  <c r="F740" i="7"/>
  <c r="G740" i="7"/>
  <c r="H740" i="7"/>
  <c r="L740" i="7"/>
  <c r="M740" i="7" s="1"/>
  <c r="N740" i="7"/>
  <c r="O740" i="7"/>
  <c r="P740" i="7"/>
  <c r="Q740" i="7"/>
  <c r="T740" i="7"/>
  <c r="B741" i="7"/>
  <c r="C741" i="7"/>
  <c r="F741" i="7"/>
  <c r="G741" i="7"/>
  <c r="H741" i="7"/>
  <c r="L741" i="7"/>
  <c r="M741" i="7" s="1"/>
  <c r="N741" i="7"/>
  <c r="O741" i="7"/>
  <c r="P741" i="7"/>
  <c r="Q741" i="7"/>
  <c r="T741" i="7"/>
  <c r="B742" i="7"/>
  <c r="C742" i="7"/>
  <c r="F742" i="7"/>
  <c r="G742" i="7"/>
  <c r="H742" i="7"/>
  <c r="L742" i="7"/>
  <c r="M742" i="7" s="1"/>
  <c r="N742" i="7"/>
  <c r="O742" i="7"/>
  <c r="P742" i="7"/>
  <c r="Q742" i="7"/>
  <c r="T742" i="7"/>
  <c r="B743" i="7"/>
  <c r="C743" i="7"/>
  <c r="F743" i="7"/>
  <c r="G743" i="7"/>
  <c r="H743" i="7"/>
  <c r="L743" i="7"/>
  <c r="M743" i="7" s="1"/>
  <c r="N743" i="7"/>
  <c r="O743" i="7"/>
  <c r="P743" i="7"/>
  <c r="Q743" i="7"/>
  <c r="T743" i="7"/>
  <c r="B744" i="7"/>
  <c r="C744" i="7"/>
  <c r="F744" i="7"/>
  <c r="G744" i="7"/>
  <c r="H744" i="7"/>
  <c r="L744" i="7"/>
  <c r="M744" i="7" s="1"/>
  <c r="N744" i="7"/>
  <c r="O744" i="7"/>
  <c r="P744" i="7"/>
  <c r="Q744" i="7"/>
  <c r="T744" i="7"/>
  <c r="B745" i="7"/>
  <c r="C745" i="7"/>
  <c r="F745" i="7"/>
  <c r="G745" i="7"/>
  <c r="H745" i="7"/>
  <c r="L745" i="7"/>
  <c r="M745" i="7" s="1"/>
  <c r="N745" i="7"/>
  <c r="O745" i="7"/>
  <c r="P745" i="7"/>
  <c r="Q745" i="7"/>
  <c r="T745" i="7"/>
  <c r="B746" i="7"/>
  <c r="C746" i="7"/>
  <c r="F746" i="7"/>
  <c r="G746" i="7"/>
  <c r="H746" i="7"/>
  <c r="L746" i="7"/>
  <c r="M746" i="7" s="1"/>
  <c r="N746" i="7"/>
  <c r="O746" i="7"/>
  <c r="P746" i="7"/>
  <c r="Q746" i="7"/>
  <c r="T746" i="7"/>
  <c r="B747" i="7"/>
  <c r="C747" i="7"/>
  <c r="F747" i="7"/>
  <c r="G747" i="7"/>
  <c r="H747" i="7"/>
  <c r="L747" i="7"/>
  <c r="M747" i="7" s="1"/>
  <c r="N747" i="7"/>
  <c r="O747" i="7"/>
  <c r="P747" i="7"/>
  <c r="Q747" i="7"/>
  <c r="T747" i="7"/>
  <c r="B748" i="7"/>
  <c r="C748" i="7"/>
  <c r="F748" i="7"/>
  <c r="G748" i="7"/>
  <c r="H748" i="7"/>
  <c r="L748" i="7"/>
  <c r="M748" i="7" s="1"/>
  <c r="N748" i="7"/>
  <c r="O748" i="7"/>
  <c r="P748" i="7"/>
  <c r="Q748" i="7"/>
  <c r="T748" i="7"/>
  <c r="B749" i="7"/>
  <c r="C749" i="7"/>
  <c r="F749" i="7"/>
  <c r="G749" i="7"/>
  <c r="H749" i="7"/>
  <c r="L749" i="7"/>
  <c r="M749" i="7" s="1"/>
  <c r="N749" i="7"/>
  <c r="O749" i="7"/>
  <c r="P749" i="7"/>
  <c r="Q749" i="7"/>
  <c r="T749" i="7"/>
  <c r="B750" i="7"/>
  <c r="C750" i="7"/>
  <c r="F750" i="7"/>
  <c r="G750" i="7"/>
  <c r="H750" i="7"/>
  <c r="L750" i="7"/>
  <c r="M750" i="7" s="1"/>
  <c r="N750" i="7"/>
  <c r="O750" i="7"/>
  <c r="P750" i="7"/>
  <c r="Q750" i="7"/>
  <c r="T750" i="7"/>
  <c r="B751" i="7"/>
  <c r="C751" i="7"/>
  <c r="F751" i="7"/>
  <c r="G751" i="7"/>
  <c r="H751" i="7"/>
  <c r="L751" i="7"/>
  <c r="M751" i="7" s="1"/>
  <c r="N751" i="7"/>
  <c r="O751" i="7"/>
  <c r="P751" i="7"/>
  <c r="Q751" i="7"/>
  <c r="T751" i="7"/>
  <c r="B752" i="7"/>
  <c r="C752" i="7"/>
  <c r="F752" i="7"/>
  <c r="G752" i="7"/>
  <c r="H752" i="7"/>
  <c r="L752" i="7"/>
  <c r="M752" i="7" s="1"/>
  <c r="N752" i="7"/>
  <c r="O752" i="7"/>
  <c r="P752" i="7"/>
  <c r="Q752" i="7"/>
  <c r="T752" i="7"/>
  <c r="B753" i="7"/>
  <c r="C753" i="7"/>
  <c r="F753" i="7"/>
  <c r="G753" i="7"/>
  <c r="H753" i="7"/>
  <c r="L753" i="7"/>
  <c r="M753" i="7" s="1"/>
  <c r="N753" i="7"/>
  <c r="O753" i="7"/>
  <c r="P753" i="7"/>
  <c r="Q753" i="7"/>
  <c r="T753" i="7"/>
  <c r="B754" i="7"/>
  <c r="C754" i="7"/>
  <c r="F754" i="7"/>
  <c r="G754" i="7"/>
  <c r="H754" i="7"/>
  <c r="L754" i="7"/>
  <c r="M754" i="7" s="1"/>
  <c r="N754" i="7"/>
  <c r="O754" i="7"/>
  <c r="P754" i="7"/>
  <c r="Q754" i="7"/>
  <c r="T754" i="7"/>
  <c r="B755" i="7"/>
  <c r="C755" i="7"/>
  <c r="F755" i="7"/>
  <c r="G755" i="7"/>
  <c r="H755" i="7"/>
  <c r="L755" i="7"/>
  <c r="M755" i="7" s="1"/>
  <c r="N755" i="7"/>
  <c r="O755" i="7"/>
  <c r="P755" i="7"/>
  <c r="Q755" i="7"/>
  <c r="T755" i="7"/>
  <c r="B756" i="7"/>
  <c r="C756" i="7"/>
  <c r="F756" i="7"/>
  <c r="G756" i="7"/>
  <c r="H756" i="7"/>
  <c r="L756" i="7"/>
  <c r="M756" i="7" s="1"/>
  <c r="N756" i="7"/>
  <c r="O756" i="7"/>
  <c r="P756" i="7"/>
  <c r="Q756" i="7"/>
  <c r="T756" i="7"/>
  <c r="B757" i="7"/>
  <c r="C757" i="7"/>
  <c r="F757" i="7"/>
  <c r="G757" i="7"/>
  <c r="H757" i="7"/>
  <c r="L757" i="7"/>
  <c r="M757" i="7" s="1"/>
  <c r="N757" i="7"/>
  <c r="O757" i="7"/>
  <c r="P757" i="7"/>
  <c r="Q757" i="7"/>
  <c r="T757" i="7"/>
  <c r="B758" i="7"/>
  <c r="C758" i="7"/>
  <c r="F758" i="7"/>
  <c r="G758" i="7"/>
  <c r="H758" i="7"/>
  <c r="L758" i="7"/>
  <c r="M758" i="7" s="1"/>
  <c r="N758" i="7"/>
  <c r="O758" i="7"/>
  <c r="P758" i="7"/>
  <c r="Q758" i="7"/>
  <c r="T758" i="7"/>
  <c r="B759" i="7"/>
  <c r="C759" i="7"/>
  <c r="F759" i="7"/>
  <c r="G759" i="7"/>
  <c r="H759" i="7"/>
  <c r="L759" i="7"/>
  <c r="M759" i="7" s="1"/>
  <c r="N759" i="7"/>
  <c r="O759" i="7"/>
  <c r="P759" i="7"/>
  <c r="Q759" i="7"/>
  <c r="T759" i="7"/>
  <c r="B760" i="7"/>
  <c r="C760" i="7"/>
  <c r="F760" i="7"/>
  <c r="G760" i="7"/>
  <c r="H760" i="7"/>
  <c r="L760" i="7"/>
  <c r="M760" i="7" s="1"/>
  <c r="N760" i="7"/>
  <c r="O760" i="7"/>
  <c r="P760" i="7"/>
  <c r="Q760" i="7"/>
  <c r="T760" i="7"/>
  <c r="B761" i="7"/>
  <c r="C761" i="7"/>
  <c r="F761" i="7"/>
  <c r="G761" i="7"/>
  <c r="H761" i="7"/>
  <c r="L761" i="7"/>
  <c r="M761" i="7" s="1"/>
  <c r="N761" i="7"/>
  <c r="O761" i="7"/>
  <c r="P761" i="7"/>
  <c r="Q761" i="7"/>
  <c r="T761" i="7"/>
  <c r="B762" i="7"/>
  <c r="C762" i="7"/>
  <c r="F762" i="7"/>
  <c r="G762" i="7"/>
  <c r="H762" i="7"/>
  <c r="L762" i="7"/>
  <c r="M762" i="7" s="1"/>
  <c r="N762" i="7"/>
  <c r="O762" i="7"/>
  <c r="P762" i="7"/>
  <c r="Q762" i="7"/>
  <c r="T762" i="7"/>
  <c r="B763" i="7"/>
  <c r="C763" i="7"/>
  <c r="F763" i="7"/>
  <c r="G763" i="7"/>
  <c r="H763" i="7"/>
  <c r="L763" i="7"/>
  <c r="M763" i="7" s="1"/>
  <c r="N763" i="7"/>
  <c r="O763" i="7"/>
  <c r="P763" i="7"/>
  <c r="Q763" i="7"/>
  <c r="T763" i="7"/>
  <c r="B764" i="7"/>
  <c r="C764" i="7"/>
  <c r="F764" i="7"/>
  <c r="G764" i="7"/>
  <c r="H764" i="7"/>
  <c r="L764" i="7"/>
  <c r="M764" i="7" s="1"/>
  <c r="N764" i="7"/>
  <c r="O764" i="7"/>
  <c r="P764" i="7"/>
  <c r="Q764" i="7"/>
  <c r="T764" i="7"/>
  <c r="B765" i="7"/>
  <c r="C765" i="7"/>
  <c r="F765" i="7"/>
  <c r="G765" i="7"/>
  <c r="H765" i="7"/>
  <c r="L765" i="7"/>
  <c r="M765" i="7" s="1"/>
  <c r="N765" i="7"/>
  <c r="O765" i="7"/>
  <c r="P765" i="7"/>
  <c r="Q765" i="7"/>
  <c r="T765" i="7"/>
  <c r="B766" i="7"/>
  <c r="C766" i="7"/>
  <c r="F766" i="7"/>
  <c r="G766" i="7"/>
  <c r="H766" i="7"/>
  <c r="L766" i="7"/>
  <c r="M766" i="7" s="1"/>
  <c r="N766" i="7"/>
  <c r="O766" i="7"/>
  <c r="P766" i="7"/>
  <c r="Q766" i="7"/>
  <c r="T766" i="7"/>
  <c r="B767" i="7"/>
  <c r="C767" i="7"/>
  <c r="F767" i="7"/>
  <c r="G767" i="7"/>
  <c r="H767" i="7"/>
  <c r="L767" i="7"/>
  <c r="M767" i="7" s="1"/>
  <c r="N767" i="7"/>
  <c r="O767" i="7"/>
  <c r="P767" i="7"/>
  <c r="Q767" i="7"/>
  <c r="T767" i="7"/>
  <c r="B768" i="7"/>
  <c r="C768" i="7"/>
  <c r="F768" i="7"/>
  <c r="G768" i="7"/>
  <c r="H768" i="7"/>
  <c r="L768" i="7"/>
  <c r="M768" i="7" s="1"/>
  <c r="N768" i="7"/>
  <c r="O768" i="7"/>
  <c r="P768" i="7"/>
  <c r="Q768" i="7"/>
  <c r="T768" i="7"/>
  <c r="B769" i="7"/>
  <c r="C769" i="7"/>
  <c r="F769" i="7"/>
  <c r="G769" i="7"/>
  <c r="H769" i="7"/>
  <c r="L769" i="7"/>
  <c r="M769" i="7" s="1"/>
  <c r="N769" i="7"/>
  <c r="O769" i="7"/>
  <c r="P769" i="7"/>
  <c r="Q769" i="7"/>
  <c r="T769" i="7"/>
  <c r="B770" i="7"/>
  <c r="C770" i="7"/>
  <c r="F770" i="7"/>
  <c r="G770" i="7"/>
  <c r="H770" i="7"/>
  <c r="L770" i="7"/>
  <c r="M770" i="7" s="1"/>
  <c r="N770" i="7"/>
  <c r="O770" i="7"/>
  <c r="P770" i="7"/>
  <c r="Q770" i="7"/>
  <c r="T770" i="7"/>
  <c r="B771" i="7"/>
  <c r="C771" i="7"/>
  <c r="F771" i="7"/>
  <c r="G771" i="7"/>
  <c r="H771" i="7"/>
  <c r="L771" i="7"/>
  <c r="M771" i="7" s="1"/>
  <c r="N771" i="7"/>
  <c r="O771" i="7"/>
  <c r="P771" i="7"/>
  <c r="Q771" i="7"/>
  <c r="T771" i="7"/>
  <c r="B772" i="7"/>
  <c r="C772" i="7"/>
  <c r="F772" i="7"/>
  <c r="G772" i="7"/>
  <c r="H772" i="7"/>
  <c r="L772" i="7"/>
  <c r="M772" i="7" s="1"/>
  <c r="N772" i="7"/>
  <c r="O772" i="7"/>
  <c r="P772" i="7"/>
  <c r="Q772" i="7"/>
  <c r="T772" i="7"/>
  <c r="B773" i="7"/>
  <c r="C773" i="7"/>
  <c r="F773" i="7"/>
  <c r="G773" i="7"/>
  <c r="H773" i="7"/>
  <c r="L773" i="7"/>
  <c r="M773" i="7" s="1"/>
  <c r="N773" i="7"/>
  <c r="O773" i="7"/>
  <c r="P773" i="7"/>
  <c r="Q773" i="7"/>
  <c r="T773" i="7"/>
  <c r="B774" i="7"/>
  <c r="C774" i="7"/>
  <c r="F774" i="7"/>
  <c r="G774" i="7"/>
  <c r="H774" i="7"/>
  <c r="L774" i="7"/>
  <c r="M774" i="7" s="1"/>
  <c r="N774" i="7"/>
  <c r="O774" i="7"/>
  <c r="P774" i="7"/>
  <c r="Q774" i="7"/>
  <c r="T774" i="7"/>
  <c r="B775" i="7"/>
  <c r="C775" i="7"/>
  <c r="F775" i="7"/>
  <c r="G775" i="7"/>
  <c r="H775" i="7"/>
  <c r="L775" i="7"/>
  <c r="M775" i="7" s="1"/>
  <c r="N775" i="7"/>
  <c r="O775" i="7"/>
  <c r="P775" i="7"/>
  <c r="Q775" i="7"/>
  <c r="T775" i="7"/>
  <c r="B776" i="7"/>
  <c r="C776" i="7"/>
  <c r="F776" i="7"/>
  <c r="G776" i="7"/>
  <c r="H776" i="7"/>
  <c r="L776" i="7"/>
  <c r="M776" i="7" s="1"/>
  <c r="N776" i="7"/>
  <c r="O776" i="7"/>
  <c r="P776" i="7"/>
  <c r="Q776" i="7"/>
  <c r="T776" i="7"/>
  <c r="B777" i="7"/>
  <c r="C777" i="7"/>
  <c r="F777" i="7"/>
  <c r="G777" i="7"/>
  <c r="H777" i="7"/>
  <c r="L777" i="7"/>
  <c r="M777" i="7" s="1"/>
  <c r="N777" i="7"/>
  <c r="O777" i="7"/>
  <c r="P777" i="7"/>
  <c r="Q777" i="7"/>
  <c r="T777" i="7"/>
  <c r="B778" i="7"/>
  <c r="C778" i="7"/>
  <c r="F778" i="7"/>
  <c r="G778" i="7"/>
  <c r="H778" i="7"/>
  <c r="L778" i="7"/>
  <c r="M778" i="7" s="1"/>
  <c r="N778" i="7"/>
  <c r="O778" i="7"/>
  <c r="P778" i="7"/>
  <c r="Q778" i="7"/>
  <c r="T778" i="7"/>
  <c r="B779" i="7"/>
  <c r="C779" i="7"/>
  <c r="F779" i="7"/>
  <c r="G779" i="7"/>
  <c r="H779" i="7"/>
  <c r="L779" i="7"/>
  <c r="M779" i="7" s="1"/>
  <c r="N779" i="7"/>
  <c r="O779" i="7"/>
  <c r="P779" i="7"/>
  <c r="Q779" i="7"/>
  <c r="T779" i="7"/>
  <c r="B780" i="7"/>
  <c r="C780" i="7"/>
  <c r="F780" i="7"/>
  <c r="G780" i="7"/>
  <c r="H780" i="7"/>
  <c r="L780" i="7"/>
  <c r="M780" i="7" s="1"/>
  <c r="N780" i="7"/>
  <c r="O780" i="7"/>
  <c r="P780" i="7"/>
  <c r="Q780" i="7"/>
  <c r="T780" i="7"/>
  <c r="B781" i="7"/>
  <c r="C781" i="7"/>
  <c r="F781" i="7"/>
  <c r="G781" i="7"/>
  <c r="H781" i="7"/>
  <c r="L781" i="7"/>
  <c r="M781" i="7" s="1"/>
  <c r="N781" i="7"/>
  <c r="O781" i="7"/>
  <c r="P781" i="7"/>
  <c r="Q781" i="7"/>
  <c r="T781" i="7"/>
  <c r="B782" i="7"/>
  <c r="C782" i="7"/>
  <c r="F782" i="7"/>
  <c r="G782" i="7"/>
  <c r="H782" i="7"/>
  <c r="L782" i="7"/>
  <c r="M782" i="7" s="1"/>
  <c r="N782" i="7"/>
  <c r="O782" i="7"/>
  <c r="P782" i="7"/>
  <c r="Q782" i="7"/>
  <c r="T782" i="7"/>
  <c r="B783" i="7"/>
  <c r="C783" i="7"/>
  <c r="F783" i="7"/>
  <c r="G783" i="7"/>
  <c r="H783" i="7"/>
  <c r="L783" i="7"/>
  <c r="M783" i="7" s="1"/>
  <c r="N783" i="7"/>
  <c r="O783" i="7"/>
  <c r="P783" i="7"/>
  <c r="Q783" i="7"/>
  <c r="T783" i="7"/>
  <c r="B784" i="7"/>
  <c r="C784" i="7"/>
  <c r="F784" i="7"/>
  <c r="G784" i="7"/>
  <c r="H784" i="7"/>
  <c r="L784" i="7"/>
  <c r="M784" i="7" s="1"/>
  <c r="N784" i="7"/>
  <c r="O784" i="7"/>
  <c r="P784" i="7"/>
  <c r="Q784" i="7"/>
  <c r="T784" i="7"/>
  <c r="B785" i="7"/>
  <c r="C785" i="7"/>
  <c r="F785" i="7"/>
  <c r="G785" i="7"/>
  <c r="H785" i="7"/>
  <c r="L785" i="7"/>
  <c r="M785" i="7" s="1"/>
  <c r="N785" i="7"/>
  <c r="O785" i="7"/>
  <c r="P785" i="7"/>
  <c r="Q785" i="7"/>
  <c r="T785" i="7"/>
  <c r="B786" i="7"/>
  <c r="C786" i="7"/>
  <c r="F786" i="7"/>
  <c r="G786" i="7"/>
  <c r="H786" i="7"/>
  <c r="L786" i="7"/>
  <c r="M786" i="7" s="1"/>
  <c r="N786" i="7"/>
  <c r="O786" i="7"/>
  <c r="P786" i="7"/>
  <c r="Q786" i="7"/>
  <c r="T786" i="7"/>
  <c r="B787" i="7"/>
  <c r="C787" i="7"/>
  <c r="F787" i="7"/>
  <c r="G787" i="7"/>
  <c r="H787" i="7"/>
  <c r="L787" i="7"/>
  <c r="M787" i="7" s="1"/>
  <c r="N787" i="7"/>
  <c r="O787" i="7"/>
  <c r="P787" i="7"/>
  <c r="Q787" i="7"/>
  <c r="T787" i="7"/>
  <c r="B788" i="7"/>
  <c r="C788" i="7"/>
  <c r="F788" i="7"/>
  <c r="G788" i="7"/>
  <c r="H788" i="7"/>
  <c r="L788" i="7"/>
  <c r="M788" i="7" s="1"/>
  <c r="N788" i="7"/>
  <c r="O788" i="7"/>
  <c r="P788" i="7"/>
  <c r="Q788" i="7"/>
  <c r="T788" i="7"/>
  <c r="B789" i="7"/>
  <c r="C789" i="7"/>
  <c r="F789" i="7"/>
  <c r="G789" i="7"/>
  <c r="H789" i="7"/>
  <c r="L789" i="7"/>
  <c r="M789" i="7" s="1"/>
  <c r="N789" i="7"/>
  <c r="O789" i="7"/>
  <c r="P789" i="7"/>
  <c r="Q789" i="7"/>
  <c r="T789" i="7"/>
  <c r="B790" i="7"/>
  <c r="C790" i="7"/>
  <c r="F790" i="7"/>
  <c r="G790" i="7"/>
  <c r="H790" i="7"/>
  <c r="L790" i="7"/>
  <c r="M790" i="7" s="1"/>
  <c r="N790" i="7"/>
  <c r="O790" i="7"/>
  <c r="P790" i="7"/>
  <c r="Q790" i="7"/>
  <c r="T790" i="7"/>
  <c r="B791" i="7"/>
  <c r="C791" i="7"/>
  <c r="F791" i="7"/>
  <c r="G791" i="7"/>
  <c r="H791" i="7"/>
  <c r="L791" i="7"/>
  <c r="M791" i="7" s="1"/>
  <c r="N791" i="7"/>
  <c r="O791" i="7"/>
  <c r="P791" i="7"/>
  <c r="Q791" i="7"/>
  <c r="T791" i="7"/>
  <c r="B792" i="7"/>
  <c r="C792" i="7"/>
  <c r="F792" i="7"/>
  <c r="G792" i="7"/>
  <c r="H792" i="7"/>
  <c r="L792" i="7"/>
  <c r="M792" i="7" s="1"/>
  <c r="N792" i="7"/>
  <c r="O792" i="7"/>
  <c r="P792" i="7"/>
  <c r="Q792" i="7"/>
  <c r="T792" i="7"/>
  <c r="B793" i="7"/>
  <c r="C793" i="7"/>
  <c r="F793" i="7"/>
  <c r="G793" i="7"/>
  <c r="H793" i="7"/>
  <c r="L793" i="7"/>
  <c r="M793" i="7" s="1"/>
  <c r="N793" i="7"/>
  <c r="O793" i="7"/>
  <c r="P793" i="7"/>
  <c r="Q793" i="7"/>
  <c r="T793" i="7"/>
  <c r="B794" i="7"/>
  <c r="C794" i="7"/>
  <c r="F794" i="7"/>
  <c r="G794" i="7"/>
  <c r="H794" i="7"/>
  <c r="L794" i="7"/>
  <c r="M794" i="7" s="1"/>
  <c r="N794" i="7"/>
  <c r="O794" i="7"/>
  <c r="P794" i="7"/>
  <c r="Q794" i="7"/>
  <c r="T794" i="7"/>
  <c r="B795" i="7"/>
  <c r="C795" i="7"/>
  <c r="F795" i="7"/>
  <c r="G795" i="7"/>
  <c r="H795" i="7"/>
  <c r="L795" i="7"/>
  <c r="M795" i="7" s="1"/>
  <c r="N795" i="7"/>
  <c r="O795" i="7"/>
  <c r="P795" i="7"/>
  <c r="Q795" i="7"/>
  <c r="T795" i="7"/>
  <c r="B796" i="7"/>
  <c r="C796" i="7"/>
  <c r="F796" i="7"/>
  <c r="G796" i="7"/>
  <c r="H796" i="7"/>
  <c r="L796" i="7"/>
  <c r="M796" i="7" s="1"/>
  <c r="N796" i="7"/>
  <c r="O796" i="7"/>
  <c r="P796" i="7"/>
  <c r="Q796" i="7"/>
  <c r="T796" i="7"/>
  <c r="B797" i="7"/>
  <c r="C797" i="7"/>
  <c r="F797" i="7"/>
  <c r="G797" i="7"/>
  <c r="H797" i="7"/>
  <c r="L797" i="7"/>
  <c r="M797" i="7" s="1"/>
  <c r="N797" i="7"/>
  <c r="O797" i="7"/>
  <c r="P797" i="7"/>
  <c r="Q797" i="7"/>
  <c r="T797" i="7"/>
  <c r="B798" i="7"/>
  <c r="C798" i="7"/>
  <c r="F798" i="7"/>
  <c r="G798" i="7"/>
  <c r="H798" i="7"/>
  <c r="L798" i="7"/>
  <c r="M798" i="7" s="1"/>
  <c r="N798" i="7"/>
  <c r="O798" i="7"/>
  <c r="P798" i="7"/>
  <c r="Q798" i="7"/>
  <c r="T798" i="7"/>
  <c r="B799" i="7"/>
  <c r="C799" i="7"/>
  <c r="F799" i="7"/>
  <c r="G799" i="7"/>
  <c r="H799" i="7"/>
  <c r="L799" i="7"/>
  <c r="M799" i="7" s="1"/>
  <c r="N799" i="7"/>
  <c r="O799" i="7"/>
  <c r="P799" i="7"/>
  <c r="Q799" i="7"/>
  <c r="T799" i="7"/>
  <c r="B800" i="7"/>
  <c r="C800" i="7"/>
  <c r="F800" i="7"/>
  <c r="G800" i="7"/>
  <c r="H800" i="7"/>
  <c r="L800" i="7"/>
  <c r="M800" i="7" s="1"/>
  <c r="N800" i="7"/>
  <c r="O800" i="7"/>
  <c r="P800" i="7"/>
  <c r="Q800" i="7"/>
  <c r="T800" i="7"/>
  <c r="B801" i="7"/>
  <c r="C801" i="7"/>
  <c r="F801" i="7"/>
  <c r="G801" i="7"/>
  <c r="H801" i="7"/>
  <c r="L801" i="7"/>
  <c r="M801" i="7" s="1"/>
  <c r="N801" i="7"/>
  <c r="O801" i="7"/>
  <c r="P801" i="7"/>
  <c r="Q801" i="7"/>
  <c r="T801" i="7"/>
  <c r="B802" i="7"/>
  <c r="C802" i="7"/>
  <c r="F802" i="7"/>
  <c r="G802" i="7"/>
  <c r="H802" i="7"/>
  <c r="L802" i="7"/>
  <c r="M802" i="7" s="1"/>
  <c r="N802" i="7"/>
  <c r="O802" i="7"/>
  <c r="P802" i="7"/>
  <c r="Q802" i="7"/>
  <c r="T802" i="7"/>
  <c r="B803" i="7"/>
  <c r="C803" i="7"/>
  <c r="F803" i="7"/>
  <c r="G803" i="7"/>
  <c r="H803" i="7"/>
  <c r="L803" i="7"/>
  <c r="M803" i="7" s="1"/>
  <c r="N803" i="7"/>
  <c r="O803" i="7"/>
  <c r="P803" i="7"/>
  <c r="Q803" i="7"/>
  <c r="T803" i="7"/>
  <c r="B804" i="7"/>
  <c r="C804" i="7"/>
  <c r="F804" i="7"/>
  <c r="G804" i="7"/>
  <c r="H804" i="7"/>
  <c r="L804" i="7"/>
  <c r="M804" i="7" s="1"/>
  <c r="N804" i="7"/>
  <c r="O804" i="7"/>
  <c r="P804" i="7"/>
  <c r="Q804" i="7"/>
  <c r="T804" i="7"/>
  <c r="B805" i="7"/>
  <c r="C805" i="7"/>
  <c r="F805" i="7"/>
  <c r="G805" i="7"/>
  <c r="H805" i="7"/>
  <c r="L805" i="7"/>
  <c r="M805" i="7" s="1"/>
  <c r="N805" i="7"/>
  <c r="O805" i="7"/>
  <c r="P805" i="7"/>
  <c r="Q805" i="7"/>
  <c r="T805" i="7"/>
  <c r="B806" i="7"/>
  <c r="C806" i="7"/>
  <c r="F806" i="7"/>
  <c r="G806" i="7"/>
  <c r="H806" i="7"/>
  <c r="L806" i="7"/>
  <c r="M806" i="7" s="1"/>
  <c r="N806" i="7"/>
  <c r="O806" i="7"/>
  <c r="P806" i="7"/>
  <c r="Q806" i="7"/>
  <c r="T806" i="7"/>
  <c r="B807" i="7"/>
  <c r="C807" i="7"/>
  <c r="F807" i="7"/>
  <c r="G807" i="7"/>
  <c r="H807" i="7"/>
  <c r="L807" i="7"/>
  <c r="M807" i="7" s="1"/>
  <c r="N807" i="7"/>
  <c r="O807" i="7"/>
  <c r="P807" i="7"/>
  <c r="Q807" i="7"/>
  <c r="T807" i="7"/>
  <c r="B808" i="7"/>
  <c r="C808" i="7"/>
  <c r="F808" i="7"/>
  <c r="G808" i="7"/>
  <c r="H808" i="7"/>
  <c r="L808" i="7"/>
  <c r="M808" i="7" s="1"/>
  <c r="N808" i="7"/>
  <c r="O808" i="7"/>
  <c r="P808" i="7"/>
  <c r="Q808" i="7"/>
  <c r="T808" i="7"/>
  <c r="AZ343" i="2"/>
  <c r="BA343" i="2"/>
  <c r="R207" i="7" l="1"/>
  <c r="R291" i="7"/>
  <c r="R286" i="7"/>
  <c r="R737" i="7"/>
  <c r="R102" i="7"/>
  <c r="R596" i="7"/>
  <c r="R107" i="7"/>
  <c r="R753" i="7"/>
  <c r="R751" i="7"/>
  <c r="R638" i="7"/>
  <c r="R277" i="7"/>
  <c r="R171" i="7"/>
  <c r="R253" i="7"/>
  <c r="R109" i="7"/>
  <c r="R342" i="7"/>
  <c r="R285" i="7"/>
  <c r="R209" i="7"/>
  <c r="R261" i="7"/>
  <c r="R146" i="7"/>
  <c r="R713" i="7"/>
  <c r="R502" i="7"/>
  <c r="R382" i="7"/>
  <c r="R13" i="7"/>
  <c r="R738" i="7"/>
  <c r="R508" i="7"/>
  <c r="R444" i="7"/>
  <c r="R622" i="7"/>
  <c r="R452" i="7"/>
  <c r="R431" i="7"/>
  <c r="R287" i="7"/>
  <c r="R205" i="7"/>
  <c r="R181" i="7"/>
  <c r="R29" i="7"/>
  <c r="R758" i="7"/>
  <c r="R673" i="7"/>
  <c r="R626" i="7"/>
  <c r="R484" i="7"/>
  <c r="R480" i="7"/>
  <c r="R476" i="7"/>
  <c r="R472" i="7"/>
  <c r="R468" i="7"/>
  <c r="R428" i="7"/>
  <c r="R396" i="7"/>
  <c r="R315" i="7"/>
  <c r="R294" i="7"/>
  <c r="R223" i="7"/>
  <c r="R83" i="7"/>
  <c r="R793" i="7"/>
  <c r="R745" i="7"/>
  <c r="R665" i="7"/>
  <c r="R628" i="7"/>
  <c r="R310" i="7"/>
  <c r="R256" i="7"/>
  <c r="R230" i="7"/>
  <c r="R199" i="7"/>
  <c r="R134" i="7"/>
  <c r="R18" i="7"/>
  <c r="R772" i="7"/>
  <c r="R632" i="7"/>
  <c r="R526" i="7"/>
  <c r="R450" i="7"/>
  <c r="R430" i="7"/>
  <c r="R398" i="7"/>
  <c r="R317" i="7"/>
  <c r="R139" i="7"/>
  <c r="R548" i="7"/>
  <c r="R335" i="7"/>
  <c r="R301" i="7"/>
  <c r="R269" i="7"/>
  <c r="R173" i="7"/>
  <c r="R165" i="7"/>
  <c r="R802" i="7"/>
  <c r="R729" i="7"/>
  <c r="R697" i="7"/>
  <c r="R649" i="7"/>
  <c r="R566" i="7"/>
  <c r="R359" i="7"/>
  <c r="R353" i="7"/>
  <c r="R302" i="7"/>
  <c r="R278" i="7"/>
  <c r="R188" i="7"/>
  <c r="R149" i="7"/>
  <c r="R141" i="7"/>
  <c r="R689" i="7"/>
  <c r="R572" i="7"/>
  <c r="R195" i="7"/>
  <c r="R191" i="7"/>
  <c r="R179" i="7"/>
  <c r="R177" i="7"/>
  <c r="R123" i="7"/>
  <c r="R93" i="7"/>
  <c r="R82" i="7"/>
  <c r="R77" i="7"/>
  <c r="R61" i="7"/>
  <c r="R50" i="7"/>
  <c r="R45" i="7"/>
  <c r="R34" i="7"/>
  <c r="R761" i="7"/>
  <c r="R246" i="7"/>
  <c r="R602" i="7"/>
  <c r="R554" i="7"/>
  <c r="R490" i="7"/>
  <c r="R424" i="7"/>
  <c r="R785" i="7"/>
  <c r="R777" i="7"/>
  <c r="R775" i="7"/>
  <c r="R767" i="7"/>
  <c r="R764" i="7"/>
  <c r="R755" i="7"/>
  <c r="R664" i="7"/>
  <c r="R574" i="7"/>
  <c r="R556" i="7"/>
  <c r="R550" i="7"/>
  <c r="R546" i="7"/>
  <c r="R532" i="7"/>
  <c r="R510" i="7"/>
  <c r="R492" i="7"/>
  <c r="R486" i="7"/>
  <c r="R478" i="7"/>
  <c r="R470" i="7"/>
  <c r="R463" i="7"/>
  <c r="R454" i="7"/>
  <c r="R446" i="7"/>
  <c r="R440" i="7"/>
  <c r="R436" i="7"/>
  <c r="R303" i="7"/>
  <c r="R263" i="7"/>
  <c r="R237" i="7"/>
  <c r="R197" i="7"/>
  <c r="R155" i="7"/>
  <c r="R125" i="7"/>
  <c r="R114" i="7"/>
  <c r="R99" i="7"/>
  <c r="R95" i="7"/>
  <c r="R92" i="7"/>
  <c r="R86" i="7"/>
  <c r="R54" i="7"/>
  <c r="R22" i="7"/>
  <c r="R657" i="7"/>
  <c r="R694" i="7"/>
  <c r="R373" i="7"/>
  <c r="R270" i="7"/>
  <c r="R222" i="7"/>
  <c r="R79" i="7"/>
  <c r="R67" i="7"/>
  <c r="R63" i="7"/>
  <c r="R55" i="7"/>
  <c r="R51" i="7"/>
  <c r="R47" i="7"/>
  <c r="R35" i="7"/>
  <c r="R24" i="7"/>
  <c r="R1028" i="7"/>
  <c r="R705" i="7"/>
  <c r="R794" i="7"/>
  <c r="R792" i="7"/>
  <c r="R769" i="7"/>
  <c r="R732" i="7"/>
  <c r="R718" i="7"/>
  <c r="R580" i="7"/>
  <c r="R558" i="7"/>
  <c r="R540" i="7"/>
  <c r="R534" i="7"/>
  <c r="R516" i="7"/>
  <c r="R494" i="7"/>
  <c r="R460" i="7"/>
  <c r="R438" i="7"/>
  <c r="R420" i="7"/>
  <c r="R404" i="7"/>
  <c r="R388" i="7"/>
  <c r="R367" i="7"/>
  <c r="R358" i="7"/>
  <c r="R293" i="7"/>
  <c r="R279" i="7"/>
  <c r="R187" i="7"/>
  <c r="R157" i="7"/>
  <c r="R135" i="7"/>
  <c r="R127" i="7"/>
  <c r="R118" i="7"/>
  <c r="R721" i="7"/>
  <c r="R640" i="7"/>
  <c r="R618" i="7"/>
  <c r="R586" i="7"/>
  <c r="R522" i="7"/>
  <c r="R456" i="7"/>
  <c r="R369" i="7"/>
  <c r="R332" i="7"/>
  <c r="R307" i="7"/>
  <c r="R271" i="7"/>
  <c r="R254" i="7"/>
  <c r="R245" i="7"/>
  <c r="R214" i="7"/>
  <c r="R166" i="7"/>
  <c r="R115" i="7"/>
  <c r="R113" i="7"/>
  <c r="R85" i="7"/>
  <c r="R69" i="7"/>
  <c r="R53" i="7"/>
  <c r="R37" i="7"/>
  <c r="R21" i="7"/>
  <c r="R746" i="7"/>
  <c r="R744" i="7"/>
  <c r="R720" i="7"/>
  <c r="R717" i="7"/>
  <c r="R681" i="7"/>
  <c r="R374" i="7"/>
  <c r="R801" i="7"/>
  <c r="R766" i="7"/>
  <c r="R754" i="7"/>
  <c r="R748" i="7"/>
  <c r="R728" i="7"/>
  <c r="R698" i="7"/>
  <c r="R686" i="7"/>
  <c r="R642" i="7"/>
  <c r="R588" i="7"/>
  <c r="R578" i="7"/>
  <c r="R564" i="7"/>
  <c r="R542" i="7"/>
  <c r="R524" i="7"/>
  <c r="R514" i="7"/>
  <c r="R500" i="7"/>
  <c r="R422" i="7"/>
  <c r="R406" i="7"/>
  <c r="R390" i="7"/>
  <c r="R336" i="7"/>
  <c r="R262" i="7"/>
  <c r="R213" i="7"/>
  <c r="R203" i="7"/>
  <c r="R201" i="7"/>
  <c r="R189" i="7"/>
  <c r="R178" i="7"/>
  <c r="R167" i="7"/>
  <c r="R159" i="7"/>
  <c r="R91" i="7"/>
  <c r="R75" i="7"/>
  <c r="R59" i="7"/>
  <c r="R43" i="7"/>
  <c r="R5" i="7"/>
  <c r="R402" i="7"/>
  <c r="R375" i="7"/>
  <c r="R351" i="7"/>
  <c r="R349" i="7"/>
  <c r="R221" i="7"/>
  <c r="R206" i="7"/>
  <c r="R198" i="7"/>
  <c r="R147" i="7"/>
  <c r="R145" i="7"/>
  <c r="R117" i="7"/>
  <c r="R789" i="7"/>
  <c r="R806" i="7"/>
  <c r="R791" i="7"/>
  <c r="R788" i="7"/>
  <c r="R782" i="7"/>
  <c r="R778" i="7"/>
  <c r="R771" i="7"/>
  <c r="R747" i="7"/>
  <c r="R743" i="7"/>
  <c r="R740" i="7"/>
  <c r="R734" i="7"/>
  <c r="R704" i="7"/>
  <c r="R701" i="7"/>
  <c r="R682" i="7"/>
  <c r="R670" i="7"/>
  <c r="R637" i="7"/>
  <c r="R461" i="7"/>
  <c r="R414" i="7"/>
  <c r="R383" i="7"/>
  <c r="R776" i="7"/>
  <c r="R710" i="7"/>
  <c r="R641" i="7"/>
  <c r="R606" i="7"/>
  <c r="R537" i="7"/>
  <c r="R462" i="7"/>
  <c r="R368" i="7"/>
  <c r="R465" i="7"/>
  <c r="R797" i="7"/>
  <c r="R799" i="7"/>
  <c r="R779" i="7"/>
  <c r="R760" i="7"/>
  <c r="R757" i="7"/>
  <c r="R742" i="7"/>
  <c r="R726" i="7"/>
  <c r="R696" i="7"/>
  <c r="R693" i="7"/>
  <c r="R674" i="7"/>
  <c r="R662" i="7"/>
  <c r="R650" i="7"/>
  <c r="R582" i="7"/>
  <c r="R518" i="7"/>
  <c r="R482" i="7"/>
  <c r="R474" i="7"/>
  <c r="R365" i="7"/>
  <c r="R741" i="7"/>
  <c r="R725" i="7"/>
  <c r="R706" i="7"/>
  <c r="R680" i="7"/>
  <c r="R658" i="7"/>
  <c r="R803" i="7"/>
  <c r="R796" i="7"/>
  <c r="R790" i="7"/>
  <c r="R786" i="7"/>
  <c r="R808" i="7"/>
  <c r="R805" i="7"/>
  <c r="R784" i="7"/>
  <c r="R781" i="7"/>
  <c r="R759" i="7"/>
  <c r="R756" i="7"/>
  <c r="R736" i="7"/>
  <c r="R733" i="7"/>
  <c r="R714" i="7"/>
  <c r="R702" i="7"/>
  <c r="R672" i="7"/>
  <c r="R669" i="7"/>
  <c r="R648" i="7"/>
  <c r="R645" i="7"/>
  <c r="R394" i="7"/>
  <c r="R773" i="7"/>
  <c r="R749" i="7"/>
  <c r="R677" i="7"/>
  <c r="R545" i="7"/>
  <c r="R807" i="7"/>
  <c r="R804" i="7"/>
  <c r="R783" i="7"/>
  <c r="R780" i="7"/>
  <c r="R774" i="7"/>
  <c r="R770" i="7"/>
  <c r="R763" i="7"/>
  <c r="R750" i="7"/>
  <c r="R735" i="7"/>
  <c r="R712" i="7"/>
  <c r="R709" i="7"/>
  <c r="R690" i="7"/>
  <c r="R678" i="7"/>
  <c r="R654" i="7"/>
  <c r="R633" i="7"/>
  <c r="R577" i="7"/>
  <c r="R513" i="7"/>
  <c r="R445" i="7"/>
  <c r="R434" i="7"/>
  <c r="R357" i="7"/>
  <c r="R795" i="7"/>
  <c r="R752" i="7"/>
  <c r="R722" i="7"/>
  <c r="R656" i="7"/>
  <c r="R800" i="7"/>
  <c r="R762" i="7"/>
  <c r="R798" i="7"/>
  <c r="R787" i="7"/>
  <c r="R768" i="7"/>
  <c r="R765" i="7"/>
  <c r="R739" i="7"/>
  <c r="R730" i="7"/>
  <c r="R688" i="7"/>
  <c r="R685" i="7"/>
  <c r="R666" i="7"/>
  <c r="R569" i="7"/>
  <c r="R505" i="7"/>
  <c r="R449" i="7"/>
  <c r="R412" i="7"/>
  <c r="R379" i="7"/>
  <c r="R707" i="7"/>
  <c r="R703" i="7"/>
  <c r="R700" i="7"/>
  <c r="R675" i="7"/>
  <c r="R671" i="7"/>
  <c r="R668" i="7"/>
  <c r="R604" i="7"/>
  <c r="R584" i="7"/>
  <c r="R575" i="7"/>
  <c r="R573" i="7"/>
  <c r="R552" i="7"/>
  <c r="R543" i="7"/>
  <c r="R541" i="7"/>
  <c r="R520" i="7"/>
  <c r="R511" i="7"/>
  <c r="R509" i="7"/>
  <c r="R488" i="7"/>
  <c r="R479" i="7"/>
  <c r="R471" i="7"/>
  <c r="R453" i="7"/>
  <c r="R442" i="7"/>
  <c r="R415" i="7"/>
  <c r="R405" i="7"/>
  <c r="R320" i="7"/>
  <c r="R316" i="7"/>
  <c r="R314" i="7"/>
  <c r="R238" i="7"/>
  <c r="R160" i="7"/>
  <c r="R715" i="7"/>
  <c r="R711" i="7"/>
  <c r="R708" i="7"/>
  <c r="R683" i="7"/>
  <c r="R679" i="7"/>
  <c r="R676" i="7"/>
  <c r="R651" i="7"/>
  <c r="R647" i="7"/>
  <c r="R644" i="7"/>
  <c r="R636" i="7"/>
  <c r="R630" i="7"/>
  <c r="R624" i="7"/>
  <c r="R608" i="7"/>
  <c r="R590" i="7"/>
  <c r="R583" i="7"/>
  <c r="R581" i="7"/>
  <c r="R560" i="7"/>
  <c r="R551" i="7"/>
  <c r="R549" i="7"/>
  <c r="R528" i="7"/>
  <c r="R519" i="7"/>
  <c r="R517" i="7"/>
  <c r="R496" i="7"/>
  <c r="R487" i="7"/>
  <c r="R485" i="7"/>
  <c r="R481" i="7"/>
  <c r="R477" i="7"/>
  <c r="R473" i="7"/>
  <c r="R469" i="7"/>
  <c r="R458" i="7"/>
  <c r="R432" i="7"/>
  <c r="R423" i="7"/>
  <c r="R417" i="7"/>
  <c r="R413" i="7"/>
  <c r="R400" i="7"/>
  <c r="R391" i="7"/>
  <c r="R385" i="7"/>
  <c r="R322" i="7"/>
  <c r="R653" i="7"/>
  <c r="R610" i="7"/>
  <c r="R592" i="7"/>
  <c r="R562" i="7"/>
  <c r="R530" i="7"/>
  <c r="R498" i="7"/>
  <c r="R466" i="7"/>
  <c r="R410" i="7"/>
  <c r="R360" i="7"/>
  <c r="R331" i="7"/>
  <c r="R272" i="7"/>
  <c r="R255" i="7"/>
  <c r="R229" i="7"/>
  <c r="R131" i="7"/>
  <c r="R124" i="7"/>
  <c r="R101" i="7"/>
  <c r="R723" i="7"/>
  <c r="R719" i="7"/>
  <c r="R716" i="7"/>
  <c r="R691" i="7"/>
  <c r="R687" i="7"/>
  <c r="R684" i="7"/>
  <c r="R659" i="7"/>
  <c r="R655" i="7"/>
  <c r="R652" i="7"/>
  <c r="R620" i="7"/>
  <c r="R612" i="7"/>
  <c r="R594" i="7"/>
  <c r="R589" i="7"/>
  <c r="R568" i="7"/>
  <c r="R559" i="7"/>
  <c r="R557" i="7"/>
  <c r="R536" i="7"/>
  <c r="R527" i="7"/>
  <c r="R525" i="7"/>
  <c r="R504" i="7"/>
  <c r="R495" i="7"/>
  <c r="R493" i="7"/>
  <c r="R448" i="7"/>
  <c r="R439" i="7"/>
  <c r="R425" i="7"/>
  <c r="R421" i="7"/>
  <c r="R408" i="7"/>
  <c r="R399" i="7"/>
  <c r="R393" i="7"/>
  <c r="R389" i="7"/>
  <c r="R366" i="7"/>
  <c r="R364" i="7"/>
  <c r="R350" i="7"/>
  <c r="R348" i="7"/>
  <c r="R338" i="7"/>
  <c r="R334" i="7"/>
  <c r="R309" i="7"/>
  <c r="R239" i="7"/>
  <c r="R96" i="7"/>
  <c r="R661" i="7"/>
  <c r="R646" i="7"/>
  <c r="R634" i="7"/>
  <c r="R625" i="7"/>
  <c r="R614" i="7"/>
  <c r="R598" i="7"/>
  <c r="R591" i="7"/>
  <c r="R570" i="7"/>
  <c r="R538" i="7"/>
  <c r="R506" i="7"/>
  <c r="R447" i="7"/>
  <c r="R429" i="7"/>
  <c r="R418" i="7"/>
  <c r="R386" i="7"/>
  <c r="R380" i="7"/>
  <c r="R377" i="7"/>
  <c r="R361" i="7"/>
  <c r="R345" i="7"/>
  <c r="R163" i="7"/>
  <c r="R156" i="7"/>
  <c r="R133" i="7"/>
  <c r="R731" i="7"/>
  <c r="R727" i="7"/>
  <c r="R724" i="7"/>
  <c r="R699" i="7"/>
  <c r="R695" i="7"/>
  <c r="R692" i="7"/>
  <c r="R667" i="7"/>
  <c r="R663" i="7"/>
  <c r="R660" i="7"/>
  <c r="R616" i="7"/>
  <c r="R600" i="7"/>
  <c r="R576" i="7"/>
  <c r="R567" i="7"/>
  <c r="R565" i="7"/>
  <c r="R544" i="7"/>
  <c r="R535" i="7"/>
  <c r="R533" i="7"/>
  <c r="R512" i="7"/>
  <c r="R503" i="7"/>
  <c r="R501" i="7"/>
  <c r="R464" i="7"/>
  <c r="R455" i="7"/>
  <c r="R437" i="7"/>
  <c r="R426" i="7"/>
  <c r="R407" i="7"/>
  <c r="R397" i="7"/>
  <c r="R370" i="7"/>
  <c r="R354" i="7"/>
  <c r="R343" i="7"/>
  <c r="R333" i="7"/>
  <c r="R325" i="7"/>
  <c r="R323" i="7"/>
  <c r="R128" i="7"/>
  <c r="R33" i="7"/>
  <c r="R12" i="7"/>
  <c r="R381" i="7"/>
  <c r="R378" i="7"/>
  <c r="R372" i="7"/>
  <c r="R346" i="7"/>
  <c r="R340" i="7"/>
  <c r="R289" i="7"/>
  <c r="R283" i="7"/>
  <c r="R259" i="7"/>
  <c r="R231" i="7"/>
  <c r="R224" i="7"/>
  <c r="R190" i="7"/>
  <c r="R180" i="7"/>
  <c r="R169" i="7"/>
  <c r="R158" i="7"/>
  <c r="R148" i="7"/>
  <c r="R137" i="7"/>
  <c r="R126" i="7"/>
  <c r="R116" i="7"/>
  <c r="R105" i="7"/>
  <c r="R94" i="7"/>
  <c r="R84" i="7"/>
  <c r="R73" i="7"/>
  <c r="R62" i="7"/>
  <c r="R52" i="7"/>
  <c r="R41" i="7"/>
  <c r="R31" i="7"/>
  <c r="R11" i="7"/>
  <c r="R3" i="7"/>
  <c r="R311" i="7"/>
  <c r="R304" i="7"/>
  <c r="R241" i="7"/>
  <c r="R235" i="7"/>
  <c r="R226" i="7"/>
  <c r="R220" i="7"/>
  <c r="R211" i="7"/>
  <c r="R103" i="7"/>
  <c r="R71" i="7"/>
  <c r="R39" i="7"/>
  <c r="R32" i="7"/>
  <c r="R30" i="7"/>
  <c r="R20" i="7"/>
  <c r="R9" i="7"/>
  <c r="R81" i="7"/>
  <c r="R70" i="7"/>
  <c r="R64" i="7"/>
  <c r="R60" i="7"/>
  <c r="R49" i="7"/>
  <c r="R38" i="7"/>
  <c r="R19" i="7"/>
  <c r="R7" i="7"/>
  <c r="R1017" i="7"/>
  <c r="R326" i="7"/>
  <c r="R319" i="7"/>
  <c r="R273" i="7"/>
  <c r="R267" i="7"/>
  <c r="R258" i="7"/>
  <c r="R252" i="7"/>
  <c r="R243" i="7"/>
  <c r="R215" i="7"/>
  <c r="R208" i="7"/>
  <c r="R200" i="7"/>
  <c r="R194" i="7"/>
  <c r="R175" i="7"/>
  <c r="R143" i="7"/>
  <c r="R111" i="7"/>
  <c r="R28" i="7"/>
  <c r="R17" i="7"/>
  <c r="R8" i="7"/>
  <c r="R6" i="7"/>
  <c r="R362" i="7"/>
  <c r="R356" i="7"/>
  <c r="R318" i="7"/>
  <c r="R295" i="7"/>
  <c r="R288" i="7"/>
  <c r="R225" i="7"/>
  <c r="R219" i="7"/>
  <c r="R185" i="7"/>
  <c r="R174" i="7"/>
  <c r="R164" i="7"/>
  <c r="R153" i="7"/>
  <c r="R142" i="7"/>
  <c r="R132" i="7"/>
  <c r="R121" i="7"/>
  <c r="R110" i="7"/>
  <c r="R100" i="7"/>
  <c r="R89" i="7"/>
  <c r="R78" i="7"/>
  <c r="R68" i="7"/>
  <c r="R57" i="7"/>
  <c r="R46" i="7"/>
  <c r="R36" i="7"/>
  <c r="R27" i="7"/>
  <c r="R15" i="7"/>
  <c r="R341" i="7"/>
  <c r="R330" i="7"/>
  <c r="R328" i="7"/>
  <c r="R305" i="7"/>
  <c r="R290" i="7"/>
  <c r="R284" i="7"/>
  <c r="R275" i="7"/>
  <c r="R247" i="7"/>
  <c r="R240" i="7"/>
  <c r="R183" i="7"/>
  <c r="R151" i="7"/>
  <c r="R119" i="7"/>
  <c r="R87" i="7"/>
  <c r="R25" i="7"/>
  <c r="R16" i="7"/>
  <c r="R14" i="7"/>
  <c r="R4" i="7"/>
  <c r="R257" i="7"/>
  <c r="R251" i="7"/>
  <c r="R227" i="7"/>
  <c r="R182" i="7"/>
  <c r="R176" i="7"/>
  <c r="R172" i="7"/>
  <c r="R161" i="7"/>
  <c r="R150" i="7"/>
  <c r="R144" i="7"/>
  <c r="R140" i="7"/>
  <c r="R129" i="7"/>
  <c r="R112" i="7"/>
  <c r="R108" i="7"/>
  <c r="R97" i="7"/>
  <c r="R80" i="7"/>
  <c r="R76" i="7"/>
  <c r="R65" i="7"/>
  <c r="R48" i="7"/>
  <c r="R44" i="7"/>
  <c r="R23" i="7"/>
  <c r="R635" i="7"/>
  <c r="R579" i="7"/>
  <c r="R547" i="7"/>
  <c r="R515" i="7"/>
  <c r="R483" i="7"/>
  <c r="R475" i="7"/>
  <c r="R467" i="7"/>
  <c r="R411" i="7"/>
  <c r="R355" i="7"/>
  <c r="R585" i="7"/>
  <c r="R553" i="7"/>
  <c r="R521" i="7"/>
  <c r="R489" i="7"/>
  <c r="R376" i="7"/>
  <c r="R344" i="7"/>
  <c r="R327" i="7"/>
  <c r="R631" i="7"/>
  <c r="R629" i="7"/>
  <c r="R627" i="7"/>
  <c r="R587" i="7"/>
  <c r="R555" i="7"/>
  <c r="R523" i="7"/>
  <c r="R491" i="7"/>
  <c r="R419" i="7"/>
  <c r="R387" i="7"/>
  <c r="R363" i="7"/>
  <c r="R459" i="7"/>
  <c r="R593" i="7"/>
  <c r="R561" i="7"/>
  <c r="R529" i="7"/>
  <c r="R497" i="7"/>
  <c r="R433" i="7"/>
  <c r="R427" i="7"/>
  <c r="R352" i="7"/>
  <c r="R643" i="7"/>
  <c r="R623" i="7"/>
  <c r="R621" i="7"/>
  <c r="R619" i="7"/>
  <c r="R617" i="7"/>
  <c r="R615" i="7"/>
  <c r="R613" i="7"/>
  <c r="R611" i="7"/>
  <c r="R609" i="7"/>
  <c r="R607" i="7"/>
  <c r="R605" i="7"/>
  <c r="R603" i="7"/>
  <c r="R601" i="7"/>
  <c r="R599" i="7"/>
  <c r="R597" i="7"/>
  <c r="R595" i="7"/>
  <c r="R563" i="7"/>
  <c r="R531" i="7"/>
  <c r="R499" i="7"/>
  <c r="R441" i="7"/>
  <c r="R435" i="7"/>
  <c r="R416" i="7"/>
  <c r="R401" i="7"/>
  <c r="R395" i="7"/>
  <c r="R384" i="7"/>
  <c r="R371" i="7"/>
  <c r="R339" i="7"/>
  <c r="R337" i="7"/>
  <c r="R324" i="7"/>
  <c r="R443" i="7"/>
  <c r="R639" i="7"/>
  <c r="R571" i="7"/>
  <c r="R539" i="7"/>
  <c r="R507" i="7"/>
  <c r="R457" i="7"/>
  <c r="R451" i="7"/>
  <c r="R409" i="7"/>
  <c r="R403" i="7"/>
  <c r="R392" i="7"/>
  <c r="R347" i="7"/>
  <c r="R313" i="7"/>
  <c r="R296" i="7"/>
  <c r="R281" i="7"/>
  <c r="R264" i="7"/>
  <c r="R249" i="7"/>
  <c r="R232" i="7"/>
  <c r="R217" i="7"/>
  <c r="R184" i="7"/>
  <c r="R152" i="7"/>
  <c r="R120" i="7"/>
  <c r="R88" i="7"/>
  <c r="R56" i="7"/>
  <c r="R1016" i="7"/>
  <c r="R298" i="7"/>
  <c r="R292" i="7"/>
  <c r="R266" i="7"/>
  <c r="R260" i="7"/>
  <c r="R234" i="7"/>
  <c r="R228" i="7"/>
  <c r="R192" i="7"/>
  <c r="R186" i="7"/>
  <c r="R154" i="7"/>
  <c r="R122" i="7"/>
  <c r="R90" i="7"/>
  <c r="R58" i="7"/>
  <c r="R26" i="7"/>
  <c r="R321" i="7"/>
  <c r="R306" i="7"/>
  <c r="R300" i="7"/>
  <c r="R274" i="7"/>
  <c r="R268" i="7"/>
  <c r="R242" i="7"/>
  <c r="R236" i="7"/>
  <c r="R210" i="7"/>
  <c r="R202" i="7"/>
  <c r="R196" i="7"/>
  <c r="R162" i="7"/>
  <c r="R130" i="7"/>
  <c r="R98" i="7"/>
  <c r="R66" i="7"/>
  <c r="R312" i="7"/>
  <c r="R297" i="7"/>
  <c r="R280" i="7"/>
  <c r="R265" i="7"/>
  <c r="R248" i="7"/>
  <c r="R233" i="7"/>
  <c r="R216" i="7"/>
  <c r="R204" i="7"/>
  <c r="R168" i="7"/>
  <c r="R136" i="7"/>
  <c r="R104" i="7"/>
  <c r="R72" i="7"/>
  <c r="R40" i="7"/>
  <c r="R2" i="7"/>
  <c r="R329" i="7"/>
  <c r="R308" i="7"/>
  <c r="R282" i="7"/>
  <c r="R276" i="7"/>
  <c r="R250" i="7"/>
  <c r="R244" i="7"/>
  <c r="R218" i="7"/>
  <c r="R212" i="7"/>
  <c r="R193" i="7"/>
  <c r="R170" i="7"/>
  <c r="R138" i="7"/>
  <c r="R106" i="7"/>
  <c r="R74" i="7"/>
  <c r="R42" i="7"/>
  <c r="R10" i="7"/>
  <c r="R299" i="7"/>
  <c r="D1028" i="7"/>
  <c r="E1028" i="7"/>
  <c r="D1017" i="7"/>
  <c r="E1017" i="7"/>
  <c r="D1016" i="7"/>
  <c r="E1016" i="7"/>
  <c r="D808" i="7"/>
  <c r="E808" i="7"/>
  <c r="D807" i="7"/>
  <c r="E807" i="7"/>
  <c r="D806" i="7"/>
  <c r="E806" i="7"/>
  <c r="D805" i="7"/>
  <c r="E805" i="7"/>
  <c r="D804" i="7"/>
  <c r="E804" i="7"/>
  <c r="D803" i="7"/>
  <c r="E803" i="7"/>
  <c r="D802" i="7"/>
  <c r="E802" i="7"/>
  <c r="D801" i="7"/>
  <c r="E801" i="7"/>
  <c r="D800" i="7"/>
  <c r="E800" i="7"/>
  <c r="D799" i="7"/>
  <c r="E799" i="7"/>
  <c r="D798" i="7"/>
  <c r="E798" i="7"/>
  <c r="D797" i="7"/>
  <c r="E797" i="7"/>
  <c r="D796" i="7"/>
  <c r="E796" i="7"/>
  <c r="D795" i="7"/>
  <c r="E795" i="7"/>
  <c r="D794" i="7"/>
  <c r="E794" i="7"/>
  <c r="D793" i="7"/>
  <c r="E793" i="7"/>
  <c r="D792" i="7"/>
  <c r="E792" i="7"/>
  <c r="D791" i="7"/>
  <c r="E791" i="7"/>
  <c r="D790" i="7"/>
  <c r="E790" i="7"/>
  <c r="D789" i="7"/>
  <c r="E789" i="7"/>
  <c r="D788" i="7"/>
  <c r="E788" i="7"/>
  <c r="D787" i="7"/>
  <c r="E787" i="7"/>
  <c r="D786" i="7"/>
  <c r="E786" i="7"/>
  <c r="D785" i="7"/>
  <c r="E785" i="7"/>
  <c r="D784" i="7"/>
  <c r="E784" i="7"/>
  <c r="D783" i="7"/>
  <c r="E783" i="7"/>
  <c r="D782" i="7"/>
  <c r="E782" i="7"/>
  <c r="D781" i="7"/>
  <c r="E781" i="7"/>
  <c r="D780" i="7"/>
  <c r="E780" i="7"/>
  <c r="D779" i="7"/>
  <c r="E779" i="7"/>
  <c r="D778" i="7"/>
  <c r="E778" i="7"/>
  <c r="D777" i="7"/>
  <c r="E777" i="7"/>
  <c r="D776" i="7"/>
  <c r="E776" i="7"/>
  <c r="D775" i="7"/>
  <c r="E775" i="7"/>
  <c r="D774" i="7"/>
  <c r="E774" i="7"/>
  <c r="D773" i="7"/>
  <c r="E773" i="7"/>
  <c r="D772" i="7"/>
  <c r="E772" i="7"/>
  <c r="D771" i="7"/>
  <c r="E771" i="7"/>
  <c r="D770" i="7"/>
  <c r="E770" i="7"/>
  <c r="D769" i="7"/>
  <c r="E769" i="7"/>
  <c r="D768" i="7"/>
  <c r="E768" i="7"/>
  <c r="D767" i="7"/>
  <c r="E767" i="7"/>
  <c r="D766" i="7"/>
  <c r="E766" i="7"/>
  <c r="D765" i="7"/>
  <c r="E765" i="7"/>
  <c r="D764" i="7"/>
  <c r="E764" i="7"/>
  <c r="D763" i="7"/>
  <c r="E763" i="7"/>
  <c r="D762" i="7"/>
  <c r="E762" i="7"/>
  <c r="D761" i="7"/>
  <c r="E761" i="7"/>
  <c r="D760" i="7"/>
  <c r="E760" i="7"/>
  <c r="D759" i="7"/>
  <c r="E759" i="7"/>
  <c r="D758" i="7"/>
  <c r="E758" i="7"/>
  <c r="D757" i="7"/>
  <c r="E757" i="7"/>
  <c r="D756" i="7"/>
  <c r="E756" i="7"/>
  <c r="D755" i="7"/>
  <c r="E755" i="7"/>
  <c r="D754" i="7"/>
  <c r="E754" i="7"/>
  <c r="D753" i="7"/>
  <c r="E753" i="7"/>
  <c r="D752" i="7"/>
  <c r="E752" i="7"/>
  <c r="D751" i="7"/>
  <c r="E751" i="7"/>
  <c r="D750" i="7"/>
  <c r="E750" i="7"/>
  <c r="D749" i="7"/>
  <c r="E749" i="7"/>
  <c r="D748" i="7"/>
  <c r="E748" i="7"/>
  <c r="D747" i="7"/>
  <c r="E747" i="7"/>
  <c r="D746" i="7"/>
  <c r="E746" i="7"/>
  <c r="D745" i="7"/>
  <c r="E745" i="7"/>
  <c r="D744" i="7"/>
  <c r="E744" i="7"/>
  <c r="D743" i="7"/>
  <c r="E743" i="7"/>
  <c r="D742" i="7"/>
  <c r="E742" i="7"/>
  <c r="D741" i="7"/>
  <c r="E741" i="7"/>
  <c r="D740" i="7"/>
  <c r="E740" i="7"/>
  <c r="D739" i="7"/>
  <c r="E739" i="7"/>
  <c r="D738" i="7"/>
  <c r="E738" i="7"/>
  <c r="D737" i="7"/>
  <c r="E737" i="7"/>
  <c r="D736" i="7"/>
  <c r="E736" i="7"/>
  <c r="D735" i="7"/>
  <c r="E735" i="7"/>
  <c r="D734" i="7"/>
  <c r="E734" i="7"/>
  <c r="D733" i="7"/>
  <c r="E733" i="7"/>
  <c r="D732" i="7"/>
  <c r="E732" i="7"/>
  <c r="D731" i="7"/>
  <c r="E731" i="7"/>
  <c r="D730" i="7"/>
  <c r="E730" i="7"/>
  <c r="D729" i="7"/>
  <c r="E729" i="7"/>
  <c r="D728" i="7"/>
  <c r="E728" i="7"/>
  <c r="D727" i="7"/>
  <c r="E727" i="7"/>
  <c r="D726" i="7"/>
  <c r="E726" i="7"/>
  <c r="D725" i="7"/>
  <c r="E725" i="7"/>
  <c r="D724" i="7"/>
  <c r="E724" i="7"/>
  <c r="D723" i="7"/>
  <c r="E723" i="7"/>
  <c r="D722" i="7"/>
  <c r="E722" i="7"/>
  <c r="D721" i="7"/>
  <c r="E721" i="7"/>
  <c r="D720" i="7"/>
  <c r="E720" i="7"/>
  <c r="D719" i="7"/>
  <c r="E719" i="7"/>
  <c r="D718" i="7"/>
  <c r="E718" i="7"/>
  <c r="D717" i="7"/>
  <c r="E717" i="7"/>
  <c r="D716" i="7"/>
  <c r="E716" i="7"/>
  <c r="D715" i="7"/>
  <c r="E715" i="7"/>
  <c r="D714" i="7"/>
  <c r="E714" i="7"/>
  <c r="D713" i="7"/>
  <c r="E713" i="7"/>
  <c r="D712" i="7"/>
  <c r="E712" i="7"/>
  <c r="D711" i="7"/>
  <c r="E711" i="7"/>
  <c r="D710" i="7"/>
  <c r="E710" i="7"/>
  <c r="D709" i="7"/>
  <c r="E709" i="7"/>
  <c r="D708" i="7"/>
  <c r="E708" i="7"/>
  <c r="D707" i="7"/>
  <c r="E707" i="7"/>
  <c r="D706" i="7"/>
  <c r="E706" i="7"/>
  <c r="D705" i="7"/>
  <c r="E705" i="7"/>
  <c r="D704" i="7"/>
  <c r="E704" i="7"/>
  <c r="D703" i="7"/>
  <c r="E703" i="7"/>
  <c r="D702" i="7"/>
  <c r="E702" i="7"/>
  <c r="D701" i="7"/>
  <c r="E701" i="7"/>
  <c r="D700" i="7"/>
  <c r="E700" i="7"/>
  <c r="D699" i="7"/>
  <c r="E699" i="7"/>
  <c r="D698" i="7"/>
  <c r="E698" i="7"/>
  <c r="D697" i="7"/>
  <c r="E697" i="7"/>
  <c r="D696" i="7"/>
  <c r="E696" i="7"/>
  <c r="D695" i="7"/>
  <c r="E695" i="7"/>
  <c r="D694" i="7"/>
  <c r="E694" i="7"/>
  <c r="D693" i="7"/>
  <c r="E693" i="7"/>
  <c r="D692" i="7"/>
  <c r="E692" i="7"/>
  <c r="D691" i="7"/>
  <c r="E691" i="7"/>
  <c r="D690" i="7"/>
  <c r="E690" i="7"/>
  <c r="D689" i="7"/>
  <c r="E689" i="7"/>
  <c r="D688" i="7"/>
  <c r="E688" i="7"/>
  <c r="D687" i="7"/>
  <c r="E687" i="7"/>
  <c r="D686" i="7"/>
  <c r="E686" i="7"/>
  <c r="D685" i="7"/>
  <c r="E685" i="7"/>
  <c r="D684" i="7"/>
  <c r="E684" i="7"/>
  <c r="D683" i="7"/>
  <c r="E683" i="7"/>
  <c r="D682" i="7"/>
  <c r="E682" i="7"/>
  <c r="D681" i="7"/>
  <c r="E681" i="7"/>
  <c r="D680" i="7"/>
  <c r="E680" i="7"/>
  <c r="D679" i="7"/>
  <c r="E679" i="7"/>
  <c r="D678" i="7"/>
  <c r="E678" i="7"/>
  <c r="D677" i="7"/>
  <c r="E677" i="7"/>
  <c r="D676" i="7"/>
  <c r="E676" i="7"/>
  <c r="D675" i="7"/>
  <c r="E675" i="7"/>
  <c r="D674" i="7"/>
  <c r="E674" i="7"/>
  <c r="D673" i="7"/>
  <c r="E673" i="7"/>
  <c r="D672" i="7"/>
  <c r="E672" i="7"/>
  <c r="D671" i="7"/>
  <c r="E671" i="7"/>
  <c r="D670" i="7"/>
  <c r="E670" i="7"/>
  <c r="D669" i="7"/>
  <c r="E669" i="7"/>
  <c r="D668" i="7"/>
  <c r="E668" i="7"/>
  <c r="D667" i="7"/>
  <c r="E667" i="7"/>
  <c r="D666" i="7"/>
  <c r="E666" i="7"/>
  <c r="D665" i="7"/>
  <c r="E665" i="7"/>
  <c r="D664" i="7"/>
  <c r="E664" i="7"/>
  <c r="D663" i="7"/>
  <c r="E663" i="7"/>
  <c r="D662" i="7"/>
  <c r="E662" i="7"/>
  <c r="D661" i="7"/>
  <c r="E661" i="7"/>
  <c r="D660" i="7"/>
  <c r="E660" i="7"/>
  <c r="D659" i="7"/>
  <c r="E659" i="7"/>
  <c r="D658" i="7"/>
  <c r="E658" i="7"/>
  <c r="D657" i="7"/>
  <c r="E657" i="7"/>
  <c r="D656" i="7"/>
  <c r="E656" i="7"/>
  <c r="D655" i="7"/>
  <c r="E655" i="7"/>
  <c r="D654" i="7"/>
  <c r="E654" i="7"/>
  <c r="D653" i="7"/>
  <c r="E653" i="7"/>
  <c r="D652" i="7"/>
  <c r="E652" i="7"/>
  <c r="D651" i="7"/>
  <c r="E651" i="7"/>
  <c r="D650" i="7"/>
  <c r="E650" i="7"/>
  <c r="D649" i="7"/>
  <c r="E649" i="7"/>
  <c r="D648" i="7"/>
  <c r="E648" i="7"/>
  <c r="D647" i="7"/>
  <c r="E647" i="7"/>
  <c r="D646" i="7"/>
  <c r="E646" i="7"/>
  <c r="D645" i="7"/>
  <c r="E645" i="7"/>
  <c r="D644" i="7"/>
  <c r="E644" i="7"/>
  <c r="D643" i="7"/>
  <c r="E643" i="7"/>
  <c r="D642" i="7"/>
  <c r="E642" i="7"/>
  <c r="D641" i="7"/>
  <c r="E641" i="7"/>
  <c r="D640" i="7"/>
  <c r="E640" i="7"/>
  <c r="D639" i="7"/>
  <c r="E639" i="7"/>
  <c r="D638" i="7"/>
  <c r="E638" i="7"/>
  <c r="D637" i="7"/>
  <c r="E637" i="7"/>
  <c r="D636" i="7"/>
  <c r="E636" i="7"/>
  <c r="D635" i="7"/>
  <c r="E635" i="7"/>
  <c r="D634" i="7"/>
  <c r="E634" i="7"/>
  <c r="D633" i="7"/>
  <c r="E633" i="7"/>
  <c r="D632" i="7"/>
  <c r="E632" i="7"/>
  <c r="D631" i="7"/>
  <c r="E631" i="7"/>
  <c r="D630" i="7"/>
  <c r="E630" i="7"/>
  <c r="D629" i="7"/>
  <c r="E629" i="7"/>
  <c r="D628" i="7"/>
  <c r="E628" i="7"/>
  <c r="D627" i="7"/>
  <c r="E627" i="7"/>
  <c r="D626" i="7"/>
  <c r="E626" i="7"/>
  <c r="D625" i="7"/>
  <c r="E625" i="7"/>
  <c r="D624" i="7"/>
  <c r="E624" i="7"/>
  <c r="D623" i="7"/>
  <c r="E623" i="7"/>
  <c r="D622" i="7"/>
  <c r="E622" i="7"/>
  <c r="D621" i="7"/>
  <c r="E621" i="7"/>
  <c r="D620" i="7"/>
  <c r="E620" i="7"/>
  <c r="D619" i="7"/>
  <c r="E619" i="7"/>
  <c r="D618" i="7"/>
  <c r="E618" i="7"/>
  <c r="D617" i="7"/>
  <c r="E617" i="7"/>
  <c r="D616" i="7"/>
  <c r="E616" i="7"/>
  <c r="D615" i="7"/>
  <c r="E615" i="7"/>
  <c r="D614" i="7"/>
  <c r="E614" i="7"/>
  <c r="D613" i="7"/>
  <c r="E613" i="7"/>
  <c r="D612" i="7"/>
  <c r="E612" i="7"/>
  <c r="D611" i="7"/>
  <c r="E611" i="7"/>
  <c r="D610" i="7"/>
  <c r="E610" i="7"/>
  <c r="D609" i="7"/>
  <c r="E609" i="7"/>
  <c r="D608" i="7"/>
  <c r="E608" i="7"/>
  <c r="D607" i="7"/>
  <c r="E607" i="7"/>
  <c r="D606" i="7"/>
  <c r="E606" i="7"/>
  <c r="D605" i="7"/>
  <c r="E605" i="7"/>
  <c r="D604" i="7"/>
  <c r="E604" i="7"/>
  <c r="D603" i="7"/>
  <c r="E603" i="7"/>
  <c r="D602" i="7"/>
  <c r="E602" i="7"/>
  <c r="D601" i="7"/>
  <c r="E601" i="7"/>
  <c r="D600" i="7"/>
  <c r="E600" i="7"/>
  <c r="D599" i="7"/>
  <c r="E599" i="7"/>
  <c r="D598" i="7"/>
  <c r="E598" i="7"/>
  <c r="D597" i="7"/>
  <c r="E597" i="7"/>
  <c r="D596" i="7"/>
  <c r="E596" i="7"/>
  <c r="D595" i="7"/>
  <c r="E595" i="7"/>
  <c r="D594" i="7"/>
  <c r="E594" i="7"/>
  <c r="D593" i="7"/>
  <c r="E593" i="7"/>
  <c r="D592" i="7"/>
  <c r="E592" i="7"/>
  <c r="D591" i="7"/>
  <c r="E591" i="7"/>
  <c r="D590" i="7"/>
  <c r="E590" i="7"/>
  <c r="D589" i="7"/>
  <c r="E589" i="7"/>
  <c r="D588" i="7"/>
  <c r="E588" i="7"/>
  <c r="D587" i="7"/>
  <c r="E587" i="7"/>
  <c r="D586" i="7"/>
  <c r="E586" i="7"/>
  <c r="D585" i="7"/>
  <c r="E585" i="7"/>
  <c r="D584" i="7"/>
  <c r="E584" i="7"/>
  <c r="D583" i="7"/>
  <c r="E583" i="7"/>
  <c r="D582" i="7"/>
  <c r="E582" i="7"/>
  <c r="D581" i="7"/>
  <c r="E581" i="7"/>
  <c r="D580" i="7"/>
  <c r="E580" i="7"/>
  <c r="D579" i="7"/>
  <c r="E579" i="7"/>
  <c r="D578" i="7"/>
  <c r="E578" i="7"/>
  <c r="D577" i="7"/>
  <c r="E577" i="7"/>
  <c r="D576" i="7"/>
  <c r="E576" i="7"/>
  <c r="D575" i="7"/>
  <c r="E575" i="7"/>
  <c r="D574" i="7"/>
  <c r="E574" i="7"/>
  <c r="D573" i="7"/>
  <c r="E573" i="7"/>
  <c r="D572" i="7"/>
  <c r="E572" i="7"/>
  <c r="D571" i="7"/>
  <c r="E571" i="7"/>
  <c r="D570" i="7"/>
  <c r="E570" i="7"/>
  <c r="D569" i="7"/>
  <c r="E569" i="7"/>
  <c r="D568" i="7"/>
  <c r="E568" i="7"/>
  <c r="D567" i="7"/>
  <c r="E567" i="7"/>
  <c r="D566" i="7"/>
  <c r="E566" i="7"/>
  <c r="D565" i="7"/>
  <c r="E565" i="7"/>
  <c r="D564" i="7"/>
  <c r="E564" i="7"/>
  <c r="D563" i="7"/>
  <c r="E563" i="7"/>
  <c r="D562" i="7"/>
  <c r="E562" i="7"/>
  <c r="D561" i="7"/>
  <c r="E561" i="7"/>
  <c r="D560" i="7"/>
  <c r="E560" i="7"/>
  <c r="D559" i="7"/>
  <c r="E559" i="7"/>
  <c r="D558" i="7"/>
  <c r="E558" i="7"/>
  <c r="D557" i="7"/>
  <c r="E557" i="7"/>
  <c r="D556" i="7"/>
  <c r="E556" i="7"/>
  <c r="D555" i="7"/>
  <c r="E555" i="7"/>
  <c r="D554" i="7"/>
  <c r="E554" i="7"/>
  <c r="D553" i="7"/>
  <c r="E553" i="7"/>
  <c r="D552" i="7"/>
  <c r="E552" i="7"/>
  <c r="D551" i="7"/>
  <c r="E551" i="7"/>
  <c r="D550" i="7"/>
  <c r="E550" i="7"/>
  <c r="D549" i="7"/>
  <c r="E549" i="7"/>
  <c r="D548" i="7"/>
  <c r="E548" i="7"/>
  <c r="D547" i="7"/>
  <c r="E547" i="7"/>
  <c r="D546" i="7"/>
  <c r="E546" i="7"/>
  <c r="D545" i="7"/>
  <c r="E545" i="7"/>
  <c r="D544" i="7"/>
  <c r="E544" i="7"/>
  <c r="D543" i="7"/>
  <c r="E543" i="7"/>
  <c r="D542" i="7"/>
  <c r="E542" i="7"/>
  <c r="D541" i="7"/>
  <c r="E541" i="7"/>
  <c r="D540" i="7"/>
  <c r="E540" i="7"/>
  <c r="D539" i="7"/>
  <c r="E539" i="7"/>
  <c r="D538" i="7"/>
  <c r="E538" i="7"/>
  <c r="D537" i="7"/>
  <c r="E537" i="7"/>
  <c r="D536" i="7"/>
  <c r="E536" i="7"/>
  <c r="D535" i="7"/>
  <c r="E535" i="7"/>
  <c r="D534" i="7"/>
  <c r="E534" i="7"/>
  <c r="D533" i="7"/>
  <c r="E533" i="7"/>
  <c r="D532" i="7"/>
  <c r="E532" i="7"/>
  <c r="D531" i="7"/>
  <c r="E531" i="7"/>
  <c r="D530" i="7"/>
  <c r="E530" i="7"/>
  <c r="D529" i="7"/>
  <c r="E529" i="7"/>
  <c r="D528" i="7"/>
  <c r="E528" i="7"/>
  <c r="D527" i="7"/>
  <c r="E527" i="7"/>
  <c r="D526" i="7"/>
  <c r="E526" i="7"/>
  <c r="D525" i="7"/>
  <c r="E525" i="7"/>
  <c r="D524" i="7"/>
  <c r="E524" i="7"/>
  <c r="D523" i="7"/>
  <c r="E523" i="7"/>
  <c r="D522" i="7"/>
  <c r="E522" i="7"/>
  <c r="D521" i="7"/>
  <c r="E521" i="7"/>
  <c r="D520" i="7"/>
  <c r="E520" i="7"/>
  <c r="D519" i="7"/>
  <c r="E519" i="7"/>
  <c r="D518" i="7"/>
  <c r="E518" i="7"/>
  <c r="D517" i="7"/>
  <c r="E517" i="7"/>
  <c r="D516" i="7"/>
  <c r="E516" i="7"/>
  <c r="D515" i="7"/>
  <c r="E515" i="7"/>
  <c r="D514" i="7"/>
  <c r="E514" i="7"/>
  <c r="D513" i="7"/>
  <c r="E513" i="7"/>
  <c r="D512" i="7"/>
  <c r="E512" i="7"/>
  <c r="D511" i="7"/>
  <c r="E511" i="7"/>
  <c r="D510" i="7"/>
  <c r="E510" i="7"/>
  <c r="D509" i="7"/>
  <c r="E509" i="7"/>
  <c r="D508" i="7"/>
  <c r="E508" i="7"/>
  <c r="D507" i="7"/>
  <c r="E507" i="7"/>
  <c r="D506" i="7"/>
  <c r="E506" i="7"/>
  <c r="D505" i="7"/>
  <c r="E505" i="7"/>
  <c r="D504" i="7"/>
  <c r="E504" i="7"/>
  <c r="D503" i="7"/>
  <c r="E503" i="7"/>
  <c r="D502" i="7"/>
  <c r="E502" i="7"/>
  <c r="D501" i="7"/>
  <c r="E501" i="7"/>
  <c r="D500" i="7"/>
  <c r="E500" i="7"/>
  <c r="D499" i="7"/>
  <c r="E499" i="7"/>
  <c r="D498" i="7"/>
  <c r="E498" i="7"/>
  <c r="D497" i="7"/>
  <c r="E497" i="7"/>
  <c r="D496" i="7"/>
  <c r="E496" i="7"/>
  <c r="D495" i="7"/>
  <c r="E495" i="7"/>
  <c r="D494" i="7"/>
  <c r="E494" i="7"/>
  <c r="D493" i="7"/>
  <c r="E493" i="7"/>
  <c r="D492" i="7"/>
  <c r="E492" i="7"/>
  <c r="D491" i="7"/>
  <c r="E491" i="7"/>
  <c r="D490" i="7"/>
  <c r="E490" i="7"/>
  <c r="D489" i="7"/>
  <c r="E489" i="7"/>
  <c r="D488" i="7"/>
  <c r="E488" i="7"/>
  <c r="D487" i="7"/>
  <c r="E487" i="7"/>
  <c r="D486" i="7"/>
  <c r="E486" i="7"/>
  <c r="D485" i="7"/>
  <c r="E485" i="7"/>
  <c r="D484" i="7"/>
  <c r="E484" i="7"/>
  <c r="D483" i="7"/>
  <c r="E483" i="7"/>
  <c r="D482" i="7"/>
  <c r="E482" i="7"/>
  <c r="D481" i="7"/>
  <c r="E481" i="7"/>
  <c r="D480" i="7"/>
  <c r="E480" i="7"/>
  <c r="D479" i="7"/>
  <c r="E479" i="7"/>
  <c r="D478" i="7"/>
  <c r="E478" i="7"/>
  <c r="D477" i="7"/>
  <c r="E477" i="7"/>
  <c r="D476" i="7"/>
  <c r="E476" i="7"/>
  <c r="D475" i="7"/>
  <c r="E475" i="7"/>
  <c r="D474" i="7"/>
  <c r="E474" i="7"/>
  <c r="D473" i="7"/>
  <c r="E473" i="7"/>
  <c r="D472" i="7"/>
  <c r="E472" i="7"/>
  <c r="D471" i="7"/>
  <c r="E471" i="7"/>
  <c r="D470" i="7"/>
  <c r="E470" i="7"/>
  <c r="D469" i="7"/>
  <c r="E469" i="7"/>
  <c r="D468" i="7"/>
  <c r="E468" i="7"/>
  <c r="D467" i="7"/>
  <c r="E467" i="7"/>
  <c r="D466" i="7"/>
  <c r="E466" i="7"/>
  <c r="D465" i="7"/>
  <c r="E465" i="7"/>
  <c r="D464" i="7"/>
  <c r="E464" i="7"/>
  <c r="D463" i="7"/>
  <c r="E463" i="7"/>
  <c r="D462" i="7"/>
  <c r="E462" i="7"/>
  <c r="D461" i="7"/>
  <c r="E461" i="7"/>
  <c r="D460" i="7"/>
  <c r="E460" i="7"/>
  <c r="D459" i="7"/>
  <c r="E459" i="7"/>
  <c r="D458" i="7"/>
  <c r="E458" i="7"/>
  <c r="D457" i="7"/>
  <c r="E457" i="7"/>
  <c r="D456" i="7"/>
  <c r="E456" i="7"/>
  <c r="D455" i="7"/>
  <c r="E455" i="7"/>
  <c r="D454" i="7"/>
  <c r="E454" i="7"/>
  <c r="D453" i="7"/>
  <c r="E453" i="7"/>
  <c r="D452" i="7"/>
  <c r="E452" i="7"/>
  <c r="D451" i="7"/>
  <c r="E451" i="7"/>
  <c r="D450" i="7"/>
  <c r="E450" i="7"/>
  <c r="D449" i="7"/>
  <c r="E449" i="7"/>
  <c r="D448" i="7"/>
  <c r="E448" i="7"/>
  <c r="D447" i="7"/>
  <c r="E447" i="7"/>
  <c r="D446" i="7"/>
  <c r="E446" i="7"/>
  <c r="D445" i="7"/>
  <c r="E445" i="7"/>
  <c r="D444" i="7"/>
  <c r="E444" i="7"/>
  <c r="D443" i="7"/>
  <c r="E443" i="7"/>
  <c r="D442" i="7"/>
  <c r="E442" i="7"/>
  <c r="D441" i="7"/>
  <c r="E441" i="7"/>
  <c r="D440" i="7"/>
  <c r="E440" i="7"/>
  <c r="D439" i="7"/>
  <c r="E439" i="7"/>
  <c r="D438" i="7"/>
  <c r="E438" i="7"/>
  <c r="D437" i="7"/>
  <c r="E437" i="7"/>
  <c r="D436" i="7"/>
  <c r="E436" i="7"/>
  <c r="D435" i="7"/>
  <c r="E435" i="7"/>
  <c r="D434" i="7"/>
  <c r="E434" i="7"/>
  <c r="D433" i="7"/>
  <c r="E433" i="7"/>
  <c r="D432" i="7"/>
  <c r="E432" i="7"/>
  <c r="D431" i="7"/>
  <c r="E431" i="7"/>
  <c r="D430" i="7"/>
  <c r="E430" i="7"/>
  <c r="D429" i="7"/>
  <c r="E429" i="7"/>
  <c r="D428" i="7"/>
  <c r="E428" i="7"/>
  <c r="D427" i="7"/>
  <c r="E427" i="7"/>
  <c r="D426" i="7"/>
  <c r="E426" i="7"/>
  <c r="D425" i="7"/>
  <c r="E425" i="7"/>
  <c r="D424" i="7"/>
  <c r="E424" i="7"/>
  <c r="D423" i="7"/>
  <c r="E423" i="7"/>
  <c r="D422" i="7"/>
  <c r="E422" i="7"/>
  <c r="D421" i="7"/>
  <c r="E421" i="7"/>
  <c r="D420" i="7"/>
  <c r="E420" i="7"/>
  <c r="D419" i="7"/>
  <c r="E419" i="7"/>
  <c r="D418" i="7"/>
  <c r="E418" i="7"/>
  <c r="D417" i="7"/>
  <c r="E417" i="7"/>
  <c r="D416" i="7"/>
  <c r="E416" i="7"/>
  <c r="D415" i="7"/>
  <c r="E415" i="7"/>
  <c r="D414" i="7"/>
  <c r="E414" i="7"/>
  <c r="D413" i="7"/>
  <c r="E413" i="7"/>
  <c r="D412" i="7"/>
  <c r="E412" i="7"/>
  <c r="D411" i="7"/>
  <c r="E411" i="7"/>
  <c r="D410" i="7"/>
  <c r="E410" i="7"/>
  <c r="D409" i="7"/>
  <c r="E409" i="7"/>
  <c r="D408" i="7"/>
  <c r="E408" i="7"/>
  <c r="D407" i="7"/>
  <c r="E407" i="7"/>
  <c r="D406" i="7"/>
  <c r="E406" i="7"/>
  <c r="D405" i="7"/>
  <c r="E405" i="7"/>
  <c r="D404" i="7"/>
  <c r="E404" i="7"/>
  <c r="D403" i="7"/>
  <c r="E403" i="7"/>
  <c r="D402" i="7"/>
  <c r="E402" i="7"/>
  <c r="D401" i="7"/>
  <c r="E401" i="7"/>
  <c r="D400" i="7"/>
  <c r="E400" i="7"/>
  <c r="D399" i="7"/>
  <c r="E399" i="7"/>
  <c r="D398" i="7"/>
  <c r="E398" i="7"/>
  <c r="D397" i="7"/>
  <c r="E397" i="7"/>
  <c r="D396" i="7"/>
  <c r="E396" i="7"/>
  <c r="D395" i="7"/>
  <c r="E395" i="7"/>
  <c r="D394" i="7"/>
  <c r="E394" i="7"/>
  <c r="D393" i="7"/>
  <c r="E393" i="7"/>
  <c r="D392" i="7"/>
  <c r="E392" i="7"/>
  <c r="D391" i="7"/>
  <c r="E391" i="7"/>
  <c r="D390" i="7"/>
  <c r="E390" i="7"/>
  <c r="D389" i="7"/>
  <c r="E389" i="7"/>
  <c r="D388" i="7"/>
  <c r="E388" i="7"/>
  <c r="D387" i="7"/>
  <c r="E387" i="7"/>
  <c r="D386" i="7"/>
  <c r="E386" i="7"/>
  <c r="D385" i="7"/>
  <c r="E385" i="7"/>
  <c r="D384" i="7"/>
  <c r="E384" i="7"/>
  <c r="D383" i="7"/>
  <c r="E383" i="7"/>
  <c r="D382" i="7"/>
  <c r="E382" i="7"/>
  <c r="D381" i="7"/>
  <c r="E381" i="7"/>
  <c r="D380" i="7"/>
  <c r="E380" i="7"/>
  <c r="D379" i="7"/>
  <c r="E379" i="7"/>
  <c r="D378" i="7"/>
  <c r="E378" i="7"/>
  <c r="D377" i="7"/>
  <c r="E377" i="7"/>
  <c r="D376" i="7"/>
  <c r="E376" i="7"/>
  <c r="D375" i="7"/>
  <c r="E375" i="7"/>
  <c r="D374" i="7"/>
  <c r="E374" i="7"/>
  <c r="D373" i="7"/>
  <c r="E373" i="7"/>
  <c r="D372" i="7"/>
  <c r="E372" i="7"/>
  <c r="D371" i="7"/>
  <c r="E371" i="7"/>
  <c r="D370" i="7"/>
  <c r="E370" i="7"/>
  <c r="D369" i="7"/>
  <c r="E369" i="7"/>
  <c r="D368" i="7"/>
  <c r="E368" i="7"/>
  <c r="D367" i="7"/>
  <c r="E367" i="7"/>
  <c r="D366" i="7"/>
  <c r="E366" i="7"/>
  <c r="D365" i="7"/>
  <c r="E365" i="7"/>
  <c r="D364" i="7"/>
  <c r="E364" i="7"/>
  <c r="D363" i="7"/>
  <c r="E363" i="7"/>
  <c r="D362" i="7"/>
  <c r="E362" i="7"/>
  <c r="D361" i="7"/>
  <c r="E361" i="7"/>
  <c r="D360" i="7"/>
  <c r="E360" i="7"/>
  <c r="D359" i="7"/>
  <c r="E359" i="7"/>
  <c r="D358" i="7"/>
  <c r="E358" i="7"/>
  <c r="D357" i="7"/>
  <c r="E357" i="7"/>
  <c r="D356" i="7"/>
  <c r="E356" i="7"/>
  <c r="D355" i="7"/>
  <c r="E355" i="7"/>
  <c r="D354" i="7"/>
  <c r="E354" i="7"/>
  <c r="D353" i="7"/>
  <c r="E353" i="7"/>
  <c r="D352" i="7"/>
  <c r="E352" i="7"/>
  <c r="D351" i="7"/>
  <c r="E351" i="7"/>
  <c r="D350" i="7"/>
  <c r="E350" i="7"/>
  <c r="D349" i="7"/>
  <c r="E349" i="7"/>
  <c r="D348" i="7"/>
  <c r="E348" i="7"/>
  <c r="D347" i="7"/>
  <c r="E347" i="7"/>
  <c r="D346" i="7"/>
  <c r="E346" i="7"/>
  <c r="D345" i="7"/>
  <c r="E345" i="7"/>
  <c r="D344" i="7"/>
  <c r="E344" i="7"/>
  <c r="D343" i="7"/>
  <c r="E343" i="7"/>
  <c r="D342" i="7"/>
  <c r="E342" i="7"/>
  <c r="D341" i="7"/>
  <c r="E341" i="7"/>
  <c r="D340" i="7"/>
  <c r="E340" i="7"/>
  <c r="D339" i="7"/>
  <c r="E339" i="7"/>
  <c r="D338" i="7"/>
  <c r="E338" i="7"/>
  <c r="D337" i="7"/>
  <c r="E337" i="7"/>
  <c r="D336" i="7"/>
  <c r="E336" i="7"/>
  <c r="D335" i="7"/>
  <c r="E335" i="7"/>
  <c r="D334" i="7"/>
  <c r="E334" i="7"/>
  <c r="D333" i="7"/>
  <c r="E333" i="7"/>
  <c r="D332" i="7"/>
  <c r="E332" i="7"/>
  <c r="D331" i="7"/>
  <c r="E331" i="7"/>
  <c r="D330" i="7"/>
  <c r="E330" i="7"/>
  <c r="D329" i="7"/>
  <c r="E329" i="7"/>
  <c r="D328" i="7"/>
  <c r="E328" i="7"/>
  <c r="D327" i="7"/>
  <c r="E327" i="7"/>
  <c r="D326" i="7"/>
  <c r="E326" i="7"/>
  <c r="D325" i="7"/>
  <c r="E325" i="7"/>
  <c r="D324" i="7"/>
  <c r="E324" i="7"/>
  <c r="D323" i="7"/>
  <c r="E323" i="7"/>
  <c r="D322" i="7"/>
  <c r="E322" i="7"/>
  <c r="D321" i="7"/>
  <c r="E321" i="7"/>
  <c r="D320" i="7"/>
  <c r="E320" i="7"/>
  <c r="D319" i="7"/>
  <c r="E319" i="7"/>
  <c r="D318" i="7"/>
  <c r="E318" i="7"/>
  <c r="D317" i="7"/>
  <c r="E317" i="7"/>
  <c r="D316" i="7"/>
  <c r="E316" i="7"/>
  <c r="D315" i="7"/>
  <c r="E315" i="7"/>
  <c r="D314" i="7"/>
  <c r="E314" i="7"/>
  <c r="D313" i="7"/>
  <c r="E313" i="7"/>
  <c r="D312" i="7"/>
  <c r="E312" i="7"/>
  <c r="D311" i="7"/>
  <c r="E311" i="7"/>
  <c r="D310" i="7"/>
  <c r="E310" i="7"/>
  <c r="D309" i="7"/>
  <c r="E309" i="7"/>
  <c r="D308" i="7"/>
  <c r="E308" i="7"/>
  <c r="D307" i="7"/>
  <c r="E307" i="7"/>
  <c r="D306" i="7"/>
  <c r="E306" i="7"/>
  <c r="D305" i="7"/>
  <c r="E305" i="7"/>
  <c r="D304" i="7"/>
  <c r="E304" i="7"/>
  <c r="D303" i="7"/>
  <c r="E303" i="7"/>
  <c r="D302" i="7"/>
  <c r="E302" i="7"/>
  <c r="D301" i="7"/>
  <c r="E301" i="7"/>
  <c r="D300" i="7"/>
  <c r="E300" i="7"/>
  <c r="D299" i="7"/>
  <c r="E299" i="7"/>
  <c r="D298" i="7"/>
  <c r="E298" i="7"/>
  <c r="D297" i="7"/>
  <c r="E297" i="7"/>
  <c r="D296" i="7"/>
  <c r="E296" i="7"/>
  <c r="D295" i="7"/>
  <c r="E295" i="7"/>
  <c r="D294" i="7"/>
  <c r="E294" i="7"/>
  <c r="D293" i="7"/>
  <c r="E293" i="7"/>
  <c r="D292" i="7"/>
  <c r="E292" i="7"/>
  <c r="D291" i="7"/>
  <c r="E291" i="7"/>
  <c r="D290" i="7"/>
  <c r="E290" i="7"/>
  <c r="D289" i="7"/>
  <c r="E289" i="7"/>
  <c r="D288" i="7"/>
  <c r="E288" i="7"/>
  <c r="D287" i="7"/>
  <c r="E287" i="7"/>
  <c r="D286" i="7"/>
  <c r="E286" i="7"/>
  <c r="D285" i="7"/>
  <c r="E285" i="7"/>
  <c r="D284" i="7"/>
  <c r="E284" i="7"/>
  <c r="D283" i="7"/>
  <c r="E283" i="7"/>
  <c r="D282" i="7"/>
  <c r="E282" i="7"/>
  <c r="D281" i="7"/>
  <c r="E281" i="7"/>
  <c r="D280" i="7"/>
  <c r="E280" i="7"/>
  <c r="D279" i="7"/>
  <c r="E279" i="7"/>
  <c r="D278" i="7"/>
  <c r="E278" i="7"/>
  <c r="D277" i="7"/>
  <c r="E277" i="7"/>
  <c r="D276" i="7"/>
  <c r="E276" i="7"/>
  <c r="D275" i="7"/>
  <c r="E275" i="7"/>
  <c r="D274" i="7"/>
  <c r="E274" i="7"/>
  <c r="D273" i="7"/>
  <c r="E273" i="7"/>
  <c r="D272" i="7"/>
  <c r="E272" i="7"/>
  <c r="D271" i="7"/>
  <c r="E271" i="7"/>
  <c r="D270" i="7"/>
  <c r="E270" i="7"/>
  <c r="D269" i="7"/>
  <c r="E269" i="7"/>
  <c r="D268" i="7"/>
  <c r="E268" i="7"/>
  <c r="D267" i="7"/>
  <c r="E267" i="7"/>
  <c r="D266" i="7"/>
  <c r="E266" i="7"/>
  <c r="D265" i="7"/>
  <c r="E265" i="7"/>
  <c r="D264" i="7"/>
  <c r="E264" i="7"/>
  <c r="D263" i="7"/>
  <c r="E263" i="7"/>
  <c r="D262" i="7"/>
  <c r="E262" i="7"/>
  <c r="D261" i="7"/>
  <c r="E261" i="7"/>
  <c r="D260" i="7"/>
  <c r="E260" i="7"/>
  <c r="D259" i="7"/>
  <c r="E259" i="7"/>
  <c r="D258" i="7"/>
  <c r="E258" i="7"/>
  <c r="D257" i="7"/>
  <c r="E257" i="7"/>
  <c r="D256" i="7"/>
  <c r="E256" i="7"/>
  <c r="D255" i="7"/>
  <c r="E255" i="7"/>
  <c r="D254" i="7"/>
  <c r="E254" i="7"/>
  <c r="D253" i="7"/>
  <c r="E253" i="7"/>
  <c r="D252" i="7"/>
  <c r="E252" i="7"/>
  <c r="D251" i="7"/>
  <c r="E251" i="7"/>
  <c r="D250" i="7"/>
  <c r="E250" i="7"/>
  <c r="D249" i="7"/>
  <c r="E249" i="7"/>
  <c r="D248" i="7"/>
  <c r="E248" i="7"/>
  <c r="D247" i="7"/>
  <c r="E247" i="7"/>
  <c r="D246" i="7"/>
  <c r="E246" i="7"/>
  <c r="D245" i="7"/>
  <c r="E245" i="7"/>
  <c r="D244" i="7"/>
  <c r="E244" i="7"/>
  <c r="D243" i="7"/>
  <c r="E243" i="7"/>
  <c r="D242" i="7"/>
  <c r="E242" i="7"/>
  <c r="D241" i="7"/>
  <c r="E241" i="7"/>
  <c r="D240" i="7"/>
  <c r="E240" i="7"/>
  <c r="D239" i="7"/>
  <c r="E239" i="7"/>
  <c r="D238" i="7"/>
  <c r="E238" i="7"/>
  <c r="D237" i="7"/>
  <c r="E237" i="7"/>
  <c r="D236" i="7"/>
  <c r="E236" i="7"/>
  <c r="D235" i="7"/>
  <c r="E235" i="7"/>
  <c r="D234" i="7"/>
  <c r="E234" i="7"/>
  <c r="D233" i="7"/>
  <c r="E233" i="7"/>
  <c r="D232" i="7"/>
  <c r="E232" i="7"/>
  <c r="D231" i="7"/>
  <c r="E231" i="7"/>
  <c r="D230" i="7"/>
  <c r="E230" i="7"/>
  <c r="D229" i="7"/>
  <c r="E229" i="7"/>
  <c r="D228" i="7"/>
  <c r="E228" i="7"/>
  <c r="D227" i="7"/>
  <c r="E227" i="7"/>
  <c r="D226" i="7"/>
  <c r="E226" i="7"/>
  <c r="D225" i="7"/>
  <c r="E225" i="7"/>
  <c r="D224" i="7"/>
  <c r="E224" i="7"/>
  <c r="D223" i="7"/>
  <c r="E223" i="7"/>
  <c r="D222" i="7"/>
  <c r="E222" i="7"/>
  <c r="D221" i="7"/>
  <c r="E221" i="7"/>
  <c r="D220" i="7"/>
  <c r="E220" i="7"/>
  <c r="D219" i="7"/>
  <c r="E219" i="7"/>
  <c r="D218" i="7"/>
  <c r="E218" i="7"/>
  <c r="D217" i="7"/>
  <c r="E217" i="7"/>
  <c r="D216" i="7"/>
  <c r="E216" i="7"/>
  <c r="D215" i="7"/>
  <c r="E215" i="7"/>
  <c r="D214" i="7"/>
  <c r="E214" i="7"/>
  <c r="D213" i="7"/>
  <c r="E213" i="7"/>
  <c r="D212" i="7"/>
  <c r="E212" i="7"/>
  <c r="D211" i="7"/>
  <c r="E211" i="7"/>
  <c r="D210" i="7"/>
  <c r="E210" i="7"/>
  <c r="D209" i="7"/>
  <c r="E209" i="7"/>
  <c r="D208" i="7"/>
  <c r="E208" i="7"/>
  <c r="D207" i="7"/>
  <c r="E207" i="7"/>
  <c r="D206" i="7"/>
  <c r="E206" i="7"/>
  <c r="D205" i="7"/>
  <c r="E205" i="7"/>
  <c r="D204" i="7"/>
  <c r="E204" i="7"/>
  <c r="D203" i="7"/>
  <c r="E203" i="7"/>
  <c r="D202" i="7"/>
  <c r="E202" i="7"/>
  <c r="D201" i="7"/>
  <c r="E201" i="7"/>
  <c r="D200" i="7"/>
  <c r="E200" i="7"/>
  <c r="D199" i="7"/>
  <c r="E199" i="7"/>
  <c r="D198" i="7"/>
  <c r="E198" i="7"/>
  <c r="D197" i="7"/>
  <c r="E197" i="7"/>
  <c r="D196" i="7"/>
  <c r="E196" i="7"/>
  <c r="D195" i="7"/>
  <c r="E195" i="7"/>
  <c r="D194" i="7"/>
  <c r="E194" i="7"/>
  <c r="D193" i="7"/>
  <c r="E193" i="7"/>
  <c r="D192" i="7"/>
  <c r="E192" i="7"/>
  <c r="D191" i="7"/>
  <c r="E191" i="7"/>
  <c r="D190" i="7"/>
  <c r="E190" i="7"/>
  <c r="D189" i="7"/>
  <c r="E189" i="7"/>
  <c r="D188" i="7"/>
  <c r="E188" i="7"/>
  <c r="D187" i="7"/>
  <c r="E187" i="7"/>
  <c r="D186" i="7"/>
  <c r="E186" i="7"/>
  <c r="D185" i="7"/>
  <c r="E185" i="7"/>
  <c r="D184" i="7"/>
  <c r="E184" i="7"/>
  <c r="D183" i="7"/>
  <c r="E183" i="7"/>
  <c r="D182" i="7"/>
  <c r="E182" i="7"/>
  <c r="D181" i="7"/>
  <c r="E181" i="7"/>
  <c r="D180" i="7"/>
  <c r="E180" i="7"/>
  <c r="D179" i="7"/>
  <c r="E179" i="7"/>
  <c r="D178" i="7"/>
  <c r="E178" i="7"/>
  <c r="D177" i="7"/>
  <c r="E177" i="7"/>
  <c r="D176" i="7"/>
  <c r="E176" i="7"/>
  <c r="D175" i="7"/>
  <c r="E175" i="7"/>
  <c r="D174" i="7"/>
  <c r="E174" i="7"/>
  <c r="D173" i="7"/>
  <c r="E173" i="7"/>
  <c r="D172" i="7"/>
  <c r="E172" i="7"/>
  <c r="D171" i="7"/>
  <c r="E171" i="7"/>
  <c r="D170" i="7"/>
  <c r="E170" i="7"/>
  <c r="D169" i="7"/>
  <c r="E169" i="7"/>
  <c r="D168" i="7"/>
  <c r="E168" i="7"/>
  <c r="D167" i="7"/>
  <c r="E167" i="7"/>
  <c r="D166" i="7"/>
  <c r="E166" i="7"/>
  <c r="D165" i="7"/>
  <c r="E165" i="7"/>
  <c r="D164" i="7"/>
  <c r="E164" i="7"/>
  <c r="D163" i="7"/>
  <c r="E163" i="7"/>
  <c r="D162" i="7"/>
  <c r="E162" i="7"/>
  <c r="D161" i="7"/>
  <c r="E161" i="7"/>
  <c r="D160" i="7"/>
  <c r="E160" i="7"/>
  <c r="D159" i="7"/>
  <c r="E159" i="7"/>
  <c r="D158" i="7"/>
  <c r="E158" i="7"/>
  <c r="D157" i="7"/>
  <c r="E157" i="7"/>
  <c r="D156" i="7"/>
  <c r="E156" i="7"/>
  <c r="D155" i="7"/>
  <c r="E155" i="7"/>
  <c r="D154" i="7"/>
  <c r="E154" i="7"/>
  <c r="D153" i="7"/>
  <c r="E153" i="7"/>
  <c r="D152" i="7"/>
  <c r="E152" i="7"/>
  <c r="D151" i="7"/>
  <c r="E151" i="7"/>
  <c r="D150" i="7"/>
  <c r="E150" i="7"/>
  <c r="D149" i="7"/>
  <c r="E149" i="7"/>
  <c r="D148" i="7"/>
  <c r="E148" i="7"/>
  <c r="D147" i="7"/>
  <c r="E147" i="7"/>
  <c r="D146" i="7"/>
  <c r="E146" i="7"/>
  <c r="D145" i="7"/>
  <c r="E145" i="7"/>
  <c r="D144" i="7"/>
  <c r="E144" i="7"/>
  <c r="D143" i="7"/>
  <c r="E143" i="7"/>
  <c r="D142" i="7"/>
  <c r="E142" i="7"/>
  <c r="D141" i="7"/>
  <c r="E141" i="7"/>
  <c r="D140" i="7"/>
  <c r="E140" i="7"/>
  <c r="D139" i="7"/>
  <c r="E139" i="7"/>
  <c r="D138" i="7"/>
  <c r="E138" i="7"/>
  <c r="D137" i="7"/>
  <c r="E137" i="7"/>
  <c r="D136" i="7"/>
  <c r="E136" i="7"/>
  <c r="D135" i="7"/>
  <c r="E135" i="7"/>
  <c r="D134" i="7"/>
  <c r="E134" i="7"/>
  <c r="D133" i="7"/>
  <c r="E133" i="7"/>
  <c r="D132" i="7"/>
  <c r="E132" i="7"/>
  <c r="D131" i="7"/>
  <c r="E131" i="7"/>
  <c r="D130" i="7"/>
  <c r="E130" i="7"/>
  <c r="D129" i="7"/>
  <c r="E129" i="7"/>
  <c r="D128" i="7"/>
  <c r="E128" i="7"/>
  <c r="D127" i="7"/>
  <c r="E127" i="7"/>
  <c r="D126" i="7"/>
  <c r="E126" i="7"/>
  <c r="D125" i="7"/>
  <c r="E125" i="7"/>
  <c r="D124" i="7"/>
  <c r="E124" i="7"/>
  <c r="D123" i="7"/>
  <c r="E123" i="7"/>
  <c r="D122" i="7"/>
  <c r="E122" i="7"/>
  <c r="D121" i="7"/>
  <c r="E121" i="7"/>
  <c r="D120" i="7"/>
  <c r="E120" i="7"/>
  <c r="D119" i="7"/>
  <c r="E119" i="7"/>
  <c r="D118" i="7"/>
  <c r="E118" i="7"/>
  <c r="D117" i="7"/>
  <c r="E117" i="7"/>
  <c r="D116" i="7"/>
  <c r="E116" i="7"/>
  <c r="D115" i="7"/>
  <c r="E115" i="7"/>
  <c r="D114" i="7"/>
  <c r="E114" i="7"/>
  <c r="D113" i="7"/>
  <c r="E113" i="7"/>
  <c r="D112" i="7"/>
  <c r="E112" i="7"/>
  <c r="D111" i="7"/>
  <c r="E111" i="7"/>
  <c r="D110" i="7"/>
  <c r="E110" i="7"/>
  <c r="D109" i="7"/>
  <c r="E109" i="7"/>
  <c r="D108" i="7"/>
  <c r="E108" i="7"/>
  <c r="D107" i="7"/>
  <c r="E107" i="7"/>
  <c r="D106" i="7"/>
  <c r="E106" i="7"/>
  <c r="D105" i="7"/>
  <c r="E105" i="7"/>
  <c r="D104" i="7"/>
  <c r="E104" i="7"/>
  <c r="D103" i="7"/>
  <c r="E103" i="7"/>
  <c r="D102" i="7"/>
  <c r="E102" i="7"/>
  <c r="D101" i="7"/>
  <c r="E101" i="7"/>
  <c r="D100" i="7"/>
  <c r="E100" i="7"/>
  <c r="D99" i="7"/>
  <c r="E99" i="7"/>
  <c r="D98" i="7"/>
  <c r="E98" i="7"/>
  <c r="D97" i="7"/>
  <c r="E97" i="7"/>
  <c r="D96" i="7"/>
  <c r="E96" i="7"/>
  <c r="D95" i="7"/>
  <c r="E95" i="7"/>
  <c r="D94" i="7"/>
  <c r="E94" i="7"/>
  <c r="D93" i="7"/>
  <c r="E93" i="7"/>
  <c r="D92" i="7"/>
  <c r="E92" i="7"/>
  <c r="D91" i="7"/>
  <c r="E91" i="7"/>
  <c r="D90" i="7"/>
  <c r="E90" i="7"/>
  <c r="D89" i="7"/>
  <c r="E89" i="7"/>
  <c r="D88" i="7"/>
  <c r="E88" i="7"/>
  <c r="D87" i="7"/>
  <c r="E87" i="7"/>
  <c r="D86" i="7"/>
  <c r="E86" i="7"/>
  <c r="D85" i="7"/>
  <c r="E85" i="7"/>
  <c r="D84" i="7"/>
  <c r="E84" i="7"/>
  <c r="D83" i="7"/>
  <c r="E83" i="7"/>
  <c r="D82" i="7"/>
  <c r="E82" i="7"/>
  <c r="D81" i="7"/>
  <c r="E81" i="7"/>
  <c r="D80" i="7"/>
  <c r="E80" i="7"/>
  <c r="D79" i="7"/>
  <c r="E79" i="7"/>
  <c r="D78" i="7"/>
  <c r="E78" i="7"/>
  <c r="D77" i="7"/>
  <c r="E77" i="7"/>
  <c r="D76" i="7"/>
  <c r="E76" i="7"/>
  <c r="D75" i="7"/>
  <c r="E75" i="7"/>
  <c r="D74" i="7"/>
  <c r="E74" i="7"/>
  <c r="D73" i="7"/>
  <c r="E73" i="7"/>
  <c r="D72" i="7"/>
  <c r="E72" i="7"/>
  <c r="D71" i="7"/>
  <c r="E71" i="7"/>
  <c r="D70" i="7"/>
  <c r="E70" i="7"/>
  <c r="D69" i="7"/>
  <c r="E69" i="7"/>
  <c r="D68" i="7"/>
  <c r="E68" i="7"/>
  <c r="D67" i="7"/>
  <c r="E67" i="7"/>
  <c r="D66" i="7"/>
  <c r="E66" i="7"/>
  <c r="D65" i="7"/>
  <c r="E65" i="7"/>
  <c r="D64" i="7"/>
  <c r="E64" i="7"/>
  <c r="D63" i="7"/>
  <c r="E63" i="7"/>
  <c r="D62" i="7"/>
  <c r="E62" i="7"/>
  <c r="D61" i="7"/>
  <c r="E61" i="7"/>
  <c r="D60" i="7"/>
  <c r="E60" i="7"/>
  <c r="D59" i="7"/>
  <c r="E59" i="7"/>
  <c r="D58" i="7"/>
  <c r="E58" i="7"/>
  <c r="D57" i="7"/>
  <c r="E57" i="7"/>
  <c r="D56" i="7"/>
  <c r="E56" i="7"/>
  <c r="D55" i="7"/>
  <c r="E55" i="7"/>
  <c r="D54" i="7"/>
  <c r="E54" i="7"/>
  <c r="D53" i="7"/>
  <c r="E53" i="7"/>
  <c r="D52" i="7"/>
  <c r="E52" i="7"/>
  <c r="D51" i="7"/>
  <c r="E51" i="7"/>
  <c r="D50" i="7"/>
  <c r="E50" i="7"/>
  <c r="D49" i="7"/>
  <c r="E49" i="7"/>
  <c r="D48" i="7"/>
  <c r="E48" i="7"/>
  <c r="D47" i="7"/>
  <c r="E47" i="7"/>
  <c r="D46" i="7"/>
  <c r="E46" i="7"/>
  <c r="D45" i="7"/>
  <c r="E45" i="7"/>
  <c r="D44" i="7"/>
  <c r="E44" i="7"/>
  <c r="D43" i="7"/>
  <c r="E43" i="7"/>
  <c r="D42" i="7"/>
  <c r="E42" i="7"/>
  <c r="D41" i="7"/>
  <c r="E41" i="7"/>
  <c r="D40" i="7"/>
  <c r="E40" i="7"/>
  <c r="D39" i="7"/>
  <c r="E39" i="7"/>
  <c r="D38" i="7"/>
  <c r="E38" i="7"/>
  <c r="D37" i="7"/>
  <c r="E37" i="7"/>
  <c r="D36" i="7"/>
  <c r="E36" i="7"/>
  <c r="D35" i="7"/>
  <c r="E35" i="7"/>
  <c r="D34" i="7"/>
  <c r="E34" i="7"/>
  <c r="D33" i="7"/>
  <c r="E33" i="7"/>
  <c r="D32" i="7"/>
  <c r="E32" i="7"/>
  <c r="D31" i="7"/>
  <c r="E31" i="7"/>
  <c r="D30" i="7"/>
  <c r="E30" i="7"/>
  <c r="D29" i="7"/>
  <c r="E29" i="7"/>
  <c r="D28" i="7"/>
  <c r="E28" i="7"/>
  <c r="D27" i="7"/>
  <c r="E27" i="7"/>
  <c r="D26" i="7"/>
  <c r="E26" i="7"/>
  <c r="D25" i="7"/>
  <c r="E25" i="7"/>
  <c r="D24" i="7"/>
  <c r="E24" i="7"/>
  <c r="D23" i="7"/>
  <c r="E23" i="7"/>
  <c r="D22" i="7"/>
  <c r="E22" i="7"/>
  <c r="D21" i="7"/>
  <c r="E21" i="7"/>
  <c r="D20" i="7"/>
  <c r="E20" i="7"/>
  <c r="D19" i="7"/>
  <c r="E19" i="7"/>
  <c r="D18" i="7"/>
  <c r="E18" i="7"/>
  <c r="D17" i="7"/>
  <c r="E17" i="7"/>
  <c r="D16" i="7"/>
  <c r="E16" i="7"/>
  <c r="D15" i="7"/>
  <c r="E15" i="7"/>
  <c r="D14" i="7"/>
  <c r="E14" i="7"/>
  <c r="D13" i="7"/>
  <c r="E13" i="7"/>
  <c r="D12" i="7"/>
  <c r="E12" i="7"/>
  <c r="D11" i="7"/>
  <c r="E11" i="7"/>
  <c r="D10" i="7"/>
  <c r="E10" i="7"/>
  <c r="D9" i="7"/>
  <c r="E9" i="7"/>
  <c r="D8" i="7"/>
  <c r="E8" i="7"/>
  <c r="D7" i="7"/>
  <c r="E7" i="7"/>
  <c r="D6" i="7"/>
  <c r="E6" i="7"/>
  <c r="D5" i="7"/>
  <c r="E5" i="7"/>
  <c r="D4" i="7"/>
  <c r="E4" i="7"/>
  <c r="D3" i="7"/>
  <c r="E3" i="7"/>
  <c r="D2" i="7"/>
  <c r="E2" i="7"/>
  <c r="BA130" i="2"/>
  <c r="AZ130" i="2"/>
  <c r="AW130" i="2"/>
  <c r="BA129" i="2"/>
  <c r="AZ129" i="2"/>
  <c r="AW129" i="2"/>
  <c r="BA126" i="2"/>
  <c r="AZ126" i="2"/>
  <c r="AW126" i="2"/>
  <c r="BA128" i="2"/>
  <c r="AZ128" i="2"/>
  <c r="AW128" i="2"/>
  <c r="BA127" i="2"/>
  <c r="AZ127" i="2"/>
  <c r="AW127" i="2"/>
  <c r="BA125" i="2"/>
  <c r="AZ125" i="2"/>
  <c r="AW125" i="2"/>
  <c r="BA124" i="2"/>
  <c r="AZ124" i="2"/>
  <c r="AW124" i="2"/>
  <c r="BA123" i="2"/>
  <c r="AZ123" i="2"/>
  <c r="AW123" i="2"/>
  <c r="BA121" i="2"/>
  <c r="AZ121" i="2"/>
  <c r="AW121" i="2"/>
  <c r="BA120" i="2"/>
  <c r="AZ120" i="2"/>
  <c r="AW120" i="2"/>
  <c r="BA119" i="2"/>
  <c r="AZ119" i="2"/>
  <c r="AW119" i="2"/>
  <c r="BA122" i="2"/>
  <c r="AZ122" i="2"/>
  <c r="AW122" i="2"/>
  <c r="BA118" i="2"/>
  <c r="AZ118" i="2"/>
  <c r="AW118" i="2"/>
  <c r="BA116" i="2"/>
  <c r="AZ116" i="2"/>
  <c r="AW116" i="2"/>
  <c r="BA117" i="2"/>
  <c r="AZ117" i="2"/>
  <c r="AW117" i="2"/>
  <c r="BA115" i="2"/>
  <c r="AZ115" i="2"/>
  <c r="AW115" i="2"/>
  <c r="BA114" i="2"/>
  <c r="AZ114" i="2"/>
  <c r="AW114" i="2"/>
  <c r="BA113" i="2"/>
  <c r="AZ113" i="2"/>
  <c r="AW113" i="2"/>
  <c r="BA112" i="2"/>
  <c r="AZ112" i="2"/>
  <c r="AW112" i="2"/>
  <c r="BA111" i="2"/>
  <c r="AZ111" i="2"/>
  <c r="AW111" i="2"/>
  <c r="BA110" i="2"/>
  <c r="AZ110" i="2"/>
  <c r="AW110" i="2"/>
  <c r="BA109" i="2"/>
  <c r="AZ109" i="2"/>
  <c r="AW109" i="2"/>
  <c r="BA108" i="2"/>
  <c r="AZ108" i="2"/>
  <c r="AW108" i="2"/>
  <c r="BA107" i="2"/>
  <c r="AZ107" i="2"/>
  <c r="AW107" i="2"/>
  <c r="BA106" i="2"/>
  <c r="AZ106" i="2"/>
  <c r="AW106" i="2"/>
  <c r="BA105" i="2"/>
  <c r="AZ105" i="2"/>
  <c r="AW105" i="2"/>
  <c r="BA104" i="2"/>
  <c r="AZ104" i="2"/>
  <c r="AW104" i="2"/>
  <c r="BA102" i="2"/>
  <c r="AZ102" i="2"/>
  <c r="AW102" i="2"/>
  <c r="BA103" i="2"/>
  <c r="AZ103" i="2"/>
  <c r="AW103" i="2"/>
  <c r="BA101" i="2"/>
  <c r="AZ101" i="2"/>
  <c r="AW101" i="2"/>
  <c r="BA100" i="2"/>
  <c r="AZ100" i="2"/>
  <c r="AW100" i="2"/>
  <c r="BA99" i="2"/>
  <c r="AZ99" i="2"/>
  <c r="AW99" i="2"/>
  <c r="BA98" i="2"/>
  <c r="AZ98" i="2"/>
  <c r="AW98" i="2"/>
  <c r="BA97" i="2"/>
  <c r="AZ97" i="2"/>
  <c r="AW97" i="2"/>
  <c r="BA96" i="2"/>
  <c r="AZ96" i="2"/>
  <c r="AW96" i="2"/>
  <c r="BA95" i="2"/>
  <c r="AZ95" i="2"/>
  <c r="AW95" i="2"/>
  <c r="BA94" i="2"/>
  <c r="AZ94" i="2"/>
  <c r="AW94" i="2"/>
  <c r="BA93" i="2"/>
  <c r="AZ93" i="2"/>
  <c r="AW93" i="2"/>
  <c r="BA91" i="2"/>
  <c r="AZ91" i="2"/>
  <c r="AW91" i="2"/>
  <c r="BA92" i="2"/>
  <c r="AZ92" i="2"/>
  <c r="AW92" i="2"/>
  <c r="BA90" i="2"/>
  <c r="AZ90" i="2"/>
  <c r="AW90" i="2"/>
  <c r="BA89" i="2"/>
  <c r="AZ89" i="2"/>
  <c r="AW89" i="2"/>
  <c r="BA88" i="2"/>
  <c r="AZ88" i="2"/>
  <c r="AW88" i="2"/>
  <c r="BA87" i="2"/>
  <c r="AZ87" i="2"/>
  <c r="AW87" i="2"/>
  <c r="BA86" i="2"/>
  <c r="AZ86" i="2"/>
  <c r="AW86" i="2"/>
  <c r="BA85" i="2"/>
  <c r="AZ85" i="2"/>
  <c r="AW85" i="2"/>
  <c r="BA82" i="2"/>
  <c r="AZ82" i="2"/>
  <c r="AW82" i="2"/>
  <c r="BA84" i="2"/>
  <c r="AZ84" i="2"/>
  <c r="AW84" i="2"/>
  <c r="BA83" i="2"/>
  <c r="AZ83" i="2"/>
  <c r="AW83" i="2"/>
  <c r="BA81" i="2"/>
  <c r="AZ81" i="2"/>
  <c r="AW81" i="2"/>
  <c r="BA80" i="2"/>
  <c r="AZ80" i="2"/>
  <c r="AW80" i="2"/>
  <c r="BA79" i="2"/>
  <c r="AZ79" i="2"/>
  <c r="AW79" i="2"/>
  <c r="BA78" i="2"/>
  <c r="AZ78" i="2"/>
  <c r="AW78" i="2"/>
  <c r="BA76" i="2"/>
  <c r="AZ76" i="2"/>
  <c r="AW76" i="2"/>
  <c r="BA77" i="2"/>
  <c r="AZ77" i="2"/>
  <c r="AW77" i="2"/>
  <c r="BA75" i="2"/>
  <c r="AZ75" i="2"/>
  <c r="AW75" i="2"/>
  <c r="BA74" i="2"/>
  <c r="AZ74" i="2"/>
  <c r="AW74" i="2"/>
  <c r="BA73" i="2"/>
  <c r="AZ73" i="2"/>
  <c r="AW73" i="2"/>
  <c r="BA72" i="2"/>
  <c r="AZ72" i="2"/>
  <c r="AW72" i="2"/>
  <c r="BA71" i="2"/>
  <c r="AZ71" i="2"/>
  <c r="AW71" i="2"/>
  <c r="BA70" i="2"/>
  <c r="AZ70" i="2"/>
  <c r="AW70" i="2"/>
  <c r="BA69" i="2"/>
  <c r="AZ69" i="2"/>
  <c r="AW69" i="2"/>
  <c r="BA68" i="2"/>
  <c r="AZ68" i="2"/>
  <c r="AW68" i="2"/>
  <c r="BA66" i="2"/>
  <c r="AZ66" i="2"/>
  <c r="AW66" i="2"/>
  <c r="BA67" i="2"/>
  <c r="AZ67" i="2"/>
  <c r="AW67" i="2"/>
  <c r="BA65" i="2"/>
  <c r="AZ65" i="2"/>
  <c r="AW65" i="2"/>
  <c r="BA63" i="2"/>
  <c r="AZ63" i="2"/>
  <c r="AW63" i="2"/>
  <c r="BA64" i="2"/>
  <c r="AZ64" i="2"/>
  <c r="AW64" i="2"/>
  <c r="BA62" i="2"/>
  <c r="AZ62" i="2"/>
  <c r="AW62" i="2"/>
  <c r="BA61" i="2"/>
  <c r="AZ61" i="2"/>
  <c r="AW61" i="2"/>
  <c r="BA60" i="2"/>
  <c r="AZ60" i="2"/>
  <c r="AW60" i="2"/>
  <c r="BA59" i="2"/>
  <c r="AZ59" i="2"/>
  <c r="AW59" i="2"/>
  <c r="BA58" i="2"/>
  <c r="AZ58" i="2"/>
  <c r="AW58" i="2"/>
  <c r="BA57" i="2"/>
  <c r="AZ57" i="2"/>
  <c r="AW57" i="2"/>
  <c r="BA56" i="2"/>
  <c r="AZ56" i="2"/>
  <c r="AW56" i="2"/>
  <c r="BA55" i="2"/>
  <c r="AZ55" i="2"/>
  <c r="AW55" i="2"/>
  <c r="BA54" i="2"/>
  <c r="AZ54" i="2"/>
  <c r="AW54" i="2"/>
  <c r="BA53" i="2"/>
  <c r="AZ53" i="2"/>
  <c r="AW53" i="2"/>
  <c r="BA52" i="2"/>
  <c r="AZ52" i="2"/>
  <c r="AW52" i="2"/>
  <c r="BA51" i="2"/>
  <c r="AZ51" i="2"/>
  <c r="AW51" i="2"/>
  <c r="BA50" i="2"/>
  <c r="AZ50" i="2"/>
  <c r="AW50" i="2"/>
  <c r="BA49" i="2"/>
  <c r="AZ49" i="2"/>
  <c r="AW49" i="2"/>
  <c r="BA48" i="2"/>
  <c r="AZ48" i="2"/>
  <c r="AW48" i="2"/>
  <c r="BA47" i="2"/>
  <c r="AZ47" i="2"/>
  <c r="AW47" i="2"/>
  <c r="BA46" i="2"/>
  <c r="AZ46" i="2"/>
  <c r="AW46" i="2"/>
  <c r="BA45" i="2"/>
  <c r="AZ45" i="2"/>
  <c r="AW45" i="2"/>
  <c r="BA44" i="2"/>
  <c r="AZ44" i="2"/>
  <c r="AW44" i="2"/>
  <c r="BA43" i="2"/>
  <c r="AZ43" i="2"/>
  <c r="AW43" i="2"/>
  <c r="BA41" i="2"/>
  <c r="AZ41" i="2"/>
  <c r="AW41" i="2"/>
  <c r="BA42" i="2"/>
  <c r="AZ42" i="2"/>
  <c r="AW42" i="2"/>
  <c r="BA40" i="2"/>
  <c r="AZ40" i="2"/>
  <c r="AW40" i="2"/>
  <c r="BA39" i="2"/>
  <c r="AZ39" i="2"/>
  <c r="AW39" i="2"/>
  <c r="BA38" i="2"/>
  <c r="AZ38" i="2"/>
  <c r="AW38" i="2"/>
  <c r="BA36" i="2"/>
  <c r="AZ36" i="2"/>
  <c r="AW36" i="2"/>
  <c r="BA37" i="2"/>
  <c r="AZ37" i="2"/>
  <c r="AW37" i="2"/>
  <c r="BA35" i="2"/>
  <c r="AZ35" i="2"/>
  <c r="AW35" i="2"/>
  <c r="BA34" i="2"/>
  <c r="AZ34" i="2"/>
  <c r="AW34" i="2"/>
  <c r="BA33" i="2"/>
  <c r="AZ33" i="2"/>
  <c r="AW33" i="2"/>
  <c r="BA32" i="2"/>
  <c r="AZ32" i="2"/>
  <c r="AW32" i="2"/>
  <c r="BA31" i="2"/>
  <c r="AZ31" i="2"/>
  <c r="AW31" i="2"/>
  <c r="BA30" i="2"/>
  <c r="AZ30" i="2"/>
  <c r="AW30" i="2"/>
  <c r="BA29" i="2"/>
  <c r="AZ29" i="2"/>
  <c r="AW29" i="2"/>
  <c r="BA28" i="2"/>
  <c r="AZ28" i="2"/>
  <c r="AW28" i="2"/>
  <c r="BA27" i="2"/>
  <c r="AZ27" i="2"/>
  <c r="AW27" i="2"/>
  <c r="BA26" i="2"/>
  <c r="AZ26" i="2"/>
  <c r="AW26" i="2"/>
  <c r="BA25" i="2"/>
  <c r="AZ25" i="2"/>
  <c r="AW25" i="2"/>
  <c r="BA24" i="2"/>
  <c r="AZ24" i="2"/>
  <c r="AW24" i="2"/>
  <c r="BA23" i="2"/>
  <c r="AZ23" i="2"/>
  <c r="AW23" i="2"/>
  <c r="BA22" i="2"/>
  <c r="AZ22" i="2"/>
  <c r="AW22" i="2"/>
  <c r="BA20" i="2"/>
  <c r="AZ20" i="2"/>
  <c r="AW20" i="2"/>
  <c r="BA21" i="2"/>
  <c r="AZ21" i="2"/>
  <c r="AW21" i="2"/>
  <c r="BA19" i="2"/>
  <c r="AZ19" i="2"/>
  <c r="AW19" i="2"/>
  <c r="BA18" i="2"/>
  <c r="AZ18" i="2"/>
  <c r="AW18" i="2"/>
  <c r="BA17" i="2"/>
  <c r="AZ17" i="2"/>
  <c r="AW17" i="2"/>
  <c r="BA16" i="2"/>
  <c r="AZ16" i="2"/>
  <c r="AW16" i="2"/>
  <c r="BA15" i="2"/>
  <c r="AZ15" i="2"/>
  <c r="AW15" i="2"/>
  <c r="BA14" i="2"/>
  <c r="AZ14" i="2"/>
  <c r="AW14" i="2"/>
  <c r="BA13" i="2"/>
  <c r="AZ13" i="2"/>
  <c r="AW13" i="2"/>
  <c r="BA12" i="2"/>
  <c r="AZ12" i="2"/>
  <c r="AW12" i="2"/>
  <c r="BA11" i="2"/>
  <c r="AZ11" i="2"/>
  <c r="AW11" i="2"/>
  <c r="BA10" i="2"/>
  <c r="AZ10" i="2"/>
  <c r="AW10" i="2"/>
  <c r="BA9" i="2"/>
  <c r="AZ9" i="2"/>
  <c r="AW9" i="2"/>
  <c r="BA8" i="2"/>
  <c r="AZ8" i="2"/>
  <c r="AW8" i="2"/>
  <c r="BA7" i="2"/>
  <c r="AZ7" i="2"/>
  <c r="AW7" i="2"/>
  <c r="BA6" i="2"/>
  <c r="AZ6" i="2"/>
  <c r="AW6" i="2"/>
  <c r="BA4" i="2"/>
  <c r="AZ4" i="2"/>
  <c r="AW4" i="2"/>
  <c r="BA5" i="2"/>
  <c r="AZ5" i="2"/>
  <c r="AW5" i="2"/>
  <c r="BA3" i="2"/>
  <c r="AZ3" i="2"/>
  <c r="AW3" i="2"/>
  <c r="BA2" i="2"/>
  <c r="AZ2" i="2"/>
  <c r="AW2" i="2"/>
  <c r="AZ328" i="2" l="1"/>
  <c r="AZ337" i="2"/>
  <c r="BA337" i="2"/>
  <c r="BA345" i="2" l="1"/>
  <c r="AZ345" i="2"/>
  <c r="BA339" i="2"/>
  <c r="AZ339" i="2"/>
  <c r="BA330" i="2" l="1"/>
  <c r="AZ330" i="2"/>
  <c r="AZ340" i="2" l="1"/>
  <c r="BA340" i="2"/>
  <c r="AZ327" i="2"/>
  <c r="BA327" i="2"/>
  <c r="AZ333" i="2"/>
  <c r="BA333" i="2"/>
  <c r="AZ322" i="2"/>
  <c r="BA322" i="2"/>
  <c r="AZ335" i="2"/>
  <c r="BA335" i="2"/>
  <c r="BA321" i="2" l="1"/>
  <c r="AZ321" i="2"/>
  <c r="AZ349" i="2" l="1"/>
  <c r="BA349" i="2"/>
  <c r="BA323" i="2" l="1"/>
  <c r="AZ323" i="2"/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B809" i="7"/>
  <c r="C809" i="7"/>
  <c r="F809" i="7"/>
  <c r="G809" i="7"/>
  <c r="H809" i="7"/>
  <c r="L809" i="7"/>
  <c r="M809" i="7" s="1"/>
  <c r="N809" i="7"/>
  <c r="O809" i="7"/>
  <c r="P809" i="7"/>
  <c r="Q809" i="7"/>
  <c r="T809" i="7"/>
  <c r="A810" i="7"/>
  <c r="B810" i="7"/>
  <c r="C810" i="7"/>
  <c r="F810" i="7"/>
  <c r="G810" i="7"/>
  <c r="H810" i="7"/>
  <c r="L810" i="7"/>
  <c r="M810" i="7" s="1"/>
  <c r="N810" i="7"/>
  <c r="O810" i="7"/>
  <c r="P810" i="7"/>
  <c r="Q810" i="7"/>
  <c r="T810" i="7"/>
  <c r="A811" i="7"/>
  <c r="B811" i="7"/>
  <c r="C811" i="7"/>
  <c r="F811" i="7"/>
  <c r="G811" i="7"/>
  <c r="H811" i="7"/>
  <c r="L811" i="7"/>
  <c r="M811" i="7" s="1"/>
  <c r="N811" i="7"/>
  <c r="O811" i="7"/>
  <c r="P811" i="7"/>
  <c r="Q811" i="7"/>
  <c r="T811" i="7"/>
  <c r="A812" i="7"/>
  <c r="B812" i="7"/>
  <c r="C812" i="7"/>
  <c r="F812" i="7"/>
  <c r="G812" i="7"/>
  <c r="H812" i="7"/>
  <c r="L812" i="7"/>
  <c r="M812" i="7" s="1"/>
  <c r="N812" i="7"/>
  <c r="O812" i="7"/>
  <c r="P812" i="7"/>
  <c r="Q812" i="7"/>
  <c r="T812" i="7"/>
  <c r="A813" i="7"/>
  <c r="B813" i="7"/>
  <c r="C813" i="7"/>
  <c r="F813" i="7"/>
  <c r="G813" i="7"/>
  <c r="H813" i="7"/>
  <c r="L813" i="7"/>
  <c r="M813" i="7" s="1"/>
  <c r="N813" i="7"/>
  <c r="O813" i="7"/>
  <c r="P813" i="7"/>
  <c r="Q813" i="7"/>
  <c r="T813" i="7"/>
  <c r="A814" i="7"/>
  <c r="B814" i="7"/>
  <c r="C814" i="7"/>
  <c r="F814" i="7"/>
  <c r="G814" i="7"/>
  <c r="H814" i="7"/>
  <c r="L814" i="7"/>
  <c r="M814" i="7" s="1"/>
  <c r="N814" i="7"/>
  <c r="O814" i="7"/>
  <c r="P814" i="7"/>
  <c r="Q814" i="7"/>
  <c r="T814" i="7"/>
  <c r="A815" i="7"/>
  <c r="B815" i="7"/>
  <c r="C815" i="7"/>
  <c r="F815" i="7"/>
  <c r="G815" i="7"/>
  <c r="H815" i="7"/>
  <c r="L815" i="7"/>
  <c r="M815" i="7" s="1"/>
  <c r="N815" i="7"/>
  <c r="O815" i="7"/>
  <c r="P815" i="7"/>
  <c r="Q815" i="7"/>
  <c r="T815" i="7"/>
  <c r="A816" i="7"/>
  <c r="B816" i="7"/>
  <c r="C816" i="7"/>
  <c r="F816" i="7"/>
  <c r="G816" i="7"/>
  <c r="H816" i="7"/>
  <c r="L816" i="7"/>
  <c r="M816" i="7" s="1"/>
  <c r="N816" i="7"/>
  <c r="O816" i="7"/>
  <c r="P816" i="7"/>
  <c r="Q816" i="7"/>
  <c r="T816" i="7"/>
  <c r="A817" i="7"/>
  <c r="B817" i="7"/>
  <c r="C817" i="7"/>
  <c r="F817" i="7"/>
  <c r="G817" i="7"/>
  <c r="H817" i="7"/>
  <c r="L817" i="7"/>
  <c r="M817" i="7" s="1"/>
  <c r="N817" i="7"/>
  <c r="O817" i="7"/>
  <c r="P817" i="7"/>
  <c r="Q817" i="7"/>
  <c r="T817" i="7"/>
  <c r="A818" i="7"/>
  <c r="B818" i="7"/>
  <c r="C818" i="7"/>
  <c r="F818" i="7"/>
  <c r="G818" i="7"/>
  <c r="H818" i="7"/>
  <c r="L818" i="7"/>
  <c r="M818" i="7" s="1"/>
  <c r="N818" i="7"/>
  <c r="O818" i="7"/>
  <c r="P818" i="7"/>
  <c r="Q818" i="7"/>
  <c r="T818" i="7"/>
  <c r="A819" i="7"/>
  <c r="B819" i="7"/>
  <c r="C819" i="7"/>
  <c r="F819" i="7"/>
  <c r="G819" i="7"/>
  <c r="H819" i="7"/>
  <c r="L819" i="7"/>
  <c r="M819" i="7" s="1"/>
  <c r="N819" i="7"/>
  <c r="O819" i="7"/>
  <c r="P819" i="7"/>
  <c r="Q819" i="7"/>
  <c r="T819" i="7"/>
  <c r="A820" i="7"/>
  <c r="B820" i="7"/>
  <c r="C820" i="7"/>
  <c r="F820" i="7"/>
  <c r="G820" i="7"/>
  <c r="H820" i="7"/>
  <c r="L820" i="7"/>
  <c r="M820" i="7" s="1"/>
  <c r="N820" i="7"/>
  <c r="O820" i="7"/>
  <c r="P820" i="7"/>
  <c r="Q820" i="7"/>
  <c r="T820" i="7"/>
  <c r="A821" i="7"/>
  <c r="B821" i="7"/>
  <c r="C821" i="7"/>
  <c r="F821" i="7"/>
  <c r="G821" i="7"/>
  <c r="H821" i="7"/>
  <c r="L821" i="7"/>
  <c r="M821" i="7" s="1"/>
  <c r="N821" i="7"/>
  <c r="O821" i="7"/>
  <c r="P821" i="7"/>
  <c r="Q821" i="7"/>
  <c r="T821" i="7"/>
  <c r="A822" i="7"/>
  <c r="B822" i="7"/>
  <c r="C822" i="7"/>
  <c r="F822" i="7"/>
  <c r="G822" i="7"/>
  <c r="H822" i="7"/>
  <c r="L822" i="7"/>
  <c r="M822" i="7" s="1"/>
  <c r="N822" i="7"/>
  <c r="O822" i="7"/>
  <c r="P822" i="7"/>
  <c r="Q822" i="7"/>
  <c r="T822" i="7"/>
  <c r="A823" i="7"/>
  <c r="B823" i="7"/>
  <c r="C823" i="7"/>
  <c r="F823" i="7"/>
  <c r="G823" i="7"/>
  <c r="H823" i="7"/>
  <c r="L823" i="7"/>
  <c r="M823" i="7" s="1"/>
  <c r="N823" i="7"/>
  <c r="O823" i="7"/>
  <c r="P823" i="7"/>
  <c r="Q823" i="7"/>
  <c r="T823" i="7"/>
  <c r="A824" i="7"/>
  <c r="B824" i="7"/>
  <c r="C824" i="7"/>
  <c r="F824" i="7"/>
  <c r="G824" i="7"/>
  <c r="H824" i="7"/>
  <c r="L824" i="7"/>
  <c r="M824" i="7" s="1"/>
  <c r="N824" i="7"/>
  <c r="O824" i="7"/>
  <c r="P824" i="7"/>
  <c r="Q824" i="7"/>
  <c r="T824" i="7"/>
  <c r="A825" i="7"/>
  <c r="B825" i="7"/>
  <c r="C825" i="7"/>
  <c r="F825" i="7"/>
  <c r="G825" i="7"/>
  <c r="H825" i="7"/>
  <c r="L825" i="7"/>
  <c r="M825" i="7" s="1"/>
  <c r="N825" i="7"/>
  <c r="O825" i="7"/>
  <c r="P825" i="7"/>
  <c r="Q825" i="7"/>
  <c r="T825" i="7"/>
  <c r="A826" i="7"/>
  <c r="B826" i="7"/>
  <c r="C826" i="7"/>
  <c r="F826" i="7"/>
  <c r="G826" i="7"/>
  <c r="H826" i="7"/>
  <c r="L826" i="7"/>
  <c r="M826" i="7" s="1"/>
  <c r="N826" i="7"/>
  <c r="O826" i="7"/>
  <c r="P826" i="7"/>
  <c r="Q826" i="7"/>
  <c r="T826" i="7"/>
  <c r="A827" i="7"/>
  <c r="B827" i="7"/>
  <c r="C827" i="7"/>
  <c r="F827" i="7"/>
  <c r="G827" i="7"/>
  <c r="H827" i="7"/>
  <c r="L827" i="7"/>
  <c r="M827" i="7" s="1"/>
  <c r="N827" i="7"/>
  <c r="O827" i="7"/>
  <c r="P827" i="7"/>
  <c r="Q827" i="7"/>
  <c r="T827" i="7"/>
  <c r="A828" i="7"/>
  <c r="B828" i="7"/>
  <c r="C828" i="7"/>
  <c r="F828" i="7"/>
  <c r="G828" i="7"/>
  <c r="H828" i="7"/>
  <c r="L828" i="7"/>
  <c r="M828" i="7" s="1"/>
  <c r="N828" i="7"/>
  <c r="O828" i="7"/>
  <c r="P828" i="7"/>
  <c r="Q828" i="7"/>
  <c r="T828" i="7"/>
  <c r="A829" i="7"/>
  <c r="B829" i="7"/>
  <c r="C829" i="7"/>
  <c r="F829" i="7"/>
  <c r="G829" i="7"/>
  <c r="H829" i="7"/>
  <c r="L829" i="7"/>
  <c r="M829" i="7" s="1"/>
  <c r="N829" i="7"/>
  <c r="O829" i="7"/>
  <c r="P829" i="7"/>
  <c r="Q829" i="7"/>
  <c r="T829" i="7"/>
  <c r="A830" i="7"/>
  <c r="B830" i="7"/>
  <c r="C830" i="7"/>
  <c r="F830" i="7"/>
  <c r="G830" i="7"/>
  <c r="H830" i="7"/>
  <c r="L830" i="7"/>
  <c r="M830" i="7" s="1"/>
  <c r="N830" i="7"/>
  <c r="O830" i="7"/>
  <c r="P830" i="7"/>
  <c r="Q830" i="7"/>
  <c r="T830" i="7"/>
  <c r="A831" i="7"/>
  <c r="B831" i="7"/>
  <c r="C831" i="7"/>
  <c r="F831" i="7"/>
  <c r="G831" i="7"/>
  <c r="H831" i="7"/>
  <c r="L831" i="7"/>
  <c r="M831" i="7" s="1"/>
  <c r="N831" i="7"/>
  <c r="O831" i="7"/>
  <c r="P831" i="7"/>
  <c r="Q831" i="7"/>
  <c r="T831" i="7"/>
  <c r="A832" i="7"/>
  <c r="B832" i="7"/>
  <c r="C832" i="7"/>
  <c r="F832" i="7"/>
  <c r="G832" i="7"/>
  <c r="H832" i="7"/>
  <c r="L832" i="7"/>
  <c r="M832" i="7" s="1"/>
  <c r="N832" i="7"/>
  <c r="O832" i="7"/>
  <c r="P832" i="7"/>
  <c r="Q832" i="7"/>
  <c r="T832" i="7"/>
  <c r="A833" i="7"/>
  <c r="B833" i="7"/>
  <c r="C833" i="7"/>
  <c r="F833" i="7"/>
  <c r="G833" i="7"/>
  <c r="H833" i="7"/>
  <c r="L833" i="7"/>
  <c r="M833" i="7" s="1"/>
  <c r="N833" i="7"/>
  <c r="O833" i="7"/>
  <c r="P833" i="7"/>
  <c r="Q833" i="7"/>
  <c r="T833" i="7"/>
  <c r="A834" i="7"/>
  <c r="B834" i="7"/>
  <c r="C834" i="7"/>
  <c r="F834" i="7"/>
  <c r="G834" i="7"/>
  <c r="H834" i="7"/>
  <c r="L834" i="7"/>
  <c r="M834" i="7" s="1"/>
  <c r="N834" i="7"/>
  <c r="O834" i="7"/>
  <c r="P834" i="7"/>
  <c r="Q834" i="7"/>
  <c r="T834" i="7"/>
  <c r="A835" i="7"/>
  <c r="B835" i="7"/>
  <c r="C835" i="7"/>
  <c r="F835" i="7"/>
  <c r="G835" i="7"/>
  <c r="H835" i="7"/>
  <c r="L835" i="7"/>
  <c r="M835" i="7" s="1"/>
  <c r="N835" i="7"/>
  <c r="O835" i="7"/>
  <c r="P835" i="7"/>
  <c r="Q835" i="7"/>
  <c r="T835" i="7"/>
  <c r="A836" i="7"/>
  <c r="B836" i="7"/>
  <c r="C836" i="7"/>
  <c r="F836" i="7"/>
  <c r="G836" i="7"/>
  <c r="H836" i="7"/>
  <c r="L836" i="7"/>
  <c r="M836" i="7" s="1"/>
  <c r="N836" i="7"/>
  <c r="O836" i="7"/>
  <c r="P836" i="7"/>
  <c r="Q836" i="7"/>
  <c r="T836" i="7"/>
  <c r="A837" i="7"/>
  <c r="B837" i="7"/>
  <c r="C837" i="7"/>
  <c r="F837" i="7"/>
  <c r="G837" i="7"/>
  <c r="H837" i="7"/>
  <c r="L837" i="7"/>
  <c r="M837" i="7" s="1"/>
  <c r="N837" i="7"/>
  <c r="O837" i="7"/>
  <c r="P837" i="7"/>
  <c r="Q837" i="7"/>
  <c r="T837" i="7"/>
  <c r="A838" i="7"/>
  <c r="B838" i="7"/>
  <c r="C838" i="7"/>
  <c r="F838" i="7"/>
  <c r="G838" i="7"/>
  <c r="H838" i="7"/>
  <c r="L838" i="7"/>
  <c r="M838" i="7" s="1"/>
  <c r="N838" i="7"/>
  <c r="O838" i="7"/>
  <c r="P838" i="7"/>
  <c r="Q838" i="7"/>
  <c r="T838" i="7"/>
  <c r="A839" i="7"/>
  <c r="B839" i="7"/>
  <c r="C839" i="7"/>
  <c r="F839" i="7"/>
  <c r="G839" i="7"/>
  <c r="H839" i="7"/>
  <c r="L839" i="7"/>
  <c r="M839" i="7" s="1"/>
  <c r="N839" i="7"/>
  <c r="O839" i="7"/>
  <c r="P839" i="7"/>
  <c r="Q839" i="7"/>
  <c r="T839" i="7"/>
  <c r="A840" i="7"/>
  <c r="B840" i="7"/>
  <c r="C840" i="7"/>
  <c r="F840" i="7"/>
  <c r="G840" i="7"/>
  <c r="H840" i="7"/>
  <c r="L840" i="7"/>
  <c r="M840" i="7" s="1"/>
  <c r="N840" i="7"/>
  <c r="O840" i="7"/>
  <c r="P840" i="7"/>
  <c r="Q840" i="7"/>
  <c r="T840" i="7"/>
  <c r="A841" i="7"/>
  <c r="B841" i="7"/>
  <c r="C841" i="7"/>
  <c r="F841" i="7"/>
  <c r="G841" i="7"/>
  <c r="H841" i="7"/>
  <c r="L841" i="7"/>
  <c r="M841" i="7" s="1"/>
  <c r="N841" i="7"/>
  <c r="O841" i="7"/>
  <c r="P841" i="7"/>
  <c r="Q841" i="7"/>
  <c r="T841" i="7"/>
  <c r="A842" i="7"/>
  <c r="B842" i="7"/>
  <c r="C842" i="7"/>
  <c r="F842" i="7"/>
  <c r="G842" i="7"/>
  <c r="H842" i="7"/>
  <c r="L842" i="7"/>
  <c r="M842" i="7" s="1"/>
  <c r="N842" i="7"/>
  <c r="O842" i="7"/>
  <c r="P842" i="7"/>
  <c r="Q842" i="7"/>
  <c r="T842" i="7"/>
  <c r="A843" i="7"/>
  <c r="B843" i="7"/>
  <c r="C843" i="7"/>
  <c r="F843" i="7"/>
  <c r="G843" i="7"/>
  <c r="H843" i="7"/>
  <c r="L843" i="7"/>
  <c r="M843" i="7" s="1"/>
  <c r="N843" i="7"/>
  <c r="O843" i="7"/>
  <c r="P843" i="7"/>
  <c r="Q843" i="7"/>
  <c r="T843" i="7"/>
  <c r="A844" i="7"/>
  <c r="B844" i="7"/>
  <c r="C844" i="7"/>
  <c r="F844" i="7"/>
  <c r="G844" i="7"/>
  <c r="H844" i="7"/>
  <c r="L844" i="7"/>
  <c r="M844" i="7" s="1"/>
  <c r="N844" i="7"/>
  <c r="O844" i="7"/>
  <c r="P844" i="7"/>
  <c r="Q844" i="7"/>
  <c r="T844" i="7"/>
  <c r="A845" i="7"/>
  <c r="B845" i="7"/>
  <c r="C845" i="7"/>
  <c r="F845" i="7"/>
  <c r="G845" i="7"/>
  <c r="H845" i="7"/>
  <c r="L845" i="7"/>
  <c r="M845" i="7" s="1"/>
  <c r="N845" i="7"/>
  <c r="O845" i="7"/>
  <c r="P845" i="7"/>
  <c r="Q845" i="7"/>
  <c r="T845" i="7"/>
  <c r="A846" i="7"/>
  <c r="B846" i="7"/>
  <c r="C846" i="7"/>
  <c r="F846" i="7"/>
  <c r="G846" i="7"/>
  <c r="H846" i="7"/>
  <c r="L846" i="7"/>
  <c r="M846" i="7" s="1"/>
  <c r="N846" i="7"/>
  <c r="O846" i="7"/>
  <c r="P846" i="7"/>
  <c r="Q846" i="7"/>
  <c r="T846" i="7"/>
  <c r="A847" i="7"/>
  <c r="B847" i="7"/>
  <c r="C847" i="7"/>
  <c r="F847" i="7"/>
  <c r="G847" i="7"/>
  <c r="H847" i="7"/>
  <c r="L847" i="7"/>
  <c r="M847" i="7" s="1"/>
  <c r="N847" i="7"/>
  <c r="O847" i="7"/>
  <c r="P847" i="7"/>
  <c r="Q847" i="7"/>
  <c r="T847" i="7"/>
  <c r="A848" i="7"/>
  <c r="B848" i="7"/>
  <c r="C848" i="7"/>
  <c r="F848" i="7"/>
  <c r="G848" i="7"/>
  <c r="H848" i="7"/>
  <c r="L848" i="7"/>
  <c r="M848" i="7" s="1"/>
  <c r="N848" i="7"/>
  <c r="O848" i="7"/>
  <c r="P848" i="7"/>
  <c r="Q848" i="7"/>
  <c r="T848" i="7"/>
  <c r="A849" i="7"/>
  <c r="B849" i="7"/>
  <c r="C849" i="7"/>
  <c r="F849" i="7"/>
  <c r="G849" i="7"/>
  <c r="H849" i="7"/>
  <c r="L849" i="7"/>
  <c r="M849" i="7" s="1"/>
  <c r="N849" i="7"/>
  <c r="O849" i="7"/>
  <c r="P849" i="7"/>
  <c r="Q849" i="7"/>
  <c r="T849" i="7"/>
  <c r="A850" i="7"/>
  <c r="B850" i="7"/>
  <c r="C850" i="7"/>
  <c r="F850" i="7"/>
  <c r="G850" i="7"/>
  <c r="H850" i="7"/>
  <c r="L850" i="7"/>
  <c r="M850" i="7" s="1"/>
  <c r="N850" i="7"/>
  <c r="O850" i="7"/>
  <c r="P850" i="7"/>
  <c r="Q850" i="7"/>
  <c r="T850" i="7"/>
  <c r="A851" i="7"/>
  <c r="B851" i="7"/>
  <c r="C851" i="7"/>
  <c r="F851" i="7"/>
  <c r="G851" i="7"/>
  <c r="H851" i="7"/>
  <c r="L851" i="7"/>
  <c r="M851" i="7" s="1"/>
  <c r="N851" i="7"/>
  <c r="O851" i="7"/>
  <c r="P851" i="7"/>
  <c r="Q851" i="7"/>
  <c r="T851" i="7"/>
  <c r="A852" i="7"/>
  <c r="B852" i="7"/>
  <c r="C852" i="7"/>
  <c r="F852" i="7"/>
  <c r="G852" i="7"/>
  <c r="H852" i="7"/>
  <c r="L852" i="7"/>
  <c r="M852" i="7" s="1"/>
  <c r="N852" i="7"/>
  <c r="O852" i="7"/>
  <c r="P852" i="7"/>
  <c r="Q852" i="7"/>
  <c r="T852" i="7"/>
  <c r="A853" i="7"/>
  <c r="B853" i="7"/>
  <c r="C853" i="7"/>
  <c r="F853" i="7"/>
  <c r="G853" i="7"/>
  <c r="H853" i="7"/>
  <c r="L853" i="7"/>
  <c r="M853" i="7" s="1"/>
  <c r="N853" i="7"/>
  <c r="O853" i="7"/>
  <c r="P853" i="7"/>
  <c r="Q853" i="7"/>
  <c r="T853" i="7"/>
  <c r="A854" i="7"/>
  <c r="B854" i="7"/>
  <c r="C854" i="7"/>
  <c r="F854" i="7"/>
  <c r="G854" i="7"/>
  <c r="H854" i="7"/>
  <c r="L854" i="7"/>
  <c r="M854" i="7" s="1"/>
  <c r="N854" i="7"/>
  <c r="O854" i="7"/>
  <c r="P854" i="7"/>
  <c r="Q854" i="7"/>
  <c r="T854" i="7"/>
  <c r="A855" i="7"/>
  <c r="B855" i="7"/>
  <c r="C855" i="7"/>
  <c r="F855" i="7"/>
  <c r="G855" i="7"/>
  <c r="H855" i="7"/>
  <c r="L855" i="7"/>
  <c r="M855" i="7" s="1"/>
  <c r="N855" i="7"/>
  <c r="O855" i="7"/>
  <c r="P855" i="7"/>
  <c r="Q855" i="7"/>
  <c r="T855" i="7"/>
  <c r="A856" i="7"/>
  <c r="B856" i="7"/>
  <c r="C856" i="7"/>
  <c r="F856" i="7"/>
  <c r="G856" i="7"/>
  <c r="H856" i="7"/>
  <c r="L856" i="7"/>
  <c r="M856" i="7" s="1"/>
  <c r="N856" i="7"/>
  <c r="O856" i="7"/>
  <c r="P856" i="7"/>
  <c r="Q856" i="7"/>
  <c r="T856" i="7"/>
  <c r="A857" i="7"/>
  <c r="B857" i="7"/>
  <c r="C857" i="7"/>
  <c r="F857" i="7"/>
  <c r="G857" i="7"/>
  <c r="H857" i="7"/>
  <c r="L857" i="7"/>
  <c r="M857" i="7" s="1"/>
  <c r="N857" i="7"/>
  <c r="O857" i="7"/>
  <c r="P857" i="7"/>
  <c r="Q857" i="7"/>
  <c r="T857" i="7"/>
  <c r="A858" i="7"/>
  <c r="B858" i="7"/>
  <c r="C858" i="7"/>
  <c r="F858" i="7"/>
  <c r="G858" i="7"/>
  <c r="H858" i="7"/>
  <c r="L858" i="7"/>
  <c r="M858" i="7" s="1"/>
  <c r="N858" i="7"/>
  <c r="O858" i="7"/>
  <c r="P858" i="7"/>
  <c r="Q858" i="7"/>
  <c r="T858" i="7"/>
  <c r="A859" i="7"/>
  <c r="B859" i="7"/>
  <c r="C859" i="7"/>
  <c r="F859" i="7"/>
  <c r="G859" i="7"/>
  <c r="H859" i="7"/>
  <c r="L859" i="7"/>
  <c r="M859" i="7" s="1"/>
  <c r="N859" i="7"/>
  <c r="O859" i="7"/>
  <c r="P859" i="7"/>
  <c r="Q859" i="7"/>
  <c r="T859" i="7"/>
  <c r="A860" i="7"/>
  <c r="B860" i="7"/>
  <c r="C860" i="7"/>
  <c r="F860" i="7"/>
  <c r="G860" i="7"/>
  <c r="H860" i="7"/>
  <c r="L860" i="7"/>
  <c r="M860" i="7" s="1"/>
  <c r="N860" i="7"/>
  <c r="O860" i="7"/>
  <c r="P860" i="7"/>
  <c r="Q860" i="7"/>
  <c r="T860" i="7"/>
  <c r="A861" i="7"/>
  <c r="B861" i="7"/>
  <c r="C861" i="7"/>
  <c r="F861" i="7"/>
  <c r="G861" i="7"/>
  <c r="H861" i="7"/>
  <c r="L861" i="7"/>
  <c r="M861" i="7" s="1"/>
  <c r="N861" i="7"/>
  <c r="O861" i="7"/>
  <c r="P861" i="7"/>
  <c r="Q861" i="7"/>
  <c r="T861" i="7"/>
  <c r="A862" i="7"/>
  <c r="B862" i="7"/>
  <c r="C862" i="7"/>
  <c r="F862" i="7"/>
  <c r="G862" i="7"/>
  <c r="H862" i="7"/>
  <c r="L862" i="7"/>
  <c r="M862" i="7" s="1"/>
  <c r="N862" i="7"/>
  <c r="O862" i="7"/>
  <c r="P862" i="7"/>
  <c r="Q862" i="7"/>
  <c r="T862" i="7"/>
  <c r="A863" i="7"/>
  <c r="B863" i="7"/>
  <c r="C863" i="7"/>
  <c r="F863" i="7"/>
  <c r="G863" i="7"/>
  <c r="H863" i="7"/>
  <c r="L863" i="7"/>
  <c r="M863" i="7" s="1"/>
  <c r="N863" i="7"/>
  <c r="O863" i="7"/>
  <c r="P863" i="7"/>
  <c r="Q863" i="7"/>
  <c r="T863" i="7"/>
  <c r="A864" i="7"/>
  <c r="B864" i="7"/>
  <c r="C864" i="7"/>
  <c r="F864" i="7"/>
  <c r="G864" i="7"/>
  <c r="H864" i="7"/>
  <c r="L864" i="7"/>
  <c r="M864" i="7" s="1"/>
  <c r="N864" i="7"/>
  <c r="O864" i="7"/>
  <c r="P864" i="7"/>
  <c r="Q864" i="7"/>
  <c r="T864" i="7"/>
  <c r="A865" i="7"/>
  <c r="B865" i="7"/>
  <c r="C865" i="7"/>
  <c r="F865" i="7"/>
  <c r="G865" i="7"/>
  <c r="H865" i="7"/>
  <c r="L865" i="7"/>
  <c r="M865" i="7" s="1"/>
  <c r="N865" i="7"/>
  <c r="O865" i="7"/>
  <c r="P865" i="7"/>
  <c r="Q865" i="7"/>
  <c r="T865" i="7"/>
  <c r="A866" i="7"/>
  <c r="B866" i="7"/>
  <c r="C866" i="7"/>
  <c r="F866" i="7"/>
  <c r="G866" i="7"/>
  <c r="H866" i="7"/>
  <c r="L866" i="7"/>
  <c r="M866" i="7" s="1"/>
  <c r="N866" i="7"/>
  <c r="O866" i="7"/>
  <c r="P866" i="7"/>
  <c r="Q866" i="7"/>
  <c r="T866" i="7"/>
  <c r="A867" i="7"/>
  <c r="B867" i="7"/>
  <c r="C867" i="7"/>
  <c r="F867" i="7"/>
  <c r="G867" i="7"/>
  <c r="H867" i="7"/>
  <c r="L867" i="7"/>
  <c r="M867" i="7" s="1"/>
  <c r="N867" i="7"/>
  <c r="O867" i="7"/>
  <c r="P867" i="7"/>
  <c r="Q867" i="7"/>
  <c r="T867" i="7"/>
  <c r="A868" i="7"/>
  <c r="B868" i="7"/>
  <c r="C868" i="7"/>
  <c r="F868" i="7"/>
  <c r="G868" i="7"/>
  <c r="H868" i="7"/>
  <c r="L868" i="7"/>
  <c r="M868" i="7" s="1"/>
  <c r="N868" i="7"/>
  <c r="O868" i="7"/>
  <c r="P868" i="7"/>
  <c r="Q868" i="7"/>
  <c r="T868" i="7"/>
  <c r="A869" i="7"/>
  <c r="B869" i="7"/>
  <c r="C869" i="7"/>
  <c r="F869" i="7"/>
  <c r="G869" i="7"/>
  <c r="H869" i="7"/>
  <c r="L869" i="7"/>
  <c r="M869" i="7" s="1"/>
  <c r="N869" i="7"/>
  <c r="O869" i="7"/>
  <c r="P869" i="7"/>
  <c r="Q869" i="7"/>
  <c r="T869" i="7"/>
  <c r="A870" i="7"/>
  <c r="B870" i="7"/>
  <c r="C870" i="7"/>
  <c r="F870" i="7"/>
  <c r="G870" i="7"/>
  <c r="H870" i="7"/>
  <c r="L870" i="7"/>
  <c r="M870" i="7" s="1"/>
  <c r="N870" i="7"/>
  <c r="O870" i="7"/>
  <c r="P870" i="7"/>
  <c r="Q870" i="7"/>
  <c r="T870" i="7"/>
  <c r="A871" i="7"/>
  <c r="B871" i="7"/>
  <c r="C871" i="7"/>
  <c r="F871" i="7"/>
  <c r="G871" i="7"/>
  <c r="H871" i="7"/>
  <c r="L871" i="7"/>
  <c r="M871" i="7" s="1"/>
  <c r="N871" i="7"/>
  <c r="O871" i="7"/>
  <c r="P871" i="7"/>
  <c r="Q871" i="7"/>
  <c r="T871" i="7"/>
  <c r="A872" i="7"/>
  <c r="B872" i="7"/>
  <c r="C872" i="7"/>
  <c r="F872" i="7"/>
  <c r="G872" i="7"/>
  <c r="H872" i="7"/>
  <c r="L872" i="7"/>
  <c r="M872" i="7" s="1"/>
  <c r="N872" i="7"/>
  <c r="O872" i="7"/>
  <c r="P872" i="7"/>
  <c r="Q872" i="7"/>
  <c r="T872" i="7"/>
  <c r="A873" i="7"/>
  <c r="B873" i="7"/>
  <c r="C873" i="7"/>
  <c r="F873" i="7"/>
  <c r="G873" i="7"/>
  <c r="H873" i="7"/>
  <c r="L873" i="7"/>
  <c r="M873" i="7" s="1"/>
  <c r="N873" i="7"/>
  <c r="O873" i="7"/>
  <c r="P873" i="7"/>
  <c r="Q873" i="7"/>
  <c r="T873" i="7"/>
  <c r="A874" i="7"/>
  <c r="B874" i="7"/>
  <c r="C874" i="7"/>
  <c r="F874" i="7"/>
  <c r="G874" i="7"/>
  <c r="H874" i="7"/>
  <c r="L874" i="7"/>
  <c r="M874" i="7" s="1"/>
  <c r="N874" i="7"/>
  <c r="O874" i="7"/>
  <c r="P874" i="7"/>
  <c r="Q874" i="7"/>
  <c r="T874" i="7"/>
  <c r="A875" i="7"/>
  <c r="B875" i="7"/>
  <c r="C875" i="7"/>
  <c r="F875" i="7"/>
  <c r="G875" i="7"/>
  <c r="H875" i="7"/>
  <c r="L875" i="7"/>
  <c r="M875" i="7" s="1"/>
  <c r="N875" i="7"/>
  <c r="O875" i="7"/>
  <c r="P875" i="7"/>
  <c r="Q875" i="7"/>
  <c r="T875" i="7"/>
  <c r="A876" i="7"/>
  <c r="B876" i="7"/>
  <c r="C876" i="7"/>
  <c r="F876" i="7"/>
  <c r="G876" i="7"/>
  <c r="H876" i="7"/>
  <c r="L876" i="7"/>
  <c r="M876" i="7" s="1"/>
  <c r="N876" i="7"/>
  <c r="O876" i="7"/>
  <c r="P876" i="7"/>
  <c r="Q876" i="7"/>
  <c r="T876" i="7"/>
  <c r="A877" i="7"/>
  <c r="B877" i="7"/>
  <c r="C877" i="7"/>
  <c r="F877" i="7"/>
  <c r="G877" i="7"/>
  <c r="H877" i="7"/>
  <c r="L877" i="7"/>
  <c r="M877" i="7" s="1"/>
  <c r="N877" i="7"/>
  <c r="O877" i="7"/>
  <c r="P877" i="7"/>
  <c r="Q877" i="7"/>
  <c r="T877" i="7"/>
  <c r="A878" i="7"/>
  <c r="B878" i="7"/>
  <c r="C878" i="7"/>
  <c r="F878" i="7"/>
  <c r="G878" i="7"/>
  <c r="H878" i="7"/>
  <c r="L878" i="7"/>
  <c r="M878" i="7" s="1"/>
  <c r="N878" i="7"/>
  <c r="O878" i="7"/>
  <c r="P878" i="7"/>
  <c r="Q878" i="7"/>
  <c r="T878" i="7"/>
  <c r="A879" i="7"/>
  <c r="B879" i="7"/>
  <c r="C879" i="7"/>
  <c r="F879" i="7"/>
  <c r="G879" i="7"/>
  <c r="H879" i="7"/>
  <c r="L879" i="7"/>
  <c r="M879" i="7" s="1"/>
  <c r="N879" i="7"/>
  <c r="O879" i="7"/>
  <c r="P879" i="7"/>
  <c r="Q879" i="7"/>
  <c r="T879" i="7"/>
  <c r="A880" i="7"/>
  <c r="B880" i="7"/>
  <c r="C880" i="7"/>
  <c r="F880" i="7"/>
  <c r="G880" i="7"/>
  <c r="H880" i="7"/>
  <c r="L880" i="7"/>
  <c r="M880" i="7" s="1"/>
  <c r="N880" i="7"/>
  <c r="O880" i="7"/>
  <c r="P880" i="7"/>
  <c r="Q880" i="7"/>
  <c r="T880" i="7"/>
  <c r="A881" i="7"/>
  <c r="B881" i="7"/>
  <c r="C881" i="7"/>
  <c r="F881" i="7"/>
  <c r="G881" i="7"/>
  <c r="H881" i="7"/>
  <c r="L881" i="7"/>
  <c r="M881" i="7" s="1"/>
  <c r="N881" i="7"/>
  <c r="O881" i="7"/>
  <c r="P881" i="7"/>
  <c r="Q881" i="7"/>
  <c r="T881" i="7"/>
  <c r="A882" i="7"/>
  <c r="B882" i="7"/>
  <c r="C882" i="7"/>
  <c r="F882" i="7"/>
  <c r="D882" i="7" s="1"/>
  <c r="G882" i="7"/>
  <c r="H882" i="7"/>
  <c r="L882" i="7"/>
  <c r="M882" i="7" s="1"/>
  <c r="N882" i="7"/>
  <c r="O882" i="7"/>
  <c r="P882" i="7"/>
  <c r="Q882" i="7"/>
  <c r="T882" i="7"/>
  <c r="A883" i="7"/>
  <c r="B883" i="7"/>
  <c r="C883" i="7"/>
  <c r="F883" i="7"/>
  <c r="G883" i="7"/>
  <c r="H883" i="7"/>
  <c r="L883" i="7"/>
  <c r="M883" i="7" s="1"/>
  <c r="N883" i="7"/>
  <c r="O883" i="7"/>
  <c r="P883" i="7"/>
  <c r="Q883" i="7"/>
  <c r="T883" i="7"/>
  <c r="A884" i="7"/>
  <c r="B884" i="7"/>
  <c r="C884" i="7"/>
  <c r="F884" i="7"/>
  <c r="D884" i="7" s="1"/>
  <c r="G884" i="7"/>
  <c r="H884" i="7"/>
  <c r="L884" i="7"/>
  <c r="M884" i="7" s="1"/>
  <c r="N884" i="7"/>
  <c r="O884" i="7"/>
  <c r="P884" i="7"/>
  <c r="Q884" i="7"/>
  <c r="T884" i="7"/>
  <c r="A885" i="7"/>
  <c r="B885" i="7"/>
  <c r="C885" i="7"/>
  <c r="F885" i="7"/>
  <c r="G885" i="7"/>
  <c r="H885" i="7"/>
  <c r="L885" i="7"/>
  <c r="M885" i="7" s="1"/>
  <c r="N885" i="7"/>
  <c r="O885" i="7"/>
  <c r="P885" i="7"/>
  <c r="Q885" i="7"/>
  <c r="T885" i="7"/>
  <c r="A886" i="7"/>
  <c r="B886" i="7"/>
  <c r="C886" i="7"/>
  <c r="F886" i="7"/>
  <c r="D886" i="7" s="1"/>
  <c r="G886" i="7"/>
  <c r="H886" i="7"/>
  <c r="L886" i="7"/>
  <c r="M886" i="7" s="1"/>
  <c r="N886" i="7"/>
  <c r="O886" i="7"/>
  <c r="P886" i="7"/>
  <c r="Q886" i="7"/>
  <c r="T886" i="7"/>
  <c r="A887" i="7"/>
  <c r="B887" i="7"/>
  <c r="C887" i="7"/>
  <c r="F887" i="7"/>
  <c r="E887" i="7" s="1"/>
  <c r="G887" i="7"/>
  <c r="H887" i="7"/>
  <c r="L887" i="7"/>
  <c r="M887" i="7" s="1"/>
  <c r="N887" i="7"/>
  <c r="O887" i="7"/>
  <c r="P887" i="7"/>
  <c r="Q887" i="7"/>
  <c r="T887" i="7"/>
  <c r="A888" i="7"/>
  <c r="B888" i="7"/>
  <c r="C888" i="7"/>
  <c r="F888" i="7"/>
  <c r="G888" i="7"/>
  <c r="H888" i="7"/>
  <c r="L888" i="7"/>
  <c r="M888" i="7" s="1"/>
  <c r="N888" i="7"/>
  <c r="O888" i="7"/>
  <c r="P888" i="7"/>
  <c r="Q888" i="7"/>
  <c r="T888" i="7"/>
  <c r="A889" i="7"/>
  <c r="B889" i="7"/>
  <c r="C889" i="7"/>
  <c r="F889" i="7"/>
  <c r="G889" i="7"/>
  <c r="H889" i="7"/>
  <c r="L889" i="7"/>
  <c r="M889" i="7" s="1"/>
  <c r="N889" i="7"/>
  <c r="O889" i="7"/>
  <c r="P889" i="7"/>
  <c r="Q889" i="7"/>
  <c r="T889" i="7"/>
  <c r="A890" i="7"/>
  <c r="B890" i="7"/>
  <c r="C890" i="7"/>
  <c r="F890" i="7"/>
  <c r="D890" i="7" s="1"/>
  <c r="G890" i="7"/>
  <c r="H890" i="7"/>
  <c r="L890" i="7"/>
  <c r="M890" i="7" s="1"/>
  <c r="N890" i="7"/>
  <c r="O890" i="7"/>
  <c r="P890" i="7"/>
  <c r="Q890" i="7"/>
  <c r="T890" i="7"/>
  <c r="A891" i="7"/>
  <c r="B891" i="7"/>
  <c r="C891" i="7"/>
  <c r="F891" i="7"/>
  <c r="G891" i="7"/>
  <c r="H891" i="7"/>
  <c r="L891" i="7"/>
  <c r="M891" i="7" s="1"/>
  <c r="N891" i="7"/>
  <c r="O891" i="7"/>
  <c r="P891" i="7"/>
  <c r="Q891" i="7"/>
  <c r="T891" i="7"/>
  <c r="A892" i="7"/>
  <c r="B892" i="7"/>
  <c r="C892" i="7"/>
  <c r="F892" i="7"/>
  <c r="G892" i="7"/>
  <c r="H892" i="7"/>
  <c r="L892" i="7"/>
  <c r="M892" i="7" s="1"/>
  <c r="N892" i="7"/>
  <c r="O892" i="7"/>
  <c r="P892" i="7"/>
  <c r="Q892" i="7"/>
  <c r="T892" i="7"/>
  <c r="A893" i="7"/>
  <c r="B893" i="7"/>
  <c r="C893" i="7"/>
  <c r="F893" i="7"/>
  <c r="G893" i="7"/>
  <c r="H893" i="7"/>
  <c r="L893" i="7"/>
  <c r="M893" i="7" s="1"/>
  <c r="N893" i="7"/>
  <c r="O893" i="7"/>
  <c r="P893" i="7"/>
  <c r="Q893" i="7"/>
  <c r="T893" i="7"/>
  <c r="A894" i="7"/>
  <c r="B894" i="7"/>
  <c r="C894" i="7"/>
  <c r="F894" i="7"/>
  <c r="D894" i="7" s="1"/>
  <c r="G894" i="7"/>
  <c r="H894" i="7"/>
  <c r="L894" i="7"/>
  <c r="M894" i="7" s="1"/>
  <c r="N894" i="7"/>
  <c r="O894" i="7"/>
  <c r="P894" i="7"/>
  <c r="Q894" i="7"/>
  <c r="T894" i="7"/>
  <c r="A895" i="7"/>
  <c r="B895" i="7"/>
  <c r="C895" i="7"/>
  <c r="F895" i="7"/>
  <c r="G895" i="7"/>
  <c r="H895" i="7"/>
  <c r="L895" i="7"/>
  <c r="M895" i="7" s="1"/>
  <c r="N895" i="7"/>
  <c r="O895" i="7"/>
  <c r="P895" i="7"/>
  <c r="Q895" i="7"/>
  <c r="T895" i="7"/>
  <c r="A896" i="7"/>
  <c r="B896" i="7"/>
  <c r="C896" i="7"/>
  <c r="F896" i="7"/>
  <c r="G896" i="7"/>
  <c r="H896" i="7"/>
  <c r="L896" i="7"/>
  <c r="M896" i="7" s="1"/>
  <c r="N896" i="7"/>
  <c r="O896" i="7"/>
  <c r="P896" i="7"/>
  <c r="Q896" i="7"/>
  <c r="T896" i="7"/>
  <c r="A897" i="7"/>
  <c r="B897" i="7"/>
  <c r="C897" i="7"/>
  <c r="F897" i="7"/>
  <c r="G897" i="7"/>
  <c r="H897" i="7"/>
  <c r="L897" i="7"/>
  <c r="M897" i="7" s="1"/>
  <c r="N897" i="7"/>
  <c r="O897" i="7"/>
  <c r="P897" i="7"/>
  <c r="Q897" i="7"/>
  <c r="T897" i="7"/>
  <c r="A898" i="7"/>
  <c r="B898" i="7"/>
  <c r="C898" i="7"/>
  <c r="F898" i="7"/>
  <c r="D898" i="7" s="1"/>
  <c r="G898" i="7"/>
  <c r="H898" i="7"/>
  <c r="L898" i="7"/>
  <c r="M898" i="7" s="1"/>
  <c r="N898" i="7"/>
  <c r="O898" i="7"/>
  <c r="P898" i="7"/>
  <c r="Q898" i="7"/>
  <c r="T898" i="7"/>
  <c r="A899" i="7"/>
  <c r="B899" i="7"/>
  <c r="C899" i="7"/>
  <c r="F899" i="7"/>
  <c r="G899" i="7"/>
  <c r="H899" i="7"/>
  <c r="L899" i="7"/>
  <c r="M899" i="7" s="1"/>
  <c r="N899" i="7"/>
  <c r="O899" i="7"/>
  <c r="P899" i="7"/>
  <c r="Q899" i="7"/>
  <c r="T899" i="7"/>
  <c r="A900" i="7"/>
  <c r="B900" i="7"/>
  <c r="C900" i="7"/>
  <c r="F900" i="7"/>
  <c r="G900" i="7"/>
  <c r="H900" i="7"/>
  <c r="L900" i="7"/>
  <c r="M900" i="7" s="1"/>
  <c r="N900" i="7"/>
  <c r="O900" i="7"/>
  <c r="P900" i="7"/>
  <c r="Q900" i="7"/>
  <c r="T900" i="7"/>
  <c r="A901" i="7"/>
  <c r="B901" i="7"/>
  <c r="C901" i="7"/>
  <c r="F901" i="7"/>
  <c r="G901" i="7"/>
  <c r="H901" i="7"/>
  <c r="L901" i="7"/>
  <c r="M901" i="7" s="1"/>
  <c r="N901" i="7"/>
  <c r="O901" i="7"/>
  <c r="P901" i="7"/>
  <c r="Q901" i="7"/>
  <c r="T901" i="7"/>
  <c r="A902" i="7"/>
  <c r="B902" i="7"/>
  <c r="C902" i="7"/>
  <c r="F902" i="7"/>
  <c r="G902" i="7"/>
  <c r="H902" i="7"/>
  <c r="L902" i="7"/>
  <c r="M902" i="7" s="1"/>
  <c r="N902" i="7"/>
  <c r="O902" i="7"/>
  <c r="P902" i="7"/>
  <c r="Q902" i="7"/>
  <c r="T902" i="7"/>
  <c r="A903" i="7"/>
  <c r="B903" i="7"/>
  <c r="C903" i="7"/>
  <c r="F903" i="7"/>
  <c r="D903" i="7" s="1"/>
  <c r="G903" i="7"/>
  <c r="H903" i="7"/>
  <c r="L903" i="7"/>
  <c r="M903" i="7" s="1"/>
  <c r="N903" i="7"/>
  <c r="O903" i="7"/>
  <c r="P903" i="7"/>
  <c r="Q903" i="7"/>
  <c r="T903" i="7"/>
  <c r="A904" i="7"/>
  <c r="B904" i="7"/>
  <c r="C904" i="7"/>
  <c r="F904" i="7"/>
  <c r="G904" i="7"/>
  <c r="H904" i="7"/>
  <c r="L904" i="7"/>
  <c r="M904" i="7" s="1"/>
  <c r="N904" i="7"/>
  <c r="O904" i="7"/>
  <c r="P904" i="7"/>
  <c r="Q904" i="7"/>
  <c r="T904" i="7"/>
  <c r="A905" i="7"/>
  <c r="B905" i="7"/>
  <c r="C905" i="7"/>
  <c r="F905" i="7"/>
  <c r="G905" i="7"/>
  <c r="H905" i="7"/>
  <c r="L905" i="7"/>
  <c r="M905" i="7" s="1"/>
  <c r="N905" i="7"/>
  <c r="O905" i="7"/>
  <c r="P905" i="7"/>
  <c r="Q905" i="7"/>
  <c r="T905" i="7"/>
  <c r="A906" i="7"/>
  <c r="B906" i="7"/>
  <c r="C906" i="7"/>
  <c r="F906" i="7"/>
  <c r="D906" i="7" s="1"/>
  <c r="G906" i="7"/>
  <c r="H906" i="7"/>
  <c r="L906" i="7"/>
  <c r="M906" i="7" s="1"/>
  <c r="N906" i="7"/>
  <c r="O906" i="7"/>
  <c r="P906" i="7"/>
  <c r="Q906" i="7"/>
  <c r="T906" i="7"/>
  <c r="A907" i="7"/>
  <c r="B907" i="7"/>
  <c r="C907" i="7"/>
  <c r="F907" i="7"/>
  <c r="G907" i="7"/>
  <c r="H907" i="7"/>
  <c r="L907" i="7"/>
  <c r="M907" i="7" s="1"/>
  <c r="N907" i="7"/>
  <c r="O907" i="7"/>
  <c r="P907" i="7"/>
  <c r="Q907" i="7"/>
  <c r="T907" i="7"/>
  <c r="A908" i="7"/>
  <c r="B908" i="7"/>
  <c r="C908" i="7"/>
  <c r="F908" i="7"/>
  <c r="G908" i="7"/>
  <c r="H908" i="7"/>
  <c r="L908" i="7"/>
  <c r="M908" i="7" s="1"/>
  <c r="N908" i="7"/>
  <c r="O908" i="7"/>
  <c r="P908" i="7"/>
  <c r="Q908" i="7"/>
  <c r="T908" i="7"/>
  <c r="A909" i="7"/>
  <c r="B909" i="7"/>
  <c r="C909" i="7"/>
  <c r="F909" i="7"/>
  <c r="G909" i="7"/>
  <c r="H909" i="7"/>
  <c r="L909" i="7"/>
  <c r="M909" i="7" s="1"/>
  <c r="N909" i="7"/>
  <c r="O909" i="7"/>
  <c r="P909" i="7"/>
  <c r="Q909" i="7"/>
  <c r="T909" i="7"/>
  <c r="A910" i="7"/>
  <c r="B910" i="7"/>
  <c r="C910" i="7"/>
  <c r="F910" i="7"/>
  <c r="G910" i="7"/>
  <c r="H910" i="7"/>
  <c r="L910" i="7"/>
  <c r="M910" i="7" s="1"/>
  <c r="N910" i="7"/>
  <c r="O910" i="7"/>
  <c r="P910" i="7"/>
  <c r="Q910" i="7"/>
  <c r="T910" i="7"/>
  <c r="A911" i="7"/>
  <c r="B911" i="7"/>
  <c r="C911" i="7"/>
  <c r="F911" i="7"/>
  <c r="D911" i="7" s="1"/>
  <c r="G911" i="7"/>
  <c r="H911" i="7"/>
  <c r="L911" i="7"/>
  <c r="M911" i="7" s="1"/>
  <c r="N911" i="7"/>
  <c r="O911" i="7"/>
  <c r="P911" i="7"/>
  <c r="Q911" i="7"/>
  <c r="T911" i="7"/>
  <c r="A912" i="7"/>
  <c r="B912" i="7"/>
  <c r="C912" i="7"/>
  <c r="F912" i="7"/>
  <c r="G912" i="7"/>
  <c r="H912" i="7"/>
  <c r="L912" i="7"/>
  <c r="M912" i="7" s="1"/>
  <c r="N912" i="7"/>
  <c r="O912" i="7"/>
  <c r="P912" i="7"/>
  <c r="Q912" i="7"/>
  <c r="T912" i="7"/>
  <c r="A913" i="7"/>
  <c r="B913" i="7"/>
  <c r="C913" i="7"/>
  <c r="F913" i="7"/>
  <c r="G913" i="7"/>
  <c r="H913" i="7"/>
  <c r="L913" i="7"/>
  <c r="M913" i="7" s="1"/>
  <c r="N913" i="7"/>
  <c r="O913" i="7"/>
  <c r="P913" i="7"/>
  <c r="Q913" i="7"/>
  <c r="T913" i="7"/>
  <c r="A914" i="7"/>
  <c r="B914" i="7"/>
  <c r="C914" i="7"/>
  <c r="F914" i="7"/>
  <c r="D914" i="7" s="1"/>
  <c r="G914" i="7"/>
  <c r="H914" i="7"/>
  <c r="L914" i="7"/>
  <c r="M914" i="7" s="1"/>
  <c r="N914" i="7"/>
  <c r="O914" i="7"/>
  <c r="P914" i="7"/>
  <c r="Q914" i="7"/>
  <c r="T914" i="7"/>
  <c r="A915" i="7"/>
  <c r="B915" i="7"/>
  <c r="C915" i="7"/>
  <c r="F915" i="7"/>
  <c r="G915" i="7"/>
  <c r="H915" i="7"/>
  <c r="L915" i="7"/>
  <c r="M915" i="7" s="1"/>
  <c r="N915" i="7"/>
  <c r="O915" i="7"/>
  <c r="P915" i="7"/>
  <c r="Q915" i="7"/>
  <c r="T915" i="7"/>
  <c r="A916" i="7"/>
  <c r="B916" i="7"/>
  <c r="C916" i="7"/>
  <c r="F916" i="7"/>
  <c r="G916" i="7"/>
  <c r="H916" i="7"/>
  <c r="L916" i="7"/>
  <c r="M916" i="7" s="1"/>
  <c r="N916" i="7"/>
  <c r="O916" i="7"/>
  <c r="P916" i="7"/>
  <c r="Q916" i="7"/>
  <c r="T916" i="7"/>
  <c r="A917" i="7"/>
  <c r="B917" i="7"/>
  <c r="C917" i="7"/>
  <c r="F917" i="7"/>
  <c r="G917" i="7"/>
  <c r="H917" i="7"/>
  <c r="L917" i="7"/>
  <c r="M917" i="7" s="1"/>
  <c r="N917" i="7"/>
  <c r="O917" i="7"/>
  <c r="P917" i="7"/>
  <c r="Q917" i="7"/>
  <c r="T917" i="7"/>
  <c r="A918" i="7"/>
  <c r="B918" i="7"/>
  <c r="C918" i="7"/>
  <c r="F918" i="7"/>
  <c r="E918" i="7" s="1"/>
  <c r="G918" i="7"/>
  <c r="H918" i="7"/>
  <c r="L918" i="7"/>
  <c r="M918" i="7" s="1"/>
  <c r="N918" i="7"/>
  <c r="O918" i="7"/>
  <c r="P918" i="7"/>
  <c r="Q918" i="7"/>
  <c r="T918" i="7"/>
  <c r="A919" i="7"/>
  <c r="B919" i="7"/>
  <c r="C919" i="7"/>
  <c r="F919" i="7"/>
  <c r="D919" i="7" s="1"/>
  <c r="G919" i="7"/>
  <c r="H919" i="7"/>
  <c r="L919" i="7"/>
  <c r="M919" i="7" s="1"/>
  <c r="N919" i="7"/>
  <c r="O919" i="7"/>
  <c r="P919" i="7"/>
  <c r="Q919" i="7"/>
  <c r="T919" i="7"/>
  <c r="A920" i="7"/>
  <c r="B920" i="7"/>
  <c r="C920" i="7"/>
  <c r="F920" i="7"/>
  <c r="G920" i="7"/>
  <c r="H920" i="7"/>
  <c r="L920" i="7"/>
  <c r="M920" i="7" s="1"/>
  <c r="N920" i="7"/>
  <c r="O920" i="7"/>
  <c r="P920" i="7"/>
  <c r="Q920" i="7"/>
  <c r="T920" i="7"/>
  <c r="A921" i="7"/>
  <c r="B921" i="7"/>
  <c r="C921" i="7"/>
  <c r="F921" i="7"/>
  <c r="D921" i="7" s="1"/>
  <c r="G921" i="7"/>
  <c r="H921" i="7"/>
  <c r="L921" i="7"/>
  <c r="M921" i="7" s="1"/>
  <c r="N921" i="7"/>
  <c r="O921" i="7"/>
  <c r="P921" i="7"/>
  <c r="Q921" i="7"/>
  <c r="T921" i="7"/>
  <c r="A922" i="7"/>
  <c r="B922" i="7"/>
  <c r="C922" i="7"/>
  <c r="F922" i="7"/>
  <c r="G922" i="7"/>
  <c r="H922" i="7"/>
  <c r="L922" i="7"/>
  <c r="M922" i="7" s="1"/>
  <c r="N922" i="7"/>
  <c r="O922" i="7"/>
  <c r="P922" i="7"/>
  <c r="Q922" i="7"/>
  <c r="T922" i="7"/>
  <c r="A923" i="7"/>
  <c r="B923" i="7"/>
  <c r="C923" i="7"/>
  <c r="F923" i="7"/>
  <c r="D923" i="7" s="1"/>
  <c r="G923" i="7"/>
  <c r="H923" i="7"/>
  <c r="L923" i="7"/>
  <c r="M923" i="7" s="1"/>
  <c r="N923" i="7"/>
  <c r="O923" i="7"/>
  <c r="P923" i="7"/>
  <c r="Q923" i="7"/>
  <c r="T923" i="7"/>
  <c r="A924" i="7"/>
  <c r="B924" i="7"/>
  <c r="C924" i="7"/>
  <c r="F924" i="7"/>
  <c r="D924" i="7" s="1"/>
  <c r="G924" i="7"/>
  <c r="H924" i="7"/>
  <c r="L924" i="7"/>
  <c r="M924" i="7" s="1"/>
  <c r="N924" i="7"/>
  <c r="O924" i="7"/>
  <c r="P924" i="7"/>
  <c r="Q924" i="7"/>
  <c r="T924" i="7"/>
  <c r="A925" i="7"/>
  <c r="B925" i="7"/>
  <c r="C925" i="7"/>
  <c r="F925" i="7"/>
  <c r="G925" i="7"/>
  <c r="H925" i="7"/>
  <c r="L925" i="7"/>
  <c r="M925" i="7" s="1"/>
  <c r="N925" i="7"/>
  <c r="O925" i="7"/>
  <c r="P925" i="7"/>
  <c r="Q925" i="7"/>
  <c r="T925" i="7"/>
  <c r="A926" i="7"/>
  <c r="B926" i="7"/>
  <c r="C926" i="7"/>
  <c r="F926" i="7"/>
  <c r="D926" i="7" s="1"/>
  <c r="G926" i="7"/>
  <c r="H926" i="7"/>
  <c r="L926" i="7"/>
  <c r="M926" i="7" s="1"/>
  <c r="N926" i="7"/>
  <c r="O926" i="7"/>
  <c r="P926" i="7"/>
  <c r="Q926" i="7"/>
  <c r="T926" i="7"/>
  <c r="A927" i="7"/>
  <c r="B927" i="7"/>
  <c r="C927" i="7"/>
  <c r="F927" i="7"/>
  <c r="G927" i="7"/>
  <c r="H927" i="7"/>
  <c r="L927" i="7"/>
  <c r="M927" i="7" s="1"/>
  <c r="N927" i="7"/>
  <c r="O927" i="7"/>
  <c r="P927" i="7"/>
  <c r="Q927" i="7"/>
  <c r="T927" i="7"/>
  <c r="A928" i="7"/>
  <c r="B928" i="7"/>
  <c r="C928" i="7"/>
  <c r="F928" i="7"/>
  <c r="G928" i="7"/>
  <c r="H928" i="7"/>
  <c r="L928" i="7"/>
  <c r="M928" i="7" s="1"/>
  <c r="N928" i="7"/>
  <c r="O928" i="7"/>
  <c r="P928" i="7"/>
  <c r="Q928" i="7"/>
  <c r="T928" i="7"/>
  <c r="A929" i="7"/>
  <c r="B929" i="7"/>
  <c r="C929" i="7"/>
  <c r="F929" i="7"/>
  <c r="D929" i="7" s="1"/>
  <c r="G929" i="7"/>
  <c r="H929" i="7"/>
  <c r="L929" i="7"/>
  <c r="M929" i="7" s="1"/>
  <c r="N929" i="7"/>
  <c r="O929" i="7"/>
  <c r="P929" i="7"/>
  <c r="Q929" i="7"/>
  <c r="T929" i="7"/>
  <c r="A930" i="7"/>
  <c r="B930" i="7"/>
  <c r="C930" i="7"/>
  <c r="F930" i="7"/>
  <c r="G930" i="7"/>
  <c r="H930" i="7"/>
  <c r="L930" i="7"/>
  <c r="M930" i="7" s="1"/>
  <c r="N930" i="7"/>
  <c r="O930" i="7"/>
  <c r="P930" i="7"/>
  <c r="Q930" i="7"/>
  <c r="T930" i="7"/>
  <c r="A931" i="7"/>
  <c r="B931" i="7"/>
  <c r="C931" i="7"/>
  <c r="F931" i="7"/>
  <c r="D931" i="7" s="1"/>
  <c r="G931" i="7"/>
  <c r="H931" i="7"/>
  <c r="L931" i="7"/>
  <c r="M931" i="7" s="1"/>
  <c r="N931" i="7"/>
  <c r="O931" i="7"/>
  <c r="P931" i="7"/>
  <c r="Q931" i="7"/>
  <c r="T931" i="7"/>
  <c r="A932" i="7"/>
  <c r="B932" i="7"/>
  <c r="C932" i="7"/>
  <c r="F932" i="7"/>
  <c r="D932" i="7" s="1"/>
  <c r="G932" i="7"/>
  <c r="H932" i="7"/>
  <c r="L932" i="7"/>
  <c r="M932" i="7" s="1"/>
  <c r="N932" i="7"/>
  <c r="O932" i="7"/>
  <c r="P932" i="7"/>
  <c r="Q932" i="7"/>
  <c r="T932" i="7"/>
  <c r="A933" i="7"/>
  <c r="B933" i="7"/>
  <c r="C933" i="7"/>
  <c r="F933" i="7"/>
  <c r="G933" i="7"/>
  <c r="H933" i="7"/>
  <c r="L933" i="7"/>
  <c r="M933" i="7" s="1"/>
  <c r="N933" i="7"/>
  <c r="O933" i="7"/>
  <c r="P933" i="7"/>
  <c r="Q933" i="7"/>
  <c r="T933" i="7"/>
  <c r="A934" i="7"/>
  <c r="B934" i="7"/>
  <c r="C934" i="7"/>
  <c r="F934" i="7"/>
  <c r="D934" i="7" s="1"/>
  <c r="G934" i="7"/>
  <c r="H934" i="7"/>
  <c r="L934" i="7"/>
  <c r="M934" i="7" s="1"/>
  <c r="N934" i="7"/>
  <c r="O934" i="7"/>
  <c r="P934" i="7"/>
  <c r="Q934" i="7"/>
  <c r="T934" i="7"/>
  <c r="A935" i="7"/>
  <c r="B935" i="7"/>
  <c r="C935" i="7"/>
  <c r="F935" i="7"/>
  <c r="G935" i="7"/>
  <c r="H935" i="7"/>
  <c r="L935" i="7"/>
  <c r="M935" i="7" s="1"/>
  <c r="N935" i="7"/>
  <c r="O935" i="7"/>
  <c r="P935" i="7"/>
  <c r="Q935" i="7"/>
  <c r="T935" i="7"/>
  <c r="A936" i="7"/>
  <c r="B936" i="7"/>
  <c r="C936" i="7"/>
  <c r="F936" i="7"/>
  <c r="G936" i="7"/>
  <c r="H936" i="7"/>
  <c r="L936" i="7"/>
  <c r="M936" i="7" s="1"/>
  <c r="N936" i="7"/>
  <c r="O936" i="7"/>
  <c r="P936" i="7"/>
  <c r="Q936" i="7"/>
  <c r="T936" i="7"/>
  <c r="A937" i="7"/>
  <c r="B937" i="7"/>
  <c r="C937" i="7"/>
  <c r="F937" i="7"/>
  <c r="D937" i="7" s="1"/>
  <c r="G937" i="7"/>
  <c r="H937" i="7"/>
  <c r="L937" i="7"/>
  <c r="M937" i="7" s="1"/>
  <c r="N937" i="7"/>
  <c r="O937" i="7"/>
  <c r="P937" i="7"/>
  <c r="Q937" i="7"/>
  <c r="T937" i="7"/>
  <c r="A938" i="7"/>
  <c r="B938" i="7"/>
  <c r="C938" i="7"/>
  <c r="F938" i="7"/>
  <c r="G938" i="7"/>
  <c r="H938" i="7"/>
  <c r="L938" i="7"/>
  <c r="M938" i="7" s="1"/>
  <c r="N938" i="7"/>
  <c r="O938" i="7"/>
  <c r="P938" i="7"/>
  <c r="Q938" i="7"/>
  <c r="T938" i="7"/>
  <c r="A939" i="7"/>
  <c r="B939" i="7"/>
  <c r="C939" i="7"/>
  <c r="F939" i="7"/>
  <c r="D939" i="7" s="1"/>
  <c r="G939" i="7"/>
  <c r="H939" i="7"/>
  <c r="L939" i="7"/>
  <c r="M939" i="7" s="1"/>
  <c r="N939" i="7"/>
  <c r="O939" i="7"/>
  <c r="P939" i="7"/>
  <c r="Q939" i="7"/>
  <c r="T939" i="7"/>
  <c r="A940" i="7"/>
  <c r="B940" i="7"/>
  <c r="C940" i="7"/>
  <c r="F940" i="7"/>
  <c r="D940" i="7" s="1"/>
  <c r="G940" i="7"/>
  <c r="H940" i="7"/>
  <c r="L940" i="7"/>
  <c r="M940" i="7" s="1"/>
  <c r="N940" i="7"/>
  <c r="O940" i="7"/>
  <c r="P940" i="7"/>
  <c r="Q940" i="7"/>
  <c r="T940" i="7"/>
  <c r="A941" i="7"/>
  <c r="B941" i="7"/>
  <c r="C941" i="7"/>
  <c r="F941" i="7"/>
  <c r="G941" i="7"/>
  <c r="H941" i="7"/>
  <c r="L941" i="7"/>
  <c r="M941" i="7" s="1"/>
  <c r="N941" i="7"/>
  <c r="O941" i="7"/>
  <c r="P941" i="7"/>
  <c r="Q941" i="7"/>
  <c r="T941" i="7"/>
  <c r="A942" i="7"/>
  <c r="B942" i="7"/>
  <c r="C942" i="7"/>
  <c r="F942" i="7"/>
  <c r="D942" i="7" s="1"/>
  <c r="G942" i="7"/>
  <c r="H942" i="7"/>
  <c r="L942" i="7"/>
  <c r="M942" i="7" s="1"/>
  <c r="N942" i="7"/>
  <c r="O942" i="7"/>
  <c r="P942" i="7"/>
  <c r="Q942" i="7"/>
  <c r="T942" i="7"/>
  <c r="A943" i="7"/>
  <c r="B943" i="7"/>
  <c r="C943" i="7"/>
  <c r="F943" i="7"/>
  <c r="G943" i="7"/>
  <c r="H943" i="7"/>
  <c r="L943" i="7"/>
  <c r="M943" i="7" s="1"/>
  <c r="N943" i="7"/>
  <c r="O943" i="7"/>
  <c r="P943" i="7"/>
  <c r="Q943" i="7"/>
  <c r="T943" i="7"/>
  <c r="A944" i="7"/>
  <c r="B944" i="7"/>
  <c r="C944" i="7"/>
  <c r="F944" i="7"/>
  <c r="G944" i="7"/>
  <c r="H944" i="7"/>
  <c r="L944" i="7"/>
  <c r="M944" i="7" s="1"/>
  <c r="N944" i="7"/>
  <c r="O944" i="7"/>
  <c r="P944" i="7"/>
  <c r="Q944" i="7"/>
  <c r="T944" i="7"/>
  <c r="A945" i="7"/>
  <c r="B945" i="7"/>
  <c r="C945" i="7"/>
  <c r="F945" i="7"/>
  <c r="D945" i="7" s="1"/>
  <c r="G945" i="7"/>
  <c r="H945" i="7"/>
  <c r="L945" i="7"/>
  <c r="M945" i="7" s="1"/>
  <c r="N945" i="7"/>
  <c r="O945" i="7"/>
  <c r="P945" i="7"/>
  <c r="Q945" i="7"/>
  <c r="T945" i="7"/>
  <c r="A946" i="7"/>
  <c r="B946" i="7"/>
  <c r="C946" i="7"/>
  <c r="F946" i="7"/>
  <c r="G946" i="7"/>
  <c r="H946" i="7"/>
  <c r="L946" i="7"/>
  <c r="M946" i="7" s="1"/>
  <c r="N946" i="7"/>
  <c r="O946" i="7"/>
  <c r="P946" i="7"/>
  <c r="Q946" i="7"/>
  <c r="T946" i="7"/>
  <c r="A947" i="7"/>
  <c r="B947" i="7"/>
  <c r="C947" i="7"/>
  <c r="F947" i="7"/>
  <c r="D947" i="7" s="1"/>
  <c r="G947" i="7"/>
  <c r="H947" i="7"/>
  <c r="L947" i="7"/>
  <c r="M947" i="7" s="1"/>
  <c r="N947" i="7"/>
  <c r="O947" i="7"/>
  <c r="P947" i="7"/>
  <c r="Q947" i="7"/>
  <c r="T947" i="7"/>
  <c r="A948" i="7"/>
  <c r="B948" i="7"/>
  <c r="C948" i="7"/>
  <c r="F948" i="7"/>
  <c r="D948" i="7" s="1"/>
  <c r="G948" i="7"/>
  <c r="H948" i="7"/>
  <c r="L948" i="7"/>
  <c r="M948" i="7" s="1"/>
  <c r="N948" i="7"/>
  <c r="O948" i="7"/>
  <c r="P948" i="7"/>
  <c r="Q948" i="7"/>
  <c r="T948" i="7"/>
  <c r="A949" i="7"/>
  <c r="B949" i="7"/>
  <c r="C949" i="7"/>
  <c r="F949" i="7"/>
  <c r="G949" i="7"/>
  <c r="H949" i="7"/>
  <c r="L949" i="7"/>
  <c r="M949" i="7" s="1"/>
  <c r="N949" i="7"/>
  <c r="O949" i="7"/>
  <c r="P949" i="7"/>
  <c r="Q949" i="7"/>
  <c r="T949" i="7"/>
  <c r="A950" i="7"/>
  <c r="B950" i="7"/>
  <c r="C950" i="7"/>
  <c r="F950" i="7"/>
  <c r="G950" i="7"/>
  <c r="H950" i="7"/>
  <c r="L950" i="7"/>
  <c r="M950" i="7" s="1"/>
  <c r="N950" i="7"/>
  <c r="O950" i="7"/>
  <c r="P950" i="7"/>
  <c r="Q950" i="7"/>
  <c r="T950" i="7"/>
  <c r="A951" i="7"/>
  <c r="B951" i="7"/>
  <c r="C951" i="7"/>
  <c r="F951" i="7"/>
  <c r="G951" i="7"/>
  <c r="H951" i="7"/>
  <c r="L951" i="7"/>
  <c r="M951" i="7" s="1"/>
  <c r="N951" i="7"/>
  <c r="O951" i="7"/>
  <c r="P951" i="7"/>
  <c r="Q951" i="7"/>
  <c r="T951" i="7"/>
  <c r="A952" i="7"/>
  <c r="B952" i="7"/>
  <c r="C952" i="7"/>
  <c r="F952" i="7"/>
  <c r="G952" i="7"/>
  <c r="H952" i="7"/>
  <c r="L952" i="7"/>
  <c r="M952" i="7" s="1"/>
  <c r="N952" i="7"/>
  <c r="O952" i="7"/>
  <c r="P952" i="7"/>
  <c r="Q952" i="7"/>
  <c r="T952" i="7"/>
  <c r="A953" i="7"/>
  <c r="B953" i="7"/>
  <c r="C953" i="7"/>
  <c r="F953" i="7"/>
  <c r="D953" i="7" s="1"/>
  <c r="G953" i="7"/>
  <c r="H953" i="7"/>
  <c r="L953" i="7"/>
  <c r="M953" i="7" s="1"/>
  <c r="N953" i="7"/>
  <c r="O953" i="7"/>
  <c r="P953" i="7"/>
  <c r="Q953" i="7"/>
  <c r="T953" i="7"/>
  <c r="A954" i="7"/>
  <c r="B954" i="7"/>
  <c r="C954" i="7"/>
  <c r="F954" i="7"/>
  <c r="G954" i="7"/>
  <c r="H954" i="7"/>
  <c r="L954" i="7"/>
  <c r="M954" i="7" s="1"/>
  <c r="N954" i="7"/>
  <c r="O954" i="7"/>
  <c r="P954" i="7"/>
  <c r="Q954" i="7"/>
  <c r="T954" i="7"/>
  <c r="A955" i="7"/>
  <c r="B955" i="7"/>
  <c r="C955" i="7"/>
  <c r="F955" i="7"/>
  <c r="D955" i="7" s="1"/>
  <c r="G955" i="7"/>
  <c r="H955" i="7"/>
  <c r="L955" i="7"/>
  <c r="M955" i="7" s="1"/>
  <c r="N955" i="7"/>
  <c r="O955" i="7"/>
  <c r="P955" i="7"/>
  <c r="Q955" i="7"/>
  <c r="T955" i="7"/>
  <c r="A956" i="7"/>
  <c r="B956" i="7"/>
  <c r="C956" i="7"/>
  <c r="F956" i="7"/>
  <c r="D956" i="7" s="1"/>
  <c r="G956" i="7"/>
  <c r="H956" i="7"/>
  <c r="L956" i="7"/>
  <c r="M956" i="7" s="1"/>
  <c r="N956" i="7"/>
  <c r="O956" i="7"/>
  <c r="P956" i="7"/>
  <c r="Q956" i="7"/>
  <c r="T956" i="7"/>
  <c r="A957" i="7"/>
  <c r="B957" i="7"/>
  <c r="C957" i="7"/>
  <c r="F957" i="7"/>
  <c r="G957" i="7"/>
  <c r="H957" i="7"/>
  <c r="L957" i="7"/>
  <c r="M957" i="7" s="1"/>
  <c r="N957" i="7"/>
  <c r="O957" i="7"/>
  <c r="P957" i="7"/>
  <c r="Q957" i="7"/>
  <c r="T957" i="7"/>
  <c r="A958" i="7"/>
  <c r="B958" i="7"/>
  <c r="C958" i="7"/>
  <c r="F958" i="7"/>
  <c r="G958" i="7"/>
  <c r="H958" i="7"/>
  <c r="L958" i="7"/>
  <c r="M958" i="7" s="1"/>
  <c r="N958" i="7"/>
  <c r="O958" i="7"/>
  <c r="P958" i="7"/>
  <c r="Q958" i="7"/>
  <c r="T958" i="7"/>
  <c r="A959" i="7"/>
  <c r="B959" i="7"/>
  <c r="C959" i="7"/>
  <c r="F959" i="7"/>
  <c r="G959" i="7"/>
  <c r="H959" i="7"/>
  <c r="L959" i="7"/>
  <c r="M959" i="7" s="1"/>
  <c r="N959" i="7"/>
  <c r="O959" i="7"/>
  <c r="P959" i="7"/>
  <c r="Q959" i="7"/>
  <c r="T959" i="7"/>
  <c r="A960" i="7"/>
  <c r="B960" i="7"/>
  <c r="C960" i="7"/>
  <c r="F960" i="7"/>
  <c r="G960" i="7"/>
  <c r="H960" i="7"/>
  <c r="L960" i="7"/>
  <c r="M960" i="7" s="1"/>
  <c r="N960" i="7"/>
  <c r="O960" i="7"/>
  <c r="P960" i="7"/>
  <c r="Q960" i="7"/>
  <c r="T960" i="7"/>
  <c r="A961" i="7"/>
  <c r="B961" i="7"/>
  <c r="C961" i="7"/>
  <c r="F961" i="7"/>
  <c r="D961" i="7" s="1"/>
  <c r="G961" i="7"/>
  <c r="H961" i="7"/>
  <c r="L961" i="7"/>
  <c r="M961" i="7" s="1"/>
  <c r="N961" i="7"/>
  <c r="O961" i="7"/>
  <c r="P961" i="7"/>
  <c r="Q961" i="7"/>
  <c r="T961" i="7"/>
  <c r="A962" i="7"/>
  <c r="B962" i="7"/>
  <c r="C962" i="7"/>
  <c r="F962" i="7"/>
  <c r="G962" i="7"/>
  <c r="H962" i="7"/>
  <c r="L962" i="7"/>
  <c r="M962" i="7" s="1"/>
  <c r="N962" i="7"/>
  <c r="O962" i="7"/>
  <c r="P962" i="7"/>
  <c r="Q962" i="7"/>
  <c r="T962" i="7"/>
  <c r="A963" i="7"/>
  <c r="B963" i="7"/>
  <c r="C963" i="7"/>
  <c r="F963" i="7"/>
  <c r="D963" i="7" s="1"/>
  <c r="G963" i="7"/>
  <c r="H963" i="7"/>
  <c r="L963" i="7"/>
  <c r="M963" i="7" s="1"/>
  <c r="N963" i="7"/>
  <c r="O963" i="7"/>
  <c r="P963" i="7"/>
  <c r="Q963" i="7"/>
  <c r="T963" i="7"/>
  <c r="A964" i="7"/>
  <c r="B964" i="7"/>
  <c r="C964" i="7"/>
  <c r="F964" i="7"/>
  <c r="D964" i="7" s="1"/>
  <c r="G964" i="7"/>
  <c r="H964" i="7"/>
  <c r="L964" i="7"/>
  <c r="M964" i="7" s="1"/>
  <c r="N964" i="7"/>
  <c r="O964" i="7"/>
  <c r="P964" i="7"/>
  <c r="Q964" i="7"/>
  <c r="T964" i="7"/>
  <c r="A965" i="7"/>
  <c r="B965" i="7"/>
  <c r="C965" i="7"/>
  <c r="F965" i="7"/>
  <c r="G965" i="7"/>
  <c r="H965" i="7"/>
  <c r="L965" i="7"/>
  <c r="M965" i="7" s="1"/>
  <c r="N965" i="7"/>
  <c r="O965" i="7"/>
  <c r="P965" i="7"/>
  <c r="Q965" i="7"/>
  <c r="T965" i="7"/>
  <c r="A966" i="7"/>
  <c r="B966" i="7"/>
  <c r="C966" i="7"/>
  <c r="F966" i="7"/>
  <c r="G966" i="7"/>
  <c r="H966" i="7"/>
  <c r="L966" i="7"/>
  <c r="M966" i="7" s="1"/>
  <c r="N966" i="7"/>
  <c r="O966" i="7"/>
  <c r="P966" i="7"/>
  <c r="Q966" i="7"/>
  <c r="T966" i="7"/>
  <c r="A967" i="7"/>
  <c r="B967" i="7"/>
  <c r="C967" i="7"/>
  <c r="F967" i="7"/>
  <c r="G967" i="7"/>
  <c r="H967" i="7"/>
  <c r="L967" i="7"/>
  <c r="M967" i="7" s="1"/>
  <c r="N967" i="7"/>
  <c r="O967" i="7"/>
  <c r="P967" i="7"/>
  <c r="Q967" i="7"/>
  <c r="T967" i="7"/>
  <c r="A968" i="7"/>
  <c r="B968" i="7"/>
  <c r="C968" i="7"/>
  <c r="F968" i="7"/>
  <c r="G968" i="7"/>
  <c r="H968" i="7"/>
  <c r="L968" i="7"/>
  <c r="M968" i="7" s="1"/>
  <c r="N968" i="7"/>
  <c r="O968" i="7"/>
  <c r="P968" i="7"/>
  <c r="Q968" i="7"/>
  <c r="T968" i="7"/>
  <c r="A969" i="7"/>
  <c r="B969" i="7"/>
  <c r="C969" i="7"/>
  <c r="F969" i="7"/>
  <c r="D969" i="7" s="1"/>
  <c r="G969" i="7"/>
  <c r="H969" i="7"/>
  <c r="L969" i="7"/>
  <c r="M969" i="7" s="1"/>
  <c r="N969" i="7"/>
  <c r="O969" i="7"/>
  <c r="P969" i="7"/>
  <c r="Q969" i="7"/>
  <c r="T969" i="7"/>
  <c r="A970" i="7"/>
  <c r="B970" i="7"/>
  <c r="C970" i="7"/>
  <c r="F970" i="7"/>
  <c r="G970" i="7"/>
  <c r="H970" i="7"/>
  <c r="L970" i="7"/>
  <c r="M970" i="7" s="1"/>
  <c r="N970" i="7"/>
  <c r="O970" i="7"/>
  <c r="P970" i="7"/>
  <c r="Q970" i="7"/>
  <c r="T970" i="7"/>
  <c r="A971" i="7"/>
  <c r="B971" i="7"/>
  <c r="C971" i="7"/>
  <c r="F971" i="7"/>
  <c r="D971" i="7" s="1"/>
  <c r="G971" i="7"/>
  <c r="H971" i="7"/>
  <c r="L971" i="7"/>
  <c r="M971" i="7" s="1"/>
  <c r="N971" i="7"/>
  <c r="O971" i="7"/>
  <c r="P971" i="7"/>
  <c r="Q971" i="7"/>
  <c r="T971" i="7"/>
  <c r="A972" i="7"/>
  <c r="B972" i="7"/>
  <c r="C972" i="7"/>
  <c r="F972" i="7"/>
  <c r="D972" i="7" s="1"/>
  <c r="G972" i="7"/>
  <c r="H972" i="7"/>
  <c r="L972" i="7"/>
  <c r="M972" i="7" s="1"/>
  <c r="N972" i="7"/>
  <c r="O972" i="7"/>
  <c r="P972" i="7"/>
  <c r="Q972" i="7"/>
  <c r="T972" i="7"/>
  <c r="A973" i="7"/>
  <c r="B973" i="7"/>
  <c r="C973" i="7"/>
  <c r="F973" i="7"/>
  <c r="G973" i="7"/>
  <c r="H973" i="7"/>
  <c r="L973" i="7"/>
  <c r="M973" i="7" s="1"/>
  <c r="N973" i="7"/>
  <c r="O973" i="7"/>
  <c r="P973" i="7"/>
  <c r="Q973" i="7"/>
  <c r="T973" i="7"/>
  <c r="A974" i="7"/>
  <c r="B974" i="7"/>
  <c r="C974" i="7"/>
  <c r="F974" i="7"/>
  <c r="G974" i="7"/>
  <c r="H974" i="7"/>
  <c r="L974" i="7"/>
  <c r="M974" i="7" s="1"/>
  <c r="N974" i="7"/>
  <c r="O974" i="7"/>
  <c r="P974" i="7"/>
  <c r="Q974" i="7"/>
  <c r="T974" i="7"/>
  <c r="A975" i="7"/>
  <c r="B975" i="7"/>
  <c r="C975" i="7"/>
  <c r="F975" i="7"/>
  <c r="G975" i="7"/>
  <c r="H975" i="7"/>
  <c r="L975" i="7"/>
  <c r="M975" i="7" s="1"/>
  <c r="N975" i="7"/>
  <c r="O975" i="7"/>
  <c r="P975" i="7"/>
  <c r="Q975" i="7"/>
  <c r="T975" i="7"/>
  <c r="A976" i="7"/>
  <c r="B976" i="7"/>
  <c r="C976" i="7"/>
  <c r="F976" i="7"/>
  <c r="G976" i="7"/>
  <c r="H976" i="7"/>
  <c r="L976" i="7"/>
  <c r="M976" i="7" s="1"/>
  <c r="N976" i="7"/>
  <c r="O976" i="7"/>
  <c r="P976" i="7"/>
  <c r="Q976" i="7"/>
  <c r="T976" i="7"/>
  <c r="A977" i="7"/>
  <c r="B977" i="7"/>
  <c r="C977" i="7"/>
  <c r="F977" i="7"/>
  <c r="D977" i="7" s="1"/>
  <c r="G977" i="7"/>
  <c r="H977" i="7"/>
  <c r="L977" i="7"/>
  <c r="M977" i="7" s="1"/>
  <c r="N977" i="7"/>
  <c r="O977" i="7"/>
  <c r="P977" i="7"/>
  <c r="Q977" i="7"/>
  <c r="T977" i="7"/>
  <c r="A978" i="7"/>
  <c r="B978" i="7"/>
  <c r="C978" i="7"/>
  <c r="F978" i="7"/>
  <c r="G978" i="7"/>
  <c r="H978" i="7"/>
  <c r="L978" i="7"/>
  <c r="M978" i="7" s="1"/>
  <c r="N978" i="7"/>
  <c r="O978" i="7"/>
  <c r="P978" i="7"/>
  <c r="Q978" i="7"/>
  <c r="T978" i="7"/>
  <c r="A979" i="7"/>
  <c r="B979" i="7"/>
  <c r="C979" i="7"/>
  <c r="F979" i="7"/>
  <c r="D979" i="7" s="1"/>
  <c r="G979" i="7"/>
  <c r="H979" i="7"/>
  <c r="L979" i="7"/>
  <c r="M979" i="7" s="1"/>
  <c r="N979" i="7"/>
  <c r="O979" i="7"/>
  <c r="P979" i="7"/>
  <c r="Q979" i="7"/>
  <c r="T979" i="7"/>
  <c r="A980" i="7"/>
  <c r="B980" i="7"/>
  <c r="C980" i="7"/>
  <c r="F980" i="7"/>
  <c r="G980" i="7"/>
  <c r="H980" i="7"/>
  <c r="L980" i="7"/>
  <c r="M980" i="7" s="1"/>
  <c r="N980" i="7"/>
  <c r="O980" i="7"/>
  <c r="P980" i="7"/>
  <c r="Q980" i="7"/>
  <c r="T980" i="7"/>
  <c r="A981" i="7"/>
  <c r="B981" i="7"/>
  <c r="C981" i="7"/>
  <c r="F981" i="7"/>
  <c r="G981" i="7"/>
  <c r="H981" i="7"/>
  <c r="L981" i="7"/>
  <c r="M981" i="7" s="1"/>
  <c r="N981" i="7"/>
  <c r="O981" i="7"/>
  <c r="P981" i="7"/>
  <c r="Q981" i="7"/>
  <c r="T981" i="7"/>
  <c r="A982" i="7"/>
  <c r="B982" i="7"/>
  <c r="C982" i="7"/>
  <c r="F982" i="7"/>
  <c r="G982" i="7"/>
  <c r="H982" i="7"/>
  <c r="L982" i="7"/>
  <c r="M982" i="7" s="1"/>
  <c r="N982" i="7"/>
  <c r="O982" i="7"/>
  <c r="P982" i="7"/>
  <c r="Q982" i="7"/>
  <c r="T982" i="7"/>
  <c r="A983" i="7"/>
  <c r="B983" i="7"/>
  <c r="C983" i="7"/>
  <c r="F983" i="7"/>
  <c r="G983" i="7"/>
  <c r="H983" i="7"/>
  <c r="L983" i="7"/>
  <c r="M983" i="7" s="1"/>
  <c r="N983" i="7"/>
  <c r="O983" i="7"/>
  <c r="P983" i="7"/>
  <c r="Q983" i="7"/>
  <c r="T983" i="7"/>
  <c r="A984" i="7"/>
  <c r="B984" i="7"/>
  <c r="C984" i="7"/>
  <c r="F984" i="7"/>
  <c r="G984" i="7"/>
  <c r="H984" i="7"/>
  <c r="L984" i="7"/>
  <c r="M984" i="7" s="1"/>
  <c r="N984" i="7"/>
  <c r="O984" i="7"/>
  <c r="P984" i="7"/>
  <c r="Q984" i="7"/>
  <c r="T984" i="7"/>
  <c r="A985" i="7"/>
  <c r="B985" i="7"/>
  <c r="C985" i="7"/>
  <c r="F985" i="7"/>
  <c r="G985" i="7"/>
  <c r="H985" i="7"/>
  <c r="L985" i="7"/>
  <c r="M985" i="7" s="1"/>
  <c r="N985" i="7"/>
  <c r="O985" i="7"/>
  <c r="P985" i="7"/>
  <c r="Q985" i="7"/>
  <c r="T985" i="7"/>
  <c r="A986" i="7"/>
  <c r="B986" i="7"/>
  <c r="C986" i="7"/>
  <c r="F986" i="7"/>
  <c r="G986" i="7"/>
  <c r="H986" i="7"/>
  <c r="L986" i="7"/>
  <c r="M986" i="7" s="1"/>
  <c r="N986" i="7"/>
  <c r="O986" i="7"/>
  <c r="P986" i="7"/>
  <c r="Q986" i="7"/>
  <c r="T986" i="7"/>
  <c r="A987" i="7"/>
  <c r="B987" i="7"/>
  <c r="C987" i="7"/>
  <c r="F987" i="7"/>
  <c r="D987" i="7" s="1"/>
  <c r="G987" i="7"/>
  <c r="H987" i="7"/>
  <c r="L987" i="7"/>
  <c r="M987" i="7" s="1"/>
  <c r="N987" i="7"/>
  <c r="O987" i="7"/>
  <c r="P987" i="7"/>
  <c r="Q987" i="7"/>
  <c r="T987" i="7"/>
  <c r="A988" i="7"/>
  <c r="B988" i="7"/>
  <c r="C988" i="7"/>
  <c r="F988" i="7"/>
  <c r="G988" i="7"/>
  <c r="H988" i="7"/>
  <c r="L988" i="7"/>
  <c r="M988" i="7" s="1"/>
  <c r="N988" i="7"/>
  <c r="O988" i="7"/>
  <c r="P988" i="7"/>
  <c r="Q988" i="7"/>
  <c r="T988" i="7"/>
  <c r="A989" i="7"/>
  <c r="B989" i="7"/>
  <c r="C989" i="7"/>
  <c r="F989" i="7"/>
  <c r="G989" i="7"/>
  <c r="H989" i="7"/>
  <c r="L989" i="7"/>
  <c r="M989" i="7" s="1"/>
  <c r="N989" i="7"/>
  <c r="O989" i="7"/>
  <c r="P989" i="7"/>
  <c r="Q989" i="7"/>
  <c r="T989" i="7"/>
  <c r="A990" i="7"/>
  <c r="B990" i="7"/>
  <c r="C990" i="7"/>
  <c r="F990" i="7"/>
  <c r="G990" i="7"/>
  <c r="H990" i="7"/>
  <c r="L990" i="7"/>
  <c r="M990" i="7" s="1"/>
  <c r="N990" i="7"/>
  <c r="O990" i="7"/>
  <c r="P990" i="7"/>
  <c r="Q990" i="7"/>
  <c r="T990" i="7"/>
  <c r="A991" i="7"/>
  <c r="B991" i="7"/>
  <c r="C991" i="7"/>
  <c r="F991" i="7"/>
  <c r="D991" i="7" s="1"/>
  <c r="G991" i="7"/>
  <c r="H991" i="7"/>
  <c r="L991" i="7"/>
  <c r="M991" i="7" s="1"/>
  <c r="N991" i="7"/>
  <c r="O991" i="7"/>
  <c r="P991" i="7"/>
  <c r="Q991" i="7"/>
  <c r="T991" i="7"/>
  <c r="A992" i="7"/>
  <c r="B992" i="7"/>
  <c r="C992" i="7"/>
  <c r="F992" i="7"/>
  <c r="G992" i="7"/>
  <c r="H992" i="7"/>
  <c r="L992" i="7"/>
  <c r="M992" i="7" s="1"/>
  <c r="N992" i="7"/>
  <c r="O992" i="7"/>
  <c r="P992" i="7"/>
  <c r="Q992" i="7"/>
  <c r="T992" i="7"/>
  <c r="A993" i="7"/>
  <c r="B993" i="7"/>
  <c r="C993" i="7"/>
  <c r="F993" i="7"/>
  <c r="D993" i="7" s="1"/>
  <c r="G993" i="7"/>
  <c r="H993" i="7"/>
  <c r="L993" i="7"/>
  <c r="M993" i="7" s="1"/>
  <c r="N993" i="7"/>
  <c r="O993" i="7"/>
  <c r="P993" i="7"/>
  <c r="Q993" i="7"/>
  <c r="T993" i="7"/>
  <c r="A994" i="7"/>
  <c r="B994" i="7"/>
  <c r="C994" i="7"/>
  <c r="F994" i="7"/>
  <c r="G994" i="7"/>
  <c r="H994" i="7"/>
  <c r="L994" i="7"/>
  <c r="M994" i="7" s="1"/>
  <c r="N994" i="7"/>
  <c r="O994" i="7"/>
  <c r="P994" i="7"/>
  <c r="Q994" i="7"/>
  <c r="T994" i="7"/>
  <c r="A995" i="7"/>
  <c r="B995" i="7"/>
  <c r="C995" i="7"/>
  <c r="F995" i="7"/>
  <c r="D995" i="7" s="1"/>
  <c r="G995" i="7"/>
  <c r="H995" i="7"/>
  <c r="L995" i="7"/>
  <c r="M995" i="7" s="1"/>
  <c r="N995" i="7"/>
  <c r="O995" i="7"/>
  <c r="P995" i="7"/>
  <c r="Q995" i="7"/>
  <c r="T995" i="7"/>
  <c r="A996" i="7"/>
  <c r="B996" i="7"/>
  <c r="C996" i="7"/>
  <c r="F996" i="7"/>
  <c r="G996" i="7"/>
  <c r="H996" i="7"/>
  <c r="L996" i="7"/>
  <c r="M996" i="7" s="1"/>
  <c r="N996" i="7"/>
  <c r="O996" i="7"/>
  <c r="P996" i="7"/>
  <c r="Q996" i="7"/>
  <c r="T996" i="7"/>
  <c r="A997" i="7"/>
  <c r="B997" i="7"/>
  <c r="C997" i="7"/>
  <c r="F997" i="7"/>
  <c r="D997" i="7" s="1"/>
  <c r="G997" i="7"/>
  <c r="H997" i="7"/>
  <c r="L997" i="7"/>
  <c r="M997" i="7" s="1"/>
  <c r="N997" i="7"/>
  <c r="O997" i="7"/>
  <c r="P997" i="7"/>
  <c r="Q997" i="7"/>
  <c r="T997" i="7"/>
  <c r="A998" i="7"/>
  <c r="B998" i="7"/>
  <c r="C998" i="7"/>
  <c r="F998" i="7"/>
  <c r="G998" i="7"/>
  <c r="H998" i="7"/>
  <c r="L998" i="7"/>
  <c r="M998" i="7" s="1"/>
  <c r="N998" i="7"/>
  <c r="O998" i="7"/>
  <c r="P998" i="7"/>
  <c r="Q998" i="7"/>
  <c r="T998" i="7"/>
  <c r="A999" i="7"/>
  <c r="B999" i="7"/>
  <c r="C999" i="7"/>
  <c r="F999" i="7"/>
  <c r="D999" i="7" s="1"/>
  <c r="G999" i="7"/>
  <c r="H999" i="7"/>
  <c r="L999" i="7"/>
  <c r="M999" i="7" s="1"/>
  <c r="N999" i="7"/>
  <c r="O999" i="7"/>
  <c r="P999" i="7"/>
  <c r="Q999" i="7"/>
  <c r="T999" i="7"/>
  <c r="A1000" i="7"/>
  <c r="B1000" i="7"/>
  <c r="C1000" i="7"/>
  <c r="F1000" i="7"/>
  <c r="G1000" i="7"/>
  <c r="H1000" i="7"/>
  <c r="L1000" i="7"/>
  <c r="M1000" i="7" s="1"/>
  <c r="N1000" i="7"/>
  <c r="O1000" i="7"/>
  <c r="P1000" i="7"/>
  <c r="Q1000" i="7"/>
  <c r="T1000" i="7"/>
  <c r="A1001" i="7"/>
  <c r="B1001" i="7"/>
  <c r="C1001" i="7"/>
  <c r="F1001" i="7"/>
  <c r="D1001" i="7" s="1"/>
  <c r="G1001" i="7"/>
  <c r="H1001" i="7"/>
  <c r="L1001" i="7"/>
  <c r="M1001" i="7" s="1"/>
  <c r="N1001" i="7"/>
  <c r="O1001" i="7"/>
  <c r="P1001" i="7"/>
  <c r="Q1001" i="7"/>
  <c r="T1001" i="7"/>
  <c r="A1002" i="7"/>
  <c r="B1002" i="7"/>
  <c r="C1002" i="7"/>
  <c r="F1002" i="7"/>
  <c r="G1002" i="7"/>
  <c r="H1002" i="7"/>
  <c r="L1002" i="7"/>
  <c r="M1002" i="7" s="1"/>
  <c r="N1002" i="7"/>
  <c r="O1002" i="7"/>
  <c r="P1002" i="7"/>
  <c r="Q1002" i="7"/>
  <c r="T1002" i="7"/>
  <c r="A1003" i="7"/>
  <c r="B1003" i="7"/>
  <c r="C1003" i="7"/>
  <c r="F1003" i="7"/>
  <c r="D1003" i="7" s="1"/>
  <c r="G1003" i="7"/>
  <c r="H1003" i="7"/>
  <c r="L1003" i="7"/>
  <c r="M1003" i="7" s="1"/>
  <c r="N1003" i="7"/>
  <c r="O1003" i="7"/>
  <c r="P1003" i="7"/>
  <c r="Q1003" i="7"/>
  <c r="T1003" i="7"/>
  <c r="A1004" i="7"/>
  <c r="B1004" i="7"/>
  <c r="C1004" i="7"/>
  <c r="F1004" i="7"/>
  <c r="G1004" i="7"/>
  <c r="H1004" i="7"/>
  <c r="L1004" i="7"/>
  <c r="M1004" i="7" s="1"/>
  <c r="N1004" i="7"/>
  <c r="O1004" i="7"/>
  <c r="P1004" i="7"/>
  <c r="Q1004" i="7"/>
  <c r="T1004" i="7"/>
  <c r="A1005" i="7"/>
  <c r="B1005" i="7"/>
  <c r="C1005" i="7"/>
  <c r="F1005" i="7"/>
  <c r="D1005" i="7" s="1"/>
  <c r="G1005" i="7"/>
  <c r="H1005" i="7"/>
  <c r="L1005" i="7"/>
  <c r="M1005" i="7" s="1"/>
  <c r="N1005" i="7"/>
  <c r="O1005" i="7"/>
  <c r="P1005" i="7"/>
  <c r="Q1005" i="7"/>
  <c r="T1005" i="7"/>
  <c r="A1006" i="7"/>
  <c r="B1006" i="7"/>
  <c r="C1006" i="7"/>
  <c r="F1006" i="7"/>
  <c r="G1006" i="7"/>
  <c r="H1006" i="7"/>
  <c r="L1006" i="7"/>
  <c r="M1006" i="7" s="1"/>
  <c r="N1006" i="7"/>
  <c r="O1006" i="7"/>
  <c r="P1006" i="7"/>
  <c r="Q1006" i="7"/>
  <c r="T1006" i="7"/>
  <c r="A1007" i="7"/>
  <c r="B1007" i="7"/>
  <c r="C1007" i="7"/>
  <c r="F1007" i="7"/>
  <c r="D1007" i="7" s="1"/>
  <c r="G1007" i="7"/>
  <c r="H1007" i="7"/>
  <c r="L1007" i="7"/>
  <c r="M1007" i="7" s="1"/>
  <c r="N1007" i="7"/>
  <c r="O1007" i="7"/>
  <c r="P1007" i="7"/>
  <c r="Q1007" i="7"/>
  <c r="T1007" i="7"/>
  <c r="A1008" i="7"/>
  <c r="B1008" i="7"/>
  <c r="C1008" i="7"/>
  <c r="F1008" i="7"/>
  <c r="G1008" i="7"/>
  <c r="H1008" i="7"/>
  <c r="L1008" i="7"/>
  <c r="M1008" i="7" s="1"/>
  <c r="N1008" i="7"/>
  <c r="O1008" i="7"/>
  <c r="P1008" i="7"/>
  <c r="Q1008" i="7"/>
  <c r="T1008" i="7"/>
  <c r="A1009" i="7"/>
  <c r="B1009" i="7"/>
  <c r="C1009" i="7"/>
  <c r="F1009" i="7"/>
  <c r="D1009" i="7" s="1"/>
  <c r="G1009" i="7"/>
  <c r="H1009" i="7"/>
  <c r="L1009" i="7"/>
  <c r="M1009" i="7" s="1"/>
  <c r="N1009" i="7"/>
  <c r="O1009" i="7"/>
  <c r="P1009" i="7"/>
  <c r="Q1009" i="7"/>
  <c r="T1009" i="7"/>
  <c r="A1010" i="7"/>
  <c r="B1010" i="7"/>
  <c r="C1010" i="7"/>
  <c r="F1010" i="7"/>
  <c r="G1010" i="7"/>
  <c r="H1010" i="7"/>
  <c r="L1010" i="7"/>
  <c r="M1010" i="7" s="1"/>
  <c r="N1010" i="7"/>
  <c r="O1010" i="7"/>
  <c r="P1010" i="7"/>
  <c r="Q1010" i="7"/>
  <c r="T1010" i="7"/>
  <c r="A1011" i="7"/>
  <c r="B1011" i="7"/>
  <c r="C1011" i="7"/>
  <c r="F1011" i="7"/>
  <c r="G1011" i="7"/>
  <c r="H1011" i="7"/>
  <c r="L1011" i="7"/>
  <c r="M1011" i="7" s="1"/>
  <c r="N1011" i="7"/>
  <c r="O1011" i="7"/>
  <c r="P1011" i="7"/>
  <c r="Q1011" i="7"/>
  <c r="T1011" i="7"/>
  <c r="A1012" i="7"/>
  <c r="B1012" i="7"/>
  <c r="C1012" i="7"/>
  <c r="F1012" i="7"/>
  <c r="D1012" i="7" s="1"/>
  <c r="G1012" i="7"/>
  <c r="H1012" i="7"/>
  <c r="L1012" i="7"/>
  <c r="M1012" i="7" s="1"/>
  <c r="N1012" i="7"/>
  <c r="O1012" i="7"/>
  <c r="P1012" i="7"/>
  <c r="Q1012" i="7"/>
  <c r="T1012" i="7"/>
  <c r="A1013" i="7"/>
  <c r="B1013" i="7"/>
  <c r="C1013" i="7"/>
  <c r="F1013" i="7"/>
  <c r="G1013" i="7"/>
  <c r="H1013" i="7"/>
  <c r="L1013" i="7"/>
  <c r="M1013" i="7" s="1"/>
  <c r="N1013" i="7"/>
  <c r="O1013" i="7"/>
  <c r="P1013" i="7"/>
  <c r="Q1013" i="7"/>
  <c r="T1013" i="7"/>
  <c r="A1014" i="7"/>
  <c r="B1014" i="7"/>
  <c r="C1014" i="7"/>
  <c r="F1014" i="7"/>
  <c r="D1014" i="7" s="1"/>
  <c r="G1014" i="7"/>
  <c r="H1014" i="7"/>
  <c r="L1014" i="7"/>
  <c r="M1014" i="7" s="1"/>
  <c r="N1014" i="7"/>
  <c r="O1014" i="7"/>
  <c r="P1014" i="7"/>
  <c r="Q1014" i="7"/>
  <c r="T1014" i="7"/>
  <c r="A1015" i="7"/>
  <c r="B1015" i="7"/>
  <c r="C1015" i="7"/>
  <c r="F1015" i="7"/>
  <c r="G1015" i="7"/>
  <c r="H1015" i="7"/>
  <c r="L1015" i="7"/>
  <c r="M1015" i="7" s="1"/>
  <c r="N1015" i="7"/>
  <c r="O1015" i="7"/>
  <c r="P1015" i="7"/>
  <c r="Q1015" i="7"/>
  <c r="T1015" i="7"/>
  <c r="A1016" i="7"/>
  <c r="A1017" i="7"/>
  <c r="A1018" i="7"/>
  <c r="B1018" i="7"/>
  <c r="C1018" i="7"/>
  <c r="F1018" i="7"/>
  <c r="D1018" i="7" s="1"/>
  <c r="G1018" i="7"/>
  <c r="H1018" i="7"/>
  <c r="L1018" i="7"/>
  <c r="M1018" i="7" s="1"/>
  <c r="N1018" i="7"/>
  <c r="O1018" i="7"/>
  <c r="P1018" i="7"/>
  <c r="Q1018" i="7"/>
  <c r="T1018" i="7"/>
  <c r="A1019" i="7"/>
  <c r="B1019" i="7"/>
  <c r="C1019" i="7"/>
  <c r="F1019" i="7"/>
  <c r="G1019" i="7"/>
  <c r="H1019" i="7"/>
  <c r="L1019" i="7"/>
  <c r="M1019" i="7" s="1"/>
  <c r="N1019" i="7"/>
  <c r="O1019" i="7"/>
  <c r="P1019" i="7"/>
  <c r="Q1019" i="7"/>
  <c r="T1019" i="7"/>
  <c r="A1020" i="7"/>
  <c r="B1020" i="7"/>
  <c r="C1020" i="7"/>
  <c r="F1020" i="7"/>
  <c r="D1020" i="7" s="1"/>
  <c r="G1020" i="7"/>
  <c r="H1020" i="7"/>
  <c r="L1020" i="7"/>
  <c r="M1020" i="7" s="1"/>
  <c r="N1020" i="7"/>
  <c r="O1020" i="7"/>
  <c r="P1020" i="7"/>
  <c r="Q1020" i="7"/>
  <c r="T1020" i="7"/>
  <c r="A1021" i="7"/>
  <c r="B1021" i="7"/>
  <c r="C1021" i="7"/>
  <c r="F1021" i="7"/>
  <c r="G1021" i="7"/>
  <c r="H1021" i="7"/>
  <c r="L1021" i="7"/>
  <c r="M1021" i="7" s="1"/>
  <c r="N1021" i="7"/>
  <c r="O1021" i="7"/>
  <c r="P1021" i="7"/>
  <c r="Q1021" i="7"/>
  <c r="T1021" i="7"/>
  <c r="A1022" i="7"/>
  <c r="B1022" i="7"/>
  <c r="C1022" i="7"/>
  <c r="F1022" i="7"/>
  <c r="D1022" i="7" s="1"/>
  <c r="G1022" i="7"/>
  <c r="H1022" i="7"/>
  <c r="L1022" i="7"/>
  <c r="M1022" i="7" s="1"/>
  <c r="N1022" i="7"/>
  <c r="O1022" i="7"/>
  <c r="P1022" i="7"/>
  <c r="Q1022" i="7"/>
  <c r="T1022" i="7"/>
  <c r="A1023" i="7"/>
  <c r="B1023" i="7"/>
  <c r="C1023" i="7"/>
  <c r="F1023" i="7"/>
  <c r="G1023" i="7"/>
  <c r="H1023" i="7"/>
  <c r="L1023" i="7"/>
  <c r="M1023" i="7" s="1"/>
  <c r="N1023" i="7"/>
  <c r="O1023" i="7"/>
  <c r="P1023" i="7"/>
  <c r="Q1023" i="7"/>
  <c r="T1023" i="7"/>
  <c r="A1024" i="7"/>
  <c r="B1024" i="7"/>
  <c r="C1024" i="7"/>
  <c r="F1024" i="7"/>
  <c r="D1024" i="7" s="1"/>
  <c r="G1024" i="7"/>
  <c r="H1024" i="7"/>
  <c r="L1024" i="7"/>
  <c r="M1024" i="7" s="1"/>
  <c r="N1024" i="7"/>
  <c r="O1024" i="7"/>
  <c r="P1024" i="7"/>
  <c r="Q1024" i="7"/>
  <c r="T1024" i="7"/>
  <c r="A1025" i="7"/>
  <c r="B1025" i="7"/>
  <c r="C1025" i="7"/>
  <c r="F1025" i="7"/>
  <c r="G1025" i="7"/>
  <c r="H1025" i="7"/>
  <c r="L1025" i="7"/>
  <c r="M1025" i="7" s="1"/>
  <c r="N1025" i="7"/>
  <c r="O1025" i="7"/>
  <c r="P1025" i="7"/>
  <c r="Q1025" i="7"/>
  <c r="T1025" i="7"/>
  <c r="A1026" i="7"/>
  <c r="B1026" i="7"/>
  <c r="C1026" i="7"/>
  <c r="F1026" i="7"/>
  <c r="D1026" i="7" s="1"/>
  <c r="G1026" i="7"/>
  <c r="H1026" i="7"/>
  <c r="L1026" i="7"/>
  <c r="M1026" i="7" s="1"/>
  <c r="N1026" i="7"/>
  <c r="O1026" i="7"/>
  <c r="P1026" i="7"/>
  <c r="Q1026" i="7"/>
  <c r="T1026" i="7"/>
  <c r="A1027" i="7"/>
  <c r="B1027" i="7"/>
  <c r="C1027" i="7"/>
  <c r="F1027" i="7"/>
  <c r="G1027" i="7"/>
  <c r="H1027" i="7"/>
  <c r="L1027" i="7"/>
  <c r="M1027" i="7" s="1"/>
  <c r="N1027" i="7"/>
  <c r="O1027" i="7"/>
  <c r="P1027" i="7"/>
  <c r="Q1027" i="7"/>
  <c r="T1027" i="7"/>
  <c r="A1028" i="7"/>
  <c r="A1029" i="7"/>
  <c r="B1029" i="7"/>
  <c r="C1029" i="7"/>
  <c r="F1029" i="7"/>
  <c r="G1029" i="7"/>
  <c r="H1029" i="7"/>
  <c r="L1029" i="7"/>
  <c r="M1029" i="7" s="1"/>
  <c r="N1029" i="7"/>
  <c r="O1029" i="7"/>
  <c r="P1029" i="7"/>
  <c r="Q1029" i="7"/>
  <c r="T1029" i="7"/>
  <c r="A1030" i="7"/>
  <c r="B1030" i="7"/>
  <c r="C1030" i="7"/>
  <c r="F1030" i="7"/>
  <c r="D1030" i="7" s="1"/>
  <c r="G1030" i="7"/>
  <c r="H1030" i="7"/>
  <c r="L1030" i="7"/>
  <c r="M1030" i="7" s="1"/>
  <c r="N1030" i="7"/>
  <c r="O1030" i="7"/>
  <c r="P1030" i="7"/>
  <c r="Q1030" i="7"/>
  <c r="T1030" i="7"/>
  <c r="A1031" i="7"/>
  <c r="B1031" i="7"/>
  <c r="C1031" i="7"/>
  <c r="F1031" i="7"/>
  <c r="G1031" i="7"/>
  <c r="H1031" i="7"/>
  <c r="L1031" i="7"/>
  <c r="M1031" i="7" s="1"/>
  <c r="N1031" i="7"/>
  <c r="O1031" i="7"/>
  <c r="P1031" i="7"/>
  <c r="Q1031" i="7"/>
  <c r="T1031" i="7"/>
  <c r="A1032" i="7"/>
  <c r="B1032" i="7"/>
  <c r="C1032" i="7"/>
  <c r="F1032" i="7"/>
  <c r="D1032" i="7" s="1"/>
  <c r="G1032" i="7"/>
  <c r="H1032" i="7"/>
  <c r="L1032" i="7"/>
  <c r="M1032" i="7" s="1"/>
  <c r="N1032" i="7"/>
  <c r="O1032" i="7"/>
  <c r="P1032" i="7"/>
  <c r="Q1032" i="7"/>
  <c r="T1032" i="7"/>
  <c r="A1033" i="7"/>
  <c r="B1033" i="7"/>
  <c r="C1033" i="7"/>
  <c r="F1033" i="7"/>
  <c r="G1033" i="7"/>
  <c r="H1033" i="7"/>
  <c r="L1033" i="7"/>
  <c r="M1033" i="7" s="1"/>
  <c r="N1033" i="7"/>
  <c r="O1033" i="7"/>
  <c r="P1033" i="7"/>
  <c r="Q1033" i="7"/>
  <c r="T1033" i="7"/>
  <c r="A1034" i="7"/>
  <c r="B1034" i="7"/>
  <c r="C1034" i="7"/>
  <c r="F1034" i="7"/>
  <c r="D1034" i="7" s="1"/>
  <c r="G1034" i="7"/>
  <c r="H1034" i="7"/>
  <c r="L1034" i="7"/>
  <c r="M1034" i="7" s="1"/>
  <c r="N1034" i="7"/>
  <c r="O1034" i="7"/>
  <c r="P1034" i="7"/>
  <c r="Q1034" i="7"/>
  <c r="T1034" i="7"/>
  <c r="A1035" i="7"/>
  <c r="B1035" i="7"/>
  <c r="C1035" i="7"/>
  <c r="F1035" i="7"/>
  <c r="G1035" i="7"/>
  <c r="H1035" i="7"/>
  <c r="L1035" i="7"/>
  <c r="M1035" i="7" s="1"/>
  <c r="N1035" i="7"/>
  <c r="O1035" i="7"/>
  <c r="P1035" i="7"/>
  <c r="Q1035" i="7"/>
  <c r="T1035" i="7"/>
  <c r="A1036" i="7"/>
  <c r="B1036" i="7"/>
  <c r="C1036" i="7"/>
  <c r="F1036" i="7"/>
  <c r="D1036" i="7" s="1"/>
  <c r="G1036" i="7"/>
  <c r="H1036" i="7"/>
  <c r="L1036" i="7"/>
  <c r="M1036" i="7" s="1"/>
  <c r="N1036" i="7"/>
  <c r="O1036" i="7"/>
  <c r="P1036" i="7"/>
  <c r="Q1036" i="7"/>
  <c r="T1036" i="7"/>
  <c r="A1037" i="7"/>
  <c r="B1037" i="7"/>
  <c r="C1037" i="7"/>
  <c r="F1037" i="7"/>
  <c r="G1037" i="7"/>
  <c r="H1037" i="7"/>
  <c r="L1037" i="7"/>
  <c r="M1037" i="7" s="1"/>
  <c r="N1037" i="7"/>
  <c r="O1037" i="7"/>
  <c r="P1037" i="7"/>
  <c r="Q1037" i="7"/>
  <c r="T1037" i="7"/>
  <c r="A1038" i="7"/>
  <c r="B1038" i="7"/>
  <c r="C1038" i="7"/>
  <c r="F1038" i="7"/>
  <c r="G1038" i="7"/>
  <c r="H1038" i="7"/>
  <c r="L1038" i="7"/>
  <c r="M1038" i="7" s="1"/>
  <c r="N1038" i="7"/>
  <c r="O1038" i="7"/>
  <c r="P1038" i="7"/>
  <c r="Q1038" i="7"/>
  <c r="T1038" i="7"/>
  <c r="A1039" i="7"/>
  <c r="B1039" i="7"/>
  <c r="C1039" i="7"/>
  <c r="F1039" i="7"/>
  <c r="E1039" i="7" s="1"/>
  <c r="G1039" i="7"/>
  <c r="H1039" i="7"/>
  <c r="L1039" i="7"/>
  <c r="M1039" i="7" s="1"/>
  <c r="N1039" i="7"/>
  <c r="O1039" i="7"/>
  <c r="P1039" i="7"/>
  <c r="Q1039" i="7"/>
  <c r="T1039" i="7"/>
  <c r="A1040" i="7"/>
  <c r="B1040" i="7"/>
  <c r="C1040" i="7"/>
  <c r="F1040" i="7"/>
  <c r="E1040" i="7" s="1"/>
  <c r="G1040" i="7"/>
  <c r="H1040" i="7"/>
  <c r="L1040" i="7"/>
  <c r="M1040" i="7" s="1"/>
  <c r="N1040" i="7"/>
  <c r="O1040" i="7"/>
  <c r="P1040" i="7"/>
  <c r="Q1040" i="7"/>
  <c r="T1040" i="7"/>
  <c r="A1041" i="7"/>
  <c r="B1041" i="7"/>
  <c r="C1041" i="7"/>
  <c r="F1041" i="7"/>
  <c r="G1041" i="7"/>
  <c r="H1041" i="7"/>
  <c r="L1041" i="7"/>
  <c r="M1041" i="7" s="1"/>
  <c r="N1041" i="7"/>
  <c r="O1041" i="7"/>
  <c r="P1041" i="7"/>
  <c r="Q1041" i="7"/>
  <c r="T1041" i="7"/>
  <c r="A1042" i="7"/>
  <c r="B1042" i="7"/>
  <c r="C1042" i="7"/>
  <c r="F1042" i="7"/>
  <c r="G1042" i="7"/>
  <c r="H1042" i="7"/>
  <c r="L1042" i="7"/>
  <c r="M1042" i="7" s="1"/>
  <c r="N1042" i="7"/>
  <c r="O1042" i="7"/>
  <c r="P1042" i="7"/>
  <c r="Q1042" i="7"/>
  <c r="T1042" i="7"/>
  <c r="A1043" i="7"/>
  <c r="B1043" i="7"/>
  <c r="C1043" i="7"/>
  <c r="E1043" i="7"/>
  <c r="G1043" i="7"/>
  <c r="H1043" i="7"/>
  <c r="L1043" i="7"/>
  <c r="M1043" i="7" s="1"/>
  <c r="N1043" i="7"/>
  <c r="O1043" i="7"/>
  <c r="P1043" i="7"/>
  <c r="Q1043" i="7"/>
  <c r="T1043" i="7"/>
  <c r="A1044" i="7"/>
  <c r="B1044" i="7"/>
  <c r="C1044" i="7"/>
  <c r="F1044" i="7"/>
  <c r="E1044" i="7" s="1"/>
  <c r="G1044" i="7"/>
  <c r="H1044" i="7"/>
  <c r="L1044" i="7"/>
  <c r="M1044" i="7" s="1"/>
  <c r="N1044" i="7"/>
  <c r="O1044" i="7"/>
  <c r="P1044" i="7"/>
  <c r="Q1044" i="7"/>
  <c r="T1044" i="7"/>
  <c r="A1045" i="7"/>
  <c r="B1045" i="7"/>
  <c r="C1045" i="7"/>
  <c r="F1045" i="7"/>
  <c r="G1045" i="7"/>
  <c r="H1045" i="7"/>
  <c r="L1045" i="7"/>
  <c r="M1045" i="7" s="1"/>
  <c r="N1045" i="7"/>
  <c r="O1045" i="7"/>
  <c r="P1045" i="7"/>
  <c r="Q1045" i="7"/>
  <c r="T1045" i="7"/>
  <c r="A1046" i="7"/>
  <c r="B1046" i="7"/>
  <c r="C1046" i="7"/>
  <c r="F1046" i="7"/>
  <c r="G1046" i="7"/>
  <c r="H1046" i="7"/>
  <c r="L1046" i="7"/>
  <c r="M1046" i="7" s="1"/>
  <c r="N1046" i="7"/>
  <c r="O1046" i="7"/>
  <c r="P1046" i="7"/>
  <c r="Q1046" i="7"/>
  <c r="T1046" i="7"/>
  <c r="A1047" i="7"/>
  <c r="B1047" i="7"/>
  <c r="C1047" i="7"/>
  <c r="F1047" i="7"/>
  <c r="E1047" i="7" s="1"/>
  <c r="G1047" i="7"/>
  <c r="H1047" i="7"/>
  <c r="L1047" i="7"/>
  <c r="M1047" i="7" s="1"/>
  <c r="N1047" i="7"/>
  <c r="O1047" i="7"/>
  <c r="P1047" i="7"/>
  <c r="Q1047" i="7"/>
  <c r="T1047" i="7"/>
  <c r="A1048" i="7"/>
  <c r="B1048" i="7"/>
  <c r="C1048" i="7"/>
  <c r="F1048" i="7"/>
  <c r="E1048" i="7" s="1"/>
  <c r="G1048" i="7"/>
  <c r="H1048" i="7"/>
  <c r="L1048" i="7"/>
  <c r="M1048" i="7" s="1"/>
  <c r="N1048" i="7"/>
  <c r="O1048" i="7"/>
  <c r="P1048" i="7"/>
  <c r="Q1048" i="7"/>
  <c r="T1048" i="7"/>
  <c r="A1049" i="7"/>
  <c r="B1049" i="7"/>
  <c r="C1049" i="7"/>
  <c r="F1049" i="7"/>
  <c r="G1049" i="7"/>
  <c r="H1049" i="7"/>
  <c r="L1049" i="7"/>
  <c r="M1049" i="7" s="1"/>
  <c r="N1049" i="7"/>
  <c r="O1049" i="7"/>
  <c r="P1049" i="7"/>
  <c r="Q1049" i="7"/>
  <c r="T1049" i="7"/>
  <c r="A1050" i="7"/>
  <c r="B1050" i="7"/>
  <c r="C1050" i="7"/>
  <c r="F1050" i="7"/>
  <c r="G1050" i="7"/>
  <c r="H1050" i="7"/>
  <c r="L1050" i="7"/>
  <c r="M1050" i="7" s="1"/>
  <c r="N1050" i="7"/>
  <c r="O1050" i="7"/>
  <c r="P1050" i="7"/>
  <c r="Q1050" i="7"/>
  <c r="T1050" i="7"/>
  <c r="A1051" i="7"/>
  <c r="B1051" i="7"/>
  <c r="C1051" i="7"/>
  <c r="F1051" i="7"/>
  <c r="G1051" i="7"/>
  <c r="H1051" i="7"/>
  <c r="L1051" i="7"/>
  <c r="M1051" i="7" s="1"/>
  <c r="N1051" i="7"/>
  <c r="O1051" i="7"/>
  <c r="P1051" i="7"/>
  <c r="Q1051" i="7"/>
  <c r="T1051" i="7"/>
  <c r="A1052" i="7"/>
  <c r="B1052" i="7"/>
  <c r="C1052" i="7"/>
  <c r="F1052" i="7"/>
  <c r="G1052" i="7"/>
  <c r="H1052" i="7"/>
  <c r="L1052" i="7"/>
  <c r="M1052" i="7" s="1"/>
  <c r="N1052" i="7"/>
  <c r="O1052" i="7"/>
  <c r="P1052" i="7"/>
  <c r="Q1052" i="7"/>
  <c r="T1052" i="7"/>
  <c r="A1053" i="7"/>
  <c r="B1053" i="7"/>
  <c r="C1053" i="7"/>
  <c r="F1053" i="7"/>
  <c r="G1053" i="7"/>
  <c r="H1053" i="7"/>
  <c r="L1053" i="7"/>
  <c r="M1053" i="7" s="1"/>
  <c r="N1053" i="7"/>
  <c r="O1053" i="7"/>
  <c r="P1053" i="7"/>
  <c r="Q1053" i="7"/>
  <c r="T1053" i="7"/>
  <c r="A1054" i="7"/>
  <c r="B1054" i="7"/>
  <c r="C1054" i="7"/>
  <c r="F1054" i="7"/>
  <c r="G1054" i="7"/>
  <c r="H1054" i="7"/>
  <c r="L1054" i="7"/>
  <c r="M1054" i="7" s="1"/>
  <c r="N1054" i="7"/>
  <c r="O1054" i="7"/>
  <c r="P1054" i="7"/>
  <c r="Q1054" i="7"/>
  <c r="T1054" i="7"/>
  <c r="A1055" i="7"/>
  <c r="B1055" i="7"/>
  <c r="C1055" i="7"/>
  <c r="F1055" i="7"/>
  <c r="G1055" i="7"/>
  <c r="H1055" i="7"/>
  <c r="L1055" i="7"/>
  <c r="M1055" i="7" s="1"/>
  <c r="N1055" i="7"/>
  <c r="O1055" i="7"/>
  <c r="P1055" i="7"/>
  <c r="Q1055" i="7"/>
  <c r="T1055" i="7"/>
  <c r="A1056" i="7"/>
  <c r="B1056" i="7"/>
  <c r="C1056" i="7"/>
  <c r="F1056" i="7"/>
  <c r="G1056" i="7"/>
  <c r="H1056" i="7"/>
  <c r="L1056" i="7"/>
  <c r="M1056" i="7" s="1"/>
  <c r="N1056" i="7"/>
  <c r="O1056" i="7"/>
  <c r="P1056" i="7"/>
  <c r="Q1056" i="7"/>
  <c r="T1056" i="7"/>
  <c r="A1057" i="7"/>
  <c r="B1057" i="7"/>
  <c r="C1057" i="7"/>
  <c r="F1057" i="7"/>
  <c r="G1057" i="7"/>
  <c r="H1057" i="7"/>
  <c r="L1057" i="7"/>
  <c r="M1057" i="7" s="1"/>
  <c r="N1057" i="7"/>
  <c r="O1057" i="7"/>
  <c r="P1057" i="7"/>
  <c r="Q1057" i="7"/>
  <c r="T1057" i="7"/>
  <c r="A1058" i="7"/>
  <c r="B1058" i="7"/>
  <c r="C1058" i="7"/>
  <c r="F1058" i="7"/>
  <c r="G1058" i="7"/>
  <c r="H1058" i="7"/>
  <c r="L1058" i="7"/>
  <c r="M1058" i="7" s="1"/>
  <c r="N1058" i="7"/>
  <c r="O1058" i="7"/>
  <c r="P1058" i="7"/>
  <c r="Q1058" i="7"/>
  <c r="T1058" i="7"/>
  <c r="A1059" i="7"/>
  <c r="B1059" i="7"/>
  <c r="C1059" i="7"/>
  <c r="F1059" i="7"/>
  <c r="G1059" i="7"/>
  <c r="H1059" i="7"/>
  <c r="L1059" i="7"/>
  <c r="M1059" i="7" s="1"/>
  <c r="N1059" i="7"/>
  <c r="O1059" i="7"/>
  <c r="P1059" i="7"/>
  <c r="Q1059" i="7"/>
  <c r="T1059" i="7"/>
  <c r="A1060" i="7"/>
  <c r="B1060" i="7"/>
  <c r="C1060" i="7"/>
  <c r="F1060" i="7"/>
  <c r="G1060" i="7"/>
  <c r="H1060" i="7"/>
  <c r="L1060" i="7"/>
  <c r="M1060" i="7" s="1"/>
  <c r="N1060" i="7"/>
  <c r="O1060" i="7"/>
  <c r="P1060" i="7"/>
  <c r="Q1060" i="7"/>
  <c r="T1060" i="7"/>
  <c r="A1061" i="7"/>
  <c r="B1061" i="7"/>
  <c r="C1061" i="7"/>
  <c r="F1061" i="7"/>
  <c r="G1061" i="7"/>
  <c r="H1061" i="7"/>
  <c r="L1061" i="7"/>
  <c r="M1061" i="7" s="1"/>
  <c r="N1061" i="7"/>
  <c r="O1061" i="7"/>
  <c r="P1061" i="7"/>
  <c r="Q1061" i="7"/>
  <c r="T1061" i="7"/>
  <c r="A1062" i="7"/>
  <c r="B1062" i="7"/>
  <c r="C1062" i="7"/>
  <c r="F1062" i="7"/>
  <c r="G1062" i="7"/>
  <c r="H1062" i="7"/>
  <c r="L1062" i="7"/>
  <c r="M1062" i="7" s="1"/>
  <c r="N1062" i="7"/>
  <c r="O1062" i="7"/>
  <c r="P1062" i="7"/>
  <c r="Q1062" i="7"/>
  <c r="T1062" i="7"/>
  <c r="A1063" i="7"/>
  <c r="B1063" i="7"/>
  <c r="C1063" i="7"/>
  <c r="F1063" i="7"/>
  <c r="G1063" i="7"/>
  <c r="H1063" i="7"/>
  <c r="L1063" i="7"/>
  <c r="M1063" i="7" s="1"/>
  <c r="N1063" i="7"/>
  <c r="O1063" i="7"/>
  <c r="P1063" i="7"/>
  <c r="Q1063" i="7"/>
  <c r="T1063" i="7"/>
  <c r="A1064" i="7"/>
  <c r="B1064" i="7"/>
  <c r="C1064" i="7"/>
  <c r="F1064" i="7"/>
  <c r="G1064" i="7"/>
  <c r="H1064" i="7"/>
  <c r="L1064" i="7"/>
  <c r="M1064" i="7" s="1"/>
  <c r="N1064" i="7"/>
  <c r="O1064" i="7"/>
  <c r="P1064" i="7"/>
  <c r="Q1064" i="7"/>
  <c r="T1064" i="7"/>
  <c r="A1065" i="7"/>
  <c r="B1065" i="7"/>
  <c r="C1065" i="7"/>
  <c r="F1065" i="7"/>
  <c r="G1065" i="7"/>
  <c r="H1065" i="7"/>
  <c r="L1065" i="7"/>
  <c r="M1065" i="7" s="1"/>
  <c r="N1065" i="7"/>
  <c r="O1065" i="7"/>
  <c r="P1065" i="7"/>
  <c r="Q1065" i="7"/>
  <c r="T1065" i="7"/>
  <c r="A1066" i="7"/>
  <c r="B1066" i="7"/>
  <c r="C1066" i="7"/>
  <c r="F1066" i="7"/>
  <c r="G1066" i="7"/>
  <c r="H1066" i="7"/>
  <c r="L1066" i="7"/>
  <c r="M1066" i="7" s="1"/>
  <c r="N1066" i="7"/>
  <c r="O1066" i="7"/>
  <c r="P1066" i="7"/>
  <c r="Q1066" i="7"/>
  <c r="T1066" i="7"/>
  <c r="A1067" i="7"/>
  <c r="B1067" i="7"/>
  <c r="C1067" i="7"/>
  <c r="F1067" i="7"/>
  <c r="G1067" i="7"/>
  <c r="H1067" i="7"/>
  <c r="L1067" i="7"/>
  <c r="M1067" i="7" s="1"/>
  <c r="N1067" i="7"/>
  <c r="O1067" i="7"/>
  <c r="P1067" i="7"/>
  <c r="Q1067" i="7"/>
  <c r="T1067" i="7"/>
  <c r="A1068" i="7"/>
  <c r="B1068" i="7"/>
  <c r="C1068" i="7"/>
  <c r="F1068" i="7"/>
  <c r="G1068" i="7"/>
  <c r="H1068" i="7"/>
  <c r="L1068" i="7"/>
  <c r="M1068" i="7" s="1"/>
  <c r="N1068" i="7"/>
  <c r="O1068" i="7"/>
  <c r="P1068" i="7"/>
  <c r="Q1068" i="7"/>
  <c r="T1068" i="7"/>
  <c r="A1069" i="7"/>
  <c r="B1069" i="7"/>
  <c r="C1069" i="7"/>
  <c r="F1069" i="7"/>
  <c r="G1069" i="7"/>
  <c r="H1069" i="7"/>
  <c r="L1069" i="7"/>
  <c r="M1069" i="7" s="1"/>
  <c r="N1069" i="7"/>
  <c r="O1069" i="7"/>
  <c r="P1069" i="7"/>
  <c r="Q1069" i="7"/>
  <c r="T1069" i="7"/>
  <c r="A1070" i="7"/>
  <c r="B1070" i="7"/>
  <c r="C1070" i="7"/>
  <c r="F1070" i="7"/>
  <c r="G1070" i="7"/>
  <c r="H1070" i="7"/>
  <c r="L1070" i="7"/>
  <c r="M1070" i="7" s="1"/>
  <c r="N1070" i="7"/>
  <c r="O1070" i="7"/>
  <c r="P1070" i="7"/>
  <c r="Q1070" i="7"/>
  <c r="T1070" i="7"/>
  <c r="A1071" i="7"/>
  <c r="B1071" i="7"/>
  <c r="C1071" i="7"/>
  <c r="F1071" i="7"/>
  <c r="G1071" i="7"/>
  <c r="H1071" i="7"/>
  <c r="L1071" i="7"/>
  <c r="M1071" i="7" s="1"/>
  <c r="N1071" i="7"/>
  <c r="O1071" i="7"/>
  <c r="P1071" i="7"/>
  <c r="Q1071" i="7"/>
  <c r="T1071" i="7"/>
  <c r="A1072" i="7"/>
  <c r="B1072" i="7"/>
  <c r="C1072" i="7"/>
  <c r="G1072" i="7"/>
  <c r="H1072" i="7"/>
  <c r="L1072" i="7"/>
  <c r="M1072" i="7" s="1"/>
  <c r="N1072" i="7"/>
  <c r="O1072" i="7"/>
  <c r="P1072" i="7"/>
  <c r="Q1072" i="7"/>
  <c r="T1072" i="7"/>
  <c r="A1073" i="7"/>
  <c r="B1073" i="7"/>
  <c r="C1073" i="7"/>
  <c r="F1073" i="7"/>
  <c r="G1073" i="7"/>
  <c r="H1073" i="7"/>
  <c r="L1073" i="7"/>
  <c r="M1073" i="7" s="1"/>
  <c r="N1073" i="7"/>
  <c r="O1073" i="7"/>
  <c r="P1073" i="7"/>
  <c r="Q1073" i="7"/>
  <c r="T1073" i="7"/>
  <c r="A1074" i="7"/>
  <c r="B1074" i="7"/>
  <c r="C1074" i="7"/>
  <c r="F1074" i="7"/>
  <c r="G1074" i="7"/>
  <c r="H1074" i="7"/>
  <c r="L1074" i="7"/>
  <c r="M1074" i="7" s="1"/>
  <c r="N1074" i="7"/>
  <c r="O1074" i="7"/>
  <c r="P1074" i="7"/>
  <c r="Q1074" i="7"/>
  <c r="T1074" i="7"/>
  <c r="A1075" i="7"/>
  <c r="B1075" i="7"/>
  <c r="C1075" i="7"/>
  <c r="F1075" i="7"/>
  <c r="G1075" i="7"/>
  <c r="H1075" i="7"/>
  <c r="L1075" i="7"/>
  <c r="M1075" i="7" s="1"/>
  <c r="N1075" i="7"/>
  <c r="O1075" i="7"/>
  <c r="P1075" i="7"/>
  <c r="Q1075" i="7"/>
  <c r="T1075" i="7"/>
  <c r="A1076" i="7"/>
  <c r="B1076" i="7"/>
  <c r="C1076" i="7"/>
  <c r="F1076" i="7"/>
  <c r="G1076" i="7"/>
  <c r="H1076" i="7"/>
  <c r="L1076" i="7"/>
  <c r="M1076" i="7" s="1"/>
  <c r="N1076" i="7"/>
  <c r="O1076" i="7"/>
  <c r="P1076" i="7"/>
  <c r="Q1076" i="7"/>
  <c r="T1076" i="7"/>
  <c r="A1077" i="7"/>
  <c r="B1077" i="7"/>
  <c r="C1077" i="7"/>
  <c r="F1077" i="7"/>
  <c r="G1077" i="7"/>
  <c r="H1077" i="7"/>
  <c r="L1077" i="7"/>
  <c r="M1077" i="7" s="1"/>
  <c r="N1077" i="7"/>
  <c r="O1077" i="7"/>
  <c r="P1077" i="7"/>
  <c r="Q1077" i="7"/>
  <c r="T1077" i="7"/>
  <c r="A1078" i="7"/>
  <c r="B1078" i="7"/>
  <c r="C1078" i="7"/>
  <c r="F1078" i="7"/>
  <c r="G1078" i="7"/>
  <c r="H1078" i="7"/>
  <c r="L1078" i="7"/>
  <c r="M1078" i="7" s="1"/>
  <c r="N1078" i="7"/>
  <c r="O1078" i="7"/>
  <c r="P1078" i="7"/>
  <c r="Q1078" i="7"/>
  <c r="T1078" i="7"/>
  <c r="R1078" i="7" l="1"/>
  <c r="R1077" i="7"/>
  <c r="R1076" i="7"/>
  <c r="R1075" i="7"/>
  <c r="R1074" i="7"/>
  <c r="R1073" i="7"/>
  <c r="R1072" i="7"/>
  <c r="R1071" i="7"/>
  <c r="R1070" i="7"/>
  <c r="R1069" i="7"/>
  <c r="R1068" i="7"/>
  <c r="R1067" i="7"/>
  <c r="R1066" i="7"/>
  <c r="R1065" i="7"/>
  <c r="R1064" i="7"/>
  <c r="R1063" i="7"/>
  <c r="R1062" i="7"/>
  <c r="R1061" i="7"/>
  <c r="R1060" i="7"/>
  <c r="R1059" i="7"/>
  <c r="R1058" i="7"/>
  <c r="R1056" i="7"/>
  <c r="R1057" i="7"/>
  <c r="R1055" i="7"/>
  <c r="R1054" i="7"/>
  <c r="R1053" i="7"/>
  <c r="R1052" i="7"/>
  <c r="R1051" i="7"/>
  <c r="R1050" i="7"/>
  <c r="R1049" i="7"/>
  <c r="R1045" i="7"/>
  <c r="R1041" i="7"/>
  <c r="R1048" i="7"/>
  <c r="R1040" i="7"/>
  <c r="R980" i="7"/>
  <c r="R921" i="7"/>
  <c r="R972" i="7"/>
  <c r="R967" i="7"/>
  <c r="R985" i="7"/>
  <c r="R929" i="7"/>
  <c r="R964" i="7"/>
  <c r="R924" i="7"/>
  <c r="R988" i="7"/>
  <c r="R953" i="7"/>
  <c r="R977" i="7"/>
  <c r="R961" i="7"/>
  <c r="R969" i="7"/>
  <c r="R956" i="7"/>
  <c r="R932" i="7"/>
  <c r="R948" i="7"/>
  <c r="R945" i="7"/>
  <c r="R978" i="7"/>
  <c r="R940" i="7"/>
  <c r="R937" i="7"/>
  <c r="R1044" i="7"/>
  <c r="D1078" i="7"/>
  <c r="E1078" i="7"/>
  <c r="D1077" i="7"/>
  <c r="E1077" i="7"/>
  <c r="D1076" i="7"/>
  <c r="E1076" i="7"/>
  <c r="D1075" i="7"/>
  <c r="E1075" i="7"/>
  <c r="D1074" i="7"/>
  <c r="E1074" i="7"/>
  <c r="D1073" i="7"/>
  <c r="E1073" i="7"/>
  <c r="D1072" i="7"/>
  <c r="E1072" i="7"/>
  <c r="D1071" i="7"/>
  <c r="E1071" i="7"/>
  <c r="D1070" i="7"/>
  <c r="E1070" i="7"/>
  <c r="D1069" i="7"/>
  <c r="E1069" i="7"/>
  <c r="D1068" i="7"/>
  <c r="E1068" i="7"/>
  <c r="D1067" i="7"/>
  <c r="E1067" i="7"/>
  <c r="D1066" i="7"/>
  <c r="E1066" i="7"/>
  <c r="D1065" i="7"/>
  <c r="E1065" i="7"/>
  <c r="D1064" i="7"/>
  <c r="E1064" i="7"/>
  <c r="D1063" i="7"/>
  <c r="E1063" i="7"/>
  <c r="D1062" i="7"/>
  <c r="E1062" i="7"/>
  <c r="D1061" i="7"/>
  <c r="E1061" i="7"/>
  <c r="D1060" i="7"/>
  <c r="E1060" i="7"/>
  <c r="D1059" i="7"/>
  <c r="E1059" i="7"/>
  <c r="D1058" i="7"/>
  <c r="E1058" i="7"/>
  <c r="D1057" i="7"/>
  <c r="E1057" i="7"/>
  <c r="D1056" i="7"/>
  <c r="E1056" i="7"/>
  <c r="D1055" i="7"/>
  <c r="E1055" i="7"/>
  <c r="D1054" i="7"/>
  <c r="E1054" i="7"/>
  <c r="D1053" i="7"/>
  <c r="E1053" i="7"/>
  <c r="D1052" i="7"/>
  <c r="E1052" i="7"/>
  <c r="D1051" i="7"/>
  <c r="E1051" i="7"/>
  <c r="D1050" i="7"/>
  <c r="E1050" i="7"/>
  <c r="E1049" i="7"/>
  <c r="D1049" i="7"/>
  <c r="E1046" i="7"/>
  <c r="D1046" i="7"/>
  <c r="E1045" i="7"/>
  <c r="D1045" i="7"/>
  <c r="E1042" i="7"/>
  <c r="D1042" i="7"/>
  <c r="E1041" i="7"/>
  <c r="D1041" i="7"/>
  <c r="E1038" i="7"/>
  <c r="D1038" i="7"/>
  <c r="D989" i="7"/>
  <c r="E989" i="7"/>
  <c r="D988" i="7"/>
  <c r="E988" i="7"/>
  <c r="D986" i="7"/>
  <c r="E986" i="7"/>
  <c r="D985" i="7"/>
  <c r="E985" i="7"/>
  <c r="R983" i="7"/>
  <c r="D983" i="7"/>
  <c r="E983" i="7"/>
  <c r="D981" i="7"/>
  <c r="E981" i="7"/>
  <c r="D980" i="7"/>
  <c r="E980" i="7"/>
  <c r="D978" i="7"/>
  <c r="E978" i="7"/>
  <c r="R975" i="7"/>
  <c r="D975" i="7"/>
  <c r="E975" i="7"/>
  <c r="R973" i="7"/>
  <c r="D973" i="7"/>
  <c r="E973" i="7"/>
  <c r="R970" i="7"/>
  <c r="D970" i="7"/>
  <c r="E970" i="7"/>
  <c r="D967" i="7"/>
  <c r="E967" i="7"/>
  <c r="R965" i="7"/>
  <c r="D965" i="7"/>
  <c r="E965" i="7"/>
  <c r="R962" i="7"/>
  <c r="D962" i="7"/>
  <c r="E962" i="7"/>
  <c r="R959" i="7"/>
  <c r="D959" i="7"/>
  <c r="E959" i="7"/>
  <c r="R957" i="7"/>
  <c r="D957" i="7"/>
  <c r="E957" i="7"/>
  <c r="R954" i="7"/>
  <c r="D954" i="7"/>
  <c r="E954" i="7"/>
  <c r="R951" i="7"/>
  <c r="D951" i="7"/>
  <c r="E951" i="7"/>
  <c r="R949" i="7"/>
  <c r="D949" i="7"/>
  <c r="E949" i="7"/>
  <c r="R946" i="7"/>
  <c r="D946" i="7"/>
  <c r="E946" i="7"/>
  <c r="R943" i="7"/>
  <c r="D943" i="7"/>
  <c r="E943" i="7"/>
  <c r="R941" i="7"/>
  <c r="D941" i="7"/>
  <c r="E941" i="7"/>
  <c r="R938" i="7"/>
  <c r="D938" i="7"/>
  <c r="E938" i="7"/>
  <c r="R935" i="7"/>
  <c r="D935" i="7"/>
  <c r="E935" i="7"/>
  <c r="R933" i="7"/>
  <c r="D933" i="7"/>
  <c r="E933" i="7"/>
  <c r="R930" i="7"/>
  <c r="D930" i="7"/>
  <c r="E930" i="7"/>
  <c r="R927" i="7"/>
  <c r="D927" i="7"/>
  <c r="E927" i="7"/>
  <c r="R925" i="7"/>
  <c r="D925" i="7"/>
  <c r="E925" i="7"/>
  <c r="R922" i="7"/>
  <c r="D922" i="7"/>
  <c r="E922" i="7"/>
  <c r="D917" i="7"/>
  <c r="E917" i="7"/>
  <c r="D915" i="7"/>
  <c r="E915" i="7"/>
  <c r="D909" i="7"/>
  <c r="E909" i="7"/>
  <c r="D907" i="7"/>
  <c r="E907" i="7"/>
  <c r="D901" i="7"/>
  <c r="E901" i="7"/>
  <c r="D899" i="7"/>
  <c r="E899" i="7"/>
  <c r="D895" i="7"/>
  <c r="E895" i="7"/>
  <c r="D893" i="7"/>
  <c r="E893" i="7"/>
  <c r="D891" i="7"/>
  <c r="E891" i="7"/>
  <c r="D885" i="7"/>
  <c r="E885" i="7"/>
  <c r="D883" i="7"/>
  <c r="E883" i="7"/>
  <c r="D880" i="7"/>
  <c r="E880" i="7"/>
  <c r="R879" i="7"/>
  <c r="D879" i="7"/>
  <c r="E879" i="7"/>
  <c r="D878" i="7"/>
  <c r="E878" i="7"/>
  <c r="D877" i="7"/>
  <c r="E877" i="7"/>
  <c r="R876" i="7"/>
  <c r="D876" i="7"/>
  <c r="E876" i="7"/>
  <c r="D875" i="7"/>
  <c r="E875" i="7"/>
  <c r="R874" i="7"/>
  <c r="D874" i="7"/>
  <c r="E874" i="7"/>
  <c r="R873" i="7"/>
  <c r="D873" i="7"/>
  <c r="E873" i="7"/>
  <c r="D872" i="7"/>
  <c r="E872" i="7"/>
  <c r="R871" i="7"/>
  <c r="D871" i="7"/>
  <c r="E871" i="7"/>
  <c r="D870" i="7"/>
  <c r="E870" i="7"/>
  <c r="D869" i="7"/>
  <c r="E869" i="7"/>
  <c r="R868" i="7"/>
  <c r="D868" i="7"/>
  <c r="E868" i="7"/>
  <c r="D867" i="7"/>
  <c r="E867" i="7"/>
  <c r="R866" i="7"/>
  <c r="D866" i="7"/>
  <c r="E866" i="7"/>
  <c r="R865" i="7"/>
  <c r="D865" i="7"/>
  <c r="E865" i="7"/>
  <c r="D864" i="7"/>
  <c r="E864" i="7"/>
  <c r="R863" i="7"/>
  <c r="D863" i="7"/>
  <c r="E863" i="7"/>
  <c r="D862" i="7"/>
  <c r="E862" i="7"/>
  <c r="D861" i="7"/>
  <c r="E861" i="7"/>
  <c r="R860" i="7"/>
  <c r="D860" i="7"/>
  <c r="E860" i="7"/>
  <c r="R859" i="7"/>
  <c r="D859" i="7"/>
  <c r="E859" i="7"/>
  <c r="R858" i="7"/>
  <c r="D858" i="7"/>
  <c r="E858" i="7"/>
  <c r="R857" i="7"/>
  <c r="D857" i="7"/>
  <c r="E857" i="7"/>
  <c r="R856" i="7"/>
  <c r="D856" i="7"/>
  <c r="E856" i="7"/>
  <c r="R855" i="7"/>
  <c r="D855" i="7"/>
  <c r="E855" i="7"/>
  <c r="R854" i="7"/>
  <c r="D854" i="7"/>
  <c r="E854" i="7"/>
  <c r="R853" i="7"/>
  <c r="D853" i="7"/>
  <c r="E853" i="7"/>
  <c r="R852" i="7"/>
  <c r="D852" i="7"/>
  <c r="E852" i="7"/>
  <c r="R851" i="7"/>
  <c r="D851" i="7"/>
  <c r="E851" i="7"/>
  <c r="R850" i="7"/>
  <c r="D850" i="7"/>
  <c r="E850" i="7"/>
  <c r="R849" i="7"/>
  <c r="D849" i="7"/>
  <c r="E849" i="7"/>
  <c r="R848" i="7"/>
  <c r="D848" i="7"/>
  <c r="E848" i="7"/>
  <c r="R847" i="7"/>
  <c r="D847" i="7"/>
  <c r="E847" i="7"/>
  <c r="R846" i="7"/>
  <c r="D846" i="7"/>
  <c r="E846" i="7"/>
  <c r="R845" i="7"/>
  <c r="D845" i="7"/>
  <c r="E845" i="7"/>
  <c r="R844" i="7"/>
  <c r="D844" i="7"/>
  <c r="E844" i="7"/>
  <c r="R843" i="7"/>
  <c r="D843" i="7"/>
  <c r="E843" i="7"/>
  <c r="R842" i="7"/>
  <c r="D842" i="7"/>
  <c r="E842" i="7"/>
  <c r="R841" i="7"/>
  <c r="D841" i="7"/>
  <c r="E841" i="7"/>
  <c r="R840" i="7"/>
  <c r="D840" i="7"/>
  <c r="E840" i="7"/>
  <c r="R839" i="7"/>
  <c r="D839" i="7"/>
  <c r="E839" i="7"/>
  <c r="R838" i="7"/>
  <c r="D838" i="7"/>
  <c r="E838" i="7"/>
  <c r="R837" i="7"/>
  <c r="D837" i="7"/>
  <c r="E837" i="7"/>
  <c r="R836" i="7"/>
  <c r="D836" i="7"/>
  <c r="E836" i="7"/>
  <c r="R835" i="7"/>
  <c r="D835" i="7"/>
  <c r="E835" i="7"/>
  <c r="R834" i="7"/>
  <c r="D834" i="7"/>
  <c r="E834" i="7"/>
  <c r="R833" i="7"/>
  <c r="D833" i="7"/>
  <c r="E833" i="7"/>
  <c r="R832" i="7"/>
  <c r="D832" i="7"/>
  <c r="E832" i="7"/>
  <c r="R831" i="7"/>
  <c r="D831" i="7"/>
  <c r="E831" i="7"/>
  <c r="R830" i="7"/>
  <c r="D830" i="7"/>
  <c r="E830" i="7"/>
  <c r="R829" i="7"/>
  <c r="D829" i="7"/>
  <c r="E829" i="7"/>
  <c r="R828" i="7"/>
  <c r="D828" i="7"/>
  <c r="E828" i="7"/>
  <c r="R827" i="7"/>
  <c r="D827" i="7"/>
  <c r="E827" i="7"/>
  <c r="R826" i="7"/>
  <c r="D826" i="7"/>
  <c r="E826" i="7"/>
  <c r="R825" i="7"/>
  <c r="D825" i="7"/>
  <c r="E825" i="7"/>
  <c r="R824" i="7"/>
  <c r="D824" i="7"/>
  <c r="E824" i="7"/>
  <c r="R823" i="7"/>
  <c r="D823" i="7"/>
  <c r="E823" i="7"/>
  <c r="R822" i="7"/>
  <c r="D822" i="7"/>
  <c r="E822" i="7"/>
  <c r="R821" i="7"/>
  <c r="D821" i="7"/>
  <c r="E821" i="7"/>
  <c r="R820" i="7"/>
  <c r="D820" i="7"/>
  <c r="E820" i="7"/>
  <c r="R819" i="7"/>
  <c r="D819" i="7"/>
  <c r="E819" i="7"/>
  <c r="R818" i="7"/>
  <c r="D818" i="7"/>
  <c r="E818" i="7"/>
  <c r="R817" i="7"/>
  <c r="D817" i="7"/>
  <c r="E817" i="7"/>
  <c r="R816" i="7"/>
  <c r="D816" i="7"/>
  <c r="E816" i="7"/>
  <c r="R815" i="7"/>
  <c r="D815" i="7"/>
  <c r="E815" i="7"/>
  <c r="R814" i="7"/>
  <c r="D814" i="7"/>
  <c r="E814" i="7"/>
  <c r="R813" i="7"/>
  <c r="D813" i="7"/>
  <c r="E813" i="7"/>
  <c r="R812" i="7"/>
  <c r="D812" i="7"/>
  <c r="E812" i="7"/>
  <c r="R811" i="7"/>
  <c r="D811" i="7"/>
  <c r="E811" i="7"/>
  <c r="R810" i="7"/>
  <c r="D810" i="7"/>
  <c r="E810" i="7"/>
  <c r="R809" i="7"/>
  <c r="D809" i="7"/>
  <c r="E809" i="7"/>
  <c r="D974" i="7"/>
  <c r="E974" i="7"/>
  <c r="R974" i="7"/>
  <c r="D1043" i="7"/>
  <c r="E1037" i="7"/>
  <c r="R1037" i="7"/>
  <c r="E1033" i="7"/>
  <c r="R1033" i="7"/>
  <c r="E1029" i="7"/>
  <c r="R1029" i="7"/>
  <c r="E1025" i="7"/>
  <c r="R1025" i="7"/>
  <c r="E1021" i="7"/>
  <c r="R1021" i="7"/>
  <c r="E1013" i="7"/>
  <c r="R1013" i="7"/>
  <c r="E1010" i="7"/>
  <c r="R1010" i="7"/>
  <c r="E1006" i="7"/>
  <c r="R1006" i="7"/>
  <c r="E1002" i="7"/>
  <c r="R1002" i="7"/>
  <c r="E998" i="7"/>
  <c r="R998" i="7"/>
  <c r="E994" i="7"/>
  <c r="R994" i="7"/>
  <c r="D990" i="7"/>
  <c r="E990" i="7"/>
  <c r="R990" i="7"/>
  <c r="D982" i="7"/>
  <c r="E982" i="7"/>
  <c r="R982" i="7"/>
  <c r="R1046" i="7"/>
  <c r="D1044" i="7"/>
  <c r="R1038" i="7"/>
  <c r="D1037" i="7"/>
  <c r="D1033" i="7"/>
  <c r="D1029" i="7"/>
  <c r="D1025" i="7"/>
  <c r="D1021" i="7"/>
  <c r="D1013" i="7"/>
  <c r="D1010" i="7"/>
  <c r="D1006" i="7"/>
  <c r="D1002" i="7"/>
  <c r="D998" i="7"/>
  <c r="D994" i="7"/>
  <c r="D968" i="7"/>
  <c r="R968" i="7"/>
  <c r="E968" i="7"/>
  <c r="D950" i="7"/>
  <c r="E950" i="7"/>
  <c r="R950" i="7"/>
  <c r="D936" i="7"/>
  <c r="R936" i="7"/>
  <c r="E936" i="7"/>
  <c r="D960" i="7"/>
  <c r="R960" i="7"/>
  <c r="E960" i="7"/>
  <c r="R1047" i="7"/>
  <c r="R1039" i="7"/>
  <c r="E1034" i="7"/>
  <c r="R1034" i="7"/>
  <c r="E1030" i="7"/>
  <c r="R1030" i="7"/>
  <c r="E1026" i="7"/>
  <c r="R1026" i="7"/>
  <c r="E1022" i="7"/>
  <c r="R1022" i="7"/>
  <c r="E1018" i="7"/>
  <c r="R1018" i="7"/>
  <c r="E1014" i="7"/>
  <c r="R1014" i="7"/>
  <c r="E1007" i="7"/>
  <c r="R1007" i="7"/>
  <c r="E1003" i="7"/>
  <c r="R1003" i="7"/>
  <c r="E999" i="7"/>
  <c r="R999" i="7"/>
  <c r="E995" i="7"/>
  <c r="R995" i="7"/>
  <c r="E991" i="7"/>
  <c r="R991" i="7"/>
  <c r="D976" i="7"/>
  <c r="R976" i="7"/>
  <c r="E976" i="7"/>
  <c r="D958" i="7"/>
  <c r="E958" i="7"/>
  <c r="R958" i="7"/>
  <c r="D944" i="7"/>
  <c r="R944" i="7"/>
  <c r="E944" i="7"/>
  <c r="D920" i="7"/>
  <c r="R920" i="7"/>
  <c r="E920" i="7"/>
  <c r="D1047" i="7"/>
  <c r="D1039" i="7"/>
  <c r="E1035" i="7"/>
  <c r="R1035" i="7"/>
  <c r="E1031" i="7"/>
  <c r="R1031" i="7"/>
  <c r="E1027" i="7"/>
  <c r="R1027" i="7"/>
  <c r="E1023" i="7"/>
  <c r="R1023" i="7"/>
  <c r="E1019" i="7"/>
  <c r="R1019" i="7"/>
  <c r="E1015" i="7"/>
  <c r="R1015" i="7"/>
  <c r="E1011" i="7"/>
  <c r="R1011" i="7"/>
  <c r="E1008" i="7"/>
  <c r="R1008" i="7"/>
  <c r="E1004" i="7"/>
  <c r="R1004" i="7"/>
  <c r="E1000" i="7"/>
  <c r="R1000" i="7"/>
  <c r="E996" i="7"/>
  <c r="R996" i="7"/>
  <c r="E992" i="7"/>
  <c r="R992" i="7"/>
  <c r="D984" i="7"/>
  <c r="R984" i="7"/>
  <c r="E984" i="7"/>
  <c r="D1048" i="7"/>
  <c r="R1042" i="7"/>
  <c r="D1040" i="7"/>
  <c r="D1035" i="7"/>
  <c r="D1031" i="7"/>
  <c r="D1027" i="7"/>
  <c r="D1023" i="7"/>
  <c r="D1019" i="7"/>
  <c r="D1015" i="7"/>
  <c r="D1011" i="7"/>
  <c r="D1008" i="7"/>
  <c r="D1004" i="7"/>
  <c r="D1000" i="7"/>
  <c r="D996" i="7"/>
  <c r="D992" i="7"/>
  <c r="D966" i="7"/>
  <c r="E966" i="7"/>
  <c r="R966" i="7"/>
  <c r="D952" i="7"/>
  <c r="R952" i="7"/>
  <c r="E952" i="7"/>
  <c r="R910" i="7"/>
  <c r="D910" i="7"/>
  <c r="E910" i="7"/>
  <c r="R1043" i="7"/>
  <c r="E1036" i="7"/>
  <c r="R1036" i="7"/>
  <c r="E1032" i="7"/>
  <c r="R1032" i="7"/>
  <c r="E1024" i="7"/>
  <c r="R1024" i="7"/>
  <c r="E1020" i="7"/>
  <c r="R1020" i="7"/>
  <c r="E1012" i="7"/>
  <c r="R1012" i="7"/>
  <c r="E1009" i="7"/>
  <c r="R1009" i="7"/>
  <c r="E1005" i="7"/>
  <c r="R1005" i="7"/>
  <c r="E1001" i="7"/>
  <c r="R1001" i="7"/>
  <c r="E997" i="7"/>
  <c r="R997" i="7"/>
  <c r="E993" i="7"/>
  <c r="R993" i="7"/>
  <c r="D928" i="7"/>
  <c r="R928" i="7"/>
  <c r="E928" i="7"/>
  <c r="R986" i="7"/>
  <c r="R911" i="7"/>
  <c r="R905" i="7"/>
  <c r="D905" i="7"/>
  <c r="E905" i="7"/>
  <c r="R900" i="7"/>
  <c r="E900" i="7"/>
  <c r="R896" i="7"/>
  <c r="D896" i="7"/>
  <c r="R886" i="7"/>
  <c r="R987" i="7"/>
  <c r="R979" i="7"/>
  <c r="E977" i="7"/>
  <c r="R971" i="7"/>
  <c r="E969" i="7"/>
  <c r="R963" i="7"/>
  <c r="E961" i="7"/>
  <c r="R955" i="7"/>
  <c r="E953" i="7"/>
  <c r="R947" i="7"/>
  <c r="E945" i="7"/>
  <c r="R939" i="7"/>
  <c r="E937" i="7"/>
  <c r="R931" i="7"/>
  <c r="E929" i="7"/>
  <c r="R923" i="7"/>
  <c r="E921" i="7"/>
  <c r="E911" i="7"/>
  <c r="D900" i="7"/>
  <c r="E896" i="7"/>
  <c r="R887" i="7"/>
  <c r="E886" i="7"/>
  <c r="R881" i="7"/>
  <c r="D881" i="7"/>
  <c r="E881" i="7"/>
  <c r="R916" i="7"/>
  <c r="E916" i="7"/>
  <c r="R912" i="7"/>
  <c r="D912" i="7"/>
  <c r="R902" i="7"/>
  <c r="R989" i="7"/>
  <c r="E987" i="7"/>
  <c r="R981" i="7"/>
  <c r="E979" i="7"/>
  <c r="E971" i="7"/>
  <c r="E963" i="7"/>
  <c r="E955" i="7"/>
  <c r="E947" i="7"/>
  <c r="E939" i="7"/>
  <c r="E931" i="7"/>
  <c r="E923" i="7"/>
  <c r="D916" i="7"/>
  <c r="E912" i="7"/>
  <c r="R903" i="7"/>
  <c r="E902" i="7"/>
  <c r="R897" i="7"/>
  <c r="D897" i="7"/>
  <c r="E897" i="7"/>
  <c r="R892" i="7"/>
  <c r="E892" i="7"/>
  <c r="R888" i="7"/>
  <c r="D888" i="7"/>
  <c r="D887" i="7"/>
  <c r="E972" i="7"/>
  <c r="E964" i="7"/>
  <c r="E956" i="7"/>
  <c r="E948" i="7"/>
  <c r="R942" i="7"/>
  <c r="E940" i="7"/>
  <c r="R934" i="7"/>
  <c r="E932" i="7"/>
  <c r="R926" i="7"/>
  <c r="E924" i="7"/>
  <c r="R918" i="7"/>
  <c r="E903" i="7"/>
  <c r="D902" i="7"/>
  <c r="D892" i="7"/>
  <c r="E888" i="7"/>
  <c r="R919" i="7"/>
  <c r="R913" i="7"/>
  <c r="D913" i="7"/>
  <c r="E913" i="7"/>
  <c r="R908" i="7"/>
  <c r="E908" i="7"/>
  <c r="R904" i="7"/>
  <c r="D904" i="7"/>
  <c r="R894" i="7"/>
  <c r="E942" i="7"/>
  <c r="E934" i="7"/>
  <c r="E926" i="7"/>
  <c r="E919" i="7"/>
  <c r="D918" i="7"/>
  <c r="D908" i="7"/>
  <c r="E904" i="7"/>
  <c r="R895" i="7"/>
  <c r="E894" i="7"/>
  <c r="R889" i="7"/>
  <c r="D889" i="7"/>
  <c r="E889" i="7"/>
  <c r="R884" i="7"/>
  <c r="E884" i="7"/>
  <c r="R914" i="7"/>
  <c r="R906" i="7"/>
  <c r="R898" i="7"/>
  <c r="R890" i="7"/>
  <c r="R882" i="7"/>
  <c r="R915" i="7"/>
  <c r="E914" i="7"/>
  <c r="R907" i="7"/>
  <c r="E906" i="7"/>
  <c r="R899" i="7"/>
  <c r="E898" i="7"/>
  <c r="R891" i="7"/>
  <c r="E890" i="7"/>
  <c r="R883" i="7"/>
  <c r="E882" i="7"/>
  <c r="R875" i="7"/>
  <c r="R867" i="7"/>
  <c r="R917" i="7"/>
  <c r="R909" i="7"/>
  <c r="R901" i="7"/>
  <c r="R893" i="7"/>
  <c r="R885" i="7"/>
  <c r="R877" i="7"/>
  <c r="R869" i="7"/>
  <c r="R861" i="7"/>
  <c r="R878" i="7"/>
  <c r="R870" i="7"/>
  <c r="R862" i="7"/>
  <c r="R880" i="7"/>
  <c r="R872" i="7"/>
  <c r="R864" i="7"/>
  <c r="AZ325" i="2"/>
  <c r="BA325" i="2"/>
  <c r="AZ348" i="2"/>
  <c r="BA348" i="2"/>
  <c r="BA328" i="2"/>
  <c r="AZ336" i="2"/>
  <c r="BA336" i="2"/>
  <c r="AZ526" i="2"/>
  <c r="BA526" i="2"/>
  <c r="AZ334" i="2"/>
  <c r="BA334" i="2"/>
  <c r="AZ315" i="2" l="1"/>
  <c r="BA315" i="2"/>
  <c r="AZ316" i="2" l="1"/>
  <c r="BA316" i="2"/>
  <c r="AZ320" i="2" l="1"/>
  <c r="BA320" i="2"/>
  <c r="AZ326" i="2"/>
  <c r="BA326" i="2"/>
  <c r="AZ153" i="2" l="1"/>
  <c r="BA153" i="2"/>
  <c r="AZ154" i="2"/>
  <c r="BA154" i="2"/>
  <c r="AZ152" i="2"/>
  <c r="BA152" i="2"/>
  <c r="A2" i="7" l="1"/>
  <c r="J2148" i="7" l="1"/>
  <c r="J2147" i="7"/>
  <c r="J2146" i="7"/>
  <c r="J2145" i="7"/>
  <c r="J2144" i="7"/>
  <c r="J2143" i="7"/>
  <c r="J2142" i="7"/>
  <c r="J2141" i="7"/>
  <c r="J2140" i="7"/>
  <c r="J2139" i="7"/>
  <c r="J2138" i="7"/>
  <c r="J2137" i="7"/>
  <c r="J2136" i="7"/>
  <c r="J2135" i="7"/>
  <c r="J2134" i="7"/>
  <c r="J2133" i="7"/>
  <c r="J2132" i="7"/>
  <c r="J2131" i="7"/>
  <c r="J2130" i="7"/>
  <c r="J2129" i="7"/>
  <c r="J2128" i="7"/>
  <c r="J2127" i="7"/>
  <c r="J2126" i="7"/>
  <c r="J2125" i="7"/>
  <c r="J2124" i="7"/>
  <c r="J2123" i="7"/>
  <c r="J2122" i="7"/>
  <c r="J2121" i="7"/>
  <c r="J2120" i="7"/>
  <c r="J2119" i="7"/>
  <c r="J2118" i="7"/>
  <c r="J2117" i="7"/>
  <c r="J2116" i="7"/>
  <c r="J2115" i="7"/>
  <c r="J2114" i="7"/>
  <c r="J2113" i="7"/>
  <c r="J2112" i="7"/>
  <c r="J2111" i="7"/>
  <c r="J2110" i="7"/>
  <c r="J2109" i="7"/>
  <c r="J2108" i="7"/>
  <c r="J2107" i="7"/>
  <c r="J2106" i="7"/>
  <c r="J2105" i="7"/>
  <c r="J2104" i="7"/>
  <c r="J2103" i="7"/>
  <c r="J2102" i="7"/>
  <c r="J2101" i="7"/>
  <c r="J2100" i="7"/>
  <c r="J2099" i="7"/>
  <c r="J2098" i="7"/>
  <c r="J2097" i="7"/>
  <c r="J2096" i="7"/>
  <c r="J2095" i="7"/>
  <c r="J2094" i="7"/>
  <c r="J2093" i="7"/>
  <c r="J2092" i="7"/>
  <c r="J2091" i="7"/>
  <c r="J2090" i="7"/>
  <c r="J2089" i="7"/>
  <c r="J2088" i="7"/>
  <c r="J2087" i="7"/>
  <c r="J2086" i="7"/>
  <c r="J2085" i="7"/>
  <c r="J2084" i="7"/>
  <c r="J2083" i="7"/>
  <c r="J2082" i="7"/>
  <c r="J2081" i="7"/>
  <c r="J2080" i="7"/>
  <c r="J2079" i="7"/>
  <c r="J2078" i="7"/>
  <c r="J2077" i="7"/>
  <c r="J2076" i="7"/>
  <c r="J2075" i="7"/>
  <c r="J2074" i="7"/>
  <c r="J2073" i="7"/>
  <c r="J2072" i="7"/>
  <c r="J2071" i="7"/>
  <c r="J2070" i="7"/>
  <c r="J2069" i="7"/>
  <c r="J2068" i="7"/>
  <c r="J2067" i="7"/>
  <c r="J2066" i="7"/>
  <c r="J2065" i="7"/>
  <c r="J2064" i="7"/>
  <c r="J2063" i="7"/>
  <c r="J2062" i="7"/>
  <c r="J2061" i="7"/>
  <c r="J2060" i="7"/>
  <c r="J2059" i="7"/>
  <c r="J2058" i="7"/>
  <c r="J2057" i="7"/>
  <c r="J2056" i="7"/>
  <c r="J2055" i="7"/>
  <c r="J2054" i="7"/>
  <c r="J2053" i="7"/>
  <c r="J2052" i="7"/>
  <c r="J2051" i="7"/>
  <c r="J2050" i="7"/>
  <c r="J2049" i="7"/>
  <c r="J2048" i="7"/>
  <c r="J2047" i="7"/>
  <c r="J2046" i="7"/>
  <c r="J2045" i="7"/>
  <c r="J2044" i="7"/>
  <c r="J2043" i="7"/>
  <c r="J2042" i="7"/>
  <c r="J2041" i="7"/>
  <c r="J2040" i="7"/>
  <c r="J2039" i="7"/>
  <c r="J2038" i="7"/>
  <c r="J2037" i="7"/>
  <c r="J2036" i="7"/>
  <c r="J2035" i="7"/>
  <c r="J2034" i="7"/>
  <c r="J2033" i="7"/>
  <c r="J2032" i="7"/>
  <c r="J2031" i="7"/>
  <c r="J2030" i="7"/>
  <c r="J2029" i="7"/>
  <c r="J2028" i="7"/>
  <c r="J2027" i="7"/>
  <c r="J2026" i="7"/>
  <c r="J2025" i="7"/>
  <c r="J2024" i="7"/>
  <c r="J2023" i="7"/>
  <c r="J2022" i="7"/>
  <c r="J2021" i="7"/>
  <c r="J2020" i="7"/>
  <c r="J2019" i="7"/>
  <c r="J2018" i="7"/>
  <c r="J2017" i="7"/>
  <c r="J2016" i="7"/>
  <c r="J2015" i="7"/>
  <c r="J2014" i="7"/>
  <c r="J2013" i="7"/>
  <c r="J2012" i="7"/>
  <c r="J2011" i="7"/>
  <c r="J2010" i="7"/>
  <c r="J2009" i="7"/>
  <c r="J2008" i="7"/>
  <c r="J2007" i="7"/>
  <c r="J2006" i="7"/>
  <c r="J2005" i="7"/>
  <c r="J2004" i="7"/>
  <c r="J2003" i="7"/>
  <c r="J2002" i="7"/>
  <c r="J2001" i="7"/>
  <c r="J2000" i="7"/>
  <c r="J1999" i="7"/>
  <c r="J1998" i="7"/>
  <c r="J1997" i="7"/>
  <c r="J1996" i="7"/>
  <c r="J1995" i="7"/>
  <c r="J1994" i="7"/>
  <c r="J1993" i="7"/>
  <c r="J1992" i="7"/>
  <c r="J1991" i="7"/>
  <c r="J1990" i="7"/>
  <c r="J1989" i="7"/>
  <c r="J1988" i="7"/>
  <c r="J1987" i="7"/>
  <c r="J1986" i="7"/>
  <c r="J1985" i="7"/>
  <c r="J1984" i="7"/>
  <c r="J1983" i="7"/>
  <c r="J1982" i="7"/>
  <c r="J1981" i="7"/>
  <c r="J1980" i="7"/>
  <c r="J1979" i="7"/>
  <c r="J1978" i="7"/>
  <c r="J1977" i="7"/>
  <c r="J1976" i="7"/>
  <c r="J1975" i="7"/>
  <c r="J1974" i="7"/>
  <c r="J1973" i="7"/>
  <c r="J1972" i="7"/>
  <c r="J1971" i="7"/>
  <c r="J1970" i="7"/>
  <c r="J1969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J1938" i="7"/>
  <c r="J1937" i="7"/>
  <c r="J1936" i="7"/>
  <c r="J1935" i="7"/>
  <c r="J1934" i="7"/>
  <c r="J1933" i="7"/>
  <c r="J1932" i="7"/>
  <c r="J1931" i="7"/>
  <c r="J1930" i="7"/>
  <c r="J1929" i="7"/>
  <c r="J1928" i="7"/>
  <c r="J1927" i="7"/>
  <c r="J1926" i="7"/>
  <c r="J1925" i="7"/>
  <c r="J1924" i="7"/>
  <c r="J1923" i="7"/>
  <c r="J1922" i="7"/>
  <c r="J1921" i="7"/>
  <c r="J1920" i="7"/>
  <c r="J1919" i="7"/>
  <c r="J1918" i="7"/>
  <c r="J1917" i="7"/>
  <c r="J1916" i="7"/>
  <c r="J1915" i="7"/>
  <c r="J1914" i="7"/>
  <c r="J1913" i="7"/>
  <c r="J1912" i="7"/>
  <c r="J1911" i="7"/>
  <c r="J1910" i="7"/>
  <c r="J1909" i="7"/>
  <c r="J1908" i="7"/>
  <c r="J1907" i="7"/>
  <c r="J1906" i="7"/>
  <c r="J1905" i="7"/>
  <c r="J1904" i="7"/>
  <c r="J1903" i="7"/>
  <c r="J1902" i="7"/>
  <c r="J1901" i="7"/>
  <c r="J1900" i="7"/>
  <c r="J1899" i="7"/>
  <c r="J1898" i="7"/>
  <c r="J1897" i="7"/>
  <c r="J1896" i="7"/>
  <c r="J1895" i="7"/>
  <c r="J1894" i="7"/>
  <c r="J1893" i="7"/>
  <c r="J1892" i="7"/>
  <c r="J1891" i="7"/>
  <c r="J1890" i="7"/>
  <c r="J1889" i="7"/>
  <c r="J1888" i="7"/>
  <c r="J1887" i="7"/>
  <c r="J1886" i="7"/>
  <c r="J1885" i="7"/>
  <c r="J1884" i="7"/>
  <c r="J1883" i="7"/>
  <c r="J1882" i="7"/>
  <c r="J1881" i="7"/>
  <c r="J1880" i="7"/>
  <c r="J1879" i="7"/>
  <c r="J1878" i="7"/>
  <c r="J1877" i="7"/>
  <c r="J1876" i="7"/>
  <c r="J1875" i="7"/>
  <c r="J1874" i="7"/>
  <c r="J1873" i="7"/>
  <c r="J1872" i="7"/>
  <c r="J1871" i="7"/>
  <c r="J1870" i="7"/>
  <c r="J1869" i="7"/>
  <c r="J1868" i="7"/>
  <c r="J1867" i="7"/>
  <c r="J1866" i="7"/>
  <c r="J1865" i="7"/>
  <c r="J1864" i="7"/>
  <c r="J1863" i="7"/>
  <c r="J1862" i="7"/>
  <c r="J1861" i="7"/>
  <c r="J1860" i="7"/>
  <c r="J1859" i="7"/>
  <c r="J1858" i="7"/>
  <c r="J1857" i="7"/>
  <c r="J1856" i="7"/>
  <c r="J1855" i="7"/>
  <c r="J1854" i="7"/>
  <c r="J1853" i="7"/>
  <c r="J1852" i="7"/>
  <c r="J1851" i="7"/>
  <c r="J1850" i="7"/>
  <c r="J1849" i="7"/>
  <c r="J1848" i="7"/>
  <c r="J1847" i="7"/>
  <c r="J1846" i="7"/>
  <c r="J1845" i="7"/>
  <c r="J1844" i="7"/>
  <c r="J1843" i="7"/>
  <c r="J1842" i="7"/>
  <c r="J1841" i="7"/>
  <c r="J1840" i="7"/>
  <c r="J1839" i="7"/>
  <c r="J1838" i="7"/>
  <c r="J1837" i="7"/>
  <c r="J1836" i="7"/>
  <c r="J1835" i="7"/>
  <c r="J1834" i="7"/>
  <c r="J1833" i="7"/>
  <c r="J1832" i="7"/>
  <c r="J1831" i="7"/>
  <c r="J1830" i="7"/>
  <c r="J1829" i="7"/>
  <c r="J1828" i="7"/>
  <c r="J1827" i="7"/>
  <c r="J1826" i="7"/>
  <c r="J1825" i="7"/>
  <c r="J1824" i="7"/>
  <c r="J1823" i="7"/>
  <c r="J1822" i="7"/>
  <c r="J1821" i="7"/>
  <c r="J1820" i="7"/>
  <c r="J1819" i="7"/>
  <c r="J1818" i="7"/>
  <c r="J1817" i="7"/>
  <c r="J1816" i="7"/>
  <c r="J1815" i="7"/>
  <c r="J1814" i="7"/>
  <c r="J1813" i="7"/>
  <c r="J1812" i="7"/>
  <c r="J1811" i="7"/>
  <c r="J1810" i="7"/>
  <c r="J1809" i="7"/>
  <c r="J1808" i="7"/>
  <c r="J1807" i="7"/>
  <c r="J1806" i="7"/>
  <c r="J1805" i="7"/>
  <c r="J1804" i="7"/>
  <c r="J1803" i="7"/>
  <c r="J1802" i="7"/>
  <c r="J1801" i="7"/>
  <c r="J1800" i="7"/>
  <c r="J1799" i="7"/>
  <c r="J1798" i="7"/>
  <c r="J1797" i="7"/>
  <c r="J1796" i="7"/>
  <c r="J1795" i="7"/>
  <c r="J1794" i="7"/>
  <c r="J1793" i="7"/>
  <c r="J1792" i="7"/>
  <c r="J1791" i="7"/>
  <c r="J1790" i="7"/>
  <c r="J1789" i="7"/>
  <c r="J1788" i="7"/>
  <c r="J1787" i="7"/>
  <c r="J1786" i="7"/>
  <c r="J1785" i="7"/>
  <c r="J1784" i="7"/>
  <c r="J1783" i="7"/>
  <c r="J1782" i="7"/>
  <c r="J1781" i="7"/>
  <c r="J1780" i="7"/>
  <c r="J1779" i="7"/>
  <c r="J1778" i="7"/>
  <c r="J1777" i="7"/>
  <c r="J1776" i="7"/>
  <c r="J1775" i="7"/>
  <c r="J1774" i="7"/>
  <c r="J1773" i="7"/>
  <c r="J1772" i="7"/>
  <c r="J1771" i="7"/>
  <c r="J1770" i="7"/>
  <c r="J1769" i="7"/>
  <c r="J1768" i="7"/>
  <c r="J1767" i="7"/>
  <c r="J1766" i="7"/>
  <c r="J1765" i="7"/>
  <c r="J1764" i="7"/>
  <c r="J1763" i="7"/>
  <c r="J1762" i="7"/>
  <c r="J1761" i="7"/>
  <c r="J1760" i="7"/>
  <c r="J1759" i="7"/>
  <c r="J1758" i="7"/>
  <c r="J1757" i="7"/>
  <c r="J1756" i="7"/>
  <c r="J1755" i="7"/>
  <c r="J1754" i="7"/>
  <c r="J1753" i="7"/>
  <c r="J1752" i="7"/>
  <c r="J1751" i="7"/>
  <c r="J1750" i="7"/>
  <c r="J1749" i="7"/>
  <c r="J1748" i="7"/>
  <c r="J1747" i="7"/>
  <c r="J1746" i="7"/>
  <c r="J1745" i="7"/>
  <c r="J1744" i="7"/>
  <c r="J1743" i="7"/>
  <c r="J1742" i="7"/>
  <c r="J1741" i="7"/>
  <c r="J1740" i="7"/>
  <c r="J1739" i="7"/>
  <c r="J1738" i="7"/>
  <c r="J1737" i="7"/>
  <c r="J1736" i="7"/>
  <c r="J1735" i="7"/>
  <c r="J1734" i="7"/>
  <c r="J1733" i="7"/>
  <c r="J1732" i="7"/>
  <c r="J1731" i="7"/>
  <c r="J1730" i="7"/>
  <c r="J1729" i="7"/>
  <c r="J1728" i="7"/>
  <c r="J1727" i="7"/>
  <c r="J1726" i="7"/>
  <c r="J1725" i="7"/>
  <c r="J1724" i="7"/>
  <c r="J1723" i="7"/>
  <c r="J1722" i="7"/>
  <c r="J1721" i="7"/>
  <c r="J1720" i="7"/>
  <c r="J1719" i="7"/>
  <c r="J1718" i="7"/>
  <c r="J1717" i="7"/>
  <c r="J1716" i="7"/>
  <c r="J1715" i="7"/>
  <c r="J1714" i="7"/>
  <c r="J1713" i="7"/>
  <c r="J1712" i="7"/>
  <c r="J1711" i="7"/>
  <c r="J1710" i="7"/>
  <c r="J1709" i="7"/>
  <c r="J1708" i="7"/>
  <c r="J1707" i="7"/>
  <c r="J1706" i="7"/>
  <c r="J1705" i="7"/>
  <c r="J1704" i="7"/>
  <c r="J1703" i="7"/>
  <c r="J1702" i="7"/>
  <c r="J1701" i="7"/>
  <c r="J1700" i="7"/>
  <c r="J1699" i="7"/>
  <c r="J1698" i="7"/>
  <c r="J1697" i="7"/>
  <c r="J1696" i="7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1607" i="7"/>
  <c r="J1606" i="7"/>
  <c r="J1605" i="7"/>
  <c r="J1604" i="7"/>
  <c r="J1603" i="7"/>
  <c r="J1602" i="7"/>
  <c r="J1601" i="7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4" i="7"/>
  <c r="J1563" i="7"/>
  <c r="J1562" i="7"/>
  <c r="J1561" i="7"/>
  <c r="J1560" i="7"/>
  <c r="J1559" i="7"/>
  <c r="J1558" i="7"/>
  <c r="J1557" i="7"/>
  <c r="J1556" i="7"/>
  <c r="J1555" i="7"/>
  <c r="J1554" i="7"/>
  <c r="J1553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J1506" i="7"/>
  <c r="J1505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351" i="7"/>
  <c r="J1350" i="7"/>
  <c r="J1349" i="7"/>
  <c r="J1348" i="7"/>
  <c r="J1347" i="7"/>
  <c r="J1346" i="7"/>
  <c r="J1345" i="7"/>
  <c r="J1344" i="7"/>
  <c r="J1343" i="7"/>
  <c r="J1342" i="7"/>
  <c r="J1341" i="7"/>
  <c r="J1340" i="7"/>
  <c r="J1339" i="7"/>
  <c r="J1338" i="7"/>
  <c r="J1337" i="7"/>
  <c r="J1336" i="7"/>
  <c r="J1335" i="7"/>
  <c r="J1334" i="7"/>
  <c r="J1333" i="7"/>
  <c r="J1332" i="7"/>
  <c r="J1331" i="7"/>
  <c r="J1330" i="7"/>
  <c r="J1329" i="7"/>
  <c r="J1328" i="7"/>
  <c r="J1327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3" i="7"/>
  <c r="J1312" i="7"/>
  <c r="J1311" i="7"/>
  <c r="J1310" i="7"/>
  <c r="J1309" i="7"/>
  <c r="J1308" i="7"/>
  <c r="J1307" i="7"/>
  <c r="J1306" i="7"/>
  <c r="J1305" i="7"/>
  <c r="J1304" i="7"/>
  <c r="J1303" i="7"/>
  <c r="J1302" i="7"/>
  <c r="J1301" i="7"/>
  <c r="J1300" i="7"/>
  <c r="J1299" i="7"/>
  <c r="J1298" i="7"/>
  <c r="J1297" i="7"/>
  <c r="J1296" i="7"/>
  <c r="J1295" i="7"/>
  <c r="J1294" i="7"/>
  <c r="J1293" i="7"/>
  <c r="J1292" i="7"/>
  <c r="J1291" i="7"/>
  <c r="J1290" i="7"/>
  <c r="J1289" i="7"/>
  <c r="J1288" i="7"/>
  <c r="J1287" i="7"/>
  <c r="J1286" i="7"/>
  <c r="J1285" i="7"/>
  <c r="J1284" i="7"/>
  <c r="J1283" i="7"/>
  <c r="J1282" i="7"/>
  <c r="J1281" i="7"/>
  <c r="J1280" i="7"/>
  <c r="J1279" i="7"/>
  <c r="J1278" i="7"/>
  <c r="J1277" i="7"/>
  <c r="J1276" i="7"/>
  <c r="J1275" i="7"/>
  <c r="J1274" i="7"/>
  <c r="J1273" i="7"/>
  <c r="J1272" i="7"/>
  <c r="J1271" i="7"/>
  <c r="J1270" i="7"/>
  <c r="J1269" i="7"/>
  <c r="J1268" i="7"/>
  <c r="J1267" i="7"/>
  <c r="J1266" i="7"/>
  <c r="J1265" i="7"/>
  <c r="J1264" i="7"/>
  <c r="J1263" i="7"/>
  <c r="J1262" i="7"/>
  <c r="J1261" i="7"/>
  <c r="J1260" i="7"/>
  <c r="J1259" i="7"/>
  <c r="J1258" i="7"/>
  <c r="J1257" i="7"/>
  <c r="J1256" i="7"/>
  <c r="J1255" i="7"/>
  <c r="J1254" i="7"/>
  <c r="J1253" i="7"/>
  <c r="J1252" i="7"/>
  <c r="J1251" i="7"/>
  <c r="J1250" i="7"/>
  <c r="J1249" i="7"/>
  <c r="J1248" i="7"/>
  <c r="J1247" i="7"/>
  <c r="J1246" i="7"/>
  <c r="J1245" i="7"/>
  <c r="J1244" i="7"/>
  <c r="J1243" i="7"/>
  <c r="J1242" i="7"/>
  <c r="J1241" i="7"/>
  <c r="J1240" i="7"/>
  <c r="J1239" i="7"/>
  <c r="J1238" i="7"/>
  <c r="J1237" i="7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BA289" i="2"/>
  <c r="BA288" i="2"/>
  <c r="BA290" i="2"/>
  <c r="BA287" i="2"/>
  <c r="AZ291" i="2"/>
  <c r="AZ289" i="2"/>
  <c r="AZ288" i="2"/>
  <c r="AZ290" i="2"/>
  <c r="AZ287" i="2"/>
  <c r="AW289" i="2"/>
  <c r="AW288" i="2"/>
  <c r="AW290" i="2"/>
  <c r="AW287" i="2"/>
  <c r="AV287" i="2"/>
  <c r="AV284" i="2" l="1"/>
  <c r="AW284" i="2"/>
  <c r="BA218" i="2" l="1"/>
  <c r="AZ131" i="2" l="1"/>
  <c r="AZ132" i="2"/>
  <c r="AZ133" i="2"/>
  <c r="AZ134" i="2"/>
  <c r="AZ135" i="2"/>
  <c r="AZ137" i="2"/>
  <c r="AZ136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5" i="2"/>
  <c r="AZ156" i="2"/>
  <c r="AZ157" i="2"/>
  <c r="AZ158" i="2"/>
  <c r="AZ159" i="2"/>
  <c r="AZ160" i="2"/>
  <c r="AZ161" i="2"/>
  <c r="AZ163" i="2"/>
  <c r="AZ162" i="2"/>
  <c r="AZ164" i="2"/>
  <c r="AZ165" i="2"/>
  <c r="AZ166" i="2"/>
  <c r="AZ167" i="2"/>
  <c r="AZ168" i="2"/>
  <c r="AZ169" i="2"/>
  <c r="AZ170" i="2"/>
  <c r="AZ171" i="2"/>
  <c r="AZ172" i="2"/>
  <c r="AZ173" i="2"/>
  <c r="AZ176" i="2"/>
  <c r="AZ175" i="2"/>
  <c r="AZ174" i="2"/>
  <c r="AZ178" i="2"/>
  <c r="AZ177" i="2"/>
  <c r="AZ179" i="2"/>
  <c r="AZ180" i="2"/>
  <c r="AZ181" i="2"/>
  <c r="AZ182" i="2"/>
  <c r="AZ183" i="2"/>
  <c r="AZ184" i="2"/>
  <c r="AZ185" i="2"/>
  <c r="AZ186" i="2"/>
  <c r="AZ187" i="2"/>
  <c r="AZ189" i="2"/>
  <c r="AZ188" i="2"/>
  <c r="AZ191" i="2"/>
  <c r="AZ195" i="2"/>
  <c r="AZ192" i="2"/>
  <c r="AZ193" i="2"/>
  <c r="AZ194" i="2"/>
  <c r="AZ190" i="2"/>
  <c r="AZ196" i="2"/>
  <c r="AZ197" i="2"/>
  <c r="AZ198" i="2"/>
  <c r="AZ199" i="2"/>
  <c r="AZ201" i="2"/>
  <c r="AZ200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8" i="2"/>
  <c r="AZ217" i="2"/>
  <c r="AZ219" i="2"/>
  <c r="AZ221" i="2"/>
  <c r="AZ220" i="2"/>
  <c r="AZ222" i="2"/>
  <c r="AZ223" i="2"/>
  <c r="AZ224" i="2"/>
  <c r="AZ226" i="2"/>
  <c r="AZ225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42" i="2"/>
  <c r="AZ240" i="2"/>
  <c r="AZ239" i="2"/>
  <c r="AZ241" i="2"/>
  <c r="AZ243" i="2"/>
  <c r="AZ244" i="2"/>
  <c r="AZ245" i="2"/>
  <c r="AZ246" i="2"/>
  <c r="AZ249" i="2"/>
  <c r="AZ248" i="2"/>
  <c r="AZ247" i="2"/>
  <c r="AZ250" i="2"/>
  <c r="AZ251" i="2"/>
  <c r="AZ253" i="2"/>
  <c r="AZ252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8" i="2"/>
  <c r="AZ267" i="2"/>
  <c r="AZ266" i="2"/>
  <c r="AZ269" i="2"/>
  <c r="AZ270" i="2"/>
  <c r="AZ271" i="2"/>
  <c r="AZ272" i="2"/>
  <c r="AZ273" i="2"/>
  <c r="AZ274" i="2"/>
  <c r="AZ275" i="2"/>
  <c r="AZ276" i="2"/>
  <c r="AZ277" i="2"/>
  <c r="AZ278" i="2"/>
  <c r="AZ283" i="2"/>
  <c r="AZ300" i="2"/>
  <c r="AZ286" i="2"/>
  <c r="AZ310" i="2"/>
  <c r="AZ295" i="2"/>
  <c r="AZ319" i="2"/>
  <c r="AZ281" i="2"/>
  <c r="AZ357" i="2"/>
  <c r="AZ317" i="2"/>
  <c r="AZ438" i="2"/>
  <c r="AZ280" i="2"/>
  <c r="AZ279" i="2"/>
  <c r="AZ282" i="2"/>
  <c r="AZ294" i="2"/>
  <c r="AZ312" i="2"/>
  <c r="AZ298" i="2"/>
  <c r="AZ285" i="2"/>
  <c r="AZ518" i="2"/>
  <c r="AZ293" i="2"/>
  <c r="AZ284" i="2"/>
  <c r="AZ324" i="2"/>
  <c r="AZ307" i="2"/>
  <c r="AZ301" i="2"/>
  <c r="AZ296" i="2"/>
  <c r="AZ311" i="2"/>
  <c r="AZ297" i="2"/>
  <c r="AZ292" i="2"/>
  <c r="AZ303" i="2"/>
  <c r="AZ308" i="2"/>
  <c r="AZ299" i="2"/>
  <c r="AZ304" i="2"/>
  <c r="AZ331" i="2"/>
  <c r="AZ302" i="2"/>
  <c r="AZ306" i="2"/>
  <c r="AZ305" i="2"/>
  <c r="AZ382" i="2"/>
  <c r="AZ309" i="2"/>
  <c r="AZ313" i="2"/>
  <c r="AZ314" i="2"/>
  <c r="AZ318" i="2"/>
  <c r="AZ329" i="2"/>
  <c r="AZ519" i="2"/>
  <c r="AZ347" i="2"/>
  <c r="AZ338" i="2"/>
  <c r="AZ332" i="2"/>
  <c r="AZ352" i="2"/>
  <c r="AZ342" i="2"/>
  <c r="AZ341" i="2"/>
  <c r="AZ344" i="2"/>
  <c r="AZ363" i="2"/>
  <c r="AZ353" i="2"/>
  <c r="AZ350" i="2"/>
  <c r="AZ346" i="2"/>
  <c r="AZ365" i="2"/>
  <c r="AZ351" i="2"/>
  <c r="AZ371" i="2"/>
  <c r="AZ354" i="2"/>
  <c r="AZ507" i="2"/>
  <c r="AZ358" i="2"/>
  <c r="AZ368" i="2"/>
  <c r="AZ419" i="2"/>
  <c r="AZ361" i="2"/>
  <c r="AZ380" i="2"/>
  <c r="AZ359" i="2"/>
  <c r="AZ356" i="2"/>
  <c r="AZ355" i="2"/>
  <c r="AZ367" i="2"/>
  <c r="AZ487" i="2"/>
  <c r="AZ364" i="2"/>
  <c r="AZ374" i="2"/>
  <c r="AZ362" i="2"/>
  <c r="AZ360" i="2"/>
  <c r="AZ366" i="2"/>
  <c r="AZ370" i="2"/>
  <c r="AZ369" i="2"/>
  <c r="AZ375" i="2"/>
  <c r="AZ372" i="2"/>
  <c r="AZ383" i="2"/>
  <c r="AZ373" i="2"/>
  <c r="AZ390" i="2"/>
  <c r="AZ396" i="2"/>
  <c r="AZ490" i="2"/>
  <c r="AZ376" i="2"/>
  <c r="AZ378" i="2"/>
  <c r="AZ387" i="2"/>
  <c r="AZ515" i="2"/>
  <c r="AZ425" i="2"/>
  <c r="AZ391" i="2"/>
  <c r="AZ379" i="2"/>
  <c r="AZ395" i="2"/>
  <c r="AZ381" i="2"/>
  <c r="AZ401" i="2"/>
  <c r="AZ420" i="2"/>
  <c r="AZ389" i="2"/>
  <c r="AZ384" i="2"/>
  <c r="AZ385" i="2"/>
  <c r="AZ392" i="2"/>
  <c r="AZ393" i="2"/>
  <c r="AZ400" i="2"/>
  <c r="AZ397" i="2"/>
  <c r="AZ499" i="2"/>
  <c r="AZ408" i="2"/>
  <c r="AZ441" i="2"/>
  <c r="AZ403" i="2"/>
  <c r="AZ418" i="2"/>
  <c r="AZ416" i="2"/>
  <c r="AZ404" i="2"/>
  <c r="AZ426" i="2"/>
  <c r="AZ402" i="2"/>
  <c r="AZ428" i="2"/>
  <c r="AZ505" i="2"/>
  <c r="AZ430" i="2"/>
  <c r="AZ423" i="2"/>
  <c r="AZ448" i="2"/>
  <c r="AZ444" i="2"/>
  <c r="AZ424" i="2"/>
  <c r="AZ436" i="2"/>
  <c r="AZ422" i="2"/>
  <c r="AZ446" i="2"/>
  <c r="AZ435" i="2"/>
  <c r="AZ432" i="2"/>
  <c r="AZ481" i="2"/>
  <c r="AZ440" i="2"/>
  <c r="AZ437" i="2"/>
  <c r="AZ528" i="2"/>
  <c r="AZ431" i="2"/>
  <c r="AZ434" i="2"/>
  <c r="AZ443" i="2"/>
  <c r="AZ449" i="2"/>
  <c r="AZ427" i="2"/>
  <c r="AZ433" i="2"/>
  <c r="AZ453" i="2"/>
  <c r="AZ447" i="2"/>
  <c r="AZ501" i="2"/>
  <c r="AZ451" i="2"/>
  <c r="AZ445" i="2"/>
  <c r="AZ458" i="2"/>
  <c r="AZ456" i="2"/>
  <c r="AZ442" i="2"/>
  <c r="AZ454" i="2"/>
  <c r="AZ450" i="2"/>
  <c r="AZ407" i="2"/>
  <c r="AZ409" i="2"/>
  <c r="AZ410" i="2"/>
  <c r="AZ411" i="2"/>
  <c r="AZ412" i="2"/>
  <c r="AZ413" i="2"/>
  <c r="AZ414" i="2"/>
  <c r="AZ415" i="2"/>
  <c r="AZ417" i="2"/>
  <c r="AZ452" i="2"/>
  <c r="AZ514" i="2"/>
  <c r="AZ475" i="2"/>
  <c r="AZ461" i="2"/>
  <c r="AZ471" i="2"/>
  <c r="AZ495" i="2"/>
  <c r="AZ508" i="2"/>
  <c r="AZ522" i="2"/>
  <c r="AZ513" i="2"/>
  <c r="AZ479" i="2"/>
  <c r="AZ484" i="2"/>
  <c r="AZ469" i="2"/>
  <c r="AZ512" i="2"/>
  <c r="AZ465" i="2"/>
  <c r="AZ482" i="2"/>
  <c r="AZ488" i="2"/>
  <c r="AZ510" i="2"/>
  <c r="AZ491" i="2"/>
  <c r="AZ466" i="2"/>
  <c r="AZ467" i="2"/>
  <c r="AZ494" i="2"/>
  <c r="AZ502" i="2"/>
  <c r="AZ527" i="2"/>
  <c r="AZ520" i="2"/>
  <c r="AZ506" i="2"/>
  <c r="AZ509" i="2"/>
  <c r="AZ525" i="2"/>
  <c r="AZ460" i="2"/>
  <c r="BA131" i="2"/>
  <c r="BA132" i="2"/>
  <c r="BA133" i="2"/>
  <c r="BA134" i="2"/>
  <c r="BA135" i="2"/>
  <c r="BA137" i="2"/>
  <c r="BA136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5" i="2"/>
  <c r="BA156" i="2"/>
  <c r="BA157" i="2"/>
  <c r="BA158" i="2"/>
  <c r="BA159" i="2"/>
  <c r="BA160" i="2"/>
  <c r="BA161" i="2"/>
  <c r="BA163" i="2"/>
  <c r="BA162" i="2"/>
  <c r="BA164" i="2"/>
  <c r="BA165" i="2"/>
  <c r="BA166" i="2"/>
  <c r="BA167" i="2"/>
  <c r="BA168" i="2"/>
  <c r="BA169" i="2"/>
  <c r="BA170" i="2"/>
  <c r="BA171" i="2"/>
  <c r="BA172" i="2"/>
  <c r="BA173" i="2"/>
  <c r="BA176" i="2"/>
  <c r="BA175" i="2"/>
  <c r="BA174" i="2"/>
  <c r="BA178" i="2"/>
  <c r="BA177" i="2"/>
  <c r="BA179" i="2"/>
  <c r="BA180" i="2"/>
  <c r="BA181" i="2"/>
  <c r="BA182" i="2"/>
  <c r="BA183" i="2"/>
  <c r="BA184" i="2"/>
  <c r="BA185" i="2"/>
  <c r="BA186" i="2"/>
  <c r="BA187" i="2"/>
  <c r="BA189" i="2"/>
  <c r="BA188" i="2"/>
  <c r="BA191" i="2"/>
  <c r="BA195" i="2"/>
  <c r="BA192" i="2"/>
  <c r="BA193" i="2"/>
  <c r="BA194" i="2"/>
  <c r="BA190" i="2"/>
  <c r="BA196" i="2"/>
  <c r="BA197" i="2"/>
  <c r="BA198" i="2"/>
  <c r="BA199" i="2"/>
  <c r="BA201" i="2"/>
  <c r="BA200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9" i="2"/>
  <c r="BA221" i="2"/>
  <c r="BA220" i="2"/>
  <c r="BA222" i="2"/>
  <c r="BA223" i="2"/>
  <c r="BA224" i="2"/>
  <c r="BA226" i="2"/>
  <c r="BA225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42" i="2"/>
  <c r="BA240" i="2"/>
  <c r="BA239" i="2"/>
  <c r="BA241" i="2"/>
  <c r="BA243" i="2"/>
  <c r="BA244" i="2"/>
  <c r="BA245" i="2"/>
  <c r="BA246" i="2"/>
  <c r="BA249" i="2"/>
  <c r="BA248" i="2"/>
  <c r="BA247" i="2"/>
  <c r="BA250" i="2"/>
  <c r="BA251" i="2"/>
  <c r="BA253" i="2"/>
  <c r="BA252" i="2"/>
  <c r="BA254" i="2"/>
  <c r="BA255" i="2"/>
  <c r="BA256" i="2"/>
  <c r="BA257" i="2"/>
  <c r="BA258" i="2"/>
  <c r="BA259" i="2"/>
  <c r="BA260" i="2"/>
  <c r="BA261" i="2"/>
  <c r="BA262" i="2"/>
  <c r="BA263" i="2"/>
  <c r="BA264" i="2"/>
  <c r="BA265" i="2"/>
  <c r="BA268" i="2"/>
  <c r="BA267" i="2"/>
  <c r="BA266" i="2"/>
  <c r="BA269" i="2"/>
  <c r="BA270" i="2"/>
  <c r="BA271" i="2"/>
  <c r="BA272" i="2"/>
  <c r="BA273" i="2"/>
  <c r="BA274" i="2"/>
  <c r="BA275" i="2"/>
  <c r="BA276" i="2"/>
  <c r="BA277" i="2"/>
  <c r="BA278" i="2"/>
  <c r="BA283" i="2"/>
  <c r="BA300" i="2"/>
  <c r="BA310" i="2"/>
  <c r="BA295" i="2"/>
  <c r="BA319" i="2"/>
  <c r="BA291" i="2"/>
  <c r="BA281" i="2"/>
  <c r="BA357" i="2"/>
  <c r="BA317" i="2"/>
  <c r="BA438" i="2"/>
  <c r="BA280" i="2"/>
  <c r="BA279" i="2"/>
  <c r="BA282" i="2"/>
  <c r="BA294" i="2"/>
  <c r="BA312" i="2"/>
  <c r="BA298" i="2"/>
  <c r="BA285" i="2"/>
  <c r="BA518" i="2"/>
  <c r="BA293" i="2"/>
  <c r="BA284" i="2"/>
  <c r="BA324" i="2"/>
  <c r="BA307" i="2"/>
  <c r="BA301" i="2"/>
  <c r="BA296" i="2"/>
  <c r="BA311" i="2"/>
  <c r="BA297" i="2"/>
  <c r="BA292" i="2"/>
  <c r="BA303" i="2"/>
  <c r="BA308" i="2"/>
  <c r="BA299" i="2"/>
  <c r="BA304" i="2"/>
  <c r="BA331" i="2"/>
  <c r="BA302" i="2"/>
  <c r="BA306" i="2"/>
  <c r="BA305" i="2"/>
  <c r="BA382" i="2"/>
  <c r="BA309" i="2"/>
  <c r="BA313" i="2"/>
  <c r="BA314" i="2"/>
  <c r="BA318" i="2"/>
  <c r="BA329" i="2"/>
  <c r="BA519" i="2"/>
  <c r="BA347" i="2"/>
  <c r="BA338" i="2"/>
  <c r="BA332" i="2"/>
  <c r="BA352" i="2"/>
  <c r="BA342" i="2"/>
  <c r="BA341" i="2"/>
  <c r="BA344" i="2"/>
  <c r="BA363" i="2"/>
  <c r="BA353" i="2"/>
  <c r="BA350" i="2"/>
  <c r="BA346" i="2"/>
  <c r="BA365" i="2"/>
  <c r="BA351" i="2"/>
  <c r="BA371" i="2"/>
  <c r="BA354" i="2"/>
  <c r="BA507" i="2"/>
  <c r="BA358" i="2"/>
  <c r="BA368" i="2"/>
  <c r="BA419" i="2"/>
  <c r="BA361" i="2"/>
  <c r="BA380" i="2"/>
  <c r="BA359" i="2"/>
  <c r="BA356" i="2"/>
  <c r="BA355" i="2"/>
  <c r="BA367" i="2"/>
  <c r="BA487" i="2"/>
  <c r="BA364" i="2"/>
  <c r="BA374" i="2"/>
  <c r="BA362" i="2"/>
  <c r="BA360" i="2"/>
  <c r="BA366" i="2"/>
  <c r="BA370" i="2"/>
  <c r="BA369" i="2"/>
  <c r="BA375" i="2"/>
  <c r="BA372" i="2"/>
  <c r="BA383" i="2"/>
  <c r="BA373" i="2"/>
  <c r="BA390" i="2"/>
  <c r="BA396" i="2"/>
  <c r="BA490" i="2"/>
  <c r="BA376" i="2"/>
  <c r="BA378" i="2"/>
  <c r="BA387" i="2"/>
  <c r="BA515" i="2"/>
  <c r="BA425" i="2"/>
  <c r="BA391" i="2"/>
  <c r="BA379" i="2"/>
  <c r="BA395" i="2"/>
  <c r="BA381" i="2"/>
  <c r="BA401" i="2"/>
  <c r="BA420" i="2"/>
  <c r="BA389" i="2"/>
  <c r="BA384" i="2"/>
  <c r="BA385" i="2"/>
  <c r="BA392" i="2"/>
  <c r="BA393" i="2"/>
  <c r="BA400" i="2"/>
  <c r="BA397" i="2"/>
  <c r="BA499" i="2"/>
  <c r="BA408" i="2"/>
  <c r="BA441" i="2"/>
  <c r="BA403" i="2"/>
  <c r="BA418" i="2"/>
  <c r="BA416" i="2"/>
  <c r="BA404" i="2"/>
  <c r="BA426" i="2"/>
  <c r="BA402" i="2"/>
  <c r="BA428" i="2"/>
  <c r="BA505" i="2"/>
  <c r="BA430" i="2"/>
  <c r="BA423" i="2"/>
  <c r="BA448" i="2"/>
  <c r="BA444" i="2"/>
  <c r="BA424" i="2"/>
  <c r="BA436" i="2"/>
  <c r="BA422" i="2"/>
  <c r="BA446" i="2"/>
  <c r="BA435" i="2"/>
  <c r="BA432" i="2"/>
  <c r="BA481" i="2"/>
  <c r="BA440" i="2"/>
  <c r="BA437" i="2"/>
  <c r="BA528" i="2"/>
  <c r="BA431" i="2"/>
  <c r="BA434" i="2"/>
  <c r="BA443" i="2"/>
  <c r="BA449" i="2"/>
  <c r="BA427" i="2"/>
  <c r="BA433" i="2"/>
  <c r="BA453" i="2"/>
  <c r="BA447" i="2"/>
  <c r="BA501" i="2"/>
  <c r="BA451" i="2"/>
  <c r="BA445" i="2"/>
  <c r="BA458" i="2"/>
  <c r="BA456" i="2"/>
  <c r="BA442" i="2"/>
  <c r="BA454" i="2"/>
  <c r="BA450" i="2"/>
  <c r="BA407" i="2"/>
  <c r="BA409" i="2"/>
  <c r="BA410" i="2"/>
  <c r="BA411" i="2"/>
  <c r="BA412" i="2"/>
  <c r="BA413" i="2"/>
  <c r="BA414" i="2"/>
  <c r="BA415" i="2"/>
  <c r="BA417" i="2"/>
  <c r="BA452" i="2"/>
  <c r="BA514" i="2"/>
  <c r="BA475" i="2"/>
  <c r="BA461" i="2"/>
  <c r="BA471" i="2"/>
  <c r="BA495" i="2"/>
  <c r="BA508" i="2"/>
  <c r="BA522" i="2"/>
  <c r="BA513" i="2"/>
  <c r="BA479" i="2"/>
  <c r="BA484" i="2"/>
  <c r="BA469" i="2"/>
  <c r="BA512" i="2"/>
  <c r="BA465" i="2"/>
  <c r="BA482" i="2"/>
  <c r="BA488" i="2"/>
  <c r="BA510" i="2"/>
  <c r="BA491" i="2"/>
  <c r="BA466" i="2"/>
  <c r="BA467" i="2"/>
  <c r="BA494" i="2"/>
  <c r="BA502" i="2"/>
  <c r="BA527" i="2"/>
  <c r="BA520" i="2"/>
  <c r="BA506" i="2"/>
  <c r="BA509" i="2"/>
  <c r="BA525" i="2"/>
  <c r="BA460" i="2"/>
  <c r="AZ504" i="2" l="1"/>
  <c r="AZ492" i="2"/>
  <c r="AV301" i="2"/>
  <c r="AW301" i="2"/>
  <c r="AV296" i="2"/>
  <c r="AW296" i="2"/>
  <c r="AV311" i="2"/>
  <c r="AW311" i="2"/>
  <c r="AV297" i="2"/>
  <c r="AW297" i="2"/>
  <c r="AV292" i="2"/>
  <c r="AW292" i="2"/>
  <c r="AV303" i="2"/>
  <c r="AW303" i="2"/>
  <c r="AV308" i="2"/>
  <c r="AW308" i="2"/>
  <c r="AV299" i="2"/>
  <c r="AW299" i="2"/>
  <c r="AV304" i="2"/>
  <c r="AW304" i="2"/>
  <c r="AW331" i="2"/>
  <c r="AV302" i="2"/>
  <c r="AW302" i="2"/>
  <c r="AV306" i="2"/>
  <c r="AW306" i="2"/>
  <c r="AV305" i="2"/>
  <c r="AW305" i="2"/>
  <c r="AW382" i="2"/>
  <c r="AV309" i="2"/>
  <c r="AW309" i="2"/>
  <c r="AV313" i="2"/>
  <c r="AW313" i="2"/>
  <c r="AV314" i="2"/>
  <c r="AW314" i="2"/>
  <c r="AW318" i="2"/>
  <c r="AW329" i="2"/>
  <c r="AV307" i="2"/>
  <c r="AW307" i="2"/>
  <c r="AV282" i="2"/>
  <c r="AW282" i="2"/>
  <c r="AV294" i="2"/>
  <c r="AW294" i="2"/>
  <c r="AW312" i="2"/>
  <c r="AV298" i="2"/>
  <c r="AW298" i="2"/>
  <c r="AV518" i="2"/>
  <c r="AW518" i="2"/>
  <c r="AV293" i="2"/>
  <c r="AW293" i="2"/>
  <c r="AV285" i="2"/>
  <c r="AW285" i="2"/>
  <c r="AV258" i="2" l="1"/>
  <c r="AV260" i="2"/>
  <c r="AV261" i="2"/>
  <c r="AV263" i="2"/>
  <c r="AV264" i="2"/>
  <c r="AV265" i="2"/>
  <c r="AV268" i="2"/>
  <c r="AV267" i="2"/>
  <c r="AV266" i="2"/>
  <c r="AV269" i="2"/>
  <c r="AV270" i="2"/>
  <c r="AV271" i="2"/>
  <c r="AV272" i="2"/>
  <c r="AV273" i="2"/>
  <c r="AV274" i="2"/>
  <c r="AV275" i="2"/>
  <c r="AV276" i="2"/>
  <c r="AV278" i="2"/>
  <c r="AV300" i="2"/>
  <c r="AV283" i="2"/>
  <c r="AV286" i="2"/>
  <c r="AV310" i="2"/>
  <c r="AV295" i="2"/>
  <c r="AV291" i="2"/>
  <c r="AV281" i="2"/>
  <c r="AV438" i="2"/>
  <c r="AV280" i="2"/>
  <c r="AY438" i="2" l="1"/>
  <c r="AY518" i="2" l="1"/>
  <c r="AW279" i="2"/>
  <c r="AW280" i="2"/>
  <c r="AW438" i="2"/>
  <c r="AW317" i="2"/>
  <c r="AW357" i="2"/>
  <c r="AW281" i="2"/>
  <c r="AW291" i="2"/>
  <c r="AW319" i="2"/>
  <c r="AW295" i="2"/>
  <c r="AW310" i="2"/>
  <c r="AW286" i="2"/>
  <c r="AW283" i="2"/>
  <c r="AW300" i="2"/>
  <c r="AW278" i="2"/>
  <c r="AW277" i="2"/>
  <c r="AW276" i="2"/>
  <c r="AW275" i="2"/>
  <c r="AW274" i="2"/>
  <c r="AW273" i="2"/>
  <c r="AW272" i="2"/>
  <c r="AW271" i="2"/>
  <c r="AW270" i="2"/>
  <c r="AW269" i="2"/>
  <c r="AW266" i="2"/>
  <c r="AW267" i="2"/>
  <c r="AW268" i="2"/>
  <c r="AW265" i="2"/>
  <c r="AW264" i="2"/>
  <c r="AW263" i="2"/>
  <c r="AW262" i="2"/>
  <c r="AW261" i="2"/>
  <c r="AW260" i="2"/>
  <c r="AW259" i="2"/>
  <c r="AW258" i="2"/>
  <c r="AW257" i="2"/>
  <c r="AW256" i="2"/>
  <c r="AW255" i="2"/>
  <c r="AW254" i="2"/>
  <c r="AW252" i="2"/>
  <c r="AW253" i="2"/>
  <c r="AW251" i="2"/>
  <c r="AW250" i="2"/>
  <c r="AW247" i="2"/>
  <c r="AW248" i="2"/>
  <c r="AW249" i="2"/>
  <c r="AW246" i="2"/>
  <c r="AW245" i="2"/>
  <c r="AW244" i="2"/>
  <c r="AW243" i="2"/>
  <c r="AW241" i="2"/>
  <c r="AW239" i="2"/>
  <c r="AW240" i="2"/>
  <c r="AW242" i="2"/>
  <c r="AW238" i="2"/>
  <c r="AW237" i="2"/>
  <c r="AW236" i="2"/>
  <c r="AW235" i="2"/>
  <c r="AW234" i="2"/>
  <c r="AW233" i="2"/>
  <c r="AW232" i="2"/>
  <c r="AW231" i="2"/>
  <c r="AW230" i="2"/>
  <c r="AW229" i="2"/>
  <c r="AW228" i="2"/>
  <c r="AW227" i="2"/>
  <c r="AW225" i="2"/>
  <c r="AW226" i="2"/>
  <c r="AW224" i="2"/>
  <c r="AW223" i="2"/>
  <c r="AW222" i="2"/>
  <c r="AW220" i="2"/>
  <c r="AW221" i="2"/>
  <c r="AW219" i="2"/>
  <c r="AW217" i="2"/>
  <c r="AW218" i="2"/>
  <c r="AW216" i="2"/>
  <c r="AW215" i="2"/>
  <c r="AW214" i="2"/>
  <c r="AW213" i="2"/>
  <c r="AW212" i="2"/>
  <c r="AW211" i="2"/>
  <c r="AW210" i="2"/>
  <c r="AW209" i="2"/>
  <c r="AW208" i="2"/>
  <c r="AW207" i="2"/>
  <c r="AW206" i="2"/>
  <c r="AW205" i="2"/>
  <c r="AW204" i="2"/>
  <c r="AW203" i="2"/>
  <c r="AW202" i="2"/>
  <c r="AW200" i="2"/>
  <c r="AW201" i="2"/>
  <c r="AW199" i="2"/>
  <c r="AW198" i="2"/>
  <c r="AW197" i="2"/>
  <c r="AW196" i="2"/>
  <c r="AW190" i="2"/>
  <c r="AW194" i="2"/>
  <c r="AW193" i="2"/>
  <c r="AW192" i="2"/>
  <c r="AW195" i="2"/>
  <c r="AW191" i="2"/>
  <c r="AW188" i="2"/>
  <c r="AW189" i="2"/>
  <c r="AW187" i="2"/>
  <c r="AW186" i="2"/>
  <c r="AW185" i="2"/>
  <c r="AW184" i="2"/>
  <c r="AW183" i="2"/>
  <c r="AW182" i="2"/>
  <c r="AW181" i="2"/>
  <c r="AW180" i="2"/>
  <c r="AW179" i="2"/>
  <c r="AW177" i="2"/>
  <c r="AW178" i="2"/>
  <c r="AW174" i="2"/>
  <c r="AW175" i="2"/>
  <c r="AW176" i="2"/>
  <c r="AW173" i="2"/>
  <c r="AW172" i="2"/>
  <c r="AW171" i="2"/>
  <c r="AW170" i="2"/>
  <c r="AW169" i="2"/>
  <c r="AW168" i="2"/>
  <c r="AW167" i="2"/>
  <c r="AW166" i="2"/>
  <c r="AW165" i="2"/>
  <c r="AW164" i="2"/>
  <c r="AW162" i="2"/>
  <c r="AW163" i="2"/>
  <c r="AW161" i="2"/>
  <c r="AW160" i="2"/>
  <c r="AW159" i="2"/>
  <c r="AW158" i="2"/>
  <c r="AW157" i="2"/>
  <c r="AW156" i="2"/>
  <c r="AW155" i="2"/>
  <c r="AW151" i="2"/>
  <c r="AW150" i="2"/>
  <c r="AW149" i="2"/>
  <c r="AW148" i="2"/>
  <c r="AW147" i="2"/>
  <c r="AW146" i="2"/>
  <c r="AW145" i="2"/>
  <c r="AW144" i="2"/>
  <c r="AW143" i="2"/>
  <c r="AW142" i="2"/>
  <c r="AW141" i="2"/>
  <c r="AW140" i="2"/>
  <c r="AW139" i="2"/>
  <c r="AW138" i="2"/>
  <c r="AW136" i="2"/>
  <c r="AW137" i="2"/>
  <c r="AW135" i="2"/>
  <c r="AW134" i="2"/>
  <c r="AW133" i="2"/>
  <c r="AW132" i="2"/>
  <c r="AW131" i="2"/>
</calcChain>
</file>

<file path=xl/sharedStrings.xml><?xml version="1.0" encoding="utf-8"?>
<sst xmlns="http://schemas.openxmlformats.org/spreadsheetml/2006/main" count="19771" uniqueCount="2281">
  <si>
    <t>HZ Ref</t>
  </si>
  <si>
    <t>LDF No</t>
  </si>
  <si>
    <t>Region</t>
  </si>
  <si>
    <t>LPA</t>
  </si>
  <si>
    <t>Title</t>
  </si>
  <si>
    <t>DPD Type</t>
  </si>
  <si>
    <t>Grade</t>
  </si>
  <si>
    <t>Actual Publication Date_Reg 19</t>
  </si>
  <si>
    <t>Actual Publication Notes</t>
  </si>
  <si>
    <t>Actual Submission Date_Reg 22</t>
  </si>
  <si>
    <t>Actual Submission Notes</t>
  </si>
  <si>
    <t>FIVE YEAR SUPPLY OF LAND</t>
  </si>
  <si>
    <t>Date of Appointment</t>
  </si>
  <si>
    <t>Date of Appointment Notes</t>
  </si>
  <si>
    <t>Actual Hearing Start Date</t>
  </si>
  <si>
    <t>Actual Hearing Start Notes</t>
  </si>
  <si>
    <t>Hearings Close Date</t>
  </si>
  <si>
    <t>Hearings Close Notes</t>
  </si>
  <si>
    <t>Advisory Visit Prep</t>
  </si>
  <si>
    <t>Advisory Visit Meeting</t>
  </si>
  <si>
    <t>Advisory Visit Travel</t>
  </si>
  <si>
    <t>Advisory Visit Reporting</t>
  </si>
  <si>
    <t>Local Plan Admin</t>
  </si>
  <si>
    <t>Prep days*</t>
  </si>
  <si>
    <t>Hearing days*</t>
  </si>
  <si>
    <t>Post Hearing Letter(s)</t>
  </si>
  <si>
    <t>SV days*</t>
  </si>
  <si>
    <t>Travel days</t>
  </si>
  <si>
    <t>Local Plan MM Prep</t>
  </si>
  <si>
    <t>Reptg days*</t>
  </si>
  <si>
    <t>Total Days</t>
  </si>
  <si>
    <t>Days LDF Ref</t>
  </si>
  <si>
    <t>Date Given To LPA For Receipt of Fact Check</t>
  </si>
  <si>
    <t>Date Given To LPA For Receipt of Fact Check Notes</t>
  </si>
  <si>
    <t>Draft Report Sent to QA Group Date</t>
  </si>
  <si>
    <t>Draft Report Sent to QA Group Notes</t>
  </si>
  <si>
    <t>Fact Check Report Received From INSP Date</t>
  </si>
  <si>
    <t>Fact Check Report Received From INSP Notes</t>
  </si>
  <si>
    <t>Fact Check Report Dispatch Date</t>
  </si>
  <si>
    <t>Fact Check Report Dispatch Notes</t>
  </si>
  <si>
    <t>Final Report Issued Date</t>
  </si>
  <si>
    <t>Final Report Issued Notes</t>
  </si>
  <si>
    <t>Adoption Date</t>
  </si>
  <si>
    <t>Adoption Notes</t>
  </si>
  <si>
    <t>Withdrawn Date</t>
  </si>
  <si>
    <t>Withdrawn Notes</t>
  </si>
  <si>
    <t>Status</t>
  </si>
  <si>
    <t>Total Weeks</t>
  </si>
  <si>
    <t>Hearing Close to_ final _report</t>
  </si>
  <si>
    <t>NOTES</t>
  </si>
  <si>
    <t>LPA Lookup</t>
  </si>
  <si>
    <t>Submission Date</t>
  </si>
  <si>
    <t>Reports Issued</t>
  </si>
  <si>
    <t>NA</t>
  </si>
  <si>
    <t>WM</t>
  </si>
  <si>
    <t>Warwick</t>
  </si>
  <si>
    <t>Local Plan</t>
  </si>
  <si>
    <t>LP</t>
  </si>
  <si>
    <t>B</t>
  </si>
  <si>
    <t>SOU</t>
  </si>
  <si>
    <t>E07000222</t>
  </si>
  <si>
    <t>SE</t>
  </si>
  <si>
    <t>Arun</t>
  </si>
  <si>
    <t>A</t>
  </si>
  <si>
    <t>E07000224</t>
  </si>
  <si>
    <t>Tamworth</t>
  </si>
  <si>
    <t>E07000199</t>
  </si>
  <si>
    <t>SW</t>
  </si>
  <si>
    <t>Cornwall</t>
  </si>
  <si>
    <t>Local Plan Strategic Policies</t>
  </si>
  <si>
    <t>E06000052</t>
  </si>
  <si>
    <t>E</t>
  </si>
  <si>
    <t>Broadland</t>
  </si>
  <si>
    <t>Growth Triangle AAP</t>
  </si>
  <si>
    <t>AAP</t>
  </si>
  <si>
    <t>D</t>
  </si>
  <si>
    <t>E07000144</t>
  </si>
  <si>
    <t>YH</t>
  </si>
  <si>
    <t>Leeds</t>
  </si>
  <si>
    <t>Natural Resources &amp; Waste LP Policies Minerals 13 &amp; 14</t>
  </si>
  <si>
    <t>M&amp;W</t>
  </si>
  <si>
    <t>C</t>
  </si>
  <si>
    <t>E08000035</t>
  </si>
  <si>
    <t>NW</t>
  </si>
  <si>
    <t>Preston</t>
  </si>
  <si>
    <t>Preston City Centre AAP</t>
  </si>
  <si>
    <t>E07000123</t>
  </si>
  <si>
    <t>South Norfolk</t>
  </si>
  <si>
    <t>Long Stratton AAP</t>
  </si>
  <si>
    <t>E07000149</t>
  </si>
  <si>
    <t>Lon</t>
  </si>
  <si>
    <t>Wandsworth</t>
  </si>
  <si>
    <t>Local Plan Review</t>
  </si>
  <si>
    <t>E09000032</t>
  </si>
  <si>
    <t>Vale of White Horse</t>
  </si>
  <si>
    <t>Local Plan part 1</t>
  </si>
  <si>
    <t>E07000180</t>
  </si>
  <si>
    <t>North Lincolnshire</t>
  </si>
  <si>
    <t>Lincolnshire Lakes AAP</t>
  </si>
  <si>
    <t>E06000013</t>
  </si>
  <si>
    <t>Wealden</t>
  </si>
  <si>
    <t>Affordable Housing Delivery</t>
  </si>
  <si>
    <t>Other</t>
  </si>
  <si>
    <t>E07000065</t>
  </si>
  <si>
    <t>EM</t>
  </si>
  <si>
    <t>Hinckley and Bosworth</t>
  </si>
  <si>
    <t>Site Allocations &amp; DM Policies</t>
  </si>
  <si>
    <t>SA</t>
  </si>
  <si>
    <t>E07000132</t>
  </si>
  <si>
    <t>Swale</t>
  </si>
  <si>
    <t>E07000113</t>
  </si>
  <si>
    <t>King's Lynn and West Norfolk</t>
  </si>
  <si>
    <t xml:space="preserve"> </t>
  </si>
  <si>
    <t>E07000146</t>
  </si>
  <si>
    <t>Lincolnshire CC</t>
  </si>
  <si>
    <t>Core Strategy &amp; DM Policies</t>
  </si>
  <si>
    <t>E10000019</t>
  </si>
  <si>
    <t>Tunbridge Wells</t>
  </si>
  <si>
    <t>Site Allocations</t>
  </si>
  <si>
    <t>E07000116</t>
  </si>
  <si>
    <t>Carlisle</t>
  </si>
  <si>
    <t>Local Plan 2015-2030</t>
  </si>
  <si>
    <t>E07000028</t>
  </si>
  <si>
    <t>East Hampshire</t>
  </si>
  <si>
    <t>Housing &amp; Employment Allocations</t>
  </si>
  <si>
    <t>E07000085</t>
  </si>
  <si>
    <t>Ealing</t>
  </si>
  <si>
    <t>Planning for Schools</t>
  </si>
  <si>
    <t>E09000009</t>
  </si>
  <si>
    <t>Taunton Deane</t>
  </si>
  <si>
    <t>Site Allocations &amp; DMP</t>
  </si>
  <si>
    <t>E07000190</t>
  </si>
  <si>
    <t>West Oxfordshire</t>
  </si>
  <si>
    <t>E07000181</t>
  </si>
  <si>
    <t>North Somerset</t>
  </si>
  <si>
    <t>DMP - Part 1 Sites &amp; Policies</t>
  </si>
  <si>
    <t>DM</t>
  </si>
  <si>
    <t>E06000024</t>
  </si>
  <si>
    <t>North Northamptonshire</t>
  </si>
  <si>
    <t>Joint Core Strategy</t>
  </si>
  <si>
    <t>JSP019</t>
  </si>
  <si>
    <t>West Somerset</t>
  </si>
  <si>
    <t>E07000191</t>
  </si>
  <si>
    <t>Wiltshire</t>
  </si>
  <si>
    <t>Chippenham AAP</t>
  </si>
  <si>
    <t>E06000054</t>
  </si>
  <si>
    <t>Sefton</t>
  </si>
  <si>
    <t>HC Challenge email Legal 5/6</t>
  </si>
  <si>
    <t>E08000014</t>
  </si>
  <si>
    <t>Forest of Dean</t>
  </si>
  <si>
    <t>Allocations Plan</t>
  </si>
  <si>
    <t>E07000080</t>
  </si>
  <si>
    <t>Wolverhampton</t>
  </si>
  <si>
    <t>City Centre AAP</t>
  </si>
  <si>
    <t>E08000031</t>
  </si>
  <si>
    <t>Hertsmere</t>
  </si>
  <si>
    <t>E07000098</t>
  </si>
  <si>
    <t>Kingston upon Hull, City of</t>
  </si>
  <si>
    <t>Kingswood AAP</t>
  </si>
  <si>
    <t>E06000010</t>
  </si>
  <si>
    <t>Westminster</t>
  </si>
  <si>
    <t>Basement Revision</t>
  </si>
  <si>
    <t>PR</t>
  </si>
  <si>
    <t>E09000033</t>
  </si>
  <si>
    <t>Mixed Use Revision</t>
  </si>
  <si>
    <t>Newham</t>
  </si>
  <si>
    <t>Detailed Sites &amp; Policies</t>
  </si>
  <si>
    <t>E09000025</t>
  </si>
  <si>
    <t>Ipswich</t>
  </si>
  <si>
    <t>Core Strategy &amp; Policies</t>
  </si>
  <si>
    <t>E07000202</t>
  </si>
  <si>
    <t>Site Allocations + IP1 AAP</t>
  </si>
  <si>
    <t>Derby</t>
  </si>
  <si>
    <t>Local Plan part 1 Core Strategy</t>
  </si>
  <si>
    <t>E06000015</t>
  </si>
  <si>
    <t>Eden</t>
  </si>
  <si>
    <t>Local Plan 2014-2032</t>
  </si>
  <si>
    <t>E07000030</t>
  </si>
  <si>
    <t>Oxfordshire CC</t>
  </si>
  <si>
    <t>Minerals &amp; Waste Local Plan -part 1 Core Strategy</t>
  </si>
  <si>
    <t>E10000025</t>
  </si>
  <si>
    <t>Consequential Changes</t>
  </si>
  <si>
    <t>na</t>
  </si>
  <si>
    <t>Staffordshire CC</t>
  </si>
  <si>
    <t>Minerals Plan</t>
  </si>
  <si>
    <t>E10000028</t>
  </si>
  <si>
    <t>Brent</t>
  </si>
  <si>
    <t>Dev Management Policies</t>
  </si>
  <si>
    <t>E09000005</t>
  </si>
  <si>
    <t>Yorkshire Dales National Park</t>
  </si>
  <si>
    <t>E26000012</t>
  </si>
  <si>
    <t>Wakefield</t>
  </si>
  <si>
    <t>Retail &amp; Town Centre Plan</t>
  </si>
  <si>
    <t>E08000036</t>
  </si>
  <si>
    <t>Leisure, Recreation &amp; Open Space</t>
  </si>
  <si>
    <t>Dacorum</t>
  </si>
  <si>
    <t>E07000096</t>
  </si>
  <si>
    <t>Devon CC</t>
  </si>
  <si>
    <t>E10000008</t>
  </si>
  <si>
    <t>Eastbourne</t>
  </si>
  <si>
    <t>Employment Land Plan</t>
  </si>
  <si>
    <t>E07000061</t>
  </si>
  <si>
    <t>Woking</t>
  </si>
  <si>
    <t>Development Management Policies</t>
  </si>
  <si>
    <t>E07000217</t>
  </si>
  <si>
    <t>Dudley</t>
  </si>
  <si>
    <t>Dudley AAP</t>
  </si>
  <si>
    <t>E08000027</t>
  </si>
  <si>
    <t>Development Strategy</t>
  </si>
  <si>
    <t>Swanage Local Plan</t>
  </si>
  <si>
    <t>E07000051</t>
  </si>
  <si>
    <t>Winchester</t>
  </si>
  <si>
    <t>Local Plan Part 2</t>
  </si>
  <si>
    <t>E07000094</t>
  </si>
  <si>
    <t>Rotherham</t>
  </si>
  <si>
    <t>Sites &amp; Policies</t>
  </si>
  <si>
    <t>E08000018</t>
  </si>
  <si>
    <t>Milton Keynes</t>
  </si>
  <si>
    <t>E06000042</t>
  </si>
  <si>
    <t>Coventry</t>
  </si>
  <si>
    <t>E08000026</t>
  </si>
  <si>
    <t>West Berkshire</t>
  </si>
  <si>
    <t>E06000037</t>
  </si>
  <si>
    <t>Bath and North East Somerset</t>
  </si>
  <si>
    <t>Placemaking Plan</t>
  </si>
  <si>
    <t>E06000022</t>
  </si>
  <si>
    <t>East Sussex, Brighton and S.Downs National Park</t>
  </si>
  <si>
    <t>Waste and Minerals Sites</t>
  </si>
  <si>
    <t>LPA not known to MCLHG</t>
  </si>
  <si>
    <t>Luton</t>
  </si>
  <si>
    <t>E06000032</t>
  </si>
  <si>
    <t>Bradford MBC</t>
  </si>
  <si>
    <t>Shipley &amp; Canal Rd Corridor AAP</t>
  </si>
  <si>
    <t>Bradford City Centre AAP</t>
  </si>
  <si>
    <t>Stafford</t>
  </si>
  <si>
    <t>Local Plan Pt 2 - Site Allocations</t>
  </si>
  <si>
    <t>E07000197</t>
  </si>
  <si>
    <t>St. Helens</t>
  </si>
  <si>
    <t>Bold Forest AAP</t>
  </si>
  <si>
    <t>E08000013</t>
  </si>
  <si>
    <t>Exmoor National Park</t>
  </si>
  <si>
    <t>E26000002</t>
  </si>
  <si>
    <t>Scarborough</t>
  </si>
  <si>
    <t>E07000168</t>
  </si>
  <si>
    <t>Westminster City Plan-Special Policy Areas &amp; Policiies Map Revision</t>
  </si>
  <si>
    <t>WR</t>
  </si>
  <si>
    <t>n/a</t>
  </si>
  <si>
    <t>Waste Management Development</t>
  </si>
  <si>
    <t>Maidstone</t>
  </si>
  <si>
    <t>E07000110</t>
  </si>
  <si>
    <t>Haringey</t>
  </si>
  <si>
    <t>Alterations to Strategic Policies</t>
  </si>
  <si>
    <t>E09000014</t>
  </si>
  <si>
    <t>Development Management</t>
  </si>
  <si>
    <t>Tottenham AAP</t>
  </si>
  <si>
    <t>Essex and Southend-on-Sea</t>
  </si>
  <si>
    <t>Replacement Waste Local Plan</t>
  </si>
  <si>
    <t>North Devon and Torridge</t>
  </si>
  <si>
    <t>JSP018</t>
  </si>
  <si>
    <t>Suffolk Coastal</t>
  </si>
  <si>
    <t>Felixstowe Peninsula AAP</t>
  </si>
  <si>
    <t>E07000205</t>
  </si>
  <si>
    <t>Site Alloc &amp; Area Specific Policies</t>
  </si>
  <si>
    <t>Dartford</t>
  </si>
  <si>
    <t>Development Policies Plan</t>
  </si>
  <si>
    <t>E07000107</t>
  </si>
  <si>
    <t>Camden</t>
  </si>
  <si>
    <t>E09000007</t>
  </si>
  <si>
    <t>Central Lincolnshire</t>
  </si>
  <si>
    <t>JSP003</t>
  </si>
  <si>
    <t>NE</t>
  </si>
  <si>
    <t>North Tyneside</t>
  </si>
  <si>
    <t>E08000022</t>
  </si>
  <si>
    <t>Telford and Wrekin</t>
  </si>
  <si>
    <t>E06000020</t>
  </si>
  <si>
    <t>Stevenage</t>
  </si>
  <si>
    <t>E07000243</t>
  </si>
  <si>
    <t>St Albans</t>
  </si>
  <si>
    <t>DPDW</t>
  </si>
  <si>
    <t>E07000240</t>
  </si>
  <si>
    <t>Mid Sussex</t>
  </si>
  <si>
    <t>Local Plan (District Plan 2)</t>
  </si>
  <si>
    <t>E07000228</t>
  </si>
  <si>
    <t>Northamptonshire CC</t>
  </si>
  <si>
    <t>Minerals and Waste Local Plan Update</t>
  </si>
  <si>
    <t>E10000021</t>
  </si>
  <si>
    <t>Castle Point</t>
  </si>
  <si>
    <t>UNS</t>
  </si>
  <si>
    <t>E07000069</t>
  </si>
  <si>
    <t>Cumbria CC</t>
  </si>
  <si>
    <t>Minerals &amp; Waste LP</t>
  </si>
  <si>
    <t>Delay in issuing FC due to DCLG request</t>
  </si>
  <si>
    <t>E10000006</t>
  </si>
  <si>
    <t>G&amp;T Accom Development Plan</t>
  </si>
  <si>
    <t>Aire Valley Leeds AAP</t>
  </si>
  <si>
    <t>North West Leicestershire</t>
  </si>
  <si>
    <t>E07000134</t>
  </si>
  <si>
    <t>Gedling</t>
  </si>
  <si>
    <t>E07000173</t>
  </si>
  <si>
    <t>Adur</t>
  </si>
  <si>
    <t>E07000223</t>
  </si>
  <si>
    <t>South Gloucestershire</t>
  </si>
  <si>
    <t>Policies, Sites &amp; Places Plan</t>
  </si>
  <si>
    <t>E06000025</t>
  </si>
  <si>
    <t>Norfolk CC</t>
  </si>
  <si>
    <t>Single Issue Silica Sand Review</t>
  </si>
  <si>
    <t>E10000020</t>
  </si>
  <si>
    <t>Fylde</t>
  </si>
  <si>
    <t>E07000119</t>
  </si>
  <si>
    <t>Nottinghamshire County Council</t>
  </si>
  <si>
    <t>Derbyshire Dales</t>
  </si>
  <si>
    <t>E07000035</t>
  </si>
  <si>
    <t>Waverley</t>
  </si>
  <si>
    <t>Local Plan Part 1</t>
  </si>
  <si>
    <t>E07000216</t>
  </si>
  <si>
    <t>North East Lincolnshire</t>
  </si>
  <si>
    <t>E06000012</t>
  </si>
  <si>
    <t>Barnsley</t>
  </si>
  <si>
    <t>Final report held up by Ministry</t>
  </si>
  <si>
    <t>E08000016</t>
  </si>
  <si>
    <t>South Derbyshire</t>
  </si>
  <si>
    <t>E07000039</t>
  </si>
  <si>
    <t>Hyndburn</t>
  </si>
  <si>
    <t>Development Management Plan</t>
  </si>
  <si>
    <t>E07000120</t>
  </si>
  <si>
    <t>Croydon</t>
  </si>
  <si>
    <t>Local Plan Strategic Policies Partial Review</t>
  </si>
  <si>
    <t>E09000008</t>
  </si>
  <si>
    <t>Local Plan Detailed Policies &amp; Proposals</t>
  </si>
  <si>
    <t>Sunderland</t>
  </si>
  <si>
    <t>IAMP AAP</t>
  </si>
  <si>
    <t>E08000024</t>
  </si>
  <si>
    <t>Site Allocations Plan</t>
  </si>
  <si>
    <t>Ashfield</t>
  </si>
  <si>
    <t>E07000170</t>
  </si>
  <si>
    <t>Hammersmith and Fulham</t>
  </si>
  <si>
    <t>E09000013</t>
  </si>
  <si>
    <t>Redbridge</t>
  </si>
  <si>
    <t>E09000026</t>
  </si>
  <si>
    <t>Southend-on-Sea</t>
  </si>
  <si>
    <t>Central AAP</t>
  </si>
  <si>
    <t>E06000033</t>
  </si>
  <si>
    <t>Hartlepool</t>
  </si>
  <si>
    <t>E06000001</t>
  </si>
  <si>
    <t>Forest Heath</t>
  </si>
  <si>
    <t>Core Strategy Single Issue Review</t>
  </si>
  <si>
    <t>E07000201</t>
  </si>
  <si>
    <t>Merton</t>
  </si>
  <si>
    <t>Estates Local Plan</t>
  </si>
  <si>
    <t>E09000024</t>
  </si>
  <si>
    <t>East Hertfordshire</t>
  </si>
  <si>
    <t>District Plan Part 1</t>
  </si>
  <si>
    <t>E07000242</t>
  </si>
  <si>
    <t>Chichester</t>
  </si>
  <si>
    <t>E07000225</t>
  </si>
  <si>
    <t>Mid Devon</t>
  </si>
  <si>
    <t>E07000042</t>
  </si>
  <si>
    <t>Minerals and Waste Site Locations</t>
  </si>
  <si>
    <t>Northumberland</t>
  </si>
  <si>
    <t>E06000057</t>
  </si>
  <si>
    <t>Sutton</t>
  </si>
  <si>
    <t>Local Plan 2016-2031</t>
  </si>
  <si>
    <t>E09000029</t>
  </si>
  <si>
    <t>Redcar and Cleveland</t>
  </si>
  <si>
    <t>E06000003</t>
  </si>
  <si>
    <t>East Lindsey</t>
  </si>
  <si>
    <t>Core Strategy</t>
  </si>
  <si>
    <t>CS</t>
  </si>
  <si>
    <t>E07000137</t>
  </si>
  <si>
    <t>Settlement Proposals</t>
  </si>
  <si>
    <t>Kirklees</t>
  </si>
  <si>
    <t>E08000034</t>
  </si>
  <si>
    <t>Kensington and Chelsea</t>
  </si>
  <si>
    <t>Review of Local Plan</t>
  </si>
  <si>
    <t>Examination paused due to engagement with community &amp; changes to plan</t>
  </si>
  <si>
    <t>Welwyn Hatfield</t>
  </si>
  <si>
    <t>Richmond Upon Thames</t>
  </si>
  <si>
    <t>West Sussex/South Downs National Park</t>
  </si>
  <si>
    <t>Joint Minerals Local Plan</t>
  </si>
  <si>
    <t>Nuneaton and Bedworth</t>
  </si>
  <si>
    <t>Borough Plan (Local Plan)</t>
  </si>
  <si>
    <t>Walsall</t>
  </si>
  <si>
    <t>Town Centre AAP</t>
  </si>
  <si>
    <t>North Hertfordshire</t>
  </si>
  <si>
    <t>Virtual - Zoom</t>
  </si>
  <si>
    <t>South East Lincs</t>
  </si>
  <si>
    <t>East Devon</t>
  </si>
  <si>
    <t>Villages Plan</t>
  </si>
  <si>
    <t>Cotswold</t>
  </si>
  <si>
    <t>Rugby</t>
  </si>
  <si>
    <t>Burnley</t>
  </si>
  <si>
    <t>Ribble Valley</t>
  </si>
  <si>
    <t>Housing &amp; Economic Development Plan</t>
  </si>
  <si>
    <t>Plymouth and South West Devon</t>
  </si>
  <si>
    <t>Joint Local Plan</t>
  </si>
  <si>
    <t>Sedgemoor</t>
  </si>
  <si>
    <t>Bromley</t>
  </si>
  <si>
    <t>South Staffordshire</t>
  </si>
  <si>
    <t>Newark and Sherwood</t>
  </si>
  <si>
    <t>Core Strategy Review</t>
  </si>
  <si>
    <t>Melton</t>
  </si>
  <si>
    <t>Braintree/Colchester/Tendring</t>
  </si>
  <si>
    <t>Local Plan Section1</t>
  </si>
  <si>
    <t>Tendring Adopted on 26/01/21
Colchester Adopted 01/02/21
Braintree Adopted 22/02/21</t>
  </si>
  <si>
    <t>Tendring</t>
  </si>
  <si>
    <t>Local Plan Section 2</t>
  </si>
  <si>
    <t>Virtual - Teams</t>
  </si>
  <si>
    <t>E07000076</t>
  </si>
  <si>
    <t>Colchester</t>
  </si>
  <si>
    <t>E07000071</t>
  </si>
  <si>
    <t>Braintree</t>
  </si>
  <si>
    <t>LPA unwilling to action 21/06/22</t>
  </si>
  <si>
    <t>E07000067</t>
  </si>
  <si>
    <t>Employment &amp; Industry Document</t>
  </si>
  <si>
    <t>Minerals Safeguarding Plan</t>
  </si>
  <si>
    <t>Poole</t>
  </si>
  <si>
    <t>North Yorkshire, York and N Yorkshire Moors National Park</t>
  </si>
  <si>
    <t>M&amp;W Joint Plan</t>
  </si>
  <si>
    <t>North Yorks adopted 16/02/22
N Yorks Moors adopted 21/03/22
York City adopted 27/04/22</t>
  </si>
  <si>
    <t>Breckland</t>
  </si>
  <si>
    <t>Guildford</t>
  </si>
  <si>
    <t>Stockton-on-Tees</t>
  </si>
  <si>
    <t>Ashford</t>
  </si>
  <si>
    <t>Wyre</t>
  </si>
  <si>
    <t>Oadby and Wigston</t>
  </si>
  <si>
    <t>New Local Plan</t>
  </si>
  <si>
    <t>Wellingborough</t>
  </si>
  <si>
    <t>Local Plan Part2</t>
  </si>
  <si>
    <t>Windsor and Maidenhead</t>
  </si>
  <si>
    <t>Borough Local Plan</t>
  </si>
  <si>
    <t>Rushmoor</t>
  </si>
  <si>
    <t>Barrow-in-Furness</t>
  </si>
  <si>
    <t>East Cambridgeshire</t>
  </si>
  <si>
    <t>Peak District National Park</t>
  </si>
  <si>
    <t>Local Plan Pt 2 - Development Man Plan</t>
  </si>
  <si>
    <t>Herefordshire, County of</t>
  </si>
  <si>
    <t>Travellers Sites Development Plan</t>
  </si>
  <si>
    <t>Lancaster and S Lakeland</t>
  </si>
  <si>
    <t>Arnside &amp; Silverdale AONB</t>
  </si>
  <si>
    <t>South Lakeland</t>
  </si>
  <si>
    <t>Development Management Polices DPD</t>
  </si>
  <si>
    <t>Tower Hamlets</t>
  </si>
  <si>
    <t>Aylesbury Vale</t>
  </si>
  <si>
    <t>Blended - Teams</t>
  </si>
  <si>
    <t>Amber Valley</t>
  </si>
  <si>
    <t>Cherwell</t>
  </si>
  <si>
    <t>Local Plan Part1 Review</t>
  </si>
  <si>
    <t>Cheshire West and Chester</t>
  </si>
  <si>
    <t>Local Plan Part 2 Land Allocs &amp; Detailed Pols</t>
  </si>
  <si>
    <t>Broxbourne</t>
  </si>
  <si>
    <t>Harborough</t>
  </si>
  <si>
    <t>The Broads Authority</t>
  </si>
  <si>
    <t>Blaby</t>
  </si>
  <si>
    <t>Delivery DPD</t>
  </si>
  <si>
    <t>Leicestershire CC</t>
  </si>
  <si>
    <t>Minerals &amp; Waste Plan</t>
  </si>
  <si>
    <t>Peterborough</t>
  </si>
  <si>
    <t>Craven</t>
  </si>
  <si>
    <t>North Warwickshire</t>
  </si>
  <si>
    <t>Havering</t>
  </si>
  <si>
    <t>Bournemouth, Dorset and Poole</t>
  </si>
  <si>
    <t>Waste Plan</t>
  </si>
  <si>
    <t>Huntingdonshire</t>
  </si>
  <si>
    <t>Ryedale</t>
  </si>
  <si>
    <t>Local Plan Sites &amp; Policies Map Plan</t>
  </si>
  <si>
    <t>Minerals Sites Plan</t>
  </si>
  <si>
    <t>Wycombe</t>
  </si>
  <si>
    <t>MK Plan</t>
  </si>
  <si>
    <t>Reading</t>
  </si>
  <si>
    <t>West of England</t>
  </si>
  <si>
    <t>Spatial Plan</t>
  </si>
  <si>
    <t>Nottingham</t>
  </si>
  <si>
    <t>South Downs National Park</t>
  </si>
  <si>
    <t>Enfield</t>
  </si>
  <si>
    <t>Edmonton &amp; Central Leeside AAP</t>
  </si>
  <si>
    <t>Central Bedfordshire</t>
  </si>
  <si>
    <t>Traveller Plan</t>
  </si>
  <si>
    <t>New Forest National Park</t>
  </si>
  <si>
    <t>Lancaster</t>
  </si>
  <si>
    <t>Local Plan Pt 1 - Strategic Pols &amp; Land Allocs</t>
  </si>
  <si>
    <t>Local Plan Pt 2 - Review of DMP</t>
  </si>
  <si>
    <t>Reigate and Banstead</t>
  </si>
  <si>
    <t>Liverpool</t>
  </si>
  <si>
    <t>Hillingdon</t>
  </si>
  <si>
    <t>Local Plan Part 2 SA/DMP</t>
  </si>
  <si>
    <t>North East Derbyshire</t>
  </si>
  <si>
    <t>York</t>
  </si>
  <si>
    <t>Blended</t>
  </si>
  <si>
    <t>Adur and Brighton</t>
  </si>
  <si>
    <t>Shoreham Harbour Joint AAP</t>
  </si>
  <si>
    <t>Lichfield</t>
  </si>
  <si>
    <t>Local Plan Part 2 - Allocations</t>
  </si>
  <si>
    <t>Buckinghamshire</t>
  </si>
  <si>
    <t>M&amp;W Local Plan</t>
  </si>
  <si>
    <t>Hart</t>
  </si>
  <si>
    <t>Waveney</t>
  </si>
  <si>
    <t>Chelmsford</t>
  </si>
  <si>
    <t>Staffordshire Moorlands</t>
  </si>
  <si>
    <t>East Riding of Yorkshire and Hull</t>
  </si>
  <si>
    <t>Joint Minerals Plan</t>
  </si>
  <si>
    <t>Runnymede</t>
  </si>
  <si>
    <t>Broxtowe</t>
  </si>
  <si>
    <t>Core Strategy Partial Review</t>
  </si>
  <si>
    <t>Rushcliffe</t>
  </si>
  <si>
    <t>Bolsover</t>
  </si>
  <si>
    <t>Harrogate</t>
  </si>
  <si>
    <t>District Local Plan</t>
  </si>
  <si>
    <t>Epping Forest</t>
  </si>
  <si>
    <t>District Plan</t>
  </si>
  <si>
    <t>Physical</t>
  </si>
  <si>
    <t>Folkestone and Hythe</t>
  </si>
  <si>
    <t>Polices and Places</t>
  </si>
  <si>
    <t>Cheltenham</t>
  </si>
  <si>
    <t>Cheltenham Plan</t>
  </si>
  <si>
    <t>Old Oak and Park Royal Development Corporation</t>
  </si>
  <si>
    <t>Harlow</t>
  </si>
  <si>
    <t>Thanet</t>
  </si>
  <si>
    <t>Eastleigh</t>
  </si>
  <si>
    <t>Survey sent 22/03/22 - PO confirms they have advised participants</t>
  </si>
  <si>
    <t>New Forest</t>
  </si>
  <si>
    <t>Birmingham</t>
  </si>
  <si>
    <t>Bordesley Park AAP</t>
  </si>
  <si>
    <t>Bedford</t>
  </si>
  <si>
    <t>Local Plan 2030</t>
  </si>
  <si>
    <t>Daventry</t>
  </si>
  <si>
    <t>District Settlements &amp; Countryside Local Plan part 2</t>
  </si>
  <si>
    <t>Lewes</t>
  </si>
  <si>
    <t>Gloucestershire</t>
  </si>
  <si>
    <t>Minerals Local Plan</t>
  </si>
  <si>
    <t>Suffolk County Council</t>
  </si>
  <si>
    <t>Minerals &amp; Waste</t>
  </si>
  <si>
    <t>Mansfield</t>
  </si>
  <si>
    <t>Calderdale</t>
  </si>
  <si>
    <t>South Kesteven</t>
  </si>
  <si>
    <t>Rother</t>
  </si>
  <si>
    <t>Local Plan Part2 (Dev&amp;Alloc)</t>
  </si>
  <si>
    <t>Allerdale</t>
  </si>
  <si>
    <t>Local Plan part 2</t>
  </si>
  <si>
    <t>Tandridge</t>
  </si>
  <si>
    <t>Uttlesford</t>
  </si>
  <si>
    <t>South Northamptonshire</t>
  </si>
  <si>
    <t>Hackney</t>
  </si>
  <si>
    <t>Local Plan 2033</t>
  </si>
  <si>
    <t>Tonbridge and Malling</t>
  </si>
  <si>
    <t>Mendip</t>
  </si>
  <si>
    <t>Local Plan Part 2 (Sites and Policies</t>
  </si>
  <si>
    <t>Purbeck</t>
  </si>
  <si>
    <t>Further H sessions Aug/.Sept</t>
  </si>
  <si>
    <t>London Legacy Development Corporation</t>
  </si>
  <si>
    <t>Newcastle</t>
  </si>
  <si>
    <t>Oxford</t>
  </si>
  <si>
    <t>Local Plan 2016-36 Review</t>
  </si>
  <si>
    <t>TBC</t>
  </si>
  <si>
    <t>Rossendale</t>
  </si>
  <si>
    <t>Virtual - Phone Conference</t>
  </si>
  <si>
    <t>Basildon</t>
  </si>
  <si>
    <t>South Oxfordshire</t>
  </si>
  <si>
    <t>Surrey County Council</t>
  </si>
  <si>
    <t>Gateshead</t>
  </si>
  <si>
    <t>Making Spaces for Growing Places</t>
  </si>
  <si>
    <t>Sevenoaks</t>
  </si>
  <si>
    <t>OOLTI at St Michael’s Convent</t>
  </si>
  <si>
    <t>#WR 1808a</t>
  </si>
  <si>
    <t>Kent</t>
  </si>
  <si>
    <t>Minerals &amp; Waste Early Partial Review</t>
  </si>
  <si>
    <t xml:space="preserve">Kent </t>
  </si>
  <si>
    <t>Local Green Spaces Plan</t>
  </si>
  <si>
    <t xml:space="preserve">27/01/2022 - LPA have added survey to website 16/02/22 </t>
  </si>
  <si>
    <t>Local Green Space Udney Park Playing Fields</t>
  </si>
  <si>
    <t>#WR 1808b</t>
  </si>
  <si>
    <t>Chesterfield</t>
  </si>
  <si>
    <t>County Durham</t>
  </si>
  <si>
    <t>North York Moors National Park</t>
  </si>
  <si>
    <t>Site Allocations Development Plan Document</t>
  </si>
  <si>
    <t>Lake District National Park</t>
  </si>
  <si>
    <t>Cranbrook Local Plan</t>
  </si>
  <si>
    <t>North London Boroughs</t>
  </si>
  <si>
    <t>North London Waste Plan</t>
  </si>
  <si>
    <t>Hackney adopted 26/01/22
Barnet adopted 01/03/22
Islington adopted 03/03/22
Watham Forest adopted 03/03/22
Camden adopted 04/07/22
Enfield adopted 13/07/22
Haringey adopted 18/07/22</t>
  </si>
  <si>
    <t>Chiltern and South Bucks</t>
  </si>
  <si>
    <t>Joint Local Plan 2036</t>
  </si>
  <si>
    <t>Northumberland National Park</t>
  </si>
  <si>
    <t>Isles of Scilly</t>
  </si>
  <si>
    <t>City Plan 2019 - 2040</t>
  </si>
  <si>
    <t>Y</t>
  </si>
  <si>
    <t>Warwickshire CC</t>
  </si>
  <si>
    <t>Warwickshire Minerals Plan</t>
  </si>
  <si>
    <t>Virtual</t>
  </si>
  <si>
    <t>Worcestershire CC</t>
  </si>
  <si>
    <t>Minerals local Plan</t>
  </si>
  <si>
    <t>E10000034</t>
  </si>
  <si>
    <t>Corby Borough Council</t>
  </si>
  <si>
    <t>Part 2 Local Plan For Corby</t>
  </si>
  <si>
    <t>Southwark</t>
  </si>
  <si>
    <t>New Southwark Plan</t>
  </si>
  <si>
    <t>E06000018</t>
  </si>
  <si>
    <t>Islington</t>
  </si>
  <si>
    <t>E09000019</t>
  </si>
  <si>
    <t>Bunhill and Clerkenwell AAP</t>
  </si>
  <si>
    <t>Strategic and Development Management Policies</t>
  </si>
  <si>
    <t>Brentwood</t>
  </si>
  <si>
    <t>Local Plan - Review of Policy S1</t>
  </si>
  <si>
    <t>Doncaster</t>
  </si>
  <si>
    <t>Doncaster Local Plan</t>
  </si>
  <si>
    <t>Halton</t>
  </si>
  <si>
    <t>Delivery and Allocations</t>
  </si>
  <si>
    <t>Core Strategy Local Plan</t>
  </si>
  <si>
    <t xml:space="preserve">27/01/2022 - LPA confirm this will go on the website and out to the participants </t>
  </si>
  <si>
    <t>Cambridgeshire County Council and Peterborough City Council</t>
  </si>
  <si>
    <t>Joint Minerals and Waste Plan</t>
  </si>
  <si>
    <t>Hambleton</t>
  </si>
  <si>
    <t>West Sussex County Council and South Downs National Park</t>
  </si>
  <si>
    <t>Joint Minerals Local Plan Soft Sand Review</t>
  </si>
  <si>
    <t>Wyre Forest</t>
  </si>
  <si>
    <t xml:space="preserve">Tewkesbury </t>
  </si>
  <si>
    <t>Tewkesbury Borough Plan</t>
  </si>
  <si>
    <t>Lambeth</t>
  </si>
  <si>
    <t>Kettering</t>
  </si>
  <si>
    <t>Site Specific Part 2 Local Plan</t>
  </si>
  <si>
    <t>Development Management in Birmingham</t>
  </si>
  <si>
    <t>Great Yarmouth</t>
  </si>
  <si>
    <t>Dartmoor National Park</t>
  </si>
  <si>
    <t>Council decided not to adopt</t>
  </si>
  <si>
    <t>Local Plan Partial Review</t>
  </si>
  <si>
    <t>Gloucester City Council</t>
  </si>
  <si>
    <t>Gloucester City Plan</t>
  </si>
  <si>
    <t>Hounslow</t>
  </si>
  <si>
    <t>Site Allocations DPD</t>
  </si>
  <si>
    <t>Darlington</t>
  </si>
  <si>
    <t>Local Plan 2016-2036</t>
  </si>
  <si>
    <t>Croydon, Kingston, Merton and Sutton</t>
  </si>
  <si>
    <t>Joint South London Waste Plan</t>
  </si>
  <si>
    <t>Croydon 14/12/22
Kingston 13/12/22
Sutton 21/11/22
Merton 16/11/22</t>
  </si>
  <si>
    <t>Rutland</t>
  </si>
  <si>
    <t>Northampton</t>
  </si>
  <si>
    <t>Northampton Local Part 2</t>
  </si>
  <si>
    <t>Salt Cross Garden Village AAP</t>
  </si>
  <si>
    <t>Virtual - WebEx</t>
  </si>
  <si>
    <t>Havant</t>
  </si>
  <si>
    <t>Central &amp; Eastern Berkshire Authorities</t>
  </si>
  <si>
    <t>Bracknell Forest 11/01/23</t>
  </si>
  <si>
    <t>Site Allocations (Remitted)</t>
  </si>
  <si>
    <t>East Northants</t>
  </si>
  <si>
    <t>East Northamptonshire LP 2</t>
  </si>
  <si>
    <t>Babergh and Mid Suffolk</t>
  </si>
  <si>
    <t>Mid Sussex adoption 20/11/23
Babergh adoption 21/11/23</t>
  </si>
  <si>
    <t>Cheshire East</t>
  </si>
  <si>
    <t>Site Allocations and Development Policies</t>
  </si>
  <si>
    <t>Waltham Forest</t>
  </si>
  <si>
    <t>Local Plan Part 1 Strategic Policies</t>
  </si>
  <si>
    <t>Brighton and Hove</t>
  </si>
  <si>
    <t>City Plan Part 2</t>
  </si>
  <si>
    <t>Solihull</t>
  </si>
  <si>
    <t>Worthing</t>
  </si>
  <si>
    <t>Blackpool</t>
  </si>
  <si>
    <t>Salford</t>
  </si>
  <si>
    <t>Local Plan: Development Management Policies and Designations</t>
  </si>
  <si>
    <t>South Norfolk, Broadland, Norwich, Norfolk</t>
  </si>
  <si>
    <t>Greater Norwich Local Plan</t>
  </si>
  <si>
    <t>Virtual
24-30 July 2023</t>
  </si>
  <si>
    <t>Norwich City - 12 March 2024
South Norfolk - 25 March 2024
Broadland - 28 March 2024</t>
  </si>
  <si>
    <t>Watford</t>
  </si>
  <si>
    <t>Shropshire</t>
  </si>
  <si>
    <t>H's w/c 04/07 &amp; 11/07</t>
  </si>
  <si>
    <t>Fareham</t>
  </si>
  <si>
    <t>Stroud</t>
  </si>
  <si>
    <t>Sitting 7-9 March, 22-24 March, 3-5 May, 16-18 May and 23-25 May (all virtual)</t>
  </si>
  <si>
    <t>Blended w/c 01/03, 15/03 &amp; 29/03
25-27 May, 14-17 June, 21-24 June, 5-8 July, 12-15 July, 19 July</t>
  </si>
  <si>
    <t>Climate Emergency DPD</t>
  </si>
  <si>
    <t>Trafford</t>
  </si>
  <si>
    <t>Civic Quarter Area Action Plan</t>
  </si>
  <si>
    <t>Barnet</t>
  </si>
  <si>
    <t>Bexley</t>
  </si>
  <si>
    <t>H's starting 10/05 for 3 weeks</t>
  </si>
  <si>
    <t>H's w/c 13/06, 20/06,  27/06, 3/10, 17/10</t>
  </si>
  <si>
    <t>Charnwood</t>
  </si>
  <si>
    <t>H's w/c 27/06, 11/07 &amp; 18/07 - further Hs 25 &amp; 26 Oct and will resume in New Year</t>
  </si>
  <si>
    <t>1 H session due in May/June to consider DtC</t>
  </si>
  <si>
    <t>BANES</t>
  </si>
  <si>
    <t>Local Plan 2011-2029 Partial Review</t>
  </si>
  <si>
    <t>H's expected early June</t>
  </si>
  <si>
    <t>Bracknell Forest</t>
  </si>
  <si>
    <t>Barking and Dagenham</t>
  </si>
  <si>
    <t>H's w/c 11/07 &amp; 18/07
6/9</t>
  </si>
  <si>
    <t>Greater Manchester (Bolton, Bury, Manchester, Oldham, Rochdale, Salford, Tameside, Trafford, Wigan)</t>
  </si>
  <si>
    <t>Manchester Places for Everyone Joint Plan</t>
  </si>
  <si>
    <t>Mole Valley</t>
  </si>
  <si>
    <t>Future Mole Valley Local Plan</t>
  </si>
  <si>
    <t>w/c 04/07, 18/07, 26/09, 10/10</t>
  </si>
  <si>
    <t>Herefordshire DC</t>
  </si>
  <si>
    <t>Due to sit December 2022 then Jan &amp; March 2023</t>
  </si>
  <si>
    <t>64..34</t>
  </si>
  <si>
    <t>Local Plan Review (2022-2037)</t>
  </si>
  <si>
    <t>Climate Emergency Review of Local Plan Part 2</t>
  </si>
  <si>
    <t>Climate Emergency Review of Local Plan Part 1</t>
  </si>
  <si>
    <t>Warrington</t>
  </si>
  <si>
    <t>Local Plan 2021-2039</t>
  </si>
  <si>
    <t xml:space="preserve">Wyre  </t>
  </si>
  <si>
    <t>Local Plan Partial Review (2011-2031)</t>
  </si>
  <si>
    <t>N</t>
  </si>
  <si>
    <t>Expected to last 2 days</t>
  </si>
  <si>
    <t>H's w/c 14/11, 21/11, 28/11</t>
  </si>
  <si>
    <t>East Sussex, South Downs and Brighton &amp; Hove</t>
  </si>
  <si>
    <t>Joint Waste and Minerals Local Plan</t>
  </si>
  <si>
    <t xml:space="preserve">Local Plan: Development Management Policies  </t>
  </si>
  <si>
    <t>Gypsy and Traveller Plan</t>
  </si>
  <si>
    <t>North Kesteven, Lincoln and West Lindsey</t>
  </si>
  <si>
    <t>Central Lincolnshire Local Plan Review</t>
  </si>
  <si>
    <t>Sitting 15-18 Nov, 22-25 Nov &amp; 6-9 Dec 2022</t>
  </si>
  <si>
    <t>Bassetlaw</t>
  </si>
  <si>
    <t>Local Plan 2020-2038</t>
  </si>
  <si>
    <t>Local Plan 2022-2031 Single Issue Review</t>
  </si>
  <si>
    <t>Blackburn with Darwen</t>
  </si>
  <si>
    <t>Local Plan 2021-2037</t>
  </si>
  <si>
    <t>Copeland</t>
  </si>
  <si>
    <t>Local Plan 2021-38</t>
  </si>
  <si>
    <t>Sitting 31/1-2/2, 7-9/2, 28/2-2/3, 7-9/3</t>
  </si>
  <si>
    <t>Net Zero Carbon DPD</t>
  </si>
  <si>
    <t>Wirral</t>
  </si>
  <si>
    <t>12-15 September 2023</t>
  </si>
  <si>
    <t>exploratory meeting 23 Jan 2024</t>
  </si>
  <si>
    <t>Spelthorne</t>
  </si>
  <si>
    <t>27 Jan- 31 Jan
10 Feb - 14 Feb
17 Feb- 21 Feb</t>
  </si>
  <si>
    <t>Erewash</t>
  </si>
  <si>
    <t xml:space="preserve">Core Strategy Review </t>
  </si>
  <si>
    <t>wk 1 - 16-18 Jan
wk 2 - 30-31 Jan
wk 3 - 6-8 Feb</t>
  </si>
  <si>
    <t>11-22 September</t>
  </si>
  <si>
    <t>New Local Plan Review</t>
  </si>
  <si>
    <t>10-21 July</t>
  </si>
  <si>
    <t>Dover</t>
  </si>
  <si>
    <t>East Riding of Yorkshire</t>
  </si>
  <si>
    <t>Local Plan Review 2036</t>
  </si>
  <si>
    <t>wk1 - 8-9 May 2024
wk2 - 21-23 May 2024
wk3 - 4-6 June 2024
wk4 - 11-13 June 2024
Reserve - 26 - 27 June &amp; 
2-3 July 2024</t>
  </si>
  <si>
    <t>North Norfolk</t>
  </si>
  <si>
    <t>wk 1 - 23-25 Jan
wk 2 - 13-15 Feb
wk 3 - 5-7 Mar
wk 08-10 April</t>
  </si>
  <si>
    <t>Crawley</t>
  </si>
  <si>
    <t>Elmbridge</t>
  </si>
  <si>
    <t>27-28 Feb</t>
  </si>
  <si>
    <t>Coventry City</t>
  </si>
  <si>
    <t>HMO DPD</t>
  </si>
  <si>
    <t>Tendring &amp; Colchester</t>
  </si>
  <si>
    <t>Garden Borders Community DPD</t>
  </si>
  <si>
    <t>Leicester</t>
  </si>
  <si>
    <t xml:space="preserve">LP </t>
  </si>
  <si>
    <t>South Worcestershire</t>
  </si>
  <si>
    <t>Development Plan Review</t>
  </si>
  <si>
    <t xml:space="preserve">Further hearing sessions on Thursday 4th September 2025 </t>
  </si>
  <si>
    <t>JSP022</t>
  </si>
  <si>
    <t>Sheffield</t>
  </si>
  <si>
    <t>Sheffield Plan</t>
  </si>
  <si>
    <t>Stage 2 Hearings - 23 Sep, 7 Oct, 4 Nov 24
Stage 3 Hearings - W/C 29 Sep 25
Stage 4 Hearings - W/C 13 Oct 25
Additional hearings - W/C 17 Nov 25</t>
  </si>
  <si>
    <t>Lewisham</t>
  </si>
  <si>
    <t>Mineral and Waste Plan Review</t>
  </si>
  <si>
    <t>Amended Allocations and Development Management DPD</t>
  </si>
  <si>
    <t>GWM</t>
  </si>
  <si>
    <t>Local Plan Review 2024-2039</t>
  </si>
  <si>
    <t>9 July -12 July 2024.
Hearing session 2: 24 September 2024 - 26 September 2024. 
Hearing session 3: 8 October 2024 - Wednesday, 9 October</t>
  </si>
  <si>
    <t>Nottinghamshire/Nottingham City</t>
  </si>
  <si>
    <t>Joint Waste Plan</t>
  </si>
  <si>
    <t>Nottingham City adopted 08/09/25. Nottinghamshire adopted 18/09/25</t>
  </si>
  <si>
    <t>Teignbridge</t>
  </si>
  <si>
    <t>Local Plan 2020-2040</t>
  </si>
  <si>
    <t xml:space="preserve">23/01/2023 &amp; 08/11/23 </t>
  </si>
  <si>
    <t>Hearing Sessions between 17 September and 19 November 2024</t>
  </si>
  <si>
    <t>North Yorkshire</t>
  </si>
  <si>
    <t>Maltkiln New Settlement DPD</t>
  </si>
  <si>
    <t>Salt Cross Garden Village AAP - 
Remitted Policy 2</t>
  </si>
  <si>
    <t>Bristol</t>
  </si>
  <si>
    <t>Week 1: 25 - 27 February 2025 
Week 2: 4 - 6 March 2025 
Week 3: 11 - 13 March 2025 
Week 4: 25 - 27 March 2025
Week 5: 1 - 3 April 2025
Week 6: 15 - 17 April 2025
Week 7: 23 - 24 April 2025</t>
  </si>
  <si>
    <t>Minerals and Waste Plan</t>
  </si>
  <si>
    <t>West Suffolk</t>
  </si>
  <si>
    <t>Local Plan to 2040</t>
  </si>
  <si>
    <t>Bournemouth, Christchurch and Poole</t>
  </si>
  <si>
    <t>Local Plan &amp; CIL</t>
  </si>
  <si>
    <t>District Plan Review</t>
  </si>
  <si>
    <t>Horsham</t>
  </si>
  <si>
    <t>E07000227</t>
  </si>
  <si>
    <t>Local Plan 2021-2038</t>
  </si>
  <si>
    <t>Further H sessions post MMs?</t>
  </si>
  <si>
    <t>E07000032</t>
  </si>
  <si>
    <t>Hampshire, New Forest, Portsmouth, South Downs &amp; Southampton</t>
  </si>
  <si>
    <t xml:space="preserve">Minerals &amp; Waste Local Plan </t>
  </si>
  <si>
    <t>E10000014</t>
  </si>
  <si>
    <t>17 June 25 futher sessions</t>
  </si>
  <si>
    <t>E09000010</t>
  </si>
  <si>
    <t>City of London</t>
  </si>
  <si>
    <t>Local Plan Review (City Plan 2040)</t>
  </si>
  <si>
    <t>10/11/12 June</t>
  </si>
  <si>
    <t>E09000001</t>
  </si>
  <si>
    <t>Somerset</t>
  </si>
  <si>
    <t>Mendip Local Plan Part 2 (Partial Review)</t>
  </si>
  <si>
    <t>Isle of Wight</t>
  </si>
  <si>
    <t>Island Planning Srtrategy DPD</t>
  </si>
  <si>
    <t>4-6 March 2025</t>
  </si>
  <si>
    <t>E06000046</t>
  </si>
  <si>
    <t>Tuesday 18 February 2025 -
Thursday 20 February 
Tuesday 4 March - Friday 7 March 2025</t>
  </si>
  <si>
    <t>E09000022</t>
  </si>
  <si>
    <t>29 April - 2 May 2025
20-23 May
3-6 June</t>
  </si>
  <si>
    <t>Local Plan 2024-2039</t>
  </si>
  <si>
    <t>Block 1 hearings - 16 June 2025 - 20 June 2025
Block 2 hearings -9 September 2025 - 11 September 2025 and 16 Sept 2025- 18 Sept 2025.</t>
  </si>
  <si>
    <t>City Plan Partial Review</t>
  </si>
  <si>
    <t>29 April - 1 May 2025</t>
  </si>
  <si>
    <t>Tuesday 24 June 2025 - Wednesday 25th June
Stage 2 hearings w/c 10 Nov 2025 and w/c 1 Dec</t>
  </si>
  <si>
    <t>Cannock Chase</t>
  </si>
  <si>
    <t>Also w/c 02 June and 07 July 25</t>
  </si>
  <si>
    <t>E07000192</t>
  </si>
  <si>
    <t>Local Plan 2019-2039 Review</t>
  </si>
  <si>
    <t>w/c 09th 14th 20/10/25</t>
  </si>
  <si>
    <t>Derbyshire County Council &amp; Derby City Council</t>
  </si>
  <si>
    <t>Derbyshire &amp; Derby Minerals Local Plan</t>
  </si>
  <si>
    <t>E10000007</t>
  </si>
  <si>
    <t>Stage 2 Hearings Sept 25</t>
  </si>
  <si>
    <t>South Oxon and Vale of White Horse</t>
  </si>
  <si>
    <t>More planned for Oct 25</t>
  </si>
  <si>
    <t>Surrey Heath</t>
  </si>
  <si>
    <t>Provisonally 16/09/2025</t>
  </si>
  <si>
    <t>E07000214</t>
  </si>
  <si>
    <t>Sandwell</t>
  </si>
  <si>
    <t>Week 2: Tuesday 23 September 2025 - 26th September
Week 3: 30th September 2025 - 3rd October 2025</t>
  </si>
  <si>
    <t>E08000028</t>
  </si>
  <si>
    <t>09/11/2022 &amp;18/4/24</t>
  </si>
  <si>
    <t>27 May - 30 May
More hearings postponed until November 2025 - dates TBC</t>
  </si>
  <si>
    <t>E07000196</t>
  </si>
  <si>
    <t>Stamford Hill AAP</t>
  </si>
  <si>
    <t>9-11 September</t>
  </si>
  <si>
    <t>E09000012</t>
  </si>
  <si>
    <t>Bootle AAP</t>
  </si>
  <si>
    <t>Provisionally 09 June</t>
  </si>
  <si>
    <t>E07000077</t>
  </si>
  <si>
    <t>Local Plan Part 2 (Site Allocations)</t>
  </si>
  <si>
    <t>w/c 3rd June 25 and 1st July</t>
  </si>
  <si>
    <t>E09000031</t>
  </si>
  <si>
    <t>Newcastle Under Lyme</t>
  </si>
  <si>
    <t>Week 1 - w/c 20th May
Week 2 - w/c 23rd June
Week 3 - w/c 17th June</t>
  </si>
  <si>
    <t>E07000195</t>
  </si>
  <si>
    <t>Stage 2 -  
7th October - 9th October 25 
21st October -23rd October 25</t>
  </si>
  <si>
    <t>Pendle</t>
  </si>
  <si>
    <t>E07000122</t>
  </si>
  <si>
    <t>Sept/Oct 25 for Hearings</t>
  </si>
  <si>
    <t>E07000145</t>
  </si>
  <si>
    <t>3363466 &amp; 3361763</t>
  </si>
  <si>
    <t>Harrow</t>
  </si>
  <si>
    <t>Also w/c 07 and 14 July</t>
  </si>
  <si>
    <t>E09000015</t>
  </si>
  <si>
    <t>E06000017</t>
  </si>
  <si>
    <t xml:space="preserve">Wokingham </t>
  </si>
  <si>
    <t>E06000041</t>
  </si>
  <si>
    <t>Nov/Dec 2025
15-19th Dec?</t>
  </si>
  <si>
    <t>Epsom and Ewell</t>
  </si>
  <si>
    <t>Local Plan 2040: Strategic Policies and Site Allocations</t>
  </si>
  <si>
    <t>Subsequent hearings scheduled for 23-25 Sep and 7-8 Oct 25</t>
  </si>
  <si>
    <t>Further Stage 2 Hearings on 21 Oct 25</t>
  </si>
  <si>
    <t>South Tyneside</t>
  </si>
  <si>
    <t>E08000023</t>
  </si>
  <si>
    <t>4th until 6th Nov. w/c 10 Nov will be used a reserve week</t>
  </si>
  <si>
    <t>11 and 12th November 2025. Stage 2 provisional - w/c 2nd and 9th February 2026</t>
  </si>
  <si>
    <t>E06000038</t>
  </si>
  <si>
    <t>Provisionally w/c 12 Jan and 26 Jan 2026. Possibility of a second stage in late Spring 2026 (w/c 27 April and 11 May)</t>
  </si>
  <si>
    <t>E09000018</t>
  </si>
  <si>
    <t>Central Lancashire</t>
  </si>
  <si>
    <t>Central Lancashire Local Plan</t>
  </si>
  <si>
    <t>Provisionally: Week 1, 2-5 Dec 2025, Week 2, 9-12 Dec, Week 3,13-16 January 2026 (Fridays as reserve in weeks 1-3) Week 4, 20 Jan 2026 with Wednesday 21 Jan as reserve session</t>
  </si>
  <si>
    <t>JSP002</t>
  </si>
  <si>
    <t>Provisionally w/c 1 and 8 Dec 2025, 19 Jan and 2 Feb 2026 (Tuesday-Thursday)</t>
  </si>
  <si>
    <t>Provisionally w/c 23rd Feb</t>
  </si>
  <si>
    <t>E07000177</t>
  </si>
  <si>
    <t>Village Cluster Allocation</t>
  </si>
  <si>
    <t>Confirmed for w/c12th Jan, 26th Jan and if necessary 9th Feb 2026</t>
  </si>
  <si>
    <t>Week 1: 2-4 December 2025, Week 2: 9-10 December 2025, with Thurs 11 in reserve.</t>
  </si>
  <si>
    <t>Local Plan 2025 - 40</t>
  </si>
  <si>
    <t>3-5 December, 9-11 December 2025. 12 Dec allocated as a reserve day</t>
  </si>
  <si>
    <t>Telford &amp; Wrekin</t>
  </si>
  <si>
    <t>Local Plan review 2020 - 2040</t>
  </si>
  <si>
    <t>Exeter</t>
  </si>
  <si>
    <t>E07000041</t>
  </si>
  <si>
    <t>Middlesbrough</t>
  </si>
  <si>
    <t>The Middlesbrough Local Plan</t>
  </si>
  <si>
    <t>E06000002</t>
  </si>
  <si>
    <t>Cumberland</t>
  </si>
  <si>
    <t>St Cuthberts Garden Village AAP</t>
  </si>
  <si>
    <t>Old Kent Road OAPF/AAP</t>
  </si>
  <si>
    <t>E09000028</t>
  </si>
  <si>
    <t>E07000066</t>
  </si>
  <si>
    <t>Bolton</t>
  </si>
  <si>
    <t>E08000001</t>
  </si>
  <si>
    <t>Bradford</t>
  </si>
  <si>
    <t>E08000032</t>
  </si>
  <si>
    <t>E09000006</t>
  </si>
  <si>
    <t>E10000002</t>
  </si>
  <si>
    <t>Bury</t>
  </si>
  <si>
    <t>E08000002</t>
  </si>
  <si>
    <t>E07000070</t>
  </si>
  <si>
    <t>E06000049</t>
  </si>
  <si>
    <t>E07000034</t>
  </si>
  <si>
    <t>E06000005</t>
  </si>
  <si>
    <t>E26000001</t>
  </si>
  <si>
    <t>Local Plan for Derby</t>
  </si>
  <si>
    <t>E07000040</t>
  </si>
  <si>
    <t>East Hampshire DC</t>
  </si>
  <si>
    <t>Local Plan 2040</t>
  </si>
  <si>
    <t>Metrogreen AAP</t>
  </si>
  <si>
    <t>E08000037</t>
  </si>
  <si>
    <t>Gosport BC</t>
  </si>
  <si>
    <t>Gosport Borough Local Plan 2038</t>
  </si>
  <si>
    <t>E07000088</t>
  </si>
  <si>
    <t>Greater Nottingham</t>
  </si>
  <si>
    <t>Strategic Plan</t>
  </si>
  <si>
    <t>JSP012</t>
  </si>
  <si>
    <t>Shoreditch AAP</t>
  </si>
  <si>
    <t>New Local Plan (early review)</t>
  </si>
  <si>
    <t>E07000131</t>
  </si>
  <si>
    <t>Hastings</t>
  </si>
  <si>
    <t>Local Plan Review 2019-2039</t>
  </si>
  <si>
    <t>E07000062</t>
  </si>
  <si>
    <t>Building a Better Future Plan</t>
  </si>
  <si>
    <t>E07000090</t>
  </si>
  <si>
    <t>Partial Review</t>
  </si>
  <si>
    <t>E09000017</t>
  </si>
  <si>
    <t>Local Plan Review 2020-2039</t>
  </si>
  <si>
    <t>E06000053</t>
  </si>
  <si>
    <t>Kingston Upon Thames</t>
  </si>
  <si>
    <t>E09000021</t>
  </si>
  <si>
    <t>Local Plan Update: Your Neighbourhood, Your City, Your Planet</t>
  </si>
  <si>
    <t>E07000194</t>
  </si>
  <si>
    <t>E08000012</t>
  </si>
  <si>
    <t>Gypsy and Traveller DPD</t>
  </si>
  <si>
    <t>Manchester</t>
  </si>
  <si>
    <t>E08000003</t>
  </si>
  <si>
    <t>Medway</t>
  </si>
  <si>
    <t>E06000035</t>
  </si>
  <si>
    <t xml:space="preserve">Melton </t>
  </si>
  <si>
    <t>E07000133</t>
  </si>
  <si>
    <t>City Plan 2050</t>
  </si>
  <si>
    <t>Newham, Barking and Dagenham, Havering and Redbridge</t>
  </si>
  <si>
    <t>East London Joint Waste Plan Review</t>
  </si>
  <si>
    <t>North Somerset Plan 2023-2038</t>
  </si>
  <si>
    <t>E07000135</t>
  </si>
  <si>
    <t>Oldham</t>
  </si>
  <si>
    <t>E08000004</t>
  </si>
  <si>
    <t>Local Plan 2042</t>
  </si>
  <si>
    <t>E07000178</t>
  </si>
  <si>
    <t>Joint Local Plan Review</t>
  </si>
  <si>
    <t>JSP020</t>
  </si>
  <si>
    <t>Portsmouth</t>
  </si>
  <si>
    <t>New Local Paln</t>
  </si>
  <si>
    <t>E06000044</t>
  </si>
  <si>
    <t>Rochdale</t>
  </si>
  <si>
    <t>E08000005</t>
  </si>
  <si>
    <t>Royal Borough of Greenwich</t>
  </si>
  <si>
    <t>E09000011</t>
  </si>
  <si>
    <t>E07000220</t>
  </si>
  <si>
    <t>E08000006</t>
  </si>
  <si>
    <t>E07000111</t>
  </si>
  <si>
    <t>E08000029</t>
  </si>
  <si>
    <t>E26000010</t>
  </si>
  <si>
    <t>South Tyneside &amp; Sunderland</t>
  </si>
  <si>
    <t>International Advanced Manufacturing Park AAP</t>
  </si>
  <si>
    <t>Traveller and Travelling Showpeople Site Allocations</t>
  </si>
  <si>
    <t>Southend on Sea</t>
  </si>
  <si>
    <t>Stoke On Trent</t>
  </si>
  <si>
    <t>E06000021</t>
  </si>
  <si>
    <t>Stratford-on-Avon</t>
  </si>
  <si>
    <t>Tameside</t>
  </si>
  <si>
    <t>Homes, Spaces, Places - Shaping Tameside for Tomorrow</t>
  </si>
  <si>
    <t>E08000008</t>
  </si>
  <si>
    <t>E26000007</t>
  </si>
  <si>
    <t>East</t>
  </si>
  <si>
    <t>Thurrock</t>
  </si>
  <si>
    <t>E06000034</t>
  </si>
  <si>
    <t>E07000115</t>
  </si>
  <si>
    <t>E09000030</t>
  </si>
  <si>
    <t>E08000009</t>
  </si>
  <si>
    <t xml:space="preserve">Warwick </t>
  </si>
  <si>
    <t>Canalside DPD</t>
  </si>
  <si>
    <t>Wigan</t>
  </si>
  <si>
    <t>E08000010</t>
  </si>
  <si>
    <t>Cambridge City Council &amp; South Cambridgeshire District Council</t>
  </si>
  <si>
    <t>Greater Cambridge Local Plan</t>
  </si>
  <si>
    <t>E07000008</t>
  </si>
  <si>
    <t>Herefordshire</t>
  </si>
  <si>
    <t>Hereforshire Local Plan 2021 - 2041</t>
  </si>
  <si>
    <t>E06000019</t>
  </si>
  <si>
    <t>North Northamptonshire 
Strategic Plan 2021 - 2041</t>
  </si>
  <si>
    <t>E07000218</t>
  </si>
  <si>
    <t>Canterbury</t>
  </si>
  <si>
    <t>District Local Plan 2040</t>
  </si>
  <si>
    <t>E07000106</t>
  </si>
  <si>
    <t>Key</t>
  </si>
  <si>
    <t>Plan Completed/Finished</t>
  </si>
  <si>
    <t>NOTE: PLANS SUBMITTED FROM  25/10/2021 ONWARDS HAVE WORKSTAGE TIME COMPLETED AS PER INSPECTOR TIMESHEET DATA (NOT BASED ON INVOICES)</t>
  </si>
  <si>
    <t>Live Plan</t>
  </si>
  <si>
    <t>Withdrawn</t>
  </si>
  <si>
    <t>Plan Unsound</t>
  </si>
  <si>
    <t>ONSLPA</t>
  </si>
  <si>
    <t>ONSCode</t>
  </si>
  <si>
    <t>Aberdeen City</t>
  </si>
  <si>
    <t>S12000033</t>
  </si>
  <si>
    <t>Aberdeenshire</t>
  </si>
  <si>
    <t>S12000034</t>
  </si>
  <si>
    <t>E07000026</t>
  </si>
  <si>
    <t>Angus</t>
  </si>
  <si>
    <t>S12000041</t>
  </si>
  <si>
    <t>Antrim and Newtownabbey</t>
  </si>
  <si>
    <t>N09000001</t>
  </si>
  <si>
    <t>Ards and North Down</t>
  </si>
  <si>
    <t>N09000011</t>
  </si>
  <si>
    <t>Argyll and Bute</t>
  </si>
  <si>
    <t>S12000035</t>
  </si>
  <si>
    <t>Armagh City, Banbridge and Craigavon</t>
  </si>
  <si>
    <t>N09000002</t>
  </si>
  <si>
    <t>E07000105</t>
  </si>
  <si>
    <t>E07000004</t>
  </si>
  <si>
    <t>Babergh</t>
  </si>
  <si>
    <t>E07000200</t>
  </si>
  <si>
    <t>E09000002</t>
  </si>
  <si>
    <t>E09000003</t>
  </si>
  <si>
    <t>E07000027</t>
  </si>
  <si>
    <t>Basingstoke and Deane</t>
  </si>
  <si>
    <t>E07000084</t>
  </si>
  <si>
    <t>E07000171</t>
  </si>
  <si>
    <t>E06000055</t>
  </si>
  <si>
    <t>Belfast</t>
  </si>
  <si>
    <t>N09000003</t>
  </si>
  <si>
    <t>E09000004</t>
  </si>
  <si>
    <t>E08000025</t>
  </si>
  <si>
    <t>E07000129</t>
  </si>
  <si>
    <t>E06000008</t>
  </si>
  <si>
    <t>E06000009</t>
  </si>
  <si>
    <t>Blaenau Gwent</t>
  </si>
  <si>
    <t>W06000019</t>
  </si>
  <si>
    <t>E07000033</t>
  </si>
  <si>
    <t>Boston</t>
  </si>
  <si>
    <t>E07000136</t>
  </si>
  <si>
    <t>Bournemouth</t>
  </si>
  <si>
    <t>E06000028</t>
  </si>
  <si>
    <t>E06000036</t>
  </si>
  <si>
    <t>E07000143</t>
  </si>
  <si>
    <t>Brecon Beacons National Park</t>
  </si>
  <si>
    <t>W18000001</t>
  </si>
  <si>
    <t>E07000068</t>
  </si>
  <si>
    <t>Bridgend</t>
  </si>
  <si>
    <t>W06000013</t>
  </si>
  <si>
    <t>E06000043</t>
  </si>
  <si>
    <t>Bristol, City of</t>
  </si>
  <si>
    <t>E06000023</t>
  </si>
  <si>
    <t>Bromsgrove</t>
  </si>
  <si>
    <t>E07000234</t>
  </si>
  <si>
    <t>E07000095</t>
  </si>
  <si>
    <t>E07000172</t>
  </si>
  <si>
    <t>E07000117</t>
  </si>
  <si>
    <t>Caerphilly</t>
  </si>
  <si>
    <t>W06000018</t>
  </si>
  <si>
    <t>E08000033</t>
  </si>
  <si>
    <t>Cambridge</t>
  </si>
  <si>
    <t>Cardiff</t>
  </si>
  <si>
    <t>W06000015</t>
  </si>
  <si>
    <t>Carmarthenshire</t>
  </si>
  <si>
    <t>W06000010</t>
  </si>
  <si>
    <t>Causeway Coast and Glens</t>
  </si>
  <si>
    <t>N09000004</t>
  </si>
  <si>
    <t>E06000056</t>
  </si>
  <si>
    <t>Ceredigion</t>
  </si>
  <si>
    <t>W06000008</t>
  </si>
  <si>
    <t>E07000130</t>
  </si>
  <si>
    <t>E07000078</t>
  </si>
  <si>
    <t>E06000050</t>
  </si>
  <si>
    <t>Chiltern</t>
  </si>
  <si>
    <t>E07000005</t>
  </si>
  <si>
    <t>Chorley</t>
  </si>
  <si>
    <t>E07000118</t>
  </si>
  <si>
    <t>Christchurch</t>
  </si>
  <si>
    <t>E07000048</t>
  </si>
  <si>
    <t>City of Edinburgh</t>
  </si>
  <si>
    <t>S12000036</t>
  </si>
  <si>
    <t>Clackmannanshire</t>
  </si>
  <si>
    <t>S12000005</t>
  </si>
  <si>
    <t>Conwy</t>
  </si>
  <si>
    <t>W06000003</t>
  </si>
  <si>
    <t>E07000029</t>
  </si>
  <si>
    <t>Corby</t>
  </si>
  <si>
    <t>E07000150</t>
  </si>
  <si>
    <t>E07000079</t>
  </si>
  <si>
    <t>E06000047</t>
  </si>
  <si>
    <t>E07000163</t>
  </si>
  <si>
    <t>E07000226</t>
  </si>
  <si>
    <t>E07000151</t>
  </si>
  <si>
    <t>Denbighshire</t>
  </si>
  <si>
    <t>W06000004</t>
  </si>
  <si>
    <t>Derry City and Strabane</t>
  </si>
  <si>
    <t>N09000005</t>
  </si>
  <si>
    <t>E08000017</t>
  </si>
  <si>
    <t>E07000108</t>
  </si>
  <si>
    <t>Dumfries and Galloway</t>
  </si>
  <si>
    <t>S12000006</t>
  </si>
  <si>
    <t>Dundee City</t>
  </si>
  <si>
    <t>S12000042</t>
  </si>
  <si>
    <t>East Ayrshire</t>
  </si>
  <si>
    <t>S12000008</t>
  </si>
  <si>
    <t>E07000009</t>
  </si>
  <si>
    <t>East Dorset</t>
  </si>
  <si>
    <t>E07000049</t>
  </si>
  <si>
    <t>East Dunbartonshire</t>
  </si>
  <si>
    <t>S12000045</t>
  </si>
  <si>
    <t>East Lothian</t>
  </si>
  <si>
    <t>S12000010</t>
  </si>
  <si>
    <t>East Northamptonshire</t>
  </si>
  <si>
    <t>E07000152</t>
  </si>
  <si>
    <t>East Renfrewshire</t>
  </si>
  <si>
    <t>S12000011</t>
  </si>
  <si>
    <t>E06000011</t>
  </si>
  <si>
    <t>East Staffordshire</t>
  </si>
  <si>
    <t>E07000193</t>
  </si>
  <si>
    <t>E07000086</t>
  </si>
  <si>
    <t>E07000207</t>
  </si>
  <si>
    <t>E07000072</t>
  </si>
  <si>
    <t>E07000208</t>
  </si>
  <si>
    <t>E07000036</t>
  </si>
  <si>
    <t>Falkirk</t>
  </si>
  <si>
    <t>S12000014</t>
  </si>
  <si>
    <t>E07000087</t>
  </si>
  <si>
    <t>Fenland</t>
  </si>
  <si>
    <t>E07000010</t>
  </si>
  <si>
    <t>Fermanagh and Omagh</t>
  </si>
  <si>
    <t>N09000006</t>
  </si>
  <si>
    <t>Fife</t>
  </si>
  <si>
    <t>S12000047</t>
  </si>
  <si>
    <t>Flintshire</t>
  </si>
  <si>
    <t>W06000005</t>
  </si>
  <si>
    <t>E07000112</t>
  </si>
  <si>
    <t>Glasgow City</t>
  </si>
  <si>
    <t>S12000046</t>
  </si>
  <si>
    <t>Gloucester</t>
  </si>
  <si>
    <t>E07000081</t>
  </si>
  <si>
    <t>Gosport</t>
  </si>
  <si>
    <t>Gravesham</t>
  </si>
  <si>
    <t>E07000109</t>
  </si>
  <si>
    <t>Greenwich</t>
  </si>
  <si>
    <t>E07000209</t>
  </si>
  <si>
    <t>Gwynedd</t>
  </si>
  <si>
    <t>W06000002</t>
  </si>
  <si>
    <t>E06000006</t>
  </si>
  <si>
    <t>E07000164</t>
  </si>
  <si>
    <t>E07000073</t>
  </si>
  <si>
    <t>E07000165</t>
  </si>
  <si>
    <t>E07000089</t>
  </si>
  <si>
    <t>E09000016</t>
  </si>
  <si>
    <t>High Peak</t>
  </si>
  <si>
    <t>E07000037</t>
  </si>
  <si>
    <t>Highland</t>
  </si>
  <si>
    <t>S12000017</t>
  </si>
  <si>
    <t>E07000011</t>
  </si>
  <si>
    <t>Inverclyde</t>
  </si>
  <si>
    <t>S12000018</t>
  </si>
  <si>
    <t>Isle of Anglesey</t>
  </si>
  <si>
    <t>W06000001</t>
  </si>
  <si>
    <t>E09000020</t>
  </si>
  <si>
    <t>E07000153</t>
  </si>
  <si>
    <t>Kingston upon Thames</t>
  </si>
  <si>
    <t>Knowsley</t>
  </si>
  <si>
    <t>E08000011</t>
  </si>
  <si>
    <t>E26000011</t>
  </si>
  <si>
    <t>E07000121</t>
  </si>
  <si>
    <t>E06000016</t>
  </si>
  <si>
    <t>E07000063</t>
  </si>
  <si>
    <t>E09000023</t>
  </si>
  <si>
    <t>Lincoln</t>
  </si>
  <si>
    <t>E07000138</t>
  </si>
  <si>
    <t>Lisburn and Castlereagh</t>
  </si>
  <si>
    <t>N09000007</t>
  </si>
  <si>
    <t>E51000001</t>
  </si>
  <si>
    <t>Maldon</t>
  </si>
  <si>
    <t>E07000074</t>
  </si>
  <si>
    <t>Malvern Hills</t>
  </si>
  <si>
    <t>E07000235</t>
  </si>
  <si>
    <t>E07000174</t>
  </si>
  <si>
    <t>E07000187</t>
  </si>
  <si>
    <t>Merthyr Tydfil</t>
  </si>
  <si>
    <t>W06000024</t>
  </si>
  <si>
    <t>Mid and East Antrim</t>
  </si>
  <si>
    <t>N09000008</t>
  </si>
  <si>
    <t>Mid Suffolk</t>
  </si>
  <si>
    <t>E07000203</t>
  </si>
  <si>
    <t>Mid Ulster</t>
  </si>
  <si>
    <t>N09000009</t>
  </si>
  <si>
    <t>Midlothian</t>
  </si>
  <si>
    <t>S12000019</t>
  </si>
  <si>
    <t>E07000210</t>
  </si>
  <si>
    <t>Monmouthshire</t>
  </si>
  <si>
    <t>W06000021</t>
  </si>
  <si>
    <t>Moray</t>
  </si>
  <si>
    <t>S12000020</t>
  </si>
  <si>
    <t>Na h-Eileanan Siar</t>
  </si>
  <si>
    <t>S12000013</t>
  </si>
  <si>
    <t>Neath Port Talbot</t>
  </si>
  <si>
    <t>W06000012</t>
  </si>
  <si>
    <t>E07000091</t>
  </si>
  <si>
    <t>E26000009</t>
  </si>
  <si>
    <t>E07000175</t>
  </si>
  <si>
    <t>Newcastle upon Tyne</t>
  </si>
  <si>
    <t>E08000021</t>
  </si>
  <si>
    <t>Newcastle-under-Lyme</t>
  </si>
  <si>
    <t>Newport</t>
  </si>
  <si>
    <t>W06000022</t>
  </si>
  <si>
    <t>Newry, Mourne and Down</t>
  </si>
  <si>
    <t>N09000010</t>
  </si>
  <si>
    <t>North Ayrshire</t>
  </si>
  <si>
    <t>S12000021</t>
  </si>
  <si>
    <t>North Devon</t>
  </si>
  <si>
    <t>E07000043</t>
  </si>
  <si>
    <t>North Dorset</t>
  </si>
  <si>
    <t>E07000050</t>
  </si>
  <si>
    <t>E07000038</t>
  </si>
  <si>
    <t>E07000099</t>
  </si>
  <si>
    <t>North Kesteven</t>
  </si>
  <si>
    <t>E07000139</t>
  </si>
  <si>
    <t>North Lanarkshire</t>
  </si>
  <si>
    <t>S12000044</t>
  </si>
  <si>
    <t>E07000147</t>
  </si>
  <si>
    <t>E26000005</t>
  </si>
  <si>
    <t>E07000154</t>
  </si>
  <si>
    <t>E26000004</t>
  </si>
  <si>
    <t>Norwich</t>
  </si>
  <si>
    <t>E07000148</t>
  </si>
  <si>
    <t>E07000219</t>
  </si>
  <si>
    <t>E51000002</t>
  </si>
  <si>
    <t>Orkney Islands</t>
  </si>
  <si>
    <t>S12000023</t>
  </si>
  <si>
    <t>E26000006</t>
  </si>
  <si>
    <t>Pembrokeshire</t>
  </si>
  <si>
    <t>W06000009</t>
  </si>
  <si>
    <t>Pembrokeshire Coast National Park</t>
  </si>
  <si>
    <t>W18000002</t>
  </si>
  <si>
    <t>Perth and Kinross</t>
  </si>
  <si>
    <t>S12000048</t>
  </si>
  <si>
    <t>E06000031</t>
  </si>
  <si>
    <t>Plymouth</t>
  </si>
  <si>
    <t>E06000026</t>
  </si>
  <si>
    <t>E06000029</t>
  </si>
  <si>
    <t>Powys</t>
  </si>
  <si>
    <t>W06000023</t>
  </si>
  <si>
    <t>Redditch</t>
  </si>
  <si>
    <t>E07000236</t>
  </si>
  <si>
    <t>E07000211</t>
  </si>
  <si>
    <t>Renfrewshire</t>
  </si>
  <si>
    <t>S12000038</t>
  </si>
  <si>
    <t>Rhondda Cynon Taf</t>
  </si>
  <si>
    <t>W06000016</t>
  </si>
  <si>
    <t>E07000124</t>
  </si>
  <si>
    <t>Richmond upon Thames</t>
  </si>
  <si>
    <t>E09000027</t>
  </si>
  <si>
    <t>Richmondshire</t>
  </si>
  <si>
    <t>E07000166</t>
  </si>
  <si>
    <t>Rochford</t>
  </si>
  <si>
    <t>E07000075</t>
  </si>
  <si>
    <t>E07000125</t>
  </si>
  <si>
    <t>E07000064</t>
  </si>
  <si>
    <t>E07000212</t>
  </si>
  <si>
    <t>E07000176</t>
  </si>
  <si>
    <t>E07000092</t>
  </si>
  <si>
    <t>E07000167</t>
  </si>
  <si>
    <t>Scottish Borders</t>
  </si>
  <si>
    <t>S12000026</t>
  </si>
  <si>
    <t>E07000188</t>
  </si>
  <si>
    <t>Selby</t>
  </si>
  <si>
    <t>E07000169</t>
  </si>
  <si>
    <t>E08000019</t>
  </si>
  <si>
    <t>Shetland Islands</t>
  </si>
  <si>
    <t>S12000027</t>
  </si>
  <si>
    <t>E06000051</t>
  </si>
  <si>
    <t>Slough</t>
  </si>
  <si>
    <t>E06000039</t>
  </si>
  <si>
    <t>Snowdonia National Park</t>
  </si>
  <si>
    <t>W18000003</t>
  </si>
  <si>
    <t>South Ayrshire</t>
  </si>
  <si>
    <t>S12000028</t>
  </si>
  <si>
    <t>South Bucks</t>
  </si>
  <si>
    <t>E07000006</t>
  </si>
  <si>
    <t>South Cambridgeshire</t>
  </si>
  <si>
    <t>E07000012</t>
  </si>
  <si>
    <t>South Hams</t>
  </si>
  <si>
    <t>E07000044</t>
  </si>
  <si>
    <t>South Holland</t>
  </si>
  <si>
    <t>E07000140</t>
  </si>
  <si>
    <t>E07000141</t>
  </si>
  <si>
    <t>E07000031</t>
  </si>
  <si>
    <t>South Lanarkshire</t>
  </si>
  <si>
    <t>S12000029</t>
  </si>
  <si>
    <t>E07000155</t>
  </si>
  <si>
    <t>E07000179</t>
  </si>
  <si>
    <t>South Ribble</t>
  </si>
  <si>
    <t>E07000126</t>
  </si>
  <si>
    <t>South Somerset</t>
  </si>
  <si>
    <t>E07000189</t>
  </si>
  <si>
    <t>Southampton</t>
  </si>
  <si>
    <t>E06000045</t>
  </si>
  <si>
    <t>E07000213</t>
  </si>
  <si>
    <t>St Edmundsbury</t>
  </si>
  <si>
    <t>E07000204</t>
  </si>
  <si>
    <t>E07000198</t>
  </si>
  <si>
    <t>Stirling</t>
  </si>
  <si>
    <t>S12000030</t>
  </si>
  <si>
    <t>Stockport</t>
  </si>
  <si>
    <t>E08000007</t>
  </si>
  <si>
    <t>E06000004</t>
  </si>
  <si>
    <t>Stoke-on-Trent</t>
  </si>
  <si>
    <t>E07000221</t>
  </si>
  <si>
    <t>E07000082</t>
  </si>
  <si>
    <t>Swansea</t>
  </si>
  <si>
    <t>W06000011</t>
  </si>
  <si>
    <t>Swindon</t>
  </si>
  <si>
    <t>E06000030</t>
  </si>
  <si>
    <t>E07000215</t>
  </si>
  <si>
    <t>E07000045</t>
  </si>
  <si>
    <t>Test Valley</t>
  </si>
  <si>
    <t>E07000093</t>
  </si>
  <si>
    <t>Tewkesbury</t>
  </si>
  <si>
    <t>E07000083</t>
  </si>
  <si>
    <t>E07000114</t>
  </si>
  <si>
    <t>The Cairngorms National Park</t>
  </si>
  <si>
    <t>S21000003</t>
  </si>
  <si>
    <t>The Loch Lomond and the Trossachs National Park</t>
  </si>
  <si>
    <t>S21000002</t>
  </si>
  <si>
    <t>Three Rivers</t>
  </si>
  <si>
    <t>E07000102</t>
  </si>
  <si>
    <t>Torbay</t>
  </si>
  <si>
    <t>E06000027</t>
  </si>
  <si>
    <t>Torfaen</t>
  </si>
  <si>
    <t>W06000020</t>
  </si>
  <si>
    <t>Torridge</t>
  </si>
  <si>
    <t>E07000046</t>
  </si>
  <si>
    <t>Vale of Glamorgan</t>
  </si>
  <si>
    <t>W06000014</t>
  </si>
  <si>
    <t>E08000030</t>
  </si>
  <si>
    <t>E06000007</t>
  </si>
  <si>
    <t>E07000103</t>
  </si>
  <si>
    <t>E07000206</t>
  </si>
  <si>
    <t>E07000156</t>
  </si>
  <si>
    <t>E07000241</t>
  </si>
  <si>
    <t>West Devon</t>
  </si>
  <si>
    <t>E07000047</t>
  </si>
  <si>
    <t>West Dorset</t>
  </si>
  <si>
    <t>E07000052</t>
  </si>
  <si>
    <t>West Dunbartonshire</t>
  </si>
  <si>
    <t>S12000039</t>
  </si>
  <si>
    <t>West Lancashire</t>
  </si>
  <si>
    <t>E07000127</t>
  </si>
  <si>
    <t>West Lindsey</t>
  </si>
  <si>
    <t>E07000142</t>
  </si>
  <si>
    <t>West Lothian</t>
  </si>
  <si>
    <t>S12000040</t>
  </si>
  <si>
    <t>Weymouth and Portland</t>
  </si>
  <si>
    <t>E07000053</t>
  </si>
  <si>
    <t>E06000040</t>
  </si>
  <si>
    <t>E08000015</t>
  </si>
  <si>
    <t>Wokingham</t>
  </si>
  <si>
    <t>Worcester</t>
  </si>
  <si>
    <t>E07000237</t>
  </si>
  <si>
    <t>E07000229</t>
  </si>
  <si>
    <t>Wrexham</t>
  </si>
  <si>
    <t>W06000006</t>
  </si>
  <si>
    <t>Wychavon</t>
  </si>
  <si>
    <t>E07000238</t>
  </si>
  <si>
    <t>E07000007</t>
  </si>
  <si>
    <t>E07000128</t>
  </si>
  <si>
    <t>E07000239</t>
  </si>
  <si>
    <t>E06000014</t>
  </si>
  <si>
    <t>E10000003</t>
  </si>
  <si>
    <t>Cambridgeshire</t>
  </si>
  <si>
    <t>Cumbria</t>
  </si>
  <si>
    <t>Derbyshire</t>
  </si>
  <si>
    <t>Devon</t>
  </si>
  <si>
    <t>E10000009</t>
  </si>
  <si>
    <t>Dorset</t>
  </si>
  <si>
    <t>E10000011</t>
  </si>
  <si>
    <t>East Sussex</t>
  </si>
  <si>
    <t>E10000012</t>
  </si>
  <si>
    <t>Essex</t>
  </si>
  <si>
    <t>E10000013</t>
  </si>
  <si>
    <t>Hampshire</t>
  </si>
  <si>
    <t>E10000015</t>
  </si>
  <si>
    <t>Hertfordshire</t>
  </si>
  <si>
    <t>E10000016</t>
  </si>
  <si>
    <t>E10000017</t>
  </si>
  <si>
    <t>Lancashire</t>
  </si>
  <si>
    <t>E10000018</t>
  </si>
  <si>
    <t>Leicestershire</t>
  </si>
  <si>
    <t>Lincolnshire</t>
  </si>
  <si>
    <t>Norfolk</t>
  </si>
  <si>
    <t>Northamptonshire</t>
  </si>
  <si>
    <t>E10000023</t>
  </si>
  <si>
    <t>E10000024</t>
  </si>
  <si>
    <t>Nottinghamshire</t>
  </si>
  <si>
    <t>Oxfordshire</t>
  </si>
  <si>
    <t>E10000027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</si>
  <si>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</si>
  <si>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</si>
  <si>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</si>
  <si>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</si>
  <si>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</si>
  <si>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</si>
  <si>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</si>
  <si>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</si>
  <si>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</si>
  <si>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Worcestershire</t>
  </si>
  <si>
    <t>Babergh &amp; Mid Suffolk</t>
  </si>
  <si>
    <t>JSP033</t>
  </si>
  <si>
    <t>JSP031</t>
  </si>
  <si>
    <t>JSP014</t>
  </si>
  <si>
    <t>Christchurch and East Dorset</t>
  </si>
  <si>
    <t>Devon JSP</t>
  </si>
  <si>
    <t>JSP005</t>
  </si>
  <si>
    <t>East Hampshire and South Downs National Park</t>
  </si>
  <si>
    <t>JSP006</t>
  </si>
  <si>
    <t>Gloucester, Cheltenham and Tewkesbury</t>
  </si>
  <si>
    <t>JSP008</t>
  </si>
  <si>
    <t>JSP026</t>
  </si>
  <si>
    <t>Greater Manchester Spatial</t>
  </si>
  <si>
    <t>JSP009</t>
  </si>
  <si>
    <t>Greater Norwich Partnership</t>
  </si>
  <si>
    <t>JSP010</t>
  </si>
  <si>
    <t>JSP011</t>
  </si>
  <si>
    <t>Greater Nottingham Aligned</t>
  </si>
  <si>
    <t>Joint Black Country</t>
  </si>
  <si>
    <t>JSP013</t>
  </si>
  <si>
    <t>JSP028</t>
  </si>
  <si>
    <t>Lewes with South Downs National Park</t>
  </si>
  <si>
    <t>JSP015</t>
  </si>
  <si>
    <t>Mid Sussex and South Downs National Park</t>
  </si>
  <si>
    <t>JSP016</t>
  </si>
  <si>
    <t>Newcastle / Gateshead</t>
  </si>
  <si>
    <t>JSP007</t>
  </si>
  <si>
    <t>Newcastle-Under-Lyme and Stoke On Trent</t>
  </si>
  <si>
    <t>JSP017</t>
  </si>
  <si>
    <t>JSP029</t>
  </si>
  <si>
    <t>JSP032</t>
  </si>
  <si>
    <t>JSP021</t>
  </si>
  <si>
    <t>JSP030</t>
  </si>
  <si>
    <t>West Dorset, Weymouth and Portland</t>
  </si>
  <si>
    <t>JSP023</t>
  </si>
  <si>
    <t>West Northamptonshire</t>
  </si>
  <si>
    <t>JSP024</t>
  </si>
  <si>
    <t>JSP025</t>
  </si>
  <si>
    <t>Broadland, Norwich, S Norfolk</t>
  </si>
  <si>
    <t>JSP034</t>
  </si>
  <si>
    <t xml:space="preserve">Greater Manchester </t>
  </si>
  <si>
    <t>JSP035</t>
  </si>
  <si>
    <t>Central and Eastern Berkshire (Hampshire chargable LPA)</t>
  </si>
  <si>
    <t>South London Waste Plan (Sutton chargeable LPA)</t>
  </si>
  <si>
    <t>East Sussex, South Downs, and Brighton &amp; Hove 
(E.Sussex chargeable LPA)</t>
  </si>
  <si>
    <t>LPA Code</t>
  </si>
  <si>
    <t>LPA Country</t>
  </si>
  <si>
    <t>LPA County</t>
  </si>
  <si>
    <t>LPA Governmental Office</t>
  </si>
  <si>
    <t>Average of LPA Latitude</t>
  </si>
  <si>
    <t>LPA Location</t>
  </si>
  <si>
    <t>Average of LPA Longitude</t>
  </si>
  <si>
    <t>LPA Name</t>
  </si>
  <si>
    <t>A0665</t>
  </si>
  <si>
    <t>England</t>
  </si>
  <si>
    <t>Cheshire</t>
  </si>
  <si>
    <t>North West</t>
  </si>
  <si>
    <t>Cheshire, England</t>
  </si>
  <si>
    <t>A1015</t>
  </si>
  <si>
    <t>East Midlands</t>
  </si>
  <si>
    <t>Derbyshire, England</t>
  </si>
  <si>
    <t>Chesterfield Borough Council</t>
  </si>
  <si>
    <t>A1530</t>
  </si>
  <si>
    <t>East of England</t>
  </si>
  <si>
    <t>Essex, England</t>
  </si>
  <si>
    <t>Colchester Borough Council</t>
  </si>
  <si>
    <t>A1720</t>
  </si>
  <si>
    <t>South East</t>
  </si>
  <si>
    <t>Hampshire, England</t>
  </si>
  <si>
    <t>Fareham Borough Council</t>
  </si>
  <si>
    <t>A1910</t>
  </si>
  <si>
    <t>Hertfordshire, England</t>
  </si>
  <si>
    <t>Dacorum Borough Council</t>
  </si>
  <si>
    <t>A2280</t>
  </si>
  <si>
    <t>Kent, England</t>
  </si>
  <si>
    <t>Medway Council</t>
  </si>
  <si>
    <t>A2335</t>
  </si>
  <si>
    <t>Lancashire, England</t>
  </si>
  <si>
    <t>Lancaster City Council</t>
  </si>
  <si>
    <t>A2470</t>
  </si>
  <si>
    <t>Leicestershire, England</t>
  </si>
  <si>
    <t>Rutland County Council</t>
  </si>
  <si>
    <t>A2525</t>
  </si>
  <si>
    <t>Lincolnshire, England</t>
  </si>
  <si>
    <t>South Holland District Council</t>
  </si>
  <si>
    <t>A3010</t>
  </si>
  <si>
    <t>Nottinghamshire, England</t>
  </si>
  <si>
    <t>Bassetlaw District Council</t>
  </si>
  <si>
    <t>A3655</t>
  </si>
  <si>
    <t>Surrey, England</t>
  </si>
  <si>
    <t>Woking Borough Council</t>
  </si>
  <si>
    <t>A4520</t>
  </si>
  <si>
    <t>Tyne And Wear</t>
  </si>
  <si>
    <t>North East</t>
  </si>
  <si>
    <t>Tyne And Wear, England</t>
  </si>
  <si>
    <t>South Tyneside Council</t>
  </si>
  <si>
    <t>A4710</t>
  </si>
  <si>
    <t>West Yorkshire</t>
  </si>
  <si>
    <t>Yorkshire &amp; Humberside</t>
  </si>
  <si>
    <t>West Yorkshire, England</t>
  </si>
  <si>
    <t>Calderdale Metropolitan Borough Council</t>
  </si>
  <si>
    <t>A5270</t>
  </si>
  <si>
    <t>London</t>
  </si>
  <si>
    <t>London, England</t>
  </si>
  <si>
    <t>London Borough of Ealing</t>
  </si>
  <si>
    <t>A5840</t>
  </si>
  <si>
    <t>London Borough of Southwark</t>
  </si>
  <si>
    <t>B0230</t>
  </si>
  <si>
    <t>Bedfordshire</t>
  </si>
  <si>
    <t>Bedfordshire, England</t>
  </si>
  <si>
    <t>Luton Borough Council</t>
  </si>
  <si>
    <t>B1415</t>
  </si>
  <si>
    <t>East Sussex, England</t>
  </si>
  <si>
    <t>Hastings Borough Council</t>
  </si>
  <si>
    <t>B1550</t>
  </si>
  <si>
    <t>Rochford District Council</t>
  </si>
  <si>
    <t>B1605</t>
  </si>
  <si>
    <t>South West</t>
  </si>
  <si>
    <t>Gloucestershire, England</t>
  </si>
  <si>
    <t>Cheltenham Borough Council</t>
  </si>
  <si>
    <t>B1740</t>
  </si>
  <si>
    <t>New Forest District Council</t>
  </si>
  <si>
    <t>B1930</t>
  </si>
  <si>
    <t>St Albans City Council</t>
  </si>
  <si>
    <t>B2002</t>
  </si>
  <si>
    <t>Humberside</t>
  </si>
  <si>
    <t>Humberside, England</t>
  </si>
  <si>
    <t>North East Lincolnshire Council</t>
  </si>
  <si>
    <t>B2355</t>
  </si>
  <si>
    <t>Rossendale Borough Council</t>
  </si>
  <si>
    <t>B3030</t>
  </si>
  <si>
    <t>Newark &amp; Sherwood District Council</t>
  </si>
  <si>
    <t>B3410</t>
  </si>
  <si>
    <t>West Midlands</t>
  </si>
  <si>
    <t>Staffordshire, England</t>
  </si>
  <si>
    <t>East Staffordshire Borough Council</t>
  </si>
  <si>
    <t>B3438</t>
  </si>
  <si>
    <t>Staffordshire Moorlands District Council</t>
  </si>
  <si>
    <t>B3600</t>
  </si>
  <si>
    <t>B4215</t>
  </si>
  <si>
    <t>Greater Manchester</t>
  </si>
  <si>
    <t>Greater Manchester, England</t>
  </si>
  <si>
    <t>Manchester City Council</t>
  </si>
  <si>
    <t>B5480</t>
  </si>
  <si>
    <t>London Borough of Havering</t>
  </si>
  <si>
    <t>B9506</t>
  </si>
  <si>
    <t>National Parks</t>
  </si>
  <si>
    <t>New Forest, England</t>
  </si>
  <si>
    <t>C1055</t>
  </si>
  <si>
    <t>Derby City Council</t>
  </si>
  <si>
    <t>C1435</t>
  </si>
  <si>
    <t>Wealden District Council</t>
  </si>
  <si>
    <t>C1570</t>
  </si>
  <si>
    <t>Uttlesford District Council</t>
  </si>
  <si>
    <t>C1625</t>
  </si>
  <si>
    <t>Stroud District Council</t>
  </si>
  <si>
    <t>C1760</t>
  </si>
  <si>
    <t>Test Valley Borough Council</t>
  </si>
  <si>
    <t>C1950</t>
  </si>
  <si>
    <t>Welwyn Hatfield Council</t>
  </si>
  <si>
    <t>C2708</t>
  </si>
  <si>
    <t>North Yorkshire, England</t>
  </si>
  <si>
    <t>Craven District Council</t>
  </si>
  <si>
    <t>C2741</t>
  </si>
  <si>
    <t>City of York Council</t>
  </si>
  <si>
    <t>C3105</t>
  </si>
  <si>
    <t>Oxfordshire, England</t>
  </si>
  <si>
    <t>Cherwell District Council</t>
  </si>
  <si>
    <t>C3240</t>
  </si>
  <si>
    <t>Shropshire, England</t>
  </si>
  <si>
    <t>Telford and Wrekin Council</t>
  </si>
  <si>
    <t>C3430</t>
  </si>
  <si>
    <t>South Staffordshire District Council</t>
  </si>
  <si>
    <t>C3620</t>
  </si>
  <si>
    <t>Mole Valley District Council</t>
  </si>
  <si>
    <t>C3810</t>
  </si>
  <si>
    <t>West Sussex, England</t>
  </si>
  <si>
    <t>Arun District Council</t>
  </si>
  <si>
    <t>C4235</t>
  </si>
  <si>
    <t>Stockport Metropolitan Borough Council</t>
  </si>
  <si>
    <t>C4615</t>
  </si>
  <si>
    <t>West Midlands, England</t>
  </si>
  <si>
    <t>Dudley Metropolitan Borough Council</t>
  </si>
  <si>
    <t>C5690</t>
  </si>
  <si>
    <t>London Borough of Lewisham</t>
  </si>
  <si>
    <t>C9499</t>
  </si>
  <si>
    <t>Yorkshire Dales, England</t>
  </si>
  <si>
    <t>Yorkshire Dales</t>
  </si>
  <si>
    <t>D0121</t>
  </si>
  <si>
    <t>Somerset, England</t>
  </si>
  <si>
    <t>North Somerset Council</t>
  </si>
  <si>
    <t>D0515</t>
  </si>
  <si>
    <t>Cambridgeshire, England</t>
  </si>
  <si>
    <t>Fenland District Council</t>
  </si>
  <si>
    <t>D0650</t>
  </si>
  <si>
    <t>Halton Borough Council</t>
  </si>
  <si>
    <t>D0840</t>
  </si>
  <si>
    <t>Cornwall, England</t>
  </si>
  <si>
    <t>Cornwall Council</t>
  </si>
  <si>
    <t>D1265</t>
  </si>
  <si>
    <t>Dorset, England</t>
  </si>
  <si>
    <t>D1590</t>
  </si>
  <si>
    <t>Southend-on-Sea Borough Council</t>
  </si>
  <si>
    <t>D1780</t>
  </si>
  <si>
    <t>Southampton City Council</t>
  </si>
  <si>
    <t>D1835</t>
  </si>
  <si>
    <t>Worcestershire, England</t>
  </si>
  <si>
    <t>Worcester City Council</t>
  </si>
  <si>
    <t>D2320</t>
  </si>
  <si>
    <t>Chorley Borough Council</t>
  </si>
  <si>
    <t>D2510</t>
  </si>
  <si>
    <t>East Lindsey District Council</t>
  </si>
  <si>
    <t>D3125</t>
  </si>
  <si>
    <t>West Oxfordshire District Council</t>
  </si>
  <si>
    <t>D3450</t>
  </si>
  <si>
    <t>Staffordshire County Council</t>
  </si>
  <si>
    <t>D3505</t>
  </si>
  <si>
    <t>Suffolk, England</t>
  </si>
  <si>
    <t>Babergh District Council</t>
  </si>
  <si>
    <t>D3640</t>
  </si>
  <si>
    <t>Surrey Heath Borough Council</t>
  </si>
  <si>
    <t>D3830</t>
  </si>
  <si>
    <t>Mid Sussex District Council</t>
  </si>
  <si>
    <t>D4635</t>
  </si>
  <si>
    <t>Wolverhampton City Council</t>
  </si>
  <si>
    <t>D5120</t>
  </si>
  <si>
    <t>London Borough of Bexley</t>
  </si>
  <si>
    <t>E0345</t>
  </si>
  <si>
    <t>Berkshire</t>
  </si>
  <si>
    <t>Berkshire, England</t>
  </si>
  <si>
    <t>Reading Borough Council</t>
  </si>
  <si>
    <t>E0535</t>
  </si>
  <si>
    <t>Cambridgeshire County Council</t>
  </si>
  <si>
    <t>E0915</t>
  </si>
  <si>
    <t>Cumbria, England</t>
  </si>
  <si>
    <t>Carlisle City Council</t>
  </si>
  <si>
    <t>E1855</t>
  </si>
  <si>
    <t>Worcestershire County Council</t>
  </si>
  <si>
    <t>E2001</t>
  </si>
  <si>
    <t>East Riding of Yorkshire Council</t>
  </si>
  <si>
    <t>E2205</t>
  </si>
  <si>
    <t>Ashford Borough Council</t>
  </si>
  <si>
    <t>E2340</t>
  </si>
  <si>
    <t>Pendle Borough Council</t>
  </si>
  <si>
    <t>E2530</t>
  </si>
  <si>
    <t>South Kesteven District Council</t>
  </si>
  <si>
    <t>E2734</t>
  </si>
  <si>
    <t>Harrogate Borough Council</t>
  </si>
  <si>
    <t>E3715</t>
  </si>
  <si>
    <t>Warwickshire, England</t>
  </si>
  <si>
    <t>Rugby Borough Council</t>
  </si>
  <si>
    <t>E5330</t>
  </si>
  <si>
    <t>E5900</t>
  </si>
  <si>
    <t>London Borough of Tower Hamlets</t>
  </si>
  <si>
    <t>E9505</t>
  </si>
  <si>
    <t>Broads, England</t>
  </si>
  <si>
    <t>Broads</t>
  </si>
  <si>
    <t>F0114</t>
  </si>
  <si>
    <t>Bath and North East Somerset Council</t>
  </si>
  <si>
    <t>F1040</t>
  </si>
  <si>
    <t>South Derbyshire District Council</t>
  </si>
  <si>
    <t>F1610</t>
  </si>
  <si>
    <t>Cotswold District Council</t>
  </si>
  <si>
    <t>F2360</t>
  </si>
  <si>
    <t>South Ribble Borough Council</t>
  </si>
  <si>
    <t>F2415</t>
  </si>
  <si>
    <t>Harborough District Council</t>
  </si>
  <si>
    <t>F2605</t>
  </si>
  <si>
    <t>Norfolk, England</t>
  </si>
  <si>
    <t>Breckland Council</t>
  </si>
  <si>
    <t>F3545</t>
  </si>
  <si>
    <t>F4410</t>
  </si>
  <si>
    <t>South Yorkshire</t>
  </si>
  <si>
    <t>South Yorkshire, England</t>
  </si>
  <si>
    <t>Doncaster Metropolitan Borough Council</t>
  </si>
  <si>
    <t>F5540</t>
  </si>
  <si>
    <t>London Borough of Hounslow</t>
  </si>
  <si>
    <t>F5730</t>
  </si>
  <si>
    <t>F6915</t>
  </si>
  <si>
    <t>Wales</t>
  </si>
  <si>
    <t>NA, Wales</t>
  </si>
  <si>
    <t>Bridgend County Borough Council</t>
  </si>
  <si>
    <t>F9498</t>
  </si>
  <si>
    <t>Exmoor, England</t>
  </si>
  <si>
    <t>Exmoor</t>
  </si>
  <si>
    <t>G0908</t>
  </si>
  <si>
    <t>Allerdale Borough Council</t>
  </si>
  <si>
    <t>G1440</t>
  </si>
  <si>
    <t>East Sussex County Council</t>
  </si>
  <si>
    <t>G1630</t>
  </si>
  <si>
    <t>Tewkesbury Borough Council</t>
  </si>
  <si>
    <t>G2245</t>
  </si>
  <si>
    <t>Sevenoaks District Council</t>
  </si>
  <si>
    <t>G2435</t>
  </si>
  <si>
    <t>North West Leicestershire District Council</t>
  </si>
  <si>
    <t>G2625</t>
  </si>
  <si>
    <t>Norwich City Council</t>
  </si>
  <si>
    <t>G2713</t>
  </si>
  <si>
    <t>Hambleton District Council</t>
  </si>
  <si>
    <t>G2815</t>
  </si>
  <si>
    <t>Northamptonshire, England</t>
  </si>
  <si>
    <t>East Northamptonshire District Council</t>
  </si>
  <si>
    <t>G3110</t>
  </si>
  <si>
    <t>Oxford City Council</t>
  </si>
  <si>
    <t>G3300</t>
  </si>
  <si>
    <t>Somerset County Council</t>
  </si>
  <si>
    <t>G4240</t>
  </si>
  <si>
    <t>Tameside Metropolitan Borough Council</t>
  </si>
  <si>
    <t>G4620</t>
  </si>
  <si>
    <t>Sandwell Metropolitan Borough Council</t>
  </si>
  <si>
    <t>G5180</t>
  </si>
  <si>
    <t>London Borough of Bromley</t>
  </si>
  <si>
    <t>G5750</t>
  </si>
  <si>
    <t>London Borough of Newham</t>
  </si>
  <si>
    <t>H0520</t>
  </si>
  <si>
    <t>Huntingdonshire District Council</t>
  </si>
  <si>
    <t>H0724</t>
  </si>
  <si>
    <t>Cleveland</t>
  </si>
  <si>
    <t>Cleveland, England</t>
  </si>
  <si>
    <t>Hartlepool Borough Council</t>
  </si>
  <si>
    <t>H0738</t>
  </si>
  <si>
    <t>Stockton-on-Tees Borough Council</t>
  </si>
  <si>
    <t>H0900</t>
  </si>
  <si>
    <t>Cumbria County Council</t>
  </si>
  <si>
    <t>H0928</t>
  </si>
  <si>
    <t>Eden District Council</t>
  </si>
  <si>
    <t>H1033</t>
  </si>
  <si>
    <t>High Peak Borough Council</t>
  </si>
  <si>
    <t>H1515</t>
  </si>
  <si>
    <t>Brentwood Borough Council</t>
  </si>
  <si>
    <t>H1705</t>
  </si>
  <si>
    <t>Basingstoke and Deane Borough Council</t>
  </si>
  <si>
    <t>H1840</t>
  </si>
  <si>
    <t>Wychavon District Council</t>
  </si>
  <si>
    <t>H2265</t>
  </si>
  <si>
    <t>Tonbridge and Malling Borough Council</t>
  </si>
  <si>
    <t>H2733</t>
  </si>
  <si>
    <t>Scarborough Borough Council</t>
  </si>
  <si>
    <t>H2835</t>
  </si>
  <si>
    <t>Wellingborough Borough Council</t>
  </si>
  <si>
    <t>H3700</t>
  </si>
  <si>
    <t>Warwickshire County Council</t>
  </si>
  <si>
    <t>H4315</t>
  </si>
  <si>
    <t>Merseyside</t>
  </si>
  <si>
    <t>Merseyside, England</t>
  </si>
  <si>
    <t>St Helens Metropolitan Borough Council</t>
  </si>
  <si>
    <t>H4505</t>
  </si>
  <si>
    <t>Gateshead Metropolitan Borough Council</t>
  </si>
  <si>
    <t>H5390</t>
  </si>
  <si>
    <t>London Borough of Hammersmith and Fulham</t>
  </si>
  <si>
    <t>H5960</t>
  </si>
  <si>
    <t>London Borough of Wandsworth</t>
  </si>
  <si>
    <t>J0350</t>
  </si>
  <si>
    <t>Slough Borough Council</t>
  </si>
  <si>
    <t>J0405</t>
  </si>
  <si>
    <t>Aylesbury Vale District Council</t>
  </si>
  <si>
    <t>J0540</t>
  </si>
  <si>
    <t>Peterborough City Council</t>
  </si>
  <si>
    <t>J1155</t>
  </si>
  <si>
    <t>Devon, England</t>
  </si>
  <si>
    <t>Devon County Council</t>
  </si>
  <si>
    <t>J1535</t>
  </si>
  <si>
    <t>Epping Forest District Council</t>
  </si>
  <si>
    <t>J1725</t>
  </si>
  <si>
    <t>Gosport Borough Council</t>
  </si>
  <si>
    <t>J1860</t>
  </si>
  <si>
    <t>Malvern Hills District Council</t>
  </si>
  <si>
    <t>J1915</t>
  </si>
  <si>
    <t>East Hertfordshire District Council</t>
  </si>
  <si>
    <t>J2210</t>
  </si>
  <si>
    <t>Canterbury City Council</t>
  </si>
  <si>
    <t>J2373</t>
  </si>
  <si>
    <t>Blackpool Borough Council</t>
  </si>
  <si>
    <t>J3015</t>
  </si>
  <si>
    <t>Broxtowe Borough Council</t>
  </si>
  <si>
    <t>J3720</t>
  </si>
  <si>
    <t>Stratford-on-Avon District Council</t>
  </si>
  <si>
    <t>J4423</t>
  </si>
  <si>
    <t>Sheffield City Council</t>
  </si>
  <si>
    <t>J4525</t>
  </si>
  <si>
    <t>Sunderland City Council</t>
  </si>
  <si>
    <t>J9497</t>
  </si>
  <si>
    <t>Dartmoor, England</t>
  </si>
  <si>
    <t>Dartmoor</t>
  </si>
  <si>
    <t>K0235</t>
  </si>
  <si>
    <t>Bedford Borough Council</t>
  </si>
  <si>
    <t>K0425</t>
  </si>
  <si>
    <t>Buckinghamshire, England</t>
  </si>
  <si>
    <t>Wycombe District Council</t>
  </si>
  <si>
    <t>K1128</t>
  </si>
  <si>
    <t>South Hams District Council</t>
  </si>
  <si>
    <t>K1935</t>
  </si>
  <si>
    <t>Stevenage Borough Council</t>
  </si>
  <si>
    <t>K2230</t>
  </si>
  <si>
    <t>Gravesham Borough Council</t>
  </si>
  <si>
    <t>K2420</t>
  </si>
  <si>
    <t>Hinckley and Bosworth Borough Council</t>
  </si>
  <si>
    <t>K2610</t>
  </si>
  <si>
    <t>Broadland District Council</t>
  </si>
  <si>
    <t>K2800</t>
  </si>
  <si>
    <t>Northamptonshire County Council</t>
  </si>
  <si>
    <t>K3415</t>
  </si>
  <si>
    <t>Lichfield District Council</t>
  </si>
  <si>
    <t>K3605</t>
  </si>
  <si>
    <t>Elmbridge Borough Council</t>
  </si>
  <si>
    <t>K5030</t>
  </si>
  <si>
    <t>City of London Council</t>
  </si>
  <si>
    <t>K5600</t>
  </si>
  <si>
    <t>Royal Borough of Kensington and Chelsea</t>
  </si>
  <si>
    <t>L1765</t>
  </si>
  <si>
    <t>Winchester City Council</t>
  </si>
  <si>
    <t>L2250</t>
  </si>
  <si>
    <t>Shepway District Council</t>
  </si>
  <si>
    <t>L2440</t>
  </si>
  <si>
    <t>Oadby and Wigston Borough Council</t>
  </si>
  <si>
    <t>L2630</t>
  </si>
  <si>
    <t>South Norfolk District Council</t>
  </si>
  <si>
    <t>L2820</t>
  </si>
  <si>
    <t>Kettering Borough Council</t>
  </si>
  <si>
    <t>L3055</t>
  </si>
  <si>
    <t>L3245</t>
  </si>
  <si>
    <t>Shropshire County Council</t>
  </si>
  <si>
    <t>L3625</t>
  </si>
  <si>
    <t>Reigate and Banstead Borough Council</t>
  </si>
  <si>
    <t>L3815</t>
  </si>
  <si>
    <t>Chichester District Council</t>
  </si>
  <si>
    <t>L5240</t>
  </si>
  <si>
    <t>London Borough of Croydon</t>
  </si>
  <si>
    <t>L5810</t>
  </si>
  <si>
    <t>Richmond Upon Thames London Borough Council</t>
  </si>
  <si>
    <t>M0655</t>
  </si>
  <si>
    <t>Warrington Borough Council</t>
  </si>
  <si>
    <t>M0933</t>
  </si>
  <si>
    <t>South Lakeland District Council</t>
  </si>
  <si>
    <t>M1005</t>
  </si>
  <si>
    <t>Amber Valley Borough Council</t>
  </si>
  <si>
    <t>M1520</t>
  </si>
  <si>
    <t>Castle Point Borough Council</t>
  </si>
  <si>
    <t>M1595</t>
  </si>
  <si>
    <t>Thurrock Borough Council</t>
  </si>
  <si>
    <t>M1710</t>
  </si>
  <si>
    <t>East Hampshire District Council</t>
  </si>
  <si>
    <t>M1900</t>
  </si>
  <si>
    <t>Hertfordshire County Council</t>
  </si>
  <si>
    <t>M2270</t>
  </si>
  <si>
    <t>Tunbridge Wells Borough Council</t>
  </si>
  <si>
    <t>M2325</t>
  </si>
  <si>
    <t>Fylde Borough Council</t>
  </si>
  <si>
    <t>M2372</t>
  </si>
  <si>
    <t>Blackburn with Darwen Borough Council</t>
  </si>
  <si>
    <t>M2460</t>
  </si>
  <si>
    <t>Leicestershire County Council</t>
  </si>
  <si>
    <t>M2515</t>
  </si>
  <si>
    <t>City of Lincoln Council</t>
  </si>
  <si>
    <t>M3455</t>
  </si>
  <si>
    <t>Stoke-on-Trent City Council</t>
  </si>
  <si>
    <t>M3645</t>
  </si>
  <si>
    <t>Tandridge District Council</t>
  </si>
  <si>
    <t>M3835</t>
  </si>
  <si>
    <t>Worthing Borough Council</t>
  </si>
  <si>
    <t>M4320</t>
  </si>
  <si>
    <t>Sefton Metropolitan Borough Council</t>
  </si>
  <si>
    <t>M4510</t>
  </si>
  <si>
    <t>Newcastle Upon Tyne City Council</t>
  </si>
  <si>
    <t>M5450</t>
  </si>
  <si>
    <t>London Borough of Harrow</t>
  </si>
  <si>
    <t>M9496</t>
  </si>
  <si>
    <t>Peak District, England</t>
  </si>
  <si>
    <t>Peak District</t>
  </si>
  <si>
    <t>M9584</t>
  </si>
  <si>
    <t>N0410</t>
  </si>
  <si>
    <t>South Bucks District Council</t>
  </si>
  <si>
    <t>N1025</t>
  </si>
  <si>
    <t>Erewash Borough Council</t>
  </si>
  <si>
    <t>N1160</t>
  </si>
  <si>
    <t>Plymouth City Council</t>
  </si>
  <si>
    <t>N1350</t>
  </si>
  <si>
    <t>Durham</t>
  </si>
  <si>
    <t>Durham, England</t>
  </si>
  <si>
    <t>Darlington Borough Council</t>
  </si>
  <si>
    <t>N1540</t>
  </si>
  <si>
    <t>Harlow District Council</t>
  </si>
  <si>
    <t>N1730</t>
  </si>
  <si>
    <t>Hart District Council</t>
  </si>
  <si>
    <t>N1920</t>
  </si>
  <si>
    <t>Hertsmere Borough Council</t>
  </si>
  <si>
    <t>N2345</t>
  </si>
  <si>
    <t>Preston City Council</t>
  </si>
  <si>
    <t>N2535</t>
  </si>
  <si>
    <t>West Lindsey District Council</t>
  </si>
  <si>
    <t>N2739</t>
  </si>
  <si>
    <t>Selby District Council</t>
  </si>
  <si>
    <t>N3020</t>
  </si>
  <si>
    <t>Gedling Borough Council</t>
  </si>
  <si>
    <t>N4205</t>
  </si>
  <si>
    <t>Bolton Metropolitan Borough Council</t>
  </si>
  <si>
    <t>N4720</t>
  </si>
  <si>
    <t>Leeds City Council</t>
  </si>
  <si>
    <t>N5090</t>
  </si>
  <si>
    <t>London Borough of Barnet</t>
  </si>
  <si>
    <t>N5660</t>
  </si>
  <si>
    <t>London Borough of Lambeth</t>
  </si>
  <si>
    <t>P0119</t>
  </si>
  <si>
    <t>South Gloucestershire Council</t>
  </si>
  <si>
    <t>P0240</t>
  </si>
  <si>
    <t>P0430</t>
  </si>
  <si>
    <t>Buckinghamshire County Council</t>
  </si>
  <si>
    <t>P1045</t>
  </si>
  <si>
    <t>Derbyshire Dales District Council</t>
  </si>
  <si>
    <t>P1133</t>
  </si>
  <si>
    <t>Teignbridge District Council</t>
  </si>
  <si>
    <t>P1425</t>
  </si>
  <si>
    <t>Lewes District Council</t>
  </si>
  <si>
    <t>P1560</t>
  </si>
  <si>
    <t>Tendring District Council</t>
  </si>
  <si>
    <t>P1615</t>
  </si>
  <si>
    <t>Forest of Dean District Council</t>
  </si>
  <si>
    <t>P1750</t>
  </si>
  <si>
    <t>Rushmoor Borough Council</t>
  </si>
  <si>
    <t>P1805</t>
  </si>
  <si>
    <t>Bromsgrove District Council</t>
  </si>
  <si>
    <t>P1940</t>
  </si>
  <si>
    <t>Three Rivers District Council</t>
  </si>
  <si>
    <t>P2114</t>
  </si>
  <si>
    <t>Isle of Wight, England</t>
  </si>
  <si>
    <t>Isle of Wight Council</t>
  </si>
  <si>
    <t>P2365</t>
  </si>
  <si>
    <t>West Lancashire District Council</t>
  </si>
  <si>
    <t>P2745</t>
  </si>
  <si>
    <t>North Yorkshire County Council</t>
  </si>
  <si>
    <t>P2935</t>
  </si>
  <si>
    <t>Northumberland, England</t>
  </si>
  <si>
    <t>Northumberland County Council</t>
  </si>
  <si>
    <t>P3040</t>
  </si>
  <si>
    <t>Rushcliffe Borough Council</t>
  </si>
  <si>
    <t>P3420</t>
  </si>
  <si>
    <t>Newcastle-under-Lyme Borough Council</t>
  </si>
  <si>
    <t>P3610</t>
  </si>
  <si>
    <t>Epsom and Ewell Borough Council</t>
  </si>
  <si>
    <t>P3800</t>
  </si>
  <si>
    <t>West Sussex County Council</t>
  </si>
  <si>
    <t>P4225</t>
  </si>
  <si>
    <t>Rochdale Metropolitan Borough Council</t>
  </si>
  <si>
    <t>P4415</t>
  </si>
  <si>
    <t>Rotherham Metropolitan Borough Council</t>
  </si>
  <si>
    <t>P4605</t>
  </si>
  <si>
    <t>Birmingham City Council</t>
  </si>
  <si>
    <t>P5870</t>
  </si>
  <si>
    <t>London Borough of Sutton</t>
  </si>
  <si>
    <t>Q0505</t>
  </si>
  <si>
    <t>Cambridge City Council</t>
  </si>
  <si>
    <t>Q1153</t>
  </si>
  <si>
    <t>West Devon Borough Council</t>
  </si>
  <si>
    <t>Q1445</t>
  </si>
  <si>
    <t>Brighton and Hove City Council</t>
  </si>
  <si>
    <t>Q1770</t>
  </si>
  <si>
    <t>Hampshire County Council</t>
  </si>
  <si>
    <t>Q1825</t>
  </si>
  <si>
    <t>Redditch Borough Council</t>
  </si>
  <si>
    <t>Q2371</t>
  </si>
  <si>
    <t>Lancashire County Council</t>
  </si>
  <si>
    <t>Q2500</t>
  </si>
  <si>
    <t>Lincolnshire County Council</t>
  </si>
  <si>
    <t>Q3060</t>
  </si>
  <si>
    <t>Nottingham City Council</t>
  </si>
  <si>
    <t>Q3115</t>
  </si>
  <si>
    <t>South Oxfordshire District Council</t>
  </si>
  <si>
    <t>Q3305</t>
  </si>
  <si>
    <t>Mendip District Council</t>
  </si>
  <si>
    <t>Q3630</t>
  </si>
  <si>
    <t>Runnymede Borough Council</t>
  </si>
  <si>
    <t>Q3820</t>
  </si>
  <si>
    <t>Crawley Borough Council</t>
  </si>
  <si>
    <t>Q4245</t>
  </si>
  <si>
    <t>Trafford Metropolitan Borough Council</t>
  </si>
  <si>
    <t>Q4625</t>
  </si>
  <si>
    <t>Solihull Metropolitan Borough Council</t>
  </si>
  <si>
    <t>Q5300</t>
  </si>
  <si>
    <t>London Borough of Enfield</t>
  </si>
  <si>
    <t>Q9495</t>
  </si>
  <si>
    <t>Lake District, England</t>
  </si>
  <si>
    <t>Lake District</t>
  </si>
  <si>
    <t>R0335</t>
  </si>
  <si>
    <t>Bracknell Forest Borough Council</t>
  </si>
  <si>
    <t>R0660</t>
  </si>
  <si>
    <t>R1010</t>
  </si>
  <si>
    <t>Bolsover District Council</t>
  </si>
  <si>
    <t>R1038</t>
  </si>
  <si>
    <t>North East Derbyshire District Council</t>
  </si>
  <si>
    <t>R1845</t>
  </si>
  <si>
    <t>Wyre Forest District Council</t>
  </si>
  <si>
    <t>R2330</t>
  </si>
  <si>
    <t>Hyndburn Borough Council</t>
  </si>
  <si>
    <t>R2520</t>
  </si>
  <si>
    <t>North Kesteven District Council</t>
  </si>
  <si>
    <t>R3325</t>
  </si>
  <si>
    <t>South Somerset District Council</t>
  </si>
  <si>
    <t>R3515</t>
  </si>
  <si>
    <t>Ipswich Borough Council</t>
  </si>
  <si>
    <t>R3650</t>
  </si>
  <si>
    <t>Waverley Borough Council</t>
  </si>
  <si>
    <t>R3705</t>
  </si>
  <si>
    <t>North Warwickshire Borough Council</t>
  </si>
  <si>
    <t>R4408</t>
  </si>
  <si>
    <t>Barnsley Metropolitan Borough Council</t>
  </si>
  <si>
    <t>R5510</t>
  </si>
  <si>
    <t>London Borough of Hillingdon</t>
  </si>
  <si>
    <t>R6830</t>
  </si>
  <si>
    <t>Denbighshire County Council</t>
  </si>
  <si>
    <t>T0355</t>
  </si>
  <si>
    <t>Royal Borough of Windsor and Maidenhead</t>
  </si>
  <si>
    <t>T1410</t>
  </si>
  <si>
    <t>Eastbourne Borough Council</t>
  </si>
  <si>
    <t>T1600</t>
  </si>
  <si>
    <t>Gloucestershire County Council</t>
  </si>
  <si>
    <t>T2215</t>
  </si>
  <si>
    <t>Dartford Borough Council</t>
  </si>
  <si>
    <t>T2350</t>
  </si>
  <si>
    <t>Ribble Valley Borough Council</t>
  </si>
  <si>
    <t>T2405</t>
  </si>
  <si>
    <t>Blaby District Council</t>
  </si>
  <si>
    <t>T3725</t>
  </si>
  <si>
    <t>Warwick District Council</t>
  </si>
  <si>
    <t>T4210</t>
  </si>
  <si>
    <t>Bury Metropolitan Borough Council</t>
  </si>
  <si>
    <t>T5150</t>
  </si>
  <si>
    <t>London Borough of Brent</t>
  </si>
  <si>
    <t>T5720</t>
  </si>
  <si>
    <t>London Borough of Merton</t>
  </si>
  <si>
    <t>T9501</t>
  </si>
  <si>
    <t>U1050</t>
  </si>
  <si>
    <t>Derbyshire County Council</t>
  </si>
  <si>
    <t>U1105</t>
  </si>
  <si>
    <t>East Devon District Council</t>
  </si>
  <si>
    <t>U1430</t>
  </si>
  <si>
    <t>Rother District Council</t>
  </si>
  <si>
    <t>U1620</t>
  </si>
  <si>
    <t>U2235</t>
  </si>
  <si>
    <t>Maidstone Borough Council</t>
  </si>
  <si>
    <t>U2370</t>
  </si>
  <si>
    <t>Wyre Borough Council</t>
  </si>
  <si>
    <t>U2615</t>
  </si>
  <si>
    <t>Great Yarmouth Borough Council</t>
  </si>
  <si>
    <t>U2805</t>
  </si>
  <si>
    <t>U3100</t>
  </si>
  <si>
    <t>Oxfordshire County Council</t>
  </si>
  <si>
    <t>U3935</t>
  </si>
  <si>
    <t>Wiltshire, England</t>
  </si>
  <si>
    <t>Swindon Borough Council</t>
  </si>
  <si>
    <t>U4230</t>
  </si>
  <si>
    <t>Salford City Council</t>
  </si>
  <si>
    <t>U4610</t>
  </si>
  <si>
    <t>Coventry City Council</t>
  </si>
  <si>
    <t>U5360</t>
  </si>
  <si>
    <t>London Borough of Hackney</t>
  </si>
  <si>
    <t>U5930</t>
  </si>
  <si>
    <t>Waltham Forest London Borough Council</t>
  </si>
  <si>
    <t>U6925</t>
  </si>
  <si>
    <t>Merthyr Tydfil County Borough Council</t>
  </si>
  <si>
    <t>V0510</t>
  </si>
  <si>
    <t>East Cambridgeshire District Council</t>
  </si>
  <si>
    <t>V0728</t>
  </si>
  <si>
    <t>Redcar and Cleveland Borough Council</t>
  </si>
  <si>
    <t>V1260</t>
  </si>
  <si>
    <t>V1505</t>
  </si>
  <si>
    <t>Basildon District Council</t>
  </si>
  <si>
    <t>V2004</t>
  </si>
  <si>
    <t>Kingston-Upon-Hull City Council</t>
  </si>
  <si>
    <t>V2255</t>
  </si>
  <si>
    <t>Swale Borough Council</t>
  </si>
  <si>
    <t>V2635</t>
  </si>
  <si>
    <t>King's Lynn and West Norfolk Borough Council</t>
  </si>
  <si>
    <t>V2723</t>
  </si>
  <si>
    <t>Richmondshire District Council</t>
  </si>
  <si>
    <t>V2825</t>
  </si>
  <si>
    <t>Northampton Borough Council</t>
  </si>
  <si>
    <t>V3120</t>
  </si>
  <si>
    <t>Vale of White Horse District Council</t>
  </si>
  <si>
    <t>V3310</t>
  </si>
  <si>
    <t>Sedgemoor District Council</t>
  </si>
  <si>
    <t>V3500</t>
  </si>
  <si>
    <t>V4250</t>
  </si>
  <si>
    <t>Wigan Metropolitan Borough Council</t>
  </si>
  <si>
    <t>V4305</t>
  </si>
  <si>
    <t>Knowsley Metropolitan Borough Council</t>
  </si>
  <si>
    <t>V4630</t>
  </si>
  <si>
    <t>Walsall Metropolitan Borough Council</t>
  </si>
  <si>
    <t>V5570</t>
  </si>
  <si>
    <t>London Borough of Islington</t>
  </si>
  <si>
    <t>W0340</t>
  </si>
  <si>
    <t>West Berkshire District Council</t>
  </si>
  <si>
    <t>W0530</t>
  </si>
  <si>
    <t>South Cambridgeshire District Council</t>
  </si>
  <si>
    <t>W0734</t>
  </si>
  <si>
    <t>Middlesbrough Council</t>
  </si>
  <si>
    <t>W0910</t>
  </si>
  <si>
    <t>Barrow-in- Furness Borough Council</t>
  </si>
  <si>
    <t>W1145</t>
  </si>
  <si>
    <t>Torridge District Council</t>
  </si>
  <si>
    <t>W1525</t>
  </si>
  <si>
    <t>Chelmsford Borough Council</t>
  </si>
  <si>
    <t>W1715</t>
  </si>
  <si>
    <t>Eastleigh Borough Council</t>
  </si>
  <si>
    <t>W1850</t>
  </si>
  <si>
    <t>Herefordshire, England</t>
  </si>
  <si>
    <t>Herefordshire Council</t>
  </si>
  <si>
    <t>W1905</t>
  </si>
  <si>
    <t>Broxbourne Borough Council</t>
  </si>
  <si>
    <t>W2275</t>
  </si>
  <si>
    <t>Kent County Council</t>
  </si>
  <si>
    <t>W2465</t>
  </si>
  <si>
    <t>Leicester City Council</t>
  </si>
  <si>
    <t>W3005</t>
  </si>
  <si>
    <t>Ashfield District Council</t>
  </si>
  <si>
    <t>W3330</t>
  </si>
  <si>
    <t>Somerset West and Taunton</t>
  </si>
  <si>
    <t>W3520</t>
  </si>
  <si>
    <t>Mid Suffolk District Council</t>
  </si>
  <si>
    <t>W3710</t>
  </si>
  <si>
    <t>Nuneaton and Bedworth Borough Council</t>
  </si>
  <si>
    <t>W4223</t>
  </si>
  <si>
    <t>Oldham Metropolitan Borough Council</t>
  </si>
  <si>
    <t>W4325</t>
  </si>
  <si>
    <t>Wirral Metropolitan Borough Council</t>
  </si>
  <si>
    <t>W4515</t>
  </si>
  <si>
    <t>North Tyneside Council</t>
  </si>
  <si>
    <t>W4705</t>
  </si>
  <si>
    <t>City of Bradford Metropolitan District Council</t>
  </si>
  <si>
    <t>W5780</t>
  </si>
  <si>
    <t>London Borough of Redbridge</t>
  </si>
  <si>
    <t>W9500</t>
  </si>
  <si>
    <t>North York Moors, England</t>
  </si>
  <si>
    <t>North York Moors</t>
  </si>
  <si>
    <t>X0360</t>
  </si>
  <si>
    <t>Wokingham Borough Council</t>
  </si>
  <si>
    <t>X0415</t>
  </si>
  <si>
    <t>Chiltern District Council</t>
  </si>
  <si>
    <t>X1118</t>
  </si>
  <si>
    <t>North Devon District Council</t>
  </si>
  <si>
    <t>X1165</t>
  </si>
  <si>
    <t>Torbay Council</t>
  </si>
  <si>
    <t>X1355</t>
  </si>
  <si>
    <t>Durham County Council</t>
  </si>
  <si>
    <t>X1545</t>
  </si>
  <si>
    <t>Maldon District Council</t>
  </si>
  <si>
    <t>X1735</t>
  </si>
  <si>
    <t>Havant Borough Council</t>
  </si>
  <si>
    <t>X1925</t>
  </si>
  <si>
    <t>North Hertfordshire District Council</t>
  </si>
  <si>
    <t>X2220</t>
  </si>
  <si>
    <t>Dover District Council</t>
  </si>
  <si>
    <t>X2410</t>
  </si>
  <si>
    <t>Charnwood Borough Council</t>
  </si>
  <si>
    <t>X2600</t>
  </si>
  <si>
    <t>Norfolk County Council</t>
  </si>
  <si>
    <t>X3025</t>
  </si>
  <si>
    <t>Mansfield District Council</t>
  </si>
  <si>
    <t>X3405</t>
  </si>
  <si>
    <t>Cannock Chase District Council</t>
  </si>
  <si>
    <t>X3540</t>
  </si>
  <si>
    <t>East Suffolk</t>
  </si>
  <si>
    <t>X4725</t>
  </si>
  <si>
    <t>Wakefield Metropolitan District Council</t>
  </si>
  <si>
    <t>X5210</t>
  </si>
  <si>
    <t>London Borough of Camden</t>
  </si>
  <si>
    <t>X5990</t>
  </si>
  <si>
    <t>City of Westminster Council</t>
  </si>
  <si>
    <t>Y0435</t>
  </si>
  <si>
    <t>Milton Keynes Council</t>
  </si>
  <si>
    <t>Y1110</t>
  </si>
  <si>
    <t>Exeter City Council</t>
  </si>
  <si>
    <t>Y1138</t>
  </si>
  <si>
    <t>Mid Devon District Council</t>
  </si>
  <si>
    <t>Y1945</t>
  </si>
  <si>
    <t>Watford Borough Council</t>
  </si>
  <si>
    <t>Y2003</t>
  </si>
  <si>
    <t>North Lincolnshire Council</t>
  </si>
  <si>
    <t>Y2430</t>
  </si>
  <si>
    <t>Melton Borough Council</t>
  </si>
  <si>
    <t>Y2620</t>
  </si>
  <si>
    <t>North Norfolk District Council</t>
  </si>
  <si>
    <t>Y2736</t>
  </si>
  <si>
    <t>Ryedale District Council</t>
  </si>
  <si>
    <t>Y2810</t>
  </si>
  <si>
    <t>Daventry District Council</t>
  </si>
  <si>
    <t>Y3425</t>
  </si>
  <si>
    <t>Stafford Borough Council</t>
  </si>
  <si>
    <t>Y3615</t>
  </si>
  <si>
    <t>Guildford Borough Council</t>
  </si>
  <si>
    <t>Y3805</t>
  </si>
  <si>
    <t>Adur District Council</t>
  </si>
  <si>
    <t>Y3940</t>
  </si>
  <si>
    <t>Wiltshire Council</t>
  </si>
  <si>
    <t>Y5420</t>
  </si>
  <si>
    <t>London Borough of Haringey</t>
  </si>
  <si>
    <t>Y9507</t>
  </si>
  <si>
    <t>South Downs</t>
  </si>
  <si>
    <t>Z0116</t>
  </si>
  <si>
    <t>Bristol City Council</t>
  </si>
  <si>
    <t>Z0835</t>
  </si>
  <si>
    <t>Isles of Scilly, England</t>
  </si>
  <si>
    <t>The Isles of Scilly Council</t>
  </si>
  <si>
    <t>Z0923</t>
  </si>
  <si>
    <t>Copeland Borough Council</t>
  </si>
  <si>
    <t>Z1510</t>
  </si>
  <si>
    <t>Braintree District Council</t>
  </si>
  <si>
    <t>Z1585</t>
  </si>
  <si>
    <t>Essex County Council</t>
  </si>
  <si>
    <t>Z1775</t>
  </si>
  <si>
    <t>Portsmouth City Council</t>
  </si>
  <si>
    <t>Z2260</t>
  </si>
  <si>
    <t>Thanet District Council</t>
  </si>
  <si>
    <t>Z2315</t>
  </si>
  <si>
    <t>Burnley Borough Council</t>
  </si>
  <si>
    <t>Z2505</t>
  </si>
  <si>
    <t>Boston Borough Council</t>
  </si>
  <si>
    <t>Z2830</t>
  </si>
  <si>
    <t>South Northamptonshire District Council</t>
  </si>
  <si>
    <t>Z3445</t>
  </si>
  <si>
    <t>Tamworth Borough Council</t>
  </si>
  <si>
    <t>Z3635</t>
  </si>
  <si>
    <t>Spelthorne Borough Council</t>
  </si>
  <si>
    <t>Z3825</t>
  </si>
  <si>
    <t>Horsham District Council</t>
  </si>
  <si>
    <t>Z4310</t>
  </si>
  <si>
    <t>Liverpool City Council</t>
  </si>
  <si>
    <t>Z4718</t>
  </si>
  <si>
    <t>Kirklees Metropolitan Council</t>
  </si>
  <si>
    <t>Z5060</t>
  </si>
  <si>
    <t>London Borough of Barking and Dagenham Council</t>
  </si>
  <si>
    <t>Z5630</t>
  </si>
  <si>
    <t>Royal Borough of Kingston Upon Thames</t>
  </si>
  <si>
    <t>Z6950</t>
  </si>
  <si>
    <t>Vale of Glamorgan County Borough Council</t>
  </si>
  <si>
    <t>Category</t>
  </si>
  <si>
    <t>Type</t>
  </si>
  <si>
    <t>Procedure</t>
  </si>
  <si>
    <t>LPA name</t>
  </si>
  <si>
    <t>appeal_reference_number</t>
  </si>
  <si>
    <t>Rejected or Withdrawn</t>
  </si>
  <si>
    <t>appeal_withdrawn_date</t>
  </si>
  <si>
    <t>Visit type</t>
  </si>
  <si>
    <t>Appellant</t>
  </si>
  <si>
    <t>site_address_postcode</t>
  </si>
  <si>
    <t>Revieved date</t>
  </si>
  <si>
    <t>Valid date</t>
  </si>
  <si>
    <t>Start Date</t>
  </si>
  <si>
    <t>Event Date</t>
  </si>
  <si>
    <t>Decision Date</t>
  </si>
  <si>
    <t>Decision</t>
  </si>
  <si>
    <t>Open or closed</t>
  </si>
  <si>
    <t>linked</t>
  </si>
  <si>
    <t>Level</t>
  </si>
  <si>
    <t/>
  </si>
  <si>
    <t>Similarity</t>
  </si>
  <si>
    <t>GOSE</t>
  </si>
  <si>
    <t>LON</t>
  </si>
  <si>
    <t>GOSW</t>
  </si>
  <si>
    <t>GOEM</t>
  </si>
  <si>
    <t>EAST</t>
  </si>
  <si>
    <t>Suffolk CC</t>
  </si>
  <si>
    <t>GOE</t>
  </si>
  <si>
    <t>East Devon Council</t>
  </si>
  <si>
    <t>North Yorkshire CC</t>
  </si>
  <si>
    <t>GOYH</t>
  </si>
  <si>
    <t>GOL</t>
  </si>
  <si>
    <t>GONE</t>
  </si>
  <si>
    <t>GONW</t>
  </si>
  <si>
    <t>GOWM</t>
  </si>
  <si>
    <t>Nottingham County Council</t>
  </si>
  <si>
    <t>Kingston Upon Hull</t>
  </si>
  <si>
    <t>Southend-On-Sea</t>
  </si>
  <si>
    <t>Barrow-In-Furness</t>
  </si>
  <si>
    <t>Nottingham City</t>
  </si>
  <si>
    <t>Worcester City</t>
  </si>
  <si>
    <t>West Wiltshire</t>
  </si>
  <si>
    <t>Bournemouth Dorset and Poole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</si>
</sst>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0.0"/>
  </numFmts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sz val="11"/>
      <color rgb="FF242424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693C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0" fontId="4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4" fillId="0" borderId="0"/>
  </cellStyleXfs>
  <cellXfs count="315">
    <xf numFmtId="0" fontId="0" fillId="0" borderId="0" xfId="0"/>
    <xf numFmtId="0" fontId="8" fillId="0" borderId="0" xfId="0" applyFont="1"/>
    <xf numFmtId="164" fontId="0" fillId="0" borderId="0" xfId="0" applyNumberFormat="1"/>
    <xf numFmtId="0" fontId="2" fillId="0" borderId="0" xfId="3"/>
    <xf numFmtId="0" fontId="9" fillId="0" borderId="0" xfId="3" applyFont="1"/>
    <xf numFmtId="14" fontId="9" fillId="0" borderId="0" xfId="3" applyNumberFormat="1" applyFont="1"/>
    <xf numFmtId="164" fontId="9" fillId="0" borderId="0" xfId="3" applyNumberFormat="1" applyFont="1"/>
    <xf numFmtId="49" fontId="9" fillId="0" borderId="0" xfId="3" applyNumberFormat="1" applyFont="1"/>
    <xf numFmtId="49" fontId="0" fillId="0" borderId="0" xfId="0" applyNumberFormat="1"/>
    <xf numFmtId="0" fontId="10" fillId="0" borderId="0" xfId="4"/>
    <xf numFmtId="0" fontId="10" fillId="0" borderId="0" xfId="4" applyAlignment="1">
      <alignment wrapText="1"/>
    </xf>
    <xf numFmtId="22" fontId="0" fillId="0" borderId="0" xfId="0" applyNumberFormat="1"/>
    <xf numFmtId="16" fontId="0" fillId="0" borderId="0" xfId="0" applyNumberFormat="1"/>
    <xf numFmtId="17" fontId="0" fillId="0" borderId="0" xfId="0" applyNumberFormat="1"/>
    <xf numFmtId="165" fontId="0" fillId="0" borderId="0" xfId="0" applyNumberFormat="1"/>
    <xf numFmtId="0" fontId="5" fillId="0" borderId="0" xfId="0" applyFont="1"/>
    <xf numFmtId="0" fontId="0" fillId="3" borderId="1" xfId="0" applyFill="1" applyBorder="1"/>
    <xf numFmtId="0" fontId="0" fillId="0" borderId="1" xfId="0" applyBorder="1"/>
    <xf numFmtId="0" fontId="0" fillId="6" borderId="1" xfId="0" applyFill="1" applyBorder="1"/>
    <xf numFmtId="0" fontId="0" fillId="5" borderId="1" xfId="0" applyFill="1" applyBorder="1"/>
    <xf numFmtId="0" fontId="7" fillId="8" borderId="1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15" fillId="0" borderId="0" xfId="0" applyFont="1"/>
    <xf numFmtId="0" fontId="16" fillId="2" borderId="1" xfId="0" applyFont="1" applyFill="1" applyBorder="1" applyAlignment="1">
      <alignment horizontal="left" vertical="center" wrapText="1"/>
    </xf>
    <xf numFmtId="15" fontId="16" fillId="2" borderId="1" xfId="0" applyNumberFormat="1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15" fontId="7" fillId="0" borderId="1" xfId="1" applyNumberFormat="1" applyFont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15" fontId="7" fillId="3" borderId="1" xfId="1" applyNumberFormat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 wrapText="1"/>
    </xf>
    <xf numFmtId="15" fontId="7" fillId="4" borderId="1" xfId="1" applyNumberFormat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15" fontId="6" fillId="3" borderId="1" xfId="1" applyNumberFormat="1" applyFont="1" applyFill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10" borderId="1" xfId="1" applyFont="1" applyFill="1" applyBorder="1" applyAlignment="1">
      <alignment horizontal="left" vertical="center" wrapText="1"/>
    </xf>
    <xf numFmtId="166" fontId="7" fillId="0" borderId="1" xfId="1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6" borderId="1" xfId="1" applyFont="1" applyFill="1" applyBorder="1" applyAlignment="1">
      <alignment horizontal="left" vertical="center" wrapText="1"/>
    </xf>
    <xf numFmtId="15" fontId="7" fillId="6" borderId="1" xfId="1" applyNumberFormat="1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15" fontId="7" fillId="5" borderId="1" xfId="1" applyNumberFormat="1" applyFont="1" applyFill="1" applyBorder="1" applyAlignment="1">
      <alignment horizontal="left" vertical="center" wrapText="1"/>
    </xf>
    <xf numFmtId="0" fontId="7" fillId="3" borderId="15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left" vertical="center" wrapText="1"/>
    </xf>
    <xf numFmtId="166" fontId="7" fillId="3" borderId="1" xfId="1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15" fontId="7" fillId="0" borderId="4" xfId="1" applyNumberFormat="1" applyFont="1" applyBorder="1" applyAlignment="1">
      <alignment horizontal="left" vertical="center" wrapText="1"/>
    </xf>
    <xf numFmtId="0" fontId="7" fillId="6" borderId="4" xfId="1" applyFont="1" applyFill="1" applyBorder="1" applyAlignment="1">
      <alignment horizontal="left" vertical="center" wrapText="1"/>
    </xf>
    <xf numFmtId="15" fontId="7" fillId="6" borderId="4" xfId="1" applyNumberFormat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5" fontId="6" fillId="3" borderId="1" xfId="0" applyNumberFormat="1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5" fontId="6" fillId="0" borderId="4" xfId="0" applyNumberFormat="1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5" fontId="0" fillId="3" borderId="1" xfId="0" applyNumberForma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5" fontId="0" fillId="0" borderId="4" xfId="0" applyNumberForma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5" fontId="0" fillId="0" borderId="11" xfId="0" applyNumberFormat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15" fontId="6" fillId="6" borderId="4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15" fontId="0" fillId="6" borderId="4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2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5" fontId="0" fillId="0" borderId="3" xfId="0" applyNumberForma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5" fontId="6" fillId="0" borderId="1" xfId="0" applyNumberFormat="1" applyFont="1" applyBorder="1" applyAlignment="1">
      <alignment horizontal="left" vertical="center" wrapText="1"/>
    </xf>
    <xf numFmtId="15" fontId="0" fillId="0" borderId="0" xfId="0" applyNumberFormat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7" fillId="8" borderId="1" xfId="1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left" vertical="center" wrapText="1"/>
    </xf>
    <xf numFmtId="1" fontId="0" fillId="3" borderId="1" xfId="0" applyNumberFormat="1" applyFill="1" applyBorder="1" applyAlignment="1">
      <alignment horizontal="left" vertical="center" wrapText="1"/>
    </xf>
    <xf numFmtId="0" fontId="7" fillId="4" borderId="15" xfId="1" applyFont="1" applyFill="1" applyBorder="1" applyAlignment="1">
      <alignment horizontal="left" vertical="center" wrapText="1"/>
    </xf>
    <xf numFmtId="0" fontId="0" fillId="4" borderId="1" xfId="1" applyFont="1" applyFill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66" fontId="7" fillId="4" borderId="1" xfId="1" applyNumberFormat="1" applyFont="1" applyFill="1" applyBorder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left" vertical="center" wrapText="1"/>
    </xf>
    <xf numFmtId="0" fontId="6" fillId="3" borderId="15" xfId="1" applyFont="1" applyFill="1" applyBorder="1" applyAlignment="1">
      <alignment horizontal="left" vertical="center" wrapText="1"/>
    </xf>
    <xf numFmtId="166" fontId="7" fillId="11" borderId="1" xfId="1" applyNumberFormat="1" applyFont="1" applyFill="1" applyBorder="1" applyAlignment="1">
      <alignment horizontal="left" vertical="center" wrapText="1"/>
    </xf>
    <xf numFmtId="2" fontId="7" fillId="0" borderId="1" xfId="1" applyNumberFormat="1" applyFont="1" applyBorder="1" applyAlignment="1">
      <alignment horizontal="left" vertical="center" wrapText="1"/>
    </xf>
    <xf numFmtId="1" fontId="0" fillId="5" borderId="1" xfId="0" applyNumberFormat="1" applyFill="1" applyBorder="1" applyAlignment="1">
      <alignment horizontal="left" vertical="center" wrapText="1"/>
    </xf>
    <xf numFmtId="0" fontId="7" fillId="6" borderId="15" xfId="1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left" vertical="center" wrapText="1"/>
    </xf>
    <xf numFmtId="1" fontId="0" fillId="0" borderId="4" xfId="0" applyNumberFormat="1" applyBorder="1" applyAlignment="1">
      <alignment horizontal="left" vertical="center" wrapText="1"/>
    </xf>
    <xf numFmtId="0" fontId="7" fillId="5" borderId="15" xfId="1" applyFont="1" applyFill="1" applyBorder="1" applyAlignment="1">
      <alignment horizontal="left" vertical="center" wrapText="1"/>
    </xf>
    <xf numFmtId="2" fontId="6" fillId="5" borderId="1" xfId="0" applyNumberFormat="1" applyFont="1" applyFill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left" vertical="center" wrapText="1"/>
    </xf>
    <xf numFmtId="166" fontId="7" fillId="6" borderId="1" xfId="1" applyNumberFormat="1" applyFont="1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left" vertical="center" wrapText="1"/>
    </xf>
    <xf numFmtId="14" fontId="7" fillId="0" borderId="1" xfId="1" applyNumberFormat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2" fontId="6" fillId="0" borderId="4" xfId="0" applyNumberFormat="1" applyFont="1" applyBorder="1" applyAlignment="1">
      <alignment horizontal="left" vertical="center" wrapText="1"/>
    </xf>
    <xf numFmtId="0" fontId="7" fillId="6" borderId="16" xfId="1" applyFont="1" applyFill="1" applyBorder="1" applyAlignment="1">
      <alignment horizontal="left" vertical="center" wrapText="1"/>
    </xf>
    <xf numFmtId="2" fontId="6" fillId="6" borderId="4" xfId="0" applyNumberFormat="1" applyFont="1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166" fontId="7" fillId="0" borderId="4" xfId="1" applyNumberFormat="1" applyFont="1" applyBorder="1" applyAlignment="1">
      <alignment horizontal="left" vertical="center" wrapText="1"/>
    </xf>
    <xf numFmtId="166" fontId="0" fillId="3" borderId="1" xfId="1" applyNumberFormat="1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166" fontId="7" fillId="6" borderId="4" xfId="1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166" fontId="7" fillId="0" borderId="11" xfId="1" applyNumberFormat="1" applyFont="1" applyBorder="1" applyAlignment="1">
      <alignment horizontal="left" vertical="center" wrapText="1"/>
    </xf>
    <xf numFmtId="15" fontId="0" fillId="0" borderId="15" xfId="0" applyNumberFormat="1" applyBorder="1" applyAlignment="1">
      <alignment horizontal="left" vertical="center" wrapText="1"/>
    </xf>
    <xf numFmtId="166" fontId="7" fillId="0" borderId="9" xfId="1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16" fontId="0" fillId="0" borderId="4" xfId="0" applyNumberFormat="1" applyBorder="1" applyAlignment="1">
      <alignment horizontal="left" vertical="center" wrapText="1"/>
    </xf>
    <xf numFmtId="12" fontId="0" fillId="0" borderId="15" xfId="0" applyNumberFormat="1" applyBorder="1" applyAlignment="1">
      <alignment horizontal="left" vertical="center" wrapText="1"/>
    </xf>
    <xf numFmtId="12" fontId="7" fillId="0" borderId="1" xfId="1" applyNumberFormat="1" applyFont="1" applyBorder="1" applyAlignment="1">
      <alignment horizontal="left" vertical="center" wrapText="1"/>
    </xf>
    <xf numFmtId="12" fontId="0" fillId="0" borderId="0" xfId="0" applyNumberFormat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7" fillId="4" borderId="17" xfId="1" applyFont="1" applyFill="1" applyBorder="1" applyAlignment="1">
      <alignment horizontal="left" vertical="center" wrapText="1"/>
    </xf>
    <xf numFmtId="17" fontId="7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" fontId="0" fillId="0" borderId="4" xfId="0" applyNumberFormat="1" applyBorder="1" applyAlignment="1">
      <alignment horizontal="left" vertical="center" wrapText="1"/>
    </xf>
    <xf numFmtId="15" fontId="0" fillId="7" borderId="1" xfId="0" applyNumberFormat="1" applyFill="1" applyBorder="1" applyAlignment="1">
      <alignment horizontal="left" vertical="center" wrapText="1"/>
    </xf>
    <xf numFmtId="15" fontId="0" fillId="10" borderId="1" xfId="0" applyNumberFormat="1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15" fontId="0" fillId="13" borderId="1" xfId="0" applyNumberFormat="1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12" fontId="0" fillId="13" borderId="1" xfId="0" applyNumberFormat="1" applyFill="1" applyBorder="1" applyAlignment="1">
      <alignment horizontal="left" vertical="center" wrapText="1"/>
    </xf>
    <xf numFmtId="0" fontId="0" fillId="13" borderId="11" xfId="0" applyFill="1" applyBorder="1" applyAlignment="1">
      <alignment horizontal="left" vertical="center" wrapText="1"/>
    </xf>
    <xf numFmtId="15" fontId="0" fillId="12" borderId="1" xfId="0" applyNumberFormat="1" applyFill="1" applyBorder="1" applyAlignment="1">
      <alignment horizontal="left" vertical="center" wrapText="1"/>
    </xf>
    <xf numFmtId="0" fontId="0" fillId="12" borderId="19" xfId="0" applyFill="1" applyBorder="1"/>
    <xf numFmtId="0" fontId="0" fillId="14" borderId="4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/>
    <xf numFmtId="0" fontId="0" fillId="15" borderId="1" xfId="0" applyFill="1" applyBorder="1"/>
    <xf numFmtId="15" fontId="0" fillId="7" borderId="4" xfId="0" applyNumberFormat="1" applyFill="1" applyBorder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7" fillId="4" borderId="16" xfId="1" applyFont="1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7" fillId="3" borderId="16" xfId="1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7" fillId="8" borderId="4" xfId="1" applyFont="1" applyFill="1" applyBorder="1" applyAlignment="1">
      <alignment horizontal="left" vertical="center" wrapText="1"/>
    </xf>
    <xf numFmtId="0" fontId="0" fillId="14" borderId="11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7" fillId="7" borderId="4" xfId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1" fontId="0" fillId="3" borderId="4" xfId="0" applyNumberFormat="1" applyFill="1" applyBorder="1" applyAlignment="1">
      <alignment horizontal="left" vertical="center" wrapText="1"/>
    </xf>
    <xf numFmtId="15" fontId="0" fillId="6" borderId="1" xfId="0" applyNumberFormat="1" applyFill="1" applyBorder="1" applyAlignment="1">
      <alignment horizontal="left" vertical="center" wrapText="1"/>
    </xf>
    <xf numFmtId="15" fontId="0" fillId="3" borderId="4" xfId="0" applyNumberFormat="1" applyFill="1" applyBorder="1" applyAlignment="1">
      <alignment horizontal="left" vertical="center" wrapText="1"/>
    </xf>
    <xf numFmtId="15" fontId="7" fillId="3" borderId="4" xfId="1" applyNumberFormat="1" applyFont="1" applyFill="1" applyBorder="1" applyAlignment="1">
      <alignment horizontal="left" vertical="center" wrapText="1"/>
    </xf>
    <xf numFmtId="15" fontId="6" fillId="3" borderId="4" xfId="0" applyNumberFormat="1" applyFont="1" applyFill="1" applyBorder="1" applyAlignment="1">
      <alignment horizontal="left" vertical="center" wrapText="1"/>
    </xf>
    <xf numFmtId="15" fontId="0" fillId="3" borderId="11" xfId="0" applyNumberFormat="1" applyFill="1" applyBorder="1" applyAlignment="1">
      <alignment horizontal="left" vertical="center" wrapText="1"/>
    </xf>
    <xf numFmtId="15" fontId="0" fillId="3" borderId="16" xfId="0" applyNumberFormat="1" applyFill="1" applyBorder="1" applyAlignment="1">
      <alignment horizontal="left" vertical="center" wrapText="1"/>
    </xf>
    <xf numFmtId="15" fontId="0" fillId="4" borderId="4" xfId="0" applyNumberFormat="1" applyFill="1" applyBorder="1" applyAlignment="1">
      <alignment horizontal="left" vertical="center" wrapText="1"/>
    </xf>
    <xf numFmtId="15" fontId="0" fillId="0" borderId="10" xfId="0" applyNumberFormat="1" applyBorder="1" applyAlignment="1">
      <alignment horizontal="left" vertical="center" wrapText="1"/>
    </xf>
    <xf numFmtId="14" fontId="0" fillId="3" borderId="4" xfId="0" applyNumberFormat="1" applyFill="1" applyBorder="1" applyAlignment="1">
      <alignment horizontal="left" vertical="center" wrapText="1"/>
    </xf>
    <xf numFmtId="166" fontId="7" fillId="3" borderId="4" xfId="1" applyNumberFormat="1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1" fontId="6" fillId="3" borderId="4" xfId="0" applyNumberFormat="1" applyFont="1" applyFill="1" applyBorder="1" applyAlignment="1">
      <alignment horizontal="left" vertical="center" wrapText="1"/>
    </xf>
    <xf numFmtId="1" fontId="0" fillId="0" borderId="11" xfId="0" applyNumberFormat="1" applyBorder="1" applyAlignment="1">
      <alignment horizontal="left" vertical="center" wrapText="1"/>
    </xf>
    <xf numFmtId="2" fontId="6" fillId="3" borderId="4" xfId="0" applyNumberFormat="1" applyFont="1" applyFill="1" applyBorder="1" applyAlignment="1">
      <alignment horizontal="left" vertical="center" wrapText="1"/>
    </xf>
    <xf numFmtId="2" fontId="0" fillId="3" borderId="4" xfId="0" applyNumberFormat="1" applyFill="1" applyBorder="1" applyAlignment="1">
      <alignment horizontal="left" vertical="center" wrapText="1"/>
    </xf>
    <xf numFmtId="2" fontId="0" fillId="4" borderId="4" xfId="0" applyNumberFormat="1" applyFill="1" applyBorder="1" applyAlignment="1">
      <alignment horizontal="left" vertical="center" wrapText="1"/>
    </xf>
    <xf numFmtId="14" fontId="7" fillId="0" borderId="4" xfId="1" applyNumberFormat="1" applyFont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17" fillId="0" borderId="1" xfId="0" applyFont="1" applyBorder="1"/>
    <xf numFmtId="14" fontId="0" fillId="3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15" fontId="7" fillId="0" borderId="1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5" fontId="7" fillId="0" borderId="4" xfId="0" applyNumberFormat="1" applyFont="1" applyBorder="1" applyAlignment="1">
      <alignment horizontal="left" vertical="center" wrapText="1"/>
    </xf>
    <xf numFmtId="15" fontId="7" fillId="13" borderId="4" xfId="0" applyNumberFormat="1" applyFont="1" applyFill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/>
    </xf>
    <xf numFmtId="0" fontId="0" fillId="10" borderId="27" xfId="0" applyFill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15" fontId="0" fillId="0" borderId="27" xfId="0" applyNumberForma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left" vertical="center" wrapText="1"/>
    </xf>
    <xf numFmtId="17" fontId="0" fillId="0" borderId="28" xfId="0" applyNumberForma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14" borderId="27" xfId="0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7" fontId="0" fillId="0" borderId="1" xfId="0" applyNumberForma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15" fontId="7" fillId="7" borderId="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5" fontId="7" fillId="13" borderId="1" xfId="0" applyNumberFormat="1" applyFont="1" applyFill="1" applyBorder="1" applyAlignment="1">
      <alignment horizontal="left" vertical="center" wrapText="1"/>
    </xf>
    <xf numFmtId="15" fontId="7" fillId="0" borderId="0" xfId="0" applyNumberFormat="1" applyFont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15" fontId="0" fillId="13" borderId="4" xfId="0" applyNumberFormat="1" applyFill="1" applyBorder="1" applyAlignment="1">
      <alignment horizontal="left" vertical="center" wrapText="1"/>
    </xf>
    <xf numFmtId="15" fontId="0" fillId="16" borderId="1" xfId="0" applyNumberFormat="1" applyFill="1" applyBorder="1" applyAlignment="1">
      <alignment horizontal="left" vertical="center" wrapText="1"/>
    </xf>
    <xf numFmtId="15" fontId="7" fillId="0" borderId="12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6" borderId="11" xfId="0" applyFill="1" applyBorder="1" applyAlignment="1">
      <alignment horizontal="left" vertical="center" wrapText="1"/>
    </xf>
    <xf numFmtId="15" fontId="0" fillId="3" borderId="10" xfId="0" applyNumberFormat="1" applyFill="1" applyBorder="1" applyAlignment="1">
      <alignment horizontal="left" vertical="center" wrapText="1"/>
    </xf>
    <xf numFmtId="0" fontId="0" fillId="3" borderId="4" xfId="1" applyFont="1" applyFill="1" applyBorder="1" applyAlignment="1">
      <alignment horizontal="left" vertical="center" wrapText="1"/>
    </xf>
    <xf numFmtId="0" fontId="7" fillId="3" borderId="17" xfId="1" applyFont="1" applyFill="1" applyBorder="1" applyAlignment="1">
      <alignment horizontal="left" vertical="center" wrapText="1"/>
    </xf>
    <xf numFmtId="0" fontId="0" fillId="3" borderId="16" xfId="1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0" fillId="8" borderId="11" xfId="0" applyFill="1" applyBorder="1" applyAlignment="1">
      <alignment horizontal="left" vertical="center" wrapText="1"/>
    </xf>
    <xf numFmtId="0" fontId="7" fillId="3" borderId="11" xfId="1" applyFont="1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7" fillId="3" borderId="14" xfId="1" applyFont="1" applyFill="1" applyBorder="1" applyAlignment="1">
      <alignment horizontal="left" vertical="center" wrapText="1"/>
    </xf>
    <xf numFmtId="15" fontId="0" fillId="4" borderId="1" xfId="0" applyNumberFormat="1" applyFill="1" applyBorder="1" applyAlignment="1">
      <alignment horizontal="left" vertical="center" wrapText="1"/>
    </xf>
    <xf numFmtId="15" fontId="7" fillId="3" borderId="17" xfId="1" applyNumberFormat="1" applyFont="1" applyFill="1" applyBorder="1" applyAlignment="1">
      <alignment horizontal="left" vertical="center" wrapText="1"/>
    </xf>
    <xf numFmtId="15" fontId="0" fillId="3" borderId="4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5" fontId="0" fillId="6" borderId="11" xfId="0" applyNumberFormat="1" applyFill="1" applyBorder="1" applyAlignment="1">
      <alignment horizontal="left" vertical="center" wrapText="1"/>
    </xf>
    <xf numFmtId="15" fontId="7" fillId="3" borderId="11" xfId="1" applyNumberFormat="1" applyFont="1" applyFill="1" applyBorder="1" applyAlignment="1">
      <alignment horizontal="left" vertical="center" wrapText="1"/>
    </xf>
    <xf numFmtId="15" fontId="0" fillId="3" borderId="15" xfId="0" applyNumberFormat="1" applyFill="1" applyBorder="1" applyAlignment="1">
      <alignment horizontal="left" vertical="center" wrapText="1"/>
    </xf>
    <xf numFmtId="15" fontId="0" fillId="0" borderId="13" xfId="0" applyNumberFormat="1" applyBorder="1" applyAlignment="1">
      <alignment horizontal="left" vertical="center" wrapText="1"/>
    </xf>
    <xf numFmtId="15" fontId="0" fillId="0" borderId="12" xfId="0" applyNumberFormat="1" applyBorder="1" applyAlignment="1">
      <alignment horizontal="left" vertical="center" wrapText="1"/>
    </xf>
    <xf numFmtId="15" fontId="0" fillId="0" borderId="2" xfId="0" applyNumberFormat="1" applyBorder="1" applyAlignment="1">
      <alignment horizontal="left" vertical="center" wrapText="1"/>
    </xf>
    <xf numFmtId="0" fontId="7" fillId="5" borderId="4" xfId="1" applyFont="1" applyFill="1" applyBorder="1" applyAlignment="1">
      <alignment horizontal="left" vertical="center" wrapText="1"/>
    </xf>
    <xf numFmtId="0" fontId="0" fillId="5" borderId="4" xfId="1" applyFont="1" applyFill="1" applyBorder="1" applyAlignment="1">
      <alignment horizontal="left" vertical="center" wrapText="1"/>
    </xf>
    <xf numFmtId="166" fontId="7" fillId="3" borderId="11" xfId="1" applyNumberFormat="1" applyFont="1" applyFill="1" applyBorder="1" applyAlignment="1">
      <alignment horizontal="left" vertical="center" wrapText="1"/>
    </xf>
    <xf numFmtId="166" fontId="7" fillId="0" borderId="3" xfId="1" applyNumberFormat="1" applyFont="1" applyBorder="1" applyAlignment="1">
      <alignment horizontal="left" vertical="center" wrapText="1"/>
    </xf>
    <xf numFmtId="166" fontId="0" fillId="3" borderId="4" xfId="1" applyNumberFormat="1" applyFont="1" applyFill="1" applyBorder="1" applyAlignment="1">
      <alignment horizontal="left" vertical="center" wrapText="1"/>
    </xf>
    <xf numFmtId="0" fontId="7" fillId="3" borderId="0" xfId="1" applyFont="1" applyFill="1" applyAlignment="1">
      <alignment horizontal="left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1" fontId="0" fillId="5" borderId="4" xfId="0" applyNumberFormat="1" applyFill="1" applyBorder="1" applyAlignment="1">
      <alignment horizontal="left" vertical="center" wrapText="1"/>
    </xf>
    <xf numFmtId="2" fontId="0" fillId="6" borderId="4" xfId="0" applyNumberFormat="1" applyFill="1" applyBorder="1" applyAlignment="1">
      <alignment horizontal="left" vertical="center" wrapText="1"/>
    </xf>
    <xf numFmtId="2" fontId="0" fillId="0" borderId="11" xfId="0" applyNumberFormat="1" applyBorder="1" applyAlignment="1">
      <alignment horizontal="left" vertical="center" wrapText="1"/>
    </xf>
    <xf numFmtId="2" fontId="6" fillId="3" borderId="11" xfId="0" applyNumberFormat="1" applyFont="1" applyFill="1" applyBorder="1" applyAlignment="1">
      <alignment horizontal="left" vertical="center" wrapText="1"/>
    </xf>
    <xf numFmtId="2" fontId="7" fillId="3" borderId="1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3" fillId="4" borderId="4" xfId="5" applyFont="1" applyFill="1" applyBorder="1" applyAlignment="1">
      <alignment horizontal="left" vertical="center" wrapText="1" readingOrder="1"/>
    </xf>
    <xf numFmtId="0" fontId="0" fillId="0" borderId="29" xfId="0" applyBorder="1" applyAlignment="1">
      <alignment horizontal="left" vertical="center" wrapText="1"/>
    </xf>
    <xf numFmtId="0" fontId="0" fillId="12" borderId="27" xfId="0" applyFill="1" applyBorder="1" applyAlignment="1">
      <alignment horizontal="left" vertical="center" wrapText="1"/>
    </xf>
    <xf numFmtId="15" fontId="0" fillId="12" borderId="4" xfId="0" applyNumberFormat="1" applyFill="1" applyBorder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0" fillId="12" borderId="0" xfId="0" applyFill="1" applyAlignment="1">
      <alignment horizontal="left" vertical="center" wrapText="1"/>
    </xf>
    <xf numFmtId="166" fontId="7" fillId="0" borderId="0" xfId="1" applyNumberFormat="1" applyFont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15" fontId="0" fillId="0" borderId="30" xfId="0" applyNumberFormat="1" applyBorder="1" applyAlignment="1">
      <alignment horizontal="left" vertical="center" wrapText="1"/>
    </xf>
    <xf numFmtId="0" fontId="0" fillId="7" borderId="27" xfId="0" applyFill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12" borderId="39" xfId="0" applyFill="1" applyBorder="1" applyAlignment="1">
      <alignment horizontal="left" vertical="center" wrapText="1"/>
    </xf>
    <xf numFmtId="15" fontId="0" fillId="0" borderId="39" xfId="0" applyNumberFormat="1" applyBorder="1" applyAlignment="1">
      <alignment horizontal="left" vertical="center" wrapText="1"/>
    </xf>
    <xf numFmtId="166" fontId="7" fillId="0" borderId="39" xfId="1" applyNumberFormat="1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15" fontId="0" fillId="13" borderId="30" xfId="0" applyNumberFormat="1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19" fillId="0" borderId="0" xfId="0" applyFont="1"/>
    <xf numFmtId="0" fontId="1" fillId="0" borderId="0" xfId="2" applyFont="1"/>
    <xf numFmtId="0" fontId="1" fillId="0" borderId="0" xfId="2" applyFont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1" fillId="3" borderId="0" xfId="2" applyFont="1" applyFill="1" applyAlignment="1">
      <alignment horizontal="left" vertical="center"/>
    </xf>
    <xf numFmtId="0" fontId="1" fillId="3" borderId="10" xfId="2" applyFont="1" applyFill="1" applyBorder="1" applyAlignment="1">
      <alignment horizontal="left" vertical="center"/>
    </xf>
    <xf numFmtId="0" fontId="1" fillId="0" borderId="10" xfId="2" applyFont="1" applyBorder="1" applyAlignment="1">
      <alignment horizontal="left" vertical="center"/>
    </xf>
    <xf numFmtId="0" fontId="1" fillId="5" borderId="4" xfId="2" applyFont="1" applyFill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0" fontId="1" fillId="17" borderId="31" xfId="2" applyFont="1" applyFill="1" applyBorder="1"/>
    <xf numFmtId="0" fontId="1" fillId="17" borderId="32" xfId="2" applyFont="1" applyFill="1" applyBorder="1"/>
    <xf numFmtId="0" fontId="1" fillId="17" borderId="33" xfId="2" applyFont="1" applyFill="1" applyBorder="1"/>
    <xf numFmtId="0" fontId="1" fillId="17" borderId="34" xfId="2" applyFont="1" applyFill="1" applyBorder="1"/>
    <xf numFmtId="0" fontId="1" fillId="17" borderId="0" xfId="2" applyFont="1" applyFill="1"/>
    <xf numFmtId="0" fontId="1" fillId="17" borderId="35" xfId="2" applyFont="1" applyFill="1" applyBorder="1"/>
    <xf numFmtId="0" fontId="1" fillId="17" borderId="36" xfId="2" applyFont="1" applyFill="1" applyBorder="1"/>
    <xf numFmtId="0" fontId="1" fillId="17" borderId="18" xfId="2" applyFont="1" applyFill="1" applyBorder="1"/>
    <xf numFmtId="0" fontId="1" fillId="17" borderId="37" xfId="2" applyFont="1" applyFill="1" applyBorder="1"/>
    <xf numFmtId="0" fontId="1" fillId="0" borderId="0" xfId="2" applyFont="1" applyAlignment="1">
      <alignment wrapText="1"/>
    </xf>
  </cellXfs>
  <cellStyles count="6">
    <cellStyle name="Heading 4" xfId="4" builtinId="19"/>
    <cellStyle name="Normal" xfId="0" builtinId="0"/>
    <cellStyle name="Normal 2" xfId="2" xr:uid="{87C87193-9388-499C-9DC1-10685DC4CC50}"/>
    <cellStyle name="Normal 3" xfId="3" xr:uid="{71FBA28C-785A-4F52-AE49-101BB8819AFB}"/>
    <cellStyle name="Normal 5" xfId="1" xr:uid="{BC83813D-BAFF-4B1E-8A9B-7F5A09F8A564}"/>
    <cellStyle name="Normal_Submit 08-09" xfId="5" xr:uid="{7BC21ECB-2BCD-4BE2-A21D-387974AEB1C8}"/>
  </cellStyles>
  <dxfs count="7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538DD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1A0C7"/>
        </patternFill>
      </fill>
    </dxf>
    <dxf>
      <fill>
        <patternFill>
          <bgColor rgb="FFFFC000"/>
        </patternFill>
      </fill>
    </dxf>
    <dxf>
      <fill>
        <patternFill>
          <bgColor rgb="FF538DD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1A0C7"/>
        </patternFill>
      </fill>
    </dxf>
    <dxf>
      <fill>
        <patternFill>
          <bgColor rgb="FFFFC000"/>
        </patternFill>
      </fill>
    </dxf>
    <dxf>
      <fill>
        <patternFill>
          <bgColor rgb="FF538DD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538DD5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0" formatCode="dd\-mmm\-yy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\-mmm\-yy"/>
      <fill>
        <patternFill patternType="solid">
          <fgColor indexed="64"/>
          <bgColor indexed="2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693CF"/>
      <color rgb="FF92D050"/>
      <color rgb="FFFFFF99"/>
      <color rgb="FFFFC000"/>
      <color rgb="FFB1A0C7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F62E68-673E-4CB0-A279-524454A075E2}" name="AllPlans" displayName="AllPlans" ref="A1:BA533" totalsRowShown="0" headerRowDxfId="74" dataDxfId="73">
  <autoFilter ref="A1:BA533" xr:uid="{33F62E68-673E-4CB0-A279-524454A075E2}"/>
  <tableColumns count="53">
    <tableColumn id="58" xr3:uid="{0A80649D-A39A-478F-84B7-78DFA47CE172}" name="HZ Ref" dataDxfId="72"/>
    <tableColumn id="1" xr3:uid="{B6F7D2F1-452A-4A53-9D97-B9D232770158}" name="LDF No" dataDxfId="71"/>
    <tableColumn id="2" xr3:uid="{4E61598C-CF1D-4B6A-82E7-0A5FE851544C}" name="Region" dataDxfId="70"/>
    <tableColumn id="3" xr3:uid="{B4C5B9C0-580B-4EBB-9945-26A7F3AE7ECB}" name="LPA" dataDxfId="69"/>
    <tableColumn id="4" xr3:uid="{0DAEFEE5-5E65-4768-B702-4CA06A5C8B94}" name="Title" dataDxfId="68"/>
    <tableColumn id="5" xr3:uid="{7B4DEF71-0EE8-4AC8-9BB2-AD3EA0BE082C}" name="DPD Type" dataDxfId="67"/>
    <tableColumn id="6" xr3:uid="{D05003C3-3FE8-4ACF-93A4-92BB7CCBE695}" name="Grade" dataDxfId="66"/>
    <tableColumn id="7" xr3:uid="{4C25933D-DAF0-4624-943B-7756F53E699E}" name="Actual Publication Date_Reg 19" dataDxfId="65"/>
    <tableColumn id="8" xr3:uid="{AE8B509C-0FB2-43AA-B728-2A7F7C968DAA}" name="Actual Publication Notes" dataDxfId="64"/>
    <tableColumn id="9" xr3:uid="{AFFFE643-2CFD-4D49-9C8A-D8CD1EED6F5D}" name="Actual Submission Date_Reg 22" dataDxfId="63"/>
    <tableColumn id="10" xr3:uid="{562A5EEE-51EB-4EAC-9EE3-2855580DA1FB}" name="Actual Submission Notes" dataDxfId="62"/>
    <tableColumn id="11" xr3:uid="{3DE00BD3-87CB-491D-8475-10CD419AC286}" name="FIVE YEAR SUPPLY OF LAND" dataDxfId="61"/>
    <tableColumn id="15" xr3:uid="{DA7C2AD9-B762-4277-9865-0F91A3C3181C}" name="Date of Appointment" dataDxfId="60"/>
    <tableColumn id="16" xr3:uid="{942D0F5F-3A87-41FD-BCF2-4A5BA9C0B0C5}" name="Date of Appointment Notes" dataDxfId="59"/>
    <tableColumn id="17" xr3:uid="{97D4537E-3ECB-4D03-AB25-F4890BCF86DB}" name="Actual Hearing Start Date" dataDxfId="58"/>
    <tableColumn id="18" xr3:uid="{94EB7198-5E88-4FFF-9845-A7CFDDA8D2AA}" name="Actual Hearing Start Notes" dataDxfId="57"/>
    <tableColumn id="19" xr3:uid="{3E2EDA75-E206-4A90-8D00-F240C02E3BEE}" name="Hearings Close Date" dataDxfId="56"/>
    <tableColumn id="20" xr3:uid="{C3C68ED3-05D9-4598-9909-D62674361571}" name="Hearings Close Notes" dataDxfId="55"/>
    <tableColumn id="50" xr3:uid="{196290A5-43FB-4023-9ACF-B5B46A5D0B6C}" name="Advisory Visit Prep" dataDxfId="54"/>
    <tableColumn id="54" xr3:uid="{895FCCD5-4B02-4135-8D6E-09B4BC1221F5}" name="Advisory Visit Meeting" dataDxfId="53"/>
    <tableColumn id="53" xr3:uid="{1AFAD121-13B8-457D-B172-EC99A08D0281}" name="Advisory Visit Travel" dataDxfId="52"/>
    <tableColumn id="52" xr3:uid="{7A6F811B-C7F9-4023-BA10-E791898E5CA7}" name="Advisory Visit Reporting" dataDxfId="51"/>
    <tableColumn id="51" xr3:uid="{12469677-2993-474E-B19D-8E2857EE0981}" name="Local Plan Admin" dataDxfId="50"/>
    <tableColumn id="21" xr3:uid="{03F15C33-34D1-4418-BFEF-F7029D8FCC6C}" name="Prep days*" dataDxfId="49"/>
    <tableColumn id="22" xr3:uid="{BBFEF1B5-C81B-41C5-94D9-81F8EF7D3F6F}" name="Hearing days*" dataDxfId="48"/>
    <tableColumn id="55" xr3:uid="{0E7940FE-E389-447F-8BFA-92A6A7CC3F50}" name="Post Hearing Letter(s)" dataDxfId="47"/>
    <tableColumn id="23" xr3:uid="{5024997B-1B72-4585-8CE7-D627E85E97EC}" name="SV days*" dataDxfId="46"/>
    <tableColumn id="24" xr3:uid="{9131E16D-DDA8-4171-9010-FC44B94FD089}" name="Travel days" dataDxfId="45"/>
    <tableColumn id="56" xr3:uid="{6B2A4594-C9A8-4775-ADED-BDAF428CE99A}" name="Local Plan MM Prep" dataDxfId="44"/>
    <tableColumn id="25" xr3:uid="{9C462C5D-4A02-4A29-8F37-17D48CA500FE}" name="Reptg days*" dataDxfId="43"/>
    <tableColumn id="26" xr3:uid="{8580D104-A21B-4B82-B210-DFA22C2A0C32}" name="Total Days" dataDxfId="42"/>
    <tableColumn id="27" xr3:uid="{BD437B37-A222-4D25-AAD4-E05B0B7ACE48}" name="Days LDF Ref" dataDxfId="41"/>
    <tableColumn id="28" xr3:uid="{9C492D47-3DE8-4C4D-BE56-1F796D14AAA3}" name="Date Given To LPA For Receipt of Fact Check" dataDxfId="40"/>
    <tableColumn id="29" xr3:uid="{B438B999-3D21-48E6-9BD6-2BBC0337E7F5}" name="Date Given To LPA For Receipt of Fact Check Notes" dataDxfId="39"/>
    <tableColumn id="30" xr3:uid="{4897F9D5-BFFD-4387-8738-4EF19E3317E4}" name="Draft Report Sent to QA Group Date" dataDxfId="38"/>
    <tableColumn id="31" xr3:uid="{DB8ACEC8-827B-4DEB-8200-F292A217DA03}" name="Draft Report Sent to QA Group Notes" dataDxfId="37"/>
    <tableColumn id="33" xr3:uid="{958C5A23-9AE9-4EBB-97BA-32EB05CDD7D7}" name="Fact Check Report Received From INSP Date" dataDxfId="36"/>
    <tableColumn id="34" xr3:uid="{45FFDE12-9C5D-4F0D-9711-5C99FAFC4595}" name="Fact Check Report Received From INSP Notes" dataDxfId="35"/>
    <tableColumn id="35" xr3:uid="{AAC3B434-4FFA-493C-B98E-A0496212DACE}" name="Fact Check Report Dispatch Date" dataDxfId="34"/>
    <tableColumn id="36" xr3:uid="{35B1D05D-6121-4124-9204-321FDC71B202}" name="Fact Check Report Dispatch Notes" dataDxfId="33"/>
    <tableColumn id="37" xr3:uid="{7B0950E4-60BB-4896-AA5E-42A4441609F7}" name="Final Report Issued Date" dataDxfId="32"/>
    <tableColumn id="38" xr3:uid="{FBC0C415-36A1-4DCB-965B-086CBCD50BAE}" name="Final Report Issued Notes" dataDxfId="31"/>
    <tableColumn id="39" xr3:uid="{EB460984-890D-4D91-999B-97731FD64CCF}" name="Adoption Date" dataDxfId="30"/>
    <tableColumn id="40" xr3:uid="{51860C2A-23FE-4FF2-8FF5-1197B7642A53}" name="Adoption Notes" dataDxfId="29"/>
    <tableColumn id="41" xr3:uid="{C453E62C-5D8C-4621-861D-5D61C3A27055}" name="Withdrawn Date" dataDxfId="28"/>
    <tableColumn id="42" xr3:uid="{9FEB7DE4-D1AD-4686-A615-37595C630BD6}" name="Withdrawn Notes" dataDxfId="27"/>
    <tableColumn id="43" xr3:uid="{791FC0D7-6773-4E24-A253-A8B8B4D94103}" name="Status" dataDxfId="26"/>
    <tableColumn id="44" xr3:uid="{CC09EB1B-0F4A-4CF7-93F6-9E7F7510F3F7}" name="Total Weeks" dataDxfId="25"/>
    <tableColumn id="45" xr3:uid="{AC3D264D-FC29-4223-B9D1-84C3B4A88E19}" name="Hearing Close to_ final _report" dataDxfId="24"/>
    <tableColumn id="46" xr3:uid="{3A14C877-B4FB-4686-8C63-2F5B62BD9897}" name="NOTES" dataDxfId="23"/>
    <tableColumn id="47" xr3:uid="{9ECD7A0F-D622-4857-AFDA-96E810215E3E}" name="LPA Lookup" dataDxfId="22"/>
    <tableColumn id="48" xr3:uid="{FB6705B2-49C2-49EA-BF6F-CAA564D84396}" name="Submission Date" dataDxfId="21">
      <calculatedColumnFormula>TEXT(J2,"MMM YY")</calculatedColumnFormula>
    </tableColumn>
    <tableColumn id="49" xr3:uid="{F8104CF6-4AAE-4765-8C32-E4C1505B95EE}" name="Reports Issued" dataDxfId="20">
      <calculatedColumnFormula>TEXT(AO2,"MMM YY")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D51AD-D6CA-4516-983C-619E47080447}" name="LPA" displayName="LPA" ref="A1:H360" totalsRowShown="0">
  <autoFilter ref="A1:H360" xr:uid="{00DE5622-1925-4202-9700-98557DF1F1DF}"/>
  <tableColumns count="8">
    <tableColumn id="1" xr3:uid="{006FE17F-B945-4C95-838B-F818DC0841DA}" name="LPA Code"/>
    <tableColumn id="2" xr3:uid="{81E32726-AAA8-4E57-9F8A-00C7F552005E}" name="LPA Country"/>
    <tableColumn id="3" xr3:uid="{AB8BFE04-66C0-4DD8-B7C6-109B5EF49598}" name="LPA County"/>
    <tableColumn id="4" xr3:uid="{E6CAB505-95FC-4497-A44A-B0A17620E06B}" name="LPA Governmental Office"/>
    <tableColumn id="5" xr3:uid="{5E7F5BAD-5958-4509-AA54-FB5CA85B27A0}" name="Average of LPA Latitude"/>
    <tableColumn id="6" xr3:uid="{1F6706ED-9B77-410A-B2C3-46DB58F0BADE}" name="LPA Location"/>
    <tableColumn id="7" xr3:uid="{A614B7B2-5DA1-4648-AC0D-81DD9C69554A}" name="Average of LPA Longitude"/>
    <tableColumn id="8" xr3:uid="{CEB469D4-53D8-4839-A0A4-7A5F23F95092}" name="LPA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9C87-A77F-45D0-8EE6-F99C481F6CB9}">
  <dimension ref="A1:XEU533"/>
  <sheetViews>
    <sheetView zoomScaleNormal="100" workbookViewId="0">
      <selection activeCell="D19" sqref="D19"/>
    </sheetView>
  </sheetViews>
  <sheetFormatPr baseColWidth="10" defaultColWidth="8.5" defaultRowHeight="13" x14ac:dyDescent="0.15"/>
  <cols>
    <col min="1" max="1" width="10.5" style="41" customWidth="1"/>
    <col min="2" max="2" width="9.5" style="41" customWidth="1"/>
    <col min="3" max="3" width="8.5" style="150"/>
    <col min="4" max="4" width="34.6640625" style="41" customWidth="1"/>
    <col min="5" max="5" width="30.5" style="41" bestFit="1" customWidth="1"/>
    <col min="6" max="6" width="12.33203125" style="41" bestFit="1" customWidth="1"/>
    <col min="7" max="7" width="11.6640625" style="41" customWidth="1"/>
    <col min="8" max="8" width="15.5" style="41" customWidth="1"/>
    <col min="9" max="9" width="14" style="79" hidden="1" customWidth="1"/>
    <col min="10" max="10" width="17.5" style="41" bestFit="1" customWidth="1"/>
    <col min="11" max="11" width="24.5" style="79" hidden="1" customWidth="1"/>
    <col min="12" max="12" width="15.5" style="41" customWidth="1"/>
    <col min="13" max="13" width="22" style="41" bestFit="1" customWidth="1"/>
    <col min="14" max="14" width="14.33203125" style="79" hidden="1" customWidth="1"/>
    <col min="15" max="15" width="24.5" style="79" bestFit="1" customWidth="1"/>
    <col min="16" max="16" width="25.6640625" style="79" customWidth="1"/>
    <col min="17" max="17" width="15.5" style="41" customWidth="1"/>
    <col min="18" max="18" width="0.33203125" style="79" customWidth="1"/>
    <col min="19" max="20" width="17.6640625" style="41" customWidth="1"/>
    <col min="21" max="21" width="17.5" style="41" customWidth="1"/>
    <col min="22" max="22" width="16.5" style="41" customWidth="1"/>
    <col min="23" max="23" width="10" style="41" customWidth="1"/>
    <col min="24" max="24" width="12.5" style="41" customWidth="1"/>
    <col min="25" max="25" width="13" style="41" customWidth="1"/>
    <col min="26" max="27" width="15.6640625" style="41" customWidth="1"/>
    <col min="28" max="28" width="11.33203125" style="41" customWidth="1"/>
    <col min="29" max="30" width="13.5" style="41" customWidth="1"/>
    <col min="31" max="31" width="14" style="41" customWidth="1"/>
    <col min="32" max="32" width="12.5" style="41" customWidth="1"/>
    <col min="33" max="33" width="21" style="41" customWidth="1"/>
    <col min="34" max="34" width="21.5" style="79" customWidth="1"/>
    <col min="35" max="35" width="22" style="41" customWidth="1"/>
    <col min="36" max="36" width="16.6640625" style="79" hidden="1" customWidth="1"/>
    <col min="37" max="37" width="16" style="41" customWidth="1"/>
    <col min="38" max="38" width="19.5" style="79" customWidth="1"/>
    <col min="39" max="39" width="48.6640625" style="41" customWidth="1"/>
    <col min="40" max="40" width="25.6640625" style="79" customWidth="1"/>
    <col min="41" max="41" width="21.5" style="41" customWidth="1"/>
    <col min="42" max="42" width="17.5" style="79" hidden="1" customWidth="1"/>
    <col min="43" max="43" width="16.5" style="41" customWidth="1"/>
    <col min="44" max="44" width="15" style="79" customWidth="1"/>
    <col min="45" max="45" width="10.6640625" style="41" customWidth="1"/>
    <col min="46" max="46" width="17.5" style="79" hidden="1" customWidth="1"/>
    <col min="47" max="47" width="10.5" style="41" customWidth="1"/>
    <col min="48" max="48" width="13.33203125" style="41" customWidth="1"/>
    <col min="49" max="49" width="27.5" style="41" customWidth="1"/>
    <col min="50" max="50" width="12.5" style="41" hidden="1" customWidth="1"/>
    <col min="51" max="51" width="28.5" style="41" customWidth="1"/>
    <col min="52" max="52" width="22.5" style="41" customWidth="1"/>
    <col min="53" max="53" width="18.5" style="41" customWidth="1"/>
    <col min="54" max="16384" width="8.5" style="41"/>
  </cols>
  <sheetData>
    <row r="1" spans="1:53" s="26" customFormat="1" ht="42" customHeight="1" x14ac:dyDescent="0.1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3" t="s">
        <v>8</v>
      </c>
      <c r="J1" s="24" t="s">
        <v>9</v>
      </c>
      <c r="K1" s="23" t="s">
        <v>10</v>
      </c>
      <c r="L1" s="23" t="s">
        <v>11</v>
      </c>
      <c r="M1" s="24" t="s">
        <v>12</v>
      </c>
      <c r="N1" s="24" t="s">
        <v>13</v>
      </c>
      <c r="O1" s="24" t="s">
        <v>14</v>
      </c>
      <c r="P1" s="23" t="s">
        <v>15</v>
      </c>
      <c r="Q1" s="24" t="s">
        <v>16</v>
      </c>
      <c r="R1" s="23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4" t="s">
        <v>32</v>
      </c>
      <c r="AH1" s="23" t="s">
        <v>33</v>
      </c>
      <c r="AI1" s="24" t="s">
        <v>34</v>
      </c>
      <c r="AJ1" s="23" t="s">
        <v>35</v>
      </c>
      <c r="AK1" s="24" t="s">
        <v>36</v>
      </c>
      <c r="AL1" s="23" t="s">
        <v>37</v>
      </c>
      <c r="AM1" s="24" t="s">
        <v>38</v>
      </c>
      <c r="AN1" s="23" t="s">
        <v>39</v>
      </c>
      <c r="AO1" s="24" t="s">
        <v>40</v>
      </c>
      <c r="AP1" s="23" t="s">
        <v>41</v>
      </c>
      <c r="AQ1" s="24" t="s">
        <v>42</v>
      </c>
      <c r="AR1" s="23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6" t="s">
        <v>51</v>
      </c>
      <c r="BA1" s="26" t="s">
        <v>52</v>
      </c>
    </row>
    <row r="2" spans="1:53" ht="14" x14ac:dyDescent="0.15">
      <c r="A2" s="35" t="s">
        <v>53</v>
      </c>
      <c r="B2" s="35">
        <v>1570</v>
      </c>
      <c r="C2" s="27" t="s">
        <v>54</v>
      </c>
      <c r="D2" s="27" t="s">
        <v>55</v>
      </c>
      <c r="E2" s="27" t="s">
        <v>56</v>
      </c>
      <c r="F2" s="27" t="s">
        <v>57</v>
      </c>
      <c r="G2" s="27" t="s">
        <v>58</v>
      </c>
      <c r="H2" s="28">
        <v>41775</v>
      </c>
      <c r="I2" s="27"/>
      <c r="J2" s="28">
        <v>42034</v>
      </c>
      <c r="K2" s="27"/>
      <c r="L2" s="27"/>
      <c r="M2" s="28">
        <v>42034</v>
      </c>
      <c r="N2" s="28"/>
      <c r="O2" s="28">
        <v>42130</v>
      </c>
      <c r="P2" s="27"/>
      <c r="Q2" s="28">
        <v>42719</v>
      </c>
      <c r="R2" s="27"/>
      <c r="S2" s="27"/>
      <c r="T2" s="27"/>
      <c r="U2" s="27"/>
      <c r="V2" s="27"/>
      <c r="W2" s="27"/>
      <c r="X2" s="27">
        <v>57.52</v>
      </c>
      <c r="Y2" s="27">
        <v>29.32</v>
      </c>
      <c r="Z2" s="27"/>
      <c r="AA2" s="27">
        <v>3.69</v>
      </c>
      <c r="AB2" s="27">
        <v>14.15</v>
      </c>
      <c r="AC2" s="27"/>
      <c r="AD2" s="27">
        <v>75</v>
      </c>
      <c r="AE2" s="37">
        <f>AllPlans[[#This Row],[Prep days*]]+AllPlans[[#This Row],[Hearing days*]]+AllPlans[[#This Row],[SV days*]]+AllPlans[[#This Row],[Travel days]]+AllPlans[[#This Row],[Reptg days*]]</f>
        <v>179.68</v>
      </c>
      <c r="AF2" s="27"/>
      <c r="AG2" s="28">
        <v>42937</v>
      </c>
      <c r="AH2" s="27"/>
      <c r="AI2" s="28">
        <v>42923</v>
      </c>
      <c r="AJ2" s="27"/>
      <c r="AK2" s="28">
        <v>42933</v>
      </c>
      <c r="AL2" s="27"/>
      <c r="AM2" s="28">
        <v>42934</v>
      </c>
      <c r="AN2" s="27"/>
      <c r="AO2" s="28">
        <v>42944</v>
      </c>
      <c r="AP2" s="27"/>
      <c r="AQ2" s="28">
        <v>42999</v>
      </c>
      <c r="AR2" s="27"/>
      <c r="AS2" s="28"/>
      <c r="AT2" s="27"/>
      <c r="AU2" s="27" t="s">
        <v>59</v>
      </c>
      <c r="AV2" s="40">
        <v>130</v>
      </c>
      <c r="AW2" s="39">
        <f t="shared" ref="AW2:AW33" si="0">SUM(AO2-Q2)/7</f>
        <v>32.142857142857146</v>
      </c>
      <c r="AX2" s="27"/>
      <c r="AY2" s="40" t="s">
        <v>60</v>
      </c>
      <c r="AZ2" s="41" t="str">
        <f t="shared" ref="AZ2:AZ65" si="1">TEXT(J2,"MMM YY")</f>
        <v>Jan 15</v>
      </c>
      <c r="BA2" s="41" t="str">
        <f t="shared" ref="BA2:BA65" si="2">TEXT(AO2,"MMM YY")</f>
        <v>Jul 17</v>
      </c>
    </row>
    <row r="3" spans="1:53" ht="14" x14ac:dyDescent="0.15">
      <c r="A3" s="35" t="s">
        <v>53</v>
      </c>
      <c r="B3" s="35">
        <v>1089</v>
      </c>
      <c r="C3" s="27" t="s">
        <v>61</v>
      </c>
      <c r="D3" s="27" t="s">
        <v>62</v>
      </c>
      <c r="E3" s="27" t="s">
        <v>56</v>
      </c>
      <c r="F3" s="27" t="s">
        <v>57</v>
      </c>
      <c r="G3" s="27" t="s">
        <v>63</v>
      </c>
      <c r="H3" s="28">
        <v>41942</v>
      </c>
      <c r="I3" s="27"/>
      <c r="J3" s="28">
        <v>42034</v>
      </c>
      <c r="K3" s="27"/>
      <c r="L3" s="27"/>
      <c r="M3" s="28">
        <v>42034</v>
      </c>
      <c r="N3" s="28"/>
      <c r="O3" s="28">
        <v>42157</v>
      </c>
      <c r="P3" s="27"/>
      <c r="Q3" s="28">
        <v>43006</v>
      </c>
      <c r="R3" s="27"/>
      <c r="S3" s="27"/>
      <c r="T3" s="27"/>
      <c r="U3" s="27"/>
      <c r="V3" s="27"/>
      <c r="W3" s="27"/>
      <c r="X3" s="27">
        <v>73.760000000000005</v>
      </c>
      <c r="Y3" s="27">
        <v>12.36</v>
      </c>
      <c r="Z3" s="27"/>
      <c r="AA3" s="27"/>
      <c r="AB3" s="27">
        <v>5.37</v>
      </c>
      <c r="AC3" s="27"/>
      <c r="AD3" s="27">
        <v>37.79</v>
      </c>
      <c r="AE3" s="37">
        <f>AllPlans[[#This Row],[Prep days*]]+AllPlans[[#This Row],[Hearing days*]]+AllPlans[[#This Row],[SV days*]]+AllPlans[[#This Row],[Travel days]]+AllPlans[[#This Row],[Reptg days*]]</f>
        <v>129.28</v>
      </c>
      <c r="AF3" s="27"/>
      <c r="AG3" s="28">
        <v>43259</v>
      </c>
      <c r="AH3" s="27"/>
      <c r="AI3" s="28">
        <v>43217</v>
      </c>
      <c r="AJ3" s="27"/>
      <c r="AK3" s="28">
        <v>43251</v>
      </c>
      <c r="AL3" s="27"/>
      <c r="AM3" s="28">
        <v>43251</v>
      </c>
      <c r="AN3" s="27"/>
      <c r="AO3" s="28">
        <v>43285</v>
      </c>
      <c r="AP3" s="27"/>
      <c r="AQ3" s="28">
        <v>43299</v>
      </c>
      <c r="AR3" s="27"/>
      <c r="AS3" s="28"/>
      <c r="AT3" s="27"/>
      <c r="AU3" s="27" t="s">
        <v>59</v>
      </c>
      <c r="AV3" s="40">
        <f>SUM(AO3-J3)/7</f>
        <v>178.71428571428572</v>
      </c>
      <c r="AW3" s="39">
        <f t="shared" si="0"/>
        <v>39.857142857142854</v>
      </c>
      <c r="AX3" s="27"/>
      <c r="AY3" s="40" t="s">
        <v>64</v>
      </c>
      <c r="AZ3" s="41" t="str">
        <f t="shared" si="1"/>
        <v>Jan 15</v>
      </c>
      <c r="BA3" s="41" t="str">
        <f t="shared" si="2"/>
        <v>Jul 18</v>
      </c>
    </row>
    <row r="4" spans="1:53" ht="14" x14ac:dyDescent="0.15">
      <c r="A4" s="35" t="s">
        <v>53</v>
      </c>
      <c r="B4" s="35">
        <v>1617</v>
      </c>
      <c r="C4" s="27" t="s">
        <v>54</v>
      </c>
      <c r="D4" s="27" t="s">
        <v>65</v>
      </c>
      <c r="E4" s="27" t="s">
        <v>56</v>
      </c>
      <c r="F4" s="27" t="s">
        <v>57</v>
      </c>
      <c r="G4" s="27" t="s">
        <v>63</v>
      </c>
      <c r="H4" s="28">
        <v>41934</v>
      </c>
      <c r="I4" s="27"/>
      <c r="J4" s="28">
        <v>42040</v>
      </c>
      <c r="K4" s="27"/>
      <c r="L4" s="27"/>
      <c r="M4" s="28">
        <v>42041</v>
      </c>
      <c r="N4" s="28"/>
      <c r="O4" s="28">
        <v>42171</v>
      </c>
      <c r="P4" s="27"/>
      <c r="Q4" s="28">
        <v>42180</v>
      </c>
      <c r="R4" s="27"/>
      <c r="S4" s="27"/>
      <c r="T4" s="27"/>
      <c r="U4" s="27"/>
      <c r="V4" s="27"/>
      <c r="W4" s="27"/>
      <c r="X4" s="27">
        <v>58.17</v>
      </c>
      <c r="Y4" s="27">
        <v>9.08</v>
      </c>
      <c r="Z4" s="27"/>
      <c r="AA4" s="27"/>
      <c r="AB4" s="27">
        <v>4.3899999999999997</v>
      </c>
      <c r="AC4" s="27"/>
      <c r="AD4" s="27">
        <v>34.270000000000003</v>
      </c>
      <c r="AE4" s="37">
        <f>AllPlans[[#This Row],[Prep days*]]+AllPlans[[#This Row],[Hearing days*]]+AllPlans[[#This Row],[SV days*]]+AllPlans[[#This Row],[Travel days]]+AllPlans[[#This Row],[Reptg days*]]</f>
        <v>105.91</v>
      </c>
      <c r="AF4" s="27"/>
      <c r="AG4" s="28">
        <v>42396</v>
      </c>
      <c r="AH4" s="27"/>
      <c r="AI4" s="28">
        <v>42367</v>
      </c>
      <c r="AJ4" s="27"/>
      <c r="AK4" s="28">
        <v>42396</v>
      </c>
      <c r="AL4" s="27"/>
      <c r="AM4" s="28">
        <v>42396</v>
      </c>
      <c r="AN4" s="27"/>
      <c r="AO4" s="28">
        <v>42403</v>
      </c>
      <c r="AP4" s="27"/>
      <c r="AQ4" s="28">
        <v>42423</v>
      </c>
      <c r="AR4" s="27"/>
      <c r="AS4" s="28"/>
      <c r="AT4" s="27"/>
      <c r="AU4" s="27" t="s">
        <v>59</v>
      </c>
      <c r="AV4" s="40">
        <v>85.142857142857139</v>
      </c>
      <c r="AW4" s="39">
        <f t="shared" si="0"/>
        <v>31.857142857142858</v>
      </c>
      <c r="AX4" s="27"/>
      <c r="AY4" s="40" t="s">
        <v>66</v>
      </c>
      <c r="AZ4" s="41" t="str">
        <f t="shared" si="1"/>
        <v>Feb 15</v>
      </c>
      <c r="BA4" s="41" t="str">
        <f t="shared" si="2"/>
        <v>Feb 16</v>
      </c>
    </row>
    <row r="5" spans="1:53" ht="14" x14ac:dyDescent="0.15">
      <c r="A5" s="35" t="s">
        <v>53</v>
      </c>
      <c r="B5" s="35">
        <v>1435</v>
      </c>
      <c r="C5" s="27" t="s">
        <v>67</v>
      </c>
      <c r="D5" s="27" t="s">
        <v>68</v>
      </c>
      <c r="E5" s="27" t="s">
        <v>69</v>
      </c>
      <c r="F5" s="27" t="s">
        <v>57</v>
      </c>
      <c r="G5" s="27" t="s">
        <v>58</v>
      </c>
      <c r="H5" s="28">
        <v>41715</v>
      </c>
      <c r="I5" s="27"/>
      <c r="J5" s="28">
        <v>42040</v>
      </c>
      <c r="K5" s="27"/>
      <c r="L5" s="27"/>
      <c r="M5" s="28">
        <v>42041</v>
      </c>
      <c r="N5" s="28"/>
      <c r="O5" s="28">
        <v>42142</v>
      </c>
      <c r="P5" s="27"/>
      <c r="Q5" s="28">
        <v>42514</v>
      </c>
      <c r="R5" s="27"/>
      <c r="S5" s="27"/>
      <c r="T5" s="27"/>
      <c r="U5" s="27"/>
      <c r="V5" s="27"/>
      <c r="W5" s="27"/>
      <c r="X5" s="27">
        <v>23.06</v>
      </c>
      <c r="Y5" s="27">
        <v>4.3899999999999997</v>
      </c>
      <c r="Z5" s="27"/>
      <c r="AA5" s="27">
        <v>0.2</v>
      </c>
      <c r="AB5" s="27">
        <v>4.07</v>
      </c>
      <c r="AC5" s="27"/>
      <c r="AD5" s="27">
        <v>32.630000000000003</v>
      </c>
      <c r="AE5" s="37">
        <f>AllPlans[[#This Row],[Prep days*]]+AllPlans[[#This Row],[Hearing days*]]+AllPlans[[#This Row],[SV days*]]+AllPlans[[#This Row],[Travel days]]+AllPlans[[#This Row],[Reptg days*]]</f>
        <v>64.349999999999994</v>
      </c>
      <c r="AF5" s="27"/>
      <c r="AG5" s="28">
        <v>42622</v>
      </c>
      <c r="AH5" s="27"/>
      <c r="AI5" s="28">
        <v>42576</v>
      </c>
      <c r="AJ5" s="27"/>
      <c r="AK5" s="28">
        <v>42618</v>
      </c>
      <c r="AL5" s="27"/>
      <c r="AM5" s="28">
        <v>42618</v>
      </c>
      <c r="AN5" s="27"/>
      <c r="AO5" s="28">
        <v>42636</v>
      </c>
      <c r="AP5" s="27"/>
      <c r="AQ5" s="28">
        <v>42696</v>
      </c>
      <c r="AR5" s="27"/>
      <c r="AS5" s="28"/>
      <c r="AT5" s="27"/>
      <c r="AU5" s="27" t="s">
        <v>59</v>
      </c>
      <c r="AV5" s="40">
        <v>51.857142857142854</v>
      </c>
      <c r="AW5" s="39">
        <f t="shared" si="0"/>
        <v>17.428571428571427</v>
      </c>
      <c r="AX5" s="27"/>
      <c r="AY5" s="40" t="s">
        <v>70</v>
      </c>
      <c r="AZ5" s="41" t="str">
        <f t="shared" si="1"/>
        <v>Feb 15</v>
      </c>
      <c r="BA5" s="41" t="str">
        <f t="shared" si="2"/>
        <v>Sep 16</v>
      </c>
    </row>
    <row r="6" spans="1:53" ht="14" x14ac:dyDescent="0.15">
      <c r="A6" s="35" t="s">
        <v>53</v>
      </c>
      <c r="B6" s="35">
        <v>1609</v>
      </c>
      <c r="C6" s="27" t="s">
        <v>71</v>
      </c>
      <c r="D6" s="27" t="s">
        <v>72</v>
      </c>
      <c r="E6" s="27" t="s">
        <v>73</v>
      </c>
      <c r="F6" s="27" t="s">
        <v>74</v>
      </c>
      <c r="G6" s="27" t="s">
        <v>75</v>
      </c>
      <c r="H6" s="28">
        <v>41855</v>
      </c>
      <c r="I6" s="27"/>
      <c r="J6" s="28">
        <v>42046</v>
      </c>
      <c r="K6" s="27"/>
      <c r="L6" s="27"/>
      <c r="M6" s="28">
        <v>42047</v>
      </c>
      <c r="N6" s="28"/>
      <c r="O6" s="28">
        <v>42206</v>
      </c>
      <c r="P6" s="27"/>
      <c r="Q6" s="28">
        <v>42209</v>
      </c>
      <c r="R6" s="27"/>
      <c r="S6" s="27"/>
      <c r="T6" s="27"/>
      <c r="U6" s="27"/>
      <c r="V6" s="27"/>
      <c r="W6" s="27"/>
      <c r="X6" s="27">
        <v>16.329999999999998</v>
      </c>
      <c r="Y6" s="27">
        <v>3.58</v>
      </c>
      <c r="Z6" s="27"/>
      <c r="AA6" s="27"/>
      <c r="AB6" s="27">
        <v>1.22</v>
      </c>
      <c r="AC6" s="27"/>
      <c r="AD6" s="27">
        <v>18.760000000000002</v>
      </c>
      <c r="AE6" s="37">
        <f>AllPlans[[#This Row],[Prep days*]]+AllPlans[[#This Row],[Hearing days*]]+AllPlans[[#This Row],[SV days*]]+AllPlans[[#This Row],[Travel days]]+AllPlans[[#This Row],[Reptg days*]]</f>
        <v>39.89</v>
      </c>
      <c r="AF6" s="27"/>
      <c r="AG6" s="28">
        <v>42502</v>
      </c>
      <c r="AH6" s="27"/>
      <c r="AI6" s="28">
        <v>42473</v>
      </c>
      <c r="AJ6" s="27"/>
      <c r="AK6" s="28">
        <v>42488</v>
      </c>
      <c r="AL6" s="27"/>
      <c r="AM6" s="28">
        <v>42493</v>
      </c>
      <c r="AN6" s="27"/>
      <c r="AO6" s="28">
        <v>42507</v>
      </c>
      <c r="AP6" s="27"/>
      <c r="AQ6" s="28">
        <v>42555</v>
      </c>
      <c r="AR6" s="27"/>
      <c r="AS6" s="28"/>
      <c r="AT6" s="27"/>
      <c r="AU6" s="27" t="s">
        <v>59</v>
      </c>
      <c r="AV6" s="40">
        <v>65.857142857142861</v>
      </c>
      <c r="AW6" s="39">
        <f t="shared" si="0"/>
        <v>42.571428571428569</v>
      </c>
      <c r="AX6" s="27"/>
      <c r="AY6" s="40" t="s">
        <v>76</v>
      </c>
      <c r="AZ6" s="41" t="str">
        <f t="shared" si="1"/>
        <v>Feb 15</v>
      </c>
      <c r="BA6" s="41" t="str">
        <f t="shared" si="2"/>
        <v>May 16</v>
      </c>
    </row>
    <row r="7" spans="1:53" ht="28" x14ac:dyDescent="0.15">
      <c r="A7" s="35" t="s">
        <v>53</v>
      </c>
      <c r="B7" s="35">
        <v>1530</v>
      </c>
      <c r="C7" s="27" t="s">
        <v>77</v>
      </c>
      <c r="D7" s="27" t="s">
        <v>78</v>
      </c>
      <c r="E7" s="27" t="s">
        <v>79</v>
      </c>
      <c r="F7" s="27" t="s">
        <v>80</v>
      </c>
      <c r="G7" s="27" t="s">
        <v>81</v>
      </c>
      <c r="H7" s="28">
        <v>41960</v>
      </c>
      <c r="I7" s="27"/>
      <c r="J7" s="28">
        <v>42052</v>
      </c>
      <c r="K7" s="27"/>
      <c r="L7" s="27"/>
      <c r="M7" s="28">
        <v>42052</v>
      </c>
      <c r="N7" s="28"/>
      <c r="O7" s="28">
        <v>42151</v>
      </c>
      <c r="P7" s="27"/>
      <c r="Q7" s="28">
        <v>42152</v>
      </c>
      <c r="R7" s="27"/>
      <c r="S7" s="27"/>
      <c r="T7" s="27"/>
      <c r="U7" s="27"/>
      <c r="V7" s="27"/>
      <c r="W7" s="27"/>
      <c r="X7" s="27">
        <v>12</v>
      </c>
      <c r="Y7" s="27">
        <v>1.5</v>
      </c>
      <c r="Z7" s="27"/>
      <c r="AA7" s="27"/>
      <c r="AB7" s="27">
        <v>1</v>
      </c>
      <c r="AC7" s="27"/>
      <c r="AD7" s="27">
        <v>6</v>
      </c>
      <c r="AE7" s="37">
        <f>AllPlans[[#This Row],[Prep days*]]+AllPlans[[#This Row],[Hearing days*]]+AllPlans[[#This Row],[SV days*]]+AllPlans[[#This Row],[Travel days]]+AllPlans[[#This Row],[Reptg days*]]</f>
        <v>20.5</v>
      </c>
      <c r="AF7" s="27"/>
      <c r="AG7" s="28">
        <v>42244</v>
      </c>
      <c r="AH7" s="27"/>
      <c r="AI7" s="28">
        <v>42227</v>
      </c>
      <c r="AJ7" s="27"/>
      <c r="AK7" s="28">
        <v>42234</v>
      </c>
      <c r="AL7" s="27"/>
      <c r="AM7" s="28">
        <v>42234</v>
      </c>
      <c r="AN7" s="27"/>
      <c r="AO7" s="28">
        <v>42244</v>
      </c>
      <c r="AP7" s="27"/>
      <c r="AQ7" s="28">
        <v>42263</v>
      </c>
      <c r="AR7" s="27"/>
      <c r="AS7" s="28"/>
      <c r="AT7" s="27"/>
      <c r="AU7" s="27" t="s">
        <v>59</v>
      </c>
      <c r="AV7" s="40">
        <v>27.428571428571427</v>
      </c>
      <c r="AW7" s="39">
        <f t="shared" si="0"/>
        <v>13.142857142857142</v>
      </c>
      <c r="AX7" s="27"/>
      <c r="AY7" s="40" t="s">
        <v>82</v>
      </c>
      <c r="AZ7" s="41" t="str">
        <f t="shared" si="1"/>
        <v>Feb 15</v>
      </c>
      <c r="BA7" s="41" t="str">
        <f t="shared" si="2"/>
        <v>Aug 15</v>
      </c>
    </row>
    <row r="8" spans="1:53" ht="14" x14ac:dyDescent="0.15">
      <c r="A8" s="35" t="s">
        <v>53</v>
      </c>
      <c r="B8" s="35">
        <v>1511</v>
      </c>
      <c r="C8" s="27" t="s">
        <v>83</v>
      </c>
      <c r="D8" s="27" t="s">
        <v>84</v>
      </c>
      <c r="E8" s="27" t="s">
        <v>85</v>
      </c>
      <c r="F8" s="27" t="s">
        <v>74</v>
      </c>
      <c r="G8" s="27" t="s">
        <v>75</v>
      </c>
      <c r="H8" s="28">
        <v>41936</v>
      </c>
      <c r="I8" s="27"/>
      <c r="J8" s="28">
        <v>42062</v>
      </c>
      <c r="K8" s="27"/>
      <c r="L8" s="27"/>
      <c r="M8" s="28">
        <v>42062</v>
      </c>
      <c r="N8" s="28"/>
      <c r="O8" s="28">
        <v>42332</v>
      </c>
      <c r="P8" s="27"/>
      <c r="Q8" s="28">
        <v>42333</v>
      </c>
      <c r="R8" s="27"/>
      <c r="S8" s="27"/>
      <c r="T8" s="27"/>
      <c r="U8" s="27"/>
      <c r="V8" s="27"/>
      <c r="W8" s="27"/>
      <c r="X8" s="27">
        <v>17.45</v>
      </c>
      <c r="Y8" s="27">
        <v>2.17</v>
      </c>
      <c r="Z8" s="27"/>
      <c r="AA8" s="27">
        <v>0.41</v>
      </c>
      <c r="AB8" s="27">
        <v>1.48</v>
      </c>
      <c r="AC8" s="27"/>
      <c r="AD8" s="27">
        <v>13.49</v>
      </c>
      <c r="AE8" s="37">
        <f>AllPlans[[#This Row],[Prep days*]]+AllPlans[[#This Row],[Hearing days*]]+AllPlans[[#This Row],[SV days*]]+AllPlans[[#This Row],[Travel days]]+AllPlans[[#This Row],[Reptg days*]]</f>
        <v>35</v>
      </c>
      <c r="AF8" s="27"/>
      <c r="AG8" s="28">
        <v>42531</v>
      </c>
      <c r="AH8" s="27"/>
      <c r="AI8" s="28">
        <v>42515</v>
      </c>
      <c r="AJ8" s="27"/>
      <c r="AK8" s="28">
        <v>42529</v>
      </c>
      <c r="AL8" s="27"/>
      <c r="AM8" s="28">
        <v>42529</v>
      </c>
      <c r="AN8" s="27"/>
      <c r="AO8" s="28">
        <v>42542</v>
      </c>
      <c r="AP8" s="27"/>
      <c r="AQ8" s="28">
        <v>42551</v>
      </c>
      <c r="AR8" s="27"/>
      <c r="AS8" s="28"/>
      <c r="AT8" s="27"/>
      <c r="AU8" s="27" t="s">
        <v>59</v>
      </c>
      <c r="AV8" s="40">
        <v>68.571428571428569</v>
      </c>
      <c r="AW8" s="39">
        <f t="shared" si="0"/>
        <v>29.857142857142858</v>
      </c>
      <c r="AX8" s="27"/>
      <c r="AY8" s="40" t="s">
        <v>86</v>
      </c>
      <c r="AZ8" s="41" t="str">
        <f t="shared" si="1"/>
        <v>Feb 15</v>
      </c>
      <c r="BA8" s="41" t="str">
        <f t="shared" si="2"/>
        <v>Jun 16</v>
      </c>
    </row>
    <row r="9" spans="1:53" ht="14" x14ac:dyDescent="0.15">
      <c r="A9" s="35" t="s">
        <v>53</v>
      </c>
      <c r="B9" s="35">
        <v>1641</v>
      </c>
      <c r="C9" s="27" t="s">
        <v>71</v>
      </c>
      <c r="D9" s="27" t="s">
        <v>87</v>
      </c>
      <c r="E9" s="27" t="s">
        <v>88</v>
      </c>
      <c r="F9" s="27" t="s">
        <v>74</v>
      </c>
      <c r="G9" s="27" t="s">
        <v>75</v>
      </c>
      <c r="H9" s="28">
        <v>41880</v>
      </c>
      <c r="I9" s="27"/>
      <c r="J9" s="28">
        <v>42068</v>
      </c>
      <c r="K9" s="27"/>
      <c r="L9" s="27"/>
      <c r="M9" s="28"/>
      <c r="N9" s="28"/>
      <c r="O9" s="28">
        <v>42199</v>
      </c>
      <c r="P9" s="27"/>
      <c r="Q9" s="28">
        <v>42201</v>
      </c>
      <c r="R9" s="27"/>
      <c r="S9" s="27"/>
      <c r="T9" s="27"/>
      <c r="U9" s="27"/>
      <c r="V9" s="27"/>
      <c r="W9" s="27"/>
      <c r="X9" s="27">
        <v>22.28</v>
      </c>
      <c r="Y9" s="27">
        <v>2.17</v>
      </c>
      <c r="Z9" s="27"/>
      <c r="AA9" s="27"/>
      <c r="AB9" s="27">
        <v>2.0299999999999998</v>
      </c>
      <c r="AC9" s="27"/>
      <c r="AD9" s="27">
        <v>33.979999999999997</v>
      </c>
      <c r="AE9" s="37">
        <f>AllPlans[[#This Row],[Prep days*]]+AllPlans[[#This Row],[Hearing days*]]+AllPlans[[#This Row],[SV days*]]+AllPlans[[#This Row],[Travel days]]+AllPlans[[#This Row],[Reptg days*]]</f>
        <v>60.46</v>
      </c>
      <c r="AF9" s="27"/>
      <c r="AG9" s="28">
        <v>42475</v>
      </c>
      <c r="AH9" s="27"/>
      <c r="AI9" s="28">
        <v>42433</v>
      </c>
      <c r="AJ9" s="27"/>
      <c r="AK9" s="28">
        <v>42473</v>
      </c>
      <c r="AL9" s="27"/>
      <c r="AM9" s="28">
        <v>42474</v>
      </c>
      <c r="AN9" s="27"/>
      <c r="AO9" s="28">
        <v>42486</v>
      </c>
      <c r="AP9" s="27"/>
      <c r="AQ9" s="28">
        <v>42516</v>
      </c>
      <c r="AR9" s="27"/>
      <c r="AS9" s="28"/>
      <c r="AT9" s="27"/>
      <c r="AU9" s="27" t="s">
        <v>59</v>
      </c>
      <c r="AV9" s="40">
        <v>59.714285714285715</v>
      </c>
      <c r="AW9" s="39">
        <f t="shared" si="0"/>
        <v>40.714285714285715</v>
      </c>
      <c r="AX9" s="27"/>
      <c r="AY9" s="40" t="s">
        <v>89</v>
      </c>
      <c r="AZ9" s="41" t="str">
        <f t="shared" si="1"/>
        <v>Mar 15</v>
      </c>
      <c r="BA9" s="41" t="str">
        <f t="shared" si="2"/>
        <v>Apr 16</v>
      </c>
    </row>
    <row r="10" spans="1:53" ht="14" x14ac:dyDescent="0.15">
      <c r="A10" s="35" t="s">
        <v>53</v>
      </c>
      <c r="B10" s="35">
        <v>1625</v>
      </c>
      <c r="C10" s="27" t="s">
        <v>90</v>
      </c>
      <c r="D10" s="27" t="s">
        <v>91</v>
      </c>
      <c r="E10" s="27" t="s">
        <v>92</v>
      </c>
      <c r="F10" s="27" t="s">
        <v>57</v>
      </c>
      <c r="G10" s="27" t="s">
        <v>63</v>
      </c>
      <c r="H10" s="28">
        <v>41929</v>
      </c>
      <c r="I10" s="27"/>
      <c r="J10" s="28">
        <v>42074</v>
      </c>
      <c r="K10" s="27"/>
      <c r="L10" s="27"/>
      <c r="M10" s="28">
        <v>42075</v>
      </c>
      <c r="N10" s="28"/>
      <c r="O10" s="28">
        <v>42193</v>
      </c>
      <c r="P10" s="27"/>
      <c r="Q10" s="28">
        <v>42200</v>
      </c>
      <c r="R10" s="27"/>
      <c r="S10" s="27"/>
      <c r="T10" s="27"/>
      <c r="U10" s="27"/>
      <c r="V10" s="27"/>
      <c r="W10" s="27"/>
      <c r="X10" s="27">
        <v>18.75</v>
      </c>
      <c r="Y10" s="27">
        <v>2.57</v>
      </c>
      <c r="Z10" s="27"/>
      <c r="AA10" s="27"/>
      <c r="AB10" s="27">
        <v>1.32</v>
      </c>
      <c r="AC10" s="27"/>
      <c r="AD10" s="27">
        <v>13.36</v>
      </c>
      <c r="AE10" s="37">
        <f>AllPlans[[#This Row],[Prep days*]]+AllPlans[[#This Row],[Hearing days*]]+AllPlans[[#This Row],[SV days*]]+AllPlans[[#This Row],[Travel days]]+AllPlans[[#This Row],[Reptg days*]]</f>
        <v>36</v>
      </c>
      <c r="AF10" s="27"/>
      <c r="AG10" s="28">
        <v>42360</v>
      </c>
      <c r="AH10" s="27"/>
      <c r="AI10" s="28">
        <v>42338</v>
      </c>
      <c r="AJ10" s="27"/>
      <c r="AK10" s="28">
        <v>42353</v>
      </c>
      <c r="AL10" s="27"/>
      <c r="AM10" s="28">
        <v>42353</v>
      </c>
      <c r="AN10" s="27"/>
      <c r="AO10" s="28">
        <v>42361</v>
      </c>
      <c r="AP10" s="27"/>
      <c r="AQ10" s="28">
        <v>42438</v>
      </c>
      <c r="AR10" s="27"/>
      <c r="AS10" s="28"/>
      <c r="AT10" s="27"/>
      <c r="AU10" s="27" t="s">
        <v>59</v>
      </c>
      <c r="AV10" s="40">
        <v>41</v>
      </c>
      <c r="AW10" s="39">
        <f t="shared" si="0"/>
        <v>23</v>
      </c>
      <c r="AX10" s="27"/>
      <c r="AY10" s="40" t="s">
        <v>93</v>
      </c>
      <c r="AZ10" s="41" t="str">
        <f t="shared" si="1"/>
        <v>Mar 15</v>
      </c>
      <c r="BA10" s="41" t="str">
        <f t="shared" si="2"/>
        <v>Dec 15</v>
      </c>
    </row>
    <row r="11" spans="1:53" ht="14" x14ac:dyDescent="0.15">
      <c r="A11" s="35" t="s">
        <v>53</v>
      </c>
      <c r="B11" s="35">
        <v>832</v>
      </c>
      <c r="C11" s="27" t="s">
        <v>61</v>
      </c>
      <c r="D11" s="27" t="s">
        <v>94</v>
      </c>
      <c r="E11" s="27" t="s">
        <v>95</v>
      </c>
      <c r="F11" s="27" t="s">
        <v>57</v>
      </c>
      <c r="G11" s="27" t="s">
        <v>63</v>
      </c>
      <c r="H11" s="28">
        <v>41950</v>
      </c>
      <c r="I11" s="27"/>
      <c r="J11" s="28">
        <v>42081</v>
      </c>
      <c r="K11" s="27"/>
      <c r="L11" s="27"/>
      <c r="M11" s="28">
        <v>42081</v>
      </c>
      <c r="N11" s="28"/>
      <c r="O11" s="28">
        <v>42269</v>
      </c>
      <c r="P11" s="27"/>
      <c r="Q11" s="28">
        <v>42418</v>
      </c>
      <c r="R11" s="27"/>
      <c r="S11" s="27"/>
      <c r="T11" s="27"/>
      <c r="U11" s="27"/>
      <c r="V11" s="27"/>
      <c r="W11" s="27"/>
      <c r="X11" s="27">
        <v>41.26</v>
      </c>
      <c r="Y11" s="27">
        <v>14.66</v>
      </c>
      <c r="Z11" s="27"/>
      <c r="AA11" s="27">
        <v>2.8</v>
      </c>
      <c r="AB11" s="27">
        <v>9.8699999999999992</v>
      </c>
      <c r="AC11" s="27"/>
      <c r="AD11" s="27">
        <v>44.74</v>
      </c>
      <c r="AE11" s="37">
        <f>AllPlans[[#This Row],[Prep days*]]+AllPlans[[#This Row],[Hearing days*]]+AllPlans[[#This Row],[SV days*]]+AllPlans[[#This Row],[Travel days]]+AllPlans[[#This Row],[Reptg days*]]</f>
        <v>113.33000000000001</v>
      </c>
      <c r="AF11" s="27"/>
      <c r="AG11" s="28">
        <v>42699</v>
      </c>
      <c r="AH11" s="27"/>
      <c r="AI11" s="28">
        <v>42688</v>
      </c>
      <c r="AJ11" s="27"/>
      <c r="AK11" s="28">
        <v>42695</v>
      </c>
      <c r="AL11" s="27"/>
      <c r="AM11" s="28">
        <v>42695</v>
      </c>
      <c r="AN11" s="27"/>
      <c r="AO11" s="28">
        <v>42704</v>
      </c>
      <c r="AP11" s="27"/>
      <c r="AQ11" s="28">
        <v>42718</v>
      </c>
      <c r="AR11" s="27"/>
      <c r="AS11" s="28"/>
      <c r="AT11" s="27"/>
      <c r="AU11" s="27" t="s">
        <v>59</v>
      </c>
      <c r="AV11" s="40">
        <v>89</v>
      </c>
      <c r="AW11" s="39">
        <f t="shared" si="0"/>
        <v>40.857142857142854</v>
      </c>
      <c r="AX11" s="27"/>
      <c r="AY11" s="40" t="s">
        <v>96</v>
      </c>
      <c r="AZ11" s="41" t="str">
        <f t="shared" si="1"/>
        <v>Mar 15</v>
      </c>
      <c r="BA11" s="41" t="str">
        <f t="shared" si="2"/>
        <v>Nov 16</v>
      </c>
    </row>
    <row r="12" spans="1:53" ht="14" x14ac:dyDescent="0.15">
      <c r="A12" s="35" t="s">
        <v>53</v>
      </c>
      <c r="B12" s="35">
        <v>1620</v>
      </c>
      <c r="C12" s="27" t="s">
        <v>77</v>
      </c>
      <c r="D12" s="27" t="s">
        <v>97</v>
      </c>
      <c r="E12" s="27" t="s">
        <v>98</v>
      </c>
      <c r="F12" s="27" t="s">
        <v>74</v>
      </c>
      <c r="G12" s="27" t="s">
        <v>75</v>
      </c>
      <c r="H12" s="28">
        <v>41946</v>
      </c>
      <c r="I12" s="27"/>
      <c r="J12" s="28">
        <v>42083</v>
      </c>
      <c r="K12" s="27"/>
      <c r="L12" s="27"/>
      <c r="M12" s="28">
        <v>42083</v>
      </c>
      <c r="N12" s="28"/>
      <c r="O12" s="28">
        <v>42290</v>
      </c>
      <c r="P12" s="27"/>
      <c r="Q12" s="28">
        <v>42297</v>
      </c>
      <c r="R12" s="27"/>
      <c r="S12" s="27"/>
      <c r="T12" s="27"/>
      <c r="U12" s="27"/>
      <c r="V12" s="27"/>
      <c r="W12" s="27"/>
      <c r="X12" s="27">
        <v>18.489999999999998</v>
      </c>
      <c r="Y12" s="27">
        <v>2.73</v>
      </c>
      <c r="Z12" s="27"/>
      <c r="AA12" s="27">
        <v>0.27</v>
      </c>
      <c r="AB12" s="27">
        <v>1.08</v>
      </c>
      <c r="AC12" s="27"/>
      <c r="AD12" s="27">
        <v>17.690000000000001</v>
      </c>
      <c r="AE12" s="37">
        <f>AllPlans[[#This Row],[Prep days*]]+AllPlans[[#This Row],[Hearing days*]]+AllPlans[[#This Row],[SV days*]]+AllPlans[[#This Row],[Travel days]]+AllPlans[[#This Row],[Reptg days*]]</f>
        <v>40.260000000000005</v>
      </c>
      <c r="AF12" s="27"/>
      <c r="AG12" s="28">
        <v>42476</v>
      </c>
      <c r="AH12" s="27"/>
      <c r="AI12" s="28">
        <v>42450</v>
      </c>
      <c r="AJ12" s="27"/>
      <c r="AK12" s="28">
        <v>42473</v>
      </c>
      <c r="AL12" s="27"/>
      <c r="AM12" s="28">
        <v>42472</v>
      </c>
      <c r="AN12" s="27"/>
      <c r="AO12" s="28">
        <v>42480</v>
      </c>
      <c r="AP12" s="27"/>
      <c r="AQ12" s="28">
        <v>42500</v>
      </c>
      <c r="AR12" s="27"/>
      <c r="AS12" s="28"/>
      <c r="AT12" s="27"/>
      <c r="AU12" s="27" t="s">
        <v>59</v>
      </c>
      <c r="AV12" s="40">
        <v>56.714285714285715</v>
      </c>
      <c r="AW12" s="39">
        <f t="shared" si="0"/>
        <v>26.142857142857142</v>
      </c>
      <c r="AX12" s="27"/>
      <c r="AY12" s="40" t="s">
        <v>99</v>
      </c>
      <c r="AZ12" s="41" t="str">
        <f t="shared" si="1"/>
        <v>Mar 15</v>
      </c>
      <c r="BA12" s="41" t="str">
        <f t="shared" si="2"/>
        <v>Apr 16</v>
      </c>
    </row>
    <row r="13" spans="1:53" ht="14" x14ac:dyDescent="0.15">
      <c r="A13" s="35" t="s">
        <v>53</v>
      </c>
      <c r="B13" s="35">
        <v>1630</v>
      </c>
      <c r="C13" s="27" t="s">
        <v>61</v>
      </c>
      <c r="D13" s="27" t="s">
        <v>100</v>
      </c>
      <c r="E13" s="27" t="s">
        <v>101</v>
      </c>
      <c r="F13" s="27" t="s">
        <v>102</v>
      </c>
      <c r="G13" s="27" t="s">
        <v>75</v>
      </c>
      <c r="H13" s="28">
        <v>41974</v>
      </c>
      <c r="I13" s="27"/>
      <c r="J13" s="28">
        <v>42088</v>
      </c>
      <c r="K13" s="27"/>
      <c r="L13" s="27"/>
      <c r="M13" s="28">
        <v>42088</v>
      </c>
      <c r="N13" s="28"/>
      <c r="O13" s="28">
        <v>42144</v>
      </c>
      <c r="P13" s="27"/>
      <c r="Q13" s="28">
        <v>42380</v>
      </c>
      <c r="R13" s="27"/>
      <c r="S13" s="27"/>
      <c r="T13" s="27"/>
      <c r="U13" s="27"/>
      <c r="V13" s="27"/>
      <c r="W13" s="27"/>
      <c r="X13" s="27">
        <v>12.53</v>
      </c>
      <c r="Y13" s="27">
        <v>2</v>
      </c>
      <c r="Z13" s="27"/>
      <c r="AA13" s="27"/>
      <c r="AB13" s="27">
        <v>2.71</v>
      </c>
      <c r="AC13" s="27"/>
      <c r="AD13" s="27">
        <v>15.52</v>
      </c>
      <c r="AE13" s="37">
        <f>AllPlans[[#This Row],[Prep days*]]+AllPlans[[#This Row],[Hearing days*]]+AllPlans[[#This Row],[SV days*]]+AllPlans[[#This Row],[Travel days]]+AllPlans[[#This Row],[Reptg days*]]</f>
        <v>32.76</v>
      </c>
      <c r="AF13" s="27"/>
      <c r="AG13" s="28">
        <v>42419</v>
      </c>
      <c r="AH13" s="27"/>
      <c r="AI13" s="28">
        <v>42428</v>
      </c>
      <c r="AJ13" s="27"/>
      <c r="AK13" s="28">
        <v>42418</v>
      </c>
      <c r="AL13" s="27"/>
      <c r="AM13" s="28">
        <v>42419</v>
      </c>
      <c r="AN13" s="27"/>
      <c r="AO13" s="28">
        <v>42424</v>
      </c>
      <c r="AP13" s="27"/>
      <c r="AQ13" s="28">
        <v>42508</v>
      </c>
      <c r="AR13" s="27"/>
      <c r="AS13" s="28"/>
      <c r="AT13" s="27"/>
      <c r="AU13" s="27" t="s">
        <v>59</v>
      </c>
      <c r="AV13" s="40">
        <v>48</v>
      </c>
      <c r="AW13" s="39">
        <f t="shared" si="0"/>
        <v>6.2857142857142856</v>
      </c>
      <c r="AX13" s="27"/>
      <c r="AY13" s="40" t="s">
        <v>103</v>
      </c>
      <c r="AZ13" s="41" t="str">
        <f t="shared" si="1"/>
        <v>Mar 15</v>
      </c>
      <c r="BA13" s="41" t="str">
        <f t="shared" si="2"/>
        <v>Feb 16</v>
      </c>
    </row>
    <row r="14" spans="1:53" ht="14" x14ac:dyDescent="0.15">
      <c r="A14" s="35" t="s">
        <v>53</v>
      </c>
      <c r="B14" s="35">
        <v>1013</v>
      </c>
      <c r="C14" s="27" t="s">
        <v>104</v>
      </c>
      <c r="D14" s="27" t="s">
        <v>105</v>
      </c>
      <c r="E14" s="27" t="s">
        <v>106</v>
      </c>
      <c r="F14" s="27" t="s">
        <v>107</v>
      </c>
      <c r="G14" s="27" t="s">
        <v>58</v>
      </c>
      <c r="H14" s="28">
        <v>41322</v>
      </c>
      <c r="I14" s="27"/>
      <c r="J14" s="28">
        <v>42090</v>
      </c>
      <c r="K14" s="27"/>
      <c r="L14" s="27"/>
      <c r="M14" s="28">
        <v>42090</v>
      </c>
      <c r="N14" s="28"/>
      <c r="O14" s="28">
        <v>42276</v>
      </c>
      <c r="P14" s="27"/>
      <c r="Q14" s="28">
        <v>42284</v>
      </c>
      <c r="R14" s="27"/>
      <c r="S14" s="27"/>
      <c r="T14" s="27"/>
      <c r="U14" s="27"/>
      <c r="V14" s="27"/>
      <c r="W14" s="27"/>
      <c r="X14" s="27">
        <v>16</v>
      </c>
      <c r="Y14" s="27">
        <v>4</v>
      </c>
      <c r="Z14" s="27"/>
      <c r="AA14" s="27">
        <v>1.5</v>
      </c>
      <c r="AB14" s="27">
        <v>2.5</v>
      </c>
      <c r="AC14" s="27"/>
      <c r="AD14" s="27">
        <v>15</v>
      </c>
      <c r="AE14" s="37">
        <f>AllPlans[[#This Row],[Prep days*]]+AllPlans[[#This Row],[Hearing days*]]+AllPlans[[#This Row],[SV days*]]+AllPlans[[#This Row],[Travel days]]+AllPlans[[#This Row],[Reptg days*]]</f>
        <v>39</v>
      </c>
      <c r="AF14" s="27"/>
      <c r="AG14" s="28">
        <v>42503</v>
      </c>
      <c r="AH14" s="27"/>
      <c r="AI14" s="28">
        <v>42485</v>
      </c>
      <c r="AJ14" s="27"/>
      <c r="AK14" s="28">
        <v>42500</v>
      </c>
      <c r="AL14" s="27"/>
      <c r="AM14" s="28">
        <v>42501</v>
      </c>
      <c r="AN14" s="27"/>
      <c r="AO14" s="28">
        <v>42507</v>
      </c>
      <c r="AP14" s="27"/>
      <c r="AQ14" s="28">
        <v>42563</v>
      </c>
      <c r="AR14" s="27"/>
      <c r="AS14" s="28"/>
      <c r="AT14" s="27"/>
      <c r="AU14" s="27" t="s">
        <v>59</v>
      </c>
      <c r="AV14" s="40">
        <v>59.571428571428569</v>
      </c>
      <c r="AW14" s="39">
        <f t="shared" si="0"/>
        <v>31.857142857142858</v>
      </c>
      <c r="AX14" s="27"/>
      <c r="AY14" s="40" t="s">
        <v>108</v>
      </c>
      <c r="AZ14" s="41" t="str">
        <f t="shared" si="1"/>
        <v>Mar 15</v>
      </c>
      <c r="BA14" s="41" t="str">
        <f t="shared" si="2"/>
        <v>May 16</v>
      </c>
    </row>
    <row r="15" spans="1:53" ht="14" x14ac:dyDescent="0.15">
      <c r="A15" s="35" t="s">
        <v>53</v>
      </c>
      <c r="B15" s="35">
        <v>1636</v>
      </c>
      <c r="C15" s="27" t="s">
        <v>61</v>
      </c>
      <c r="D15" s="27" t="s">
        <v>109</v>
      </c>
      <c r="E15" s="27" t="s">
        <v>95</v>
      </c>
      <c r="F15" s="27" t="s">
        <v>57</v>
      </c>
      <c r="G15" s="27" t="s">
        <v>63</v>
      </c>
      <c r="H15" s="28">
        <v>41992</v>
      </c>
      <c r="I15" s="27"/>
      <c r="J15" s="28">
        <v>42114</v>
      </c>
      <c r="K15" s="27"/>
      <c r="L15" s="27"/>
      <c r="M15" s="28">
        <v>42114</v>
      </c>
      <c r="N15" s="28"/>
      <c r="O15" s="28">
        <v>42309</v>
      </c>
      <c r="P15" s="27"/>
      <c r="Q15" s="28">
        <v>42774</v>
      </c>
      <c r="R15" s="27"/>
      <c r="S15" s="27"/>
      <c r="T15" s="27"/>
      <c r="U15" s="27"/>
      <c r="V15" s="27"/>
      <c r="W15" s="27"/>
      <c r="X15" s="27">
        <v>62.64</v>
      </c>
      <c r="Y15" s="27">
        <v>13.55</v>
      </c>
      <c r="Z15" s="27"/>
      <c r="AA15" s="27"/>
      <c r="AB15" s="27">
        <v>4.5199999999999996</v>
      </c>
      <c r="AC15" s="27"/>
      <c r="AD15" s="27">
        <v>38.32</v>
      </c>
      <c r="AE15" s="37">
        <f>AllPlans[[#This Row],[Prep days*]]+AllPlans[[#This Row],[Hearing days*]]+AllPlans[[#This Row],[SV days*]]+AllPlans[[#This Row],[Travel days]]+AllPlans[[#This Row],[Reptg days*]]</f>
        <v>119.03</v>
      </c>
      <c r="AF15" s="27"/>
      <c r="AG15" s="28">
        <v>42853</v>
      </c>
      <c r="AH15" s="27"/>
      <c r="AI15" s="28">
        <v>42829</v>
      </c>
      <c r="AJ15" s="27"/>
      <c r="AK15" s="28">
        <v>42851</v>
      </c>
      <c r="AL15" s="27"/>
      <c r="AM15" s="28">
        <v>42852</v>
      </c>
      <c r="AN15" s="27"/>
      <c r="AO15" s="28">
        <v>42906</v>
      </c>
      <c r="AP15" s="27"/>
      <c r="AQ15" s="28">
        <v>42942</v>
      </c>
      <c r="AR15" s="27"/>
      <c r="AS15" s="28"/>
      <c r="AT15" s="27"/>
      <c r="AU15" s="27" t="s">
        <v>59</v>
      </c>
      <c r="AV15" s="40">
        <v>113.14285714285714</v>
      </c>
      <c r="AW15" s="39">
        <f t="shared" si="0"/>
        <v>18.857142857142858</v>
      </c>
      <c r="AX15" s="27"/>
      <c r="AY15" s="40" t="s">
        <v>110</v>
      </c>
      <c r="AZ15" s="41" t="str">
        <f t="shared" si="1"/>
        <v>Apr 15</v>
      </c>
      <c r="BA15" s="41" t="str">
        <f t="shared" si="2"/>
        <v>Jun 17</v>
      </c>
    </row>
    <row r="16" spans="1:53" ht="14" x14ac:dyDescent="0.15">
      <c r="A16" s="35" t="s">
        <v>53</v>
      </c>
      <c r="B16" s="35">
        <v>1637</v>
      </c>
      <c r="C16" s="27" t="s">
        <v>71</v>
      </c>
      <c r="D16" s="27" t="s">
        <v>111</v>
      </c>
      <c r="E16" s="27" t="s">
        <v>106</v>
      </c>
      <c r="F16" s="27" t="s">
        <v>107</v>
      </c>
      <c r="G16" s="27" t="s">
        <v>58</v>
      </c>
      <c r="H16" s="28">
        <v>42016</v>
      </c>
      <c r="I16" s="27"/>
      <c r="J16" s="28">
        <v>42116</v>
      </c>
      <c r="K16" s="27"/>
      <c r="L16" s="27"/>
      <c r="M16" s="28">
        <v>42116</v>
      </c>
      <c r="N16" s="28"/>
      <c r="O16" s="28">
        <v>42192</v>
      </c>
      <c r="P16" s="27"/>
      <c r="Q16" s="28">
        <v>42327</v>
      </c>
      <c r="R16" s="27"/>
      <c r="S16" s="27"/>
      <c r="T16" s="27"/>
      <c r="U16" s="27"/>
      <c r="V16" s="27"/>
      <c r="W16" s="27"/>
      <c r="X16" s="27">
        <v>34.61</v>
      </c>
      <c r="Y16" s="27">
        <v>9.56</v>
      </c>
      <c r="Z16" s="27"/>
      <c r="AA16" s="27">
        <v>1.79</v>
      </c>
      <c r="AB16" s="27">
        <v>6.68</v>
      </c>
      <c r="AC16" s="27"/>
      <c r="AD16" s="27">
        <v>28.85</v>
      </c>
      <c r="AE16" s="37">
        <f>AllPlans[[#This Row],[Prep days*]]+AllPlans[[#This Row],[Hearing days*]]+AllPlans[[#This Row],[SV days*]]+AllPlans[[#This Row],[Travel days]]+AllPlans[[#This Row],[Reptg days*]]</f>
        <v>81.490000000000009</v>
      </c>
      <c r="AF16" s="27"/>
      <c r="AG16" s="28">
        <v>42612</v>
      </c>
      <c r="AH16" s="27"/>
      <c r="AI16" s="28">
        <v>42577</v>
      </c>
      <c r="AJ16" s="27"/>
      <c r="AK16" s="28">
        <v>42598</v>
      </c>
      <c r="AL16" s="27"/>
      <c r="AM16" s="28">
        <v>42599</v>
      </c>
      <c r="AN16" s="27"/>
      <c r="AO16" s="28">
        <v>42604</v>
      </c>
      <c r="AP16" s="27"/>
      <c r="AQ16" s="28">
        <v>42642</v>
      </c>
      <c r="AR16" s="27"/>
      <c r="AS16" s="28"/>
      <c r="AT16" s="27" t="s">
        <v>112</v>
      </c>
      <c r="AU16" s="27" t="s">
        <v>59</v>
      </c>
      <c r="AV16" s="40">
        <v>69.714285714285708</v>
      </c>
      <c r="AW16" s="39">
        <f t="shared" si="0"/>
        <v>39.571428571428569</v>
      </c>
      <c r="AX16" s="27"/>
      <c r="AY16" s="40" t="s">
        <v>113</v>
      </c>
      <c r="AZ16" s="41" t="str">
        <f t="shared" si="1"/>
        <v>Apr 15</v>
      </c>
      <c r="BA16" s="41" t="str">
        <f t="shared" si="2"/>
        <v>Aug 16</v>
      </c>
    </row>
    <row r="17" spans="1:53" ht="14" x14ac:dyDescent="0.15">
      <c r="A17" s="35" t="s">
        <v>53</v>
      </c>
      <c r="B17" s="35">
        <v>1639</v>
      </c>
      <c r="C17" s="27" t="s">
        <v>104</v>
      </c>
      <c r="D17" s="27" t="s">
        <v>114</v>
      </c>
      <c r="E17" s="27" t="s">
        <v>115</v>
      </c>
      <c r="F17" s="27" t="s">
        <v>80</v>
      </c>
      <c r="G17" s="27">
        <v>3</v>
      </c>
      <c r="H17" s="28">
        <v>42009</v>
      </c>
      <c r="I17" s="27"/>
      <c r="J17" s="28">
        <v>42160</v>
      </c>
      <c r="K17" s="27"/>
      <c r="L17" s="27"/>
      <c r="M17" s="28">
        <v>42160</v>
      </c>
      <c r="N17" s="28"/>
      <c r="O17" s="28">
        <v>42290</v>
      </c>
      <c r="P17" s="27"/>
      <c r="Q17" s="28">
        <v>42293</v>
      </c>
      <c r="R17" s="27"/>
      <c r="S17" s="27"/>
      <c r="T17" s="27"/>
      <c r="U17" s="27"/>
      <c r="V17" s="27"/>
      <c r="W17" s="27"/>
      <c r="X17" s="27">
        <v>20.5</v>
      </c>
      <c r="Y17" s="27">
        <v>3.5</v>
      </c>
      <c r="Z17" s="27"/>
      <c r="AA17" s="27"/>
      <c r="AB17" s="27">
        <v>1</v>
      </c>
      <c r="AC17" s="27"/>
      <c r="AD17" s="27">
        <v>10</v>
      </c>
      <c r="AE17" s="37">
        <f>AllPlans[[#This Row],[Prep days*]]+AllPlans[[#This Row],[Hearing days*]]+AllPlans[[#This Row],[SV days*]]+AllPlans[[#This Row],[Travel days]]+AllPlans[[#This Row],[Reptg days*]]</f>
        <v>35</v>
      </c>
      <c r="AF17" s="27"/>
      <c r="AG17" s="28">
        <v>42408</v>
      </c>
      <c r="AH17" s="27"/>
      <c r="AI17" s="28">
        <v>42395</v>
      </c>
      <c r="AJ17" s="27"/>
      <c r="AK17" s="28">
        <v>42398</v>
      </c>
      <c r="AL17" s="27"/>
      <c r="AM17" s="28">
        <v>42398</v>
      </c>
      <c r="AN17" s="27"/>
      <c r="AO17" s="28">
        <v>42422</v>
      </c>
      <c r="AP17" s="27"/>
      <c r="AQ17" s="28">
        <v>42500</v>
      </c>
      <c r="AR17" s="27"/>
      <c r="AS17" s="28"/>
      <c r="AT17" s="27"/>
      <c r="AU17" s="27" t="s">
        <v>59</v>
      </c>
      <c r="AV17" s="40">
        <v>37.428571428571431</v>
      </c>
      <c r="AW17" s="39">
        <f t="shared" si="0"/>
        <v>18.428571428571427</v>
      </c>
      <c r="AX17" s="27"/>
      <c r="AY17" s="40" t="s">
        <v>116</v>
      </c>
      <c r="AZ17" s="41" t="str">
        <f t="shared" si="1"/>
        <v>Jun 15</v>
      </c>
      <c r="BA17" s="41" t="str">
        <f t="shared" si="2"/>
        <v>Feb 16</v>
      </c>
    </row>
    <row r="18" spans="1:53" ht="14" x14ac:dyDescent="0.15">
      <c r="A18" s="35" t="s">
        <v>53</v>
      </c>
      <c r="B18" s="35">
        <v>1042</v>
      </c>
      <c r="C18" s="27" t="s">
        <v>61</v>
      </c>
      <c r="D18" s="27" t="s">
        <v>117</v>
      </c>
      <c r="E18" s="27" t="s">
        <v>118</v>
      </c>
      <c r="F18" s="27" t="s">
        <v>107</v>
      </c>
      <c r="G18" s="27">
        <v>3</v>
      </c>
      <c r="H18" s="28">
        <v>42044</v>
      </c>
      <c r="I18" s="27"/>
      <c r="J18" s="28">
        <v>42163</v>
      </c>
      <c r="K18" s="27"/>
      <c r="L18" s="27"/>
      <c r="M18" s="28">
        <v>42163</v>
      </c>
      <c r="N18" s="28"/>
      <c r="O18" s="28">
        <v>42318</v>
      </c>
      <c r="P18" s="27"/>
      <c r="Q18" s="28">
        <v>42347</v>
      </c>
      <c r="R18" s="27"/>
      <c r="S18" s="27"/>
      <c r="T18" s="27"/>
      <c r="U18" s="27"/>
      <c r="V18" s="27"/>
      <c r="W18" s="27"/>
      <c r="X18" s="27">
        <v>30.5</v>
      </c>
      <c r="Y18" s="27">
        <v>7.24</v>
      </c>
      <c r="Z18" s="27"/>
      <c r="AA18" s="27">
        <v>2.13</v>
      </c>
      <c r="AB18" s="27">
        <v>4.3600000000000003</v>
      </c>
      <c r="AC18" s="27"/>
      <c r="AD18" s="27">
        <v>15.16</v>
      </c>
      <c r="AE18" s="37">
        <f>AllPlans[[#This Row],[Prep days*]]+AllPlans[[#This Row],[Hearing days*]]+AllPlans[[#This Row],[SV days*]]+AllPlans[[#This Row],[Travel days]]+AllPlans[[#This Row],[Reptg days*]]</f>
        <v>59.39</v>
      </c>
      <c r="AF18" s="27"/>
      <c r="AG18" s="28">
        <v>42521</v>
      </c>
      <c r="AH18" s="27"/>
      <c r="AI18" s="28">
        <v>42501</v>
      </c>
      <c r="AJ18" s="27"/>
      <c r="AK18" s="28">
        <v>42517</v>
      </c>
      <c r="AL18" s="27"/>
      <c r="AM18" s="28">
        <v>42517</v>
      </c>
      <c r="AN18" s="27"/>
      <c r="AO18" s="28">
        <v>42530</v>
      </c>
      <c r="AP18" s="27"/>
      <c r="AQ18" s="28">
        <v>42571</v>
      </c>
      <c r="AR18" s="27"/>
      <c r="AS18" s="28"/>
      <c r="AT18" s="27"/>
      <c r="AU18" s="27" t="s">
        <v>59</v>
      </c>
      <c r="AV18" s="40">
        <v>52.428571428571431</v>
      </c>
      <c r="AW18" s="39">
        <f t="shared" si="0"/>
        <v>26.142857142857142</v>
      </c>
      <c r="AX18" s="27"/>
      <c r="AY18" s="40" t="s">
        <v>119</v>
      </c>
      <c r="AZ18" s="41" t="str">
        <f t="shared" si="1"/>
        <v>Jun 15</v>
      </c>
      <c r="BA18" s="41" t="str">
        <f t="shared" si="2"/>
        <v>Jun 16</v>
      </c>
    </row>
    <row r="19" spans="1:53" ht="14" x14ac:dyDescent="0.15">
      <c r="A19" s="35" t="s">
        <v>53</v>
      </c>
      <c r="B19" s="35">
        <v>1657</v>
      </c>
      <c r="C19" s="27" t="s">
        <v>83</v>
      </c>
      <c r="D19" s="27" t="s">
        <v>120</v>
      </c>
      <c r="E19" s="27" t="s">
        <v>121</v>
      </c>
      <c r="F19" s="27" t="s">
        <v>57</v>
      </c>
      <c r="G19" s="27">
        <v>3</v>
      </c>
      <c r="H19" s="28">
        <v>42067</v>
      </c>
      <c r="I19" s="27"/>
      <c r="J19" s="28">
        <v>42174</v>
      </c>
      <c r="K19" s="27"/>
      <c r="L19" s="27"/>
      <c r="M19" s="28">
        <v>42177</v>
      </c>
      <c r="N19" s="28"/>
      <c r="O19" s="28">
        <v>42339</v>
      </c>
      <c r="P19" s="27"/>
      <c r="Q19" s="28">
        <v>42389</v>
      </c>
      <c r="R19" s="27"/>
      <c r="S19" s="27"/>
      <c r="T19" s="27"/>
      <c r="U19" s="27"/>
      <c r="V19" s="27"/>
      <c r="W19" s="27"/>
      <c r="X19" s="27">
        <v>20.02</v>
      </c>
      <c r="Y19" s="27">
        <v>3.64</v>
      </c>
      <c r="Z19" s="27"/>
      <c r="AA19" s="27"/>
      <c r="AB19" s="27">
        <v>1.88</v>
      </c>
      <c r="AC19" s="27"/>
      <c r="AD19" s="27">
        <v>33.380000000000003</v>
      </c>
      <c r="AE19" s="37">
        <f>AllPlans[[#This Row],[Prep days*]]+AllPlans[[#This Row],[Hearing days*]]+AllPlans[[#This Row],[SV days*]]+AllPlans[[#This Row],[Travel days]]+AllPlans[[#This Row],[Reptg days*]]</f>
        <v>58.92</v>
      </c>
      <c r="AF19" s="27"/>
      <c r="AG19" s="28">
        <v>42550</v>
      </c>
      <c r="AH19" s="27"/>
      <c r="AI19" s="28">
        <v>42528</v>
      </c>
      <c r="AJ19" s="27"/>
      <c r="AK19" s="28">
        <v>42544</v>
      </c>
      <c r="AL19" s="27"/>
      <c r="AM19" s="28">
        <v>42544</v>
      </c>
      <c r="AN19" s="27"/>
      <c r="AO19" s="28">
        <v>42576</v>
      </c>
      <c r="AP19" s="27"/>
      <c r="AQ19" s="28">
        <v>42682</v>
      </c>
      <c r="AR19" s="27"/>
      <c r="AS19" s="28"/>
      <c r="AT19" s="27"/>
      <c r="AU19" s="27" t="s">
        <v>59</v>
      </c>
      <c r="AV19" s="40">
        <v>57.428571428571431</v>
      </c>
      <c r="AW19" s="39">
        <f t="shared" si="0"/>
        <v>26.714285714285715</v>
      </c>
      <c r="AX19" s="27"/>
      <c r="AY19" s="40" t="s">
        <v>122</v>
      </c>
      <c r="AZ19" s="41" t="str">
        <f t="shared" si="1"/>
        <v>Jun 15</v>
      </c>
      <c r="BA19" s="41" t="str">
        <f t="shared" si="2"/>
        <v>Jul 16</v>
      </c>
    </row>
    <row r="20" spans="1:53" ht="14" x14ac:dyDescent="0.15">
      <c r="A20" s="35" t="s">
        <v>53</v>
      </c>
      <c r="B20" s="35">
        <v>1668</v>
      </c>
      <c r="C20" s="27" t="s">
        <v>61</v>
      </c>
      <c r="D20" s="27" t="s">
        <v>123</v>
      </c>
      <c r="E20" s="27" t="s">
        <v>124</v>
      </c>
      <c r="F20" s="27" t="s">
        <v>107</v>
      </c>
      <c r="G20" s="27">
        <v>3</v>
      </c>
      <c r="H20" s="28">
        <v>42104</v>
      </c>
      <c r="I20" s="27"/>
      <c r="J20" s="28">
        <v>42194</v>
      </c>
      <c r="K20" s="27"/>
      <c r="L20" s="27"/>
      <c r="M20" s="28">
        <v>42195</v>
      </c>
      <c r="N20" s="28"/>
      <c r="O20" s="28">
        <v>42304</v>
      </c>
      <c r="P20" s="27"/>
      <c r="Q20" s="28">
        <v>42307</v>
      </c>
      <c r="R20" s="27"/>
      <c r="S20" s="27"/>
      <c r="T20" s="27"/>
      <c r="U20" s="27"/>
      <c r="V20" s="27"/>
      <c r="W20" s="27"/>
      <c r="X20" s="27">
        <v>16.7</v>
      </c>
      <c r="Y20" s="27">
        <v>3.78</v>
      </c>
      <c r="Z20" s="27"/>
      <c r="AA20" s="27"/>
      <c r="AB20" s="27">
        <v>0.94</v>
      </c>
      <c r="AC20" s="27"/>
      <c r="AD20" s="27">
        <v>12.16</v>
      </c>
      <c r="AE20" s="37">
        <f>AllPlans[[#This Row],[Prep days*]]+AllPlans[[#This Row],[Hearing days*]]+AllPlans[[#This Row],[SV days*]]+AllPlans[[#This Row],[Travel days]]+AllPlans[[#This Row],[Reptg days*]]</f>
        <v>33.58</v>
      </c>
      <c r="AF20" s="27"/>
      <c r="AG20" s="28">
        <v>42419</v>
      </c>
      <c r="AH20" s="27"/>
      <c r="AI20" s="28">
        <v>42398</v>
      </c>
      <c r="AJ20" s="27"/>
      <c r="AK20" s="28">
        <v>42409</v>
      </c>
      <c r="AL20" s="27"/>
      <c r="AM20" s="28">
        <v>42410</v>
      </c>
      <c r="AN20" s="27"/>
      <c r="AO20" s="28">
        <v>42415</v>
      </c>
      <c r="AP20" s="27"/>
      <c r="AQ20" s="28">
        <v>42467</v>
      </c>
      <c r="AR20" s="27"/>
      <c r="AS20" s="28"/>
      <c r="AT20" s="27"/>
      <c r="AU20" s="27" t="s">
        <v>59</v>
      </c>
      <c r="AV20" s="40">
        <v>33.857142857142854</v>
      </c>
      <c r="AW20" s="39">
        <f t="shared" si="0"/>
        <v>15.428571428571429</v>
      </c>
      <c r="AX20" s="27"/>
      <c r="AY20" s="40" t="s">
        <v>125</v>
      </c>
      <c r="AZ20" s="41" t="str">
        <f t="shared" si="1"/>
        <v>Jul 15</v>
      </c>
      <c r="BA20" s="41" t="str">
        <f t="shared" si="2"/>
        <v>Feb 16</v>
      </c>
    </row>
    <row r="21" spans="1:53" ht="14" x14ac:dyDescent="0.15">
      <c r="A21" s="35" t="s">
        <v>53</v>
      </c>
      <c r="B21" s="35">
        <v>1518</v>
      </c>
      <c r="C21" s="27" t="s">
        <v>90</v>
      </c>
      <c r="D21" s="27" t="s">
        <v>126</v>
      </c>
      <c r="E21" s="27" t="s">
        <v>127</v>
      </c>
      <c r="F21" s="27" t="s">
        <v>102</v>
      </c>
      <c r="G21" s="27">
        <v>2</v>
      </c>
      <c r="H21" s="28">
        <v>41690</v>
      </c>
      <c r="I21" s="27"/>
      <c r="J21" s="28">
        <v>42194</v>
      </c>
      <c r="K21" s="27"/>
      <c r="L21" s="27"/>
      <c r="M21" s="28">
        <v>42194</v>
      </c>
      <c r="N21" s="28"/>
      <c r="O21" s="28">
        <v>42319</v>
      </c>
      <c r="P21" s="27"/>
      <c r="Q21" s="28">
        <v>42321</v>
      </c>
      <c r="R21" s="27"/>
      <c r="S21" s="27"/>
      <c r="T21" s="27"/>
      <c r="U21" s="27"/>
      <c r="V21" s="27"/>
      <c r="W21" s="27"/>
      <c r="X21" s="27">
        <v>20.079999999999998</v>
      </c>
      <c r="Y21" s="27">
        <v>3</v>
      </c>
      <c r="Z21" s="27"/>
      <c r="AA21" s="27">
        <v>2.4300000000000002</v>
      </c>
      <c r="AB21" s="27">
        <v>2.56</v>
      </c>
      <c r="AC21" s="27"/>
      <c r="AD21" s="27">
        <v>19.61</v>
      </c>
      <c r="AE21" s="37">
        <f>AllPlans[[#This Row],[Prep days*]]+AllPlans[[#This Row],[Hearing days*]]+AllPlans[[#This Row],[SV days*]]+AllPlans[[#This Row],[Travel days]]+AllPlans[[#This Row],[Reptg days*]]</f>
        <v>47.679999999999993</v>
      </c>
      <c r="AF21" s="27"/>
      <c r="AG21" s="28">
        <v>42426</v>
      </c>
      <c r="AH21" s="27"/>
      <c r="AI21" s="28">
        <v>42409</v>
      </c>
      <c r="AJ21" s="27"/>
      <c r="AK21" s="28">
        <v>42423</v>
      </c>
      <c r="AL21" s="27"/>
      <c r="AM21" s="28">
        <v>42423</v>
      </c>
      <c r="AN21" s="27"/>
      <c r="AO21" s="28">
        <v>42431</v>
      </c>
      <c r="AP21" s="27"/>
      <c r="AQ21" s="28">
        <v>42500</v>
      </c>
      <c r="AR21" s="27"/>
      <c r="AS21" s="28"/>
      <c r="AT21" s="27"/>
      <c r="AU21" s="27" t="s">
        <v>59</v>
      </c>
      <c r="AV21" s="40">
        <v>31.571428571428573</v>
      </c>
      <c r="AW21" s="39">
        <f t="shared" si="0"/>
        <v>15.714285714285714</v>
      </c>
      <c r="AX21" s="27"/>
      <c r="AY21" s="40" t="s">
        <v>128</v>
      </c>
      <c r="AZ21" s="41" t="str">
        <f t="shared" si="1"/>
        <v>Jul 15</v>
      </c>
      <c r="BA21" s="41" t="str">
        <f t="shared" si="2"/>
        <v>Mar 16</v>
      </c>
    </row>
    <row r="22" spans="1:53" ht="14" x14ac:dyDescent="0.15">
      <c r="A22" s="35" t="s">
        <v>53</v>
      </c>
      <c r="B22" s="35">
        <v>1640</v>
      </c>
      <c r="C22" s="27" t="s">
        <v>67</v>
      </c>
      <c r="D22" s="27" t="s">
        <v>129</v>
      </c>
      <c r="E22" s="27" t="s">
        <v>130</v>
      </c>
      <c r="F22" s="27"/>
      <c r="G22" s="27">
        <v>3</v>
      </c>
      <c r="H22" s="28">
        <v>42019</v>
      </c>
      <c r="I22" s="27"/>
      <c r="J22" s="28">
        <v>42198</v>
      </c>
      <c r="K22" s="27"/>
      <c r="L22" s="27"/>
      <c r="M22" s="28">
        <v>42198</v>
      </c>
      <c r="N22" s="28"/>
      <c r="O22" s="28">
        <v>42339</v>
      </c>
      <c r="P22" s="27"/>
      <c r="Q22" s="28">
        <v>42465</v>
      </c>
      <c r="R22" s="27"/>
      <c r="S22" s="27"/>
      <c r="T22" s="27"/>
      <c r="U22" s="27"/>
      <c r="V22" s="27"/>
      <c r="W22" s="27"/>
      <c r="X22" s="27">
        <v>19.86</v>
      </c>
      <c r="Y22" s="27">
        <v>4.42</v>
      </c>
      <c r="Z22" s="27"/>
      <c r="AA22" s="27">
        <v>1.1399999999999999</v>
      </c>
      <c r="AB22" s="27">
        <v>1.53</v>
      </c>
      <c r="AC22" s="27"/>
      <c r="AD22" s="27">
        <v>16.28</v>
      </c>
      <c r="AE22" s="37">
        <f>AllPlans[[#This Row],[Prep days*]]+AllPlans[[#This Row],[Hearing days*]]+AllPlans[[#This Row],[SV days*]]+AllPlans[[#This Row],[Travel days]]+AllPlans[[#This Row],[Reptg days*]]</f>
        <v>43.230000000000004</v>
      </c>
      <c r="AF22" s="27"/>
      <c r="AG22" s="28">
        <v>42674</v>
      </c>
      <c r="AH22" s="27"/>
      <c r="AI22" s="28">
        <v>42654</v>
      </c>
      <c r="AJ22" s="27"/>
      <c r="AK22" s="28">
        <v>42667</v>
      </c>
      <c r="AL22" s="27"/>
      <c r="AM22" s="28">
        <v>42667</v>
      </c>
      <c r="AN22" s="27"/>
      <c r="AO22" s="28">
        <v>42691</v>
      </c>
      <c r="AP22" s="27"/>
      <c r="AQ22" s="28">
        <v>42717</v>
      </c>
      <c r="AR22" s="27"/>
      <c r="AS22" s="28"/>
      <c r="AT22" s="27"/>
      <c r="AU22" s="27" t="s">
        <v>59</v>
      </c>
      <c r="AV22" s="40">
        <v>70.428571428571431</v>
      </c>
      <c r="AW22" s="39">
        <f t="shared" si="0"/>
        <v>32.285714285714285</v>
      </c>
      <c r="AX22" s="27"/>
      <c r="AY22" s="40" t="s">
        <v>131</v>
      </c>
      <c r="AZ22" s="41" t="str">
        <f t="shared" si="1"/>
        <v>Jul 15</v>
      </c>
      <c r="BA22" s="41" t="str">
        <f t="shared" si="2"/>
        <v>Nov 16</v>
      </c>
    </row>
    <row r="23" spans="1:53" ht="14" x14ac:dyDescent="0.15">
      <c r="A23" s="35" t="s">
        <v>53</v>
      </c>
      <c r="B23" s="35">
        <v>928</v>
      </c>
      <c r="C23" s="27" t="s">
        <v>61</v>
      </c>
      <c r="D23" s="27" t="s">
        <v>132</v>
      </c>
      <c r="E23" s="27" t="s">
        <v>56</v>
      </c>
      <c r="F23" s="27" t="s">
        <v>57</v>
      </c>
      <c r="G23" s="27">
        <v>3</v>
      </c>
      <c r="H23" s="28">
        <v>42090</v>
      </c>
      <c r="I23" s="27"/>
      <c r="J23" s="28">
        <v>42199</v>
      </c>
      <c r="K23" s="27"/>
      <c r="L23" s="27"/>
      <c r="M23" s="28">
        <v>42199</v>
      </c>
      <c r="N23" s="28"/>
      <c r="O23" s="28">
        <v>42283</v>
      </c>
      <c r="P23" s="27"/>
      <c r="Q23" s="28">
        <v>42936</v>
      </c>
      <c r="R23" s="27"/>
      <c r="S23" s="27"/>
      <c r="T23" s="27"/>
      <c r="U23" s="27"/>
      <c r="V23" s="27"/>
      <c r="W23" s="27"/>
      <c r="X23" s="27">
        <v>58.77</v>
      </c>
      <c r="Y23" s="27">
        <v>14.56</v>
      </c>
      <c r="Z23" s="27"/>
      <c r="AA23" s="27">
        <v>5.31</v>
      </c>
      <c r="AB23" s="27">
        <v>9.07</v>
      </c>
      <c r="AC23" s="27"/>
      <c r="AD23" s="27">
        <v>62.93</v>
      </c>
      <c r="AE23" s="37">
        <f>AllPlans[[#This Row],[Prep days*]]+AllPlans[[#This Row],[Hearing days*]]+AllPlans[[#This Row],[SV days*]]+AllPlans[[#This Row],[Travel days]]+AllPlans[[#This Row],[Reptg days*]]</f>
        <v>150.64000000000001</v>
      </c>
      <c r="AF23" s="27"/>
      <c r="AG23" s="28">
        <v>43334</v>
      </c>
      <c r="AH23" s="27"/>
      <c r="AI23" s="28">
        <v>43307</v>
      </c>
      <c r="AJ23" s="27"/>
      <c r="AK23" s="28">
        <v>43332</v>
      </c>
      <c r="AL23" s="27"/>
      <c r="AM23" s="28">
        <v>43332</v>
      </c>
      <c r="AN23" s="27"/>
      <c r="AO23" s="28">
        <v>43336</v>
      </c>
      <c r="AP23" s="27"/>
      <c r="AQ23" s="28">
        <v>43370</v>
      </c>
      <c r="AR23" s="27"/>
      <c r="AS23" s="28"/>
      <c r="AT23" s="27"/>
      <c r="AU23" s="27" t="s">
        <v>59</v>
      </c>
      <c r="AV23" s="40">
        <f>SUM(AO23-J23)/7</f>
        <v>162.42857142857142</v>
      </c>
      <c r="AW23" s="39">
        <f t="shared" si="0"/>
        <v>57.142857142857146</v>
      </c>
      <c r="AX23" s="27"/>
      <c r="AY23" s="40" t="s">
        <v>133</v>
      </c>
      <c r="AZ23" s="41" t="str">
        <f t="shared" si="1"/>
        <v>Jul 15</v>
      </c>
      <c r="BA23" s="41" t="str">
        <f t="shared" si="2"/>
        <v>Aug 18</v>
      </c>
    </row>
    <row r="24" spans="1:53" ht="14" x14ac:dyDescent="0.15">
      <c r="A24" s="35" t="s">
        <v>53</v>
      </c>
      <c r="B24" s="35">
        <v>1675</v>
      </c>
      <c r="C24" s="27" t="s">
        <v>67</v>
      </c>
      <c r="D24" s="27" t="s">
        <v>134</v>
      </c>
      <c r="E24" s="27" t="s">
        <v>135</v>
      </c>
      <c r="F24" s="27" t="s">
        <v>136</v>
      </c>
      <c r="G24" s="27">
        <v>2</v>
      </c>
      <c r="H24" s="28">
        <v>42051</v>
      </c>
      <c r="I24" s="27"/>
      <c r="J24" s="28">
        <v>42207</v>
      </c>
      <c r="K24" s="27"/>
      <c r="L24" s="27"/>
      <c r="M24" s="28">
        <v>42207</v>
      </c>
      <c r="N24" s="28"/>
      <c r="O24" s="28">
        <v>42311</v>
      </c>
      <c r="P24" s="27"/>
      <c r="Q24" s="28">
        <v>42312</v>
      </c>
      <c r="R24" s="27"/>
      <c r="S24" s="27"/>
      <c r="T24" s="27"/>
      <c r="U24" s="27"/>
      <c r="V24" s="27"/>
      <c r="W24" s="27"/>
      <c r="X24" s="27">
        <v>9.57</v>
      </c>
      <c r="Y24" s="27">
        <v>1.49</v>
      </c>
      <c r="Z24" s="27"/>
      <c r="AA24" s="27"/>
      <c r="AB24" s="27">
        <v>1.25</v>
      </c>
      <c r="AC24" s="27"/>
      <c r="AD24" s="27">
        <v>11.69</v>
      </c>
      <c r="AE24" s="37">
        <f>AllPlans[[#This Row],[Prep days*]]+AllPlans[[#This Row],[Hearing days*]]+AllPlans[[#This Row],[SV days*]]+AllPlans[[#This Row],[Travel days]]+AllPlans[[#This Row],[Reptg days*]]</f>
        <v>24</v>
      </c>
      <c r="AF24" s="27"/>
      <c r="AG24" s="28">
        <v>42482</v>
      </c>
      <c r="AH24" s="27"/>
      <c r="AI24" s="28">
        <v>42471</v>
      </c>
      <c r="AJ24" s="27"/>
      <c r="AK24" s="28">
        <v>42481</v>
      </c>
      <c r="AL24" s="27"/>
      <c r="AM24" s="28">
        <v>42481</v>
      </c>
      <c r="AN24" s="27"/>
      <c r="AO24" s="28">
        <v>42486</v>
      </c>
      <c r="AP24" s="27"/>
      <c r="AQ24" s="28">
        <v>42570</v>
      </c>
      <c r="AR24" s="27"/>
      <c r="AS24" s="28"/>
      <c r="AT24" s="27"/>
      <c r="AU24" s="27" t="s">
        <v>59</v>
      </c>
      <c r="AV24" s="40">
        <v>39.857142857142854</v>
      </c>
      <c r="AW24" s="39">
        <f t="shared" si="0"/>
        <v>24.857142857142858</v>
      </c>
      <c r="AX24" s="27"/>
      <c r="AY24" s="40" t="s">
        <v>137</v>
      </c>
      <c r="AZ24" s="41" t="str">
        <f t="shared" si="1"/>
        <v>Jul 15</v>
      </c>
      <c r="BA24" s="41" t="str">
        <f t="shared" si="2"/>
        <v>Apr 16</v>
      </c>
    </row>
    <row r="25" spans="1:53" ht="14" x14ac:dyDescent="0.15">
      <c r="A25" s="35" t="s">
        <v>53</v>
      </c>
      <c r="B25" s="35">
        <v>1367</v>
      </c>
      <c r="C25" s="27" t="s">
        <v>104</v>
      </c>
      <c r="D25" s="27" t="s">
        <v>138</v>
      </c>
      <c r="E25" s="27" t="s">
        <v>139</v>
      </c>
      <c r="F25" s="27" t="s">
        <v>57</v>
      </c>
      <c r="G25" s="27">
        <v>3</v>
      </c>
      <c r="H25" s="28">
        <v>42030</v>
      </c>
      <c r="I25" s="27"/>
      <c r="J25" s="28">
        <v>42216</v>
      </c>
      <c r="K25" s="27"/>
      <c r="L25" s="27"/>
      <c r="M25" s="28">
        <v>42216</v>
      </c>
      <c r="N25" s="28"/>
      <c r="O25" s="28">
        <v>42325</v>
      </c>
      <c r="P25" s="27"/>
      <c r="Q25" s="28">
        <v>42335</v>
      </c>
      <c r="R25" s="27"/>
      <c r="S25" s="27"/>
      <c r="T25" s="27"/>
      <c r="U25" s="27"/>
      <c r="V25" s="27"/>
      <c r="W25" s="27"/>
      <c r="X25" s="27">
        <v>28</v>
      </c>
      <c r="Y25" s="27">
        <v>7.56</v>
      </c>
      <c r="Z25" s="27"/>
      <c r="AA25" s="27"/>
      <c r="AB25" s="27">
        <v>1.99</v>
      </c>
      <c r="AC25" s="27"/>
      <c r="AD25" s="27">
        <v>31.5</v>
      </c>
      <c r="AE25" s="37">
        <f>AllPlans[[#This Row],[Prep days*]]+AllPlans[[#This Row],[Hearing days*]]+AllPlans[[#This Row],[SV days*]]+AllPlans[[#This Row],[Travel days]]+AllPlans[[#This Row],[Reptg days*]]</f>
        <v>69.050000000000011</v>
      </c>
      <c r="AF25" s="27"/>
      <c r="AG25" s="28">
        <v>42524</v>
      </c>
      <c r="AH25" s="27"/>
      <c r="AI25" s="28">
        <v>42510</v>
      </c>
      <c r="AJ25" s="27"/>
      <c r="AK25" s="28">
        <v>42521</v>
      </c>
      <c r="AL25" s="27"/>
      <c r="AM25" s="28">
        <v>42522</v>
      </c>
      <c r="AN25" s="27"/>
      <c r="AO25" s="28">
        <v>42543</v>
      </c>
      <c r="AP25" s="27"/>
      <c r="AQ25" s="28">
        <v>42565</v>
      </c>
      <c r="AR25" s="27"/>
      <c r="AS25" s="28"/>
      <c r="AT25" s="27"/>
      <c r="AU25" s="27" t="s">
        <v>59</v>
      </c>
      <c r="AV25" s="40">
        <v>46.714285714285715</v>
      </c>
      <c r="AW25" s="39">
        <f t="shared" si="0"/>
        <v>29.714285714285715</v>
      </c>
      <c r="AX25" s="27"/>
      <c r="AY25" s="40" t="s">
        <v>140</v>
      </c>
      <c r="AZ25" s="41" t="str">
        <f t="shared" si="1"/>
        <v>Jul 15</v>
      </c>
      <c r="BA25" s="41" t="str">
        <f t="shared" si="2"/>
        <v>Jun 16</v>
      </c>
    </row>
    <row r="26" spans="1:53" ht="14" x14ac:dyDescent="0.15">
      <c r="A26" s="35" t="s">
        <v>53</v>
      </c>
      <c r="B26" s="35">
        <v>1647</v>
      </c>
      <c r="C26" s="27" t="s">
        <v>67</v>
      </c>
      <c r="D26" s="27" t="s">
        <v>141</v>
      </c>
      <c r="E26" s="27" t="s">
        <v>56</v>
      </c>
      <c r="F26" s="27" t="s">
        <v>57</v>
      </c>
      <c r="G26" s="27">
        <v>3</v>
      </c>
      <c r="H26" s="28">
        <v>42045</v>
      </c>
      <c r="I26" s="27"/>
      <c r="J26" s="28">
        <v>42216</v>
      </c>
      <c r="K26" s="27"/>
      <c r="L26" s="27"/>
      <c r="M26" s="28">
        <v>42216</v>
      </c>
      <c r="N26" s="28"/>
      <c r="O26" s="28">
        <v>42443</v>
      </c>
      <c r="P26" s="27"/>
      <c r="Q26" s="28">
        <v>42451</v>
      </c>
      <c r="R26" s="27"/>
      <c r="S26" s="27"/>
      <c r="T26" s="27"/>
      <c r="U26" s="27"/>
      <c r="V26" s="27"/>
      <c r="W26" s="27"/>
      <c r="X26" s="27">
        <v>29.66</v>
      </c>
      <c r="Y26" s="27">
        <v>4.04</v>
      </c>
      <c r="Z26" s="27"/>
      <c r="AA26" s="27"/>
      <c r="AB26" s="27">
        <v>1.08</v>
      </c>
      <c r="AC26" s="27"/>
      <c r="AD26" s="27">
        <v>13.91</v>
      </c>
      <c r="AE26" s="37">
        <f>AllPlans[[#This Row],[Prep days*]]+AllPlans[[#This Row],[Hearing days*]]+AllPlans[[#This Row],[SV days*]]+AllPlans[[#This Row],[Travel days]]+AllPlans[[#This Row],[Reptg days*]]</f>
        <v>48.69</v>
      </c>
      <c r="AF26" s="27"/>
      <c r="AG26" s="28">
        <v>42615</v>
      </c>
      <c r="AH26" s="27"/>
      <c r="AI26" s="28">
        <v>42598</v>
      </c>
      <c r="AJ26" s="27"/>
      <c r="AK26" s="28">
        <v>42612</v>
      </c>
      <c r="AL26" s="27"/>
      <c r="AM26" s="28">
        <v>42612</v>
      </c>
      <c r="AN26" s="27"/>
      <c r="AO26" s="28">
        <v>42627</v>
      </c>
      <c r="AP26" s="27"/>
      <c r="AQ26" s="28">
        <v>42697</v>
      </c>
      <c r="AR26" s="27"/>
      <c r="AS26" s="28"/>
      <c r="AT26" s="27"/>
      <c r="AU26" s="27" t="s">
        <v>59</v>
      </c>
      <c r="AV26" s="40">
        <v>58.714285714285715</v>
      </c>
      <c r="AW26" s="39">
        <f t="shared" si="0"/>
        <v>25.142857142857142</v>
      </c>
      <c r="AX26" s="27"/>
      <c r="AY26" s="40" t="s">
        <v>142</v>
      </c>
      <c r="AZ26" s="41" t="str">
        <f t="shared" si="1"/>
        <v>Jul 15</v>
      </c>
      <c r="BA26" s="41" t="str">
        <f t="shared" si="2"/>
        <v>Sep 16</v>
      </c>
    </row>
    <row r="27" spans="1:53" ht="14" x14ac:dyDescent="0.15">
      <c r="A27" s="35" t="s">
        <v>53</v>
      </c>
      <c r="B27" s="35">
        <v>1661</v>
      </c>
      <c r="C27" s="27" t="s">
        <v>67</v>
      </c>
      <c r="D27" s="27" t="s">
        <v>143</v>
      </c>
      <c r="E27" s="27" t="s">
        <v>144</v>
      </c>
      <c r="F27" s="27" t="s">
        <v>74</v>
      </c>
      <c r="G27" s="27">
        <v>3</v>
      </c>
      <c r="H27" s="28">
        <v>42058</v>
      </c>
      <c r="I27" s="27"/>
      <c r="J27" s="28">
        <v>42216</v>
      </c>
      <c r="K27" s="27"/>
      <c r="L27" s="27"/>
      <c r="M27" s="28">
        <v>42216</v>
      </c>
      <c r="N27" s="28"/>
      <c r="O27" s="28">
        <v>42640</v>
      </c>
      <c r="P27" s="27"/>
      <c r="Q27" s="28">
        <v>42647</v>
      </c>
      <c r="R27" s="27"/>
      <c r="S27" s="27"/>
      <c r="T27" s="27"/>
      <c r="U27" s="27"/>
      <c r="V27" s="27"/>
      <c r="W27" s="27"/>
      <c r="X27" s="27">
        <v>48.38</v>
      </c>
      <c r="Y27" s="27">
        <v>8.69</v>
      </c>
      <c r="Z27" s="27"/>
      <c r="AA27" s="27">
        <v>1.68</v>
      </c>
      <c r="AB27" s="27">
        <v>7.3</v>
      </c>
      <c r="AC27" s="27"/>
      <c r="AD27" s="27">
        <v>35</v>
      </c>
      <c r="AE27" s="37">
        <f>AllPlans[[#This Row],[Prep days*]]+AllPlans[[#This Row],[Hearing days*]]+AllPlans[[#This Row],[SV days*]]+AllPlans[[#This Row],[Travel days]]+AllPlans[[#This Row],[Reptg days*]]</f>
        <v>101.05</v>
      </c>
      <c r="AF27" s="27"/>
      <c r="AG27" s="28">
        <v>42773</v>
      </c>
      <c r="AH27" s="27"/>
      <c r="AI27" s="28">
        <v>42752</v>
      </c>
      <c r="AJ27" s="27"/>
      <c r="AK27" s="28">
        <v>42773</v>
      </c>
      <c r="AL27" s="27"/>
      <c r="AM27" s="28">
        <v>42773</v>
      </c>
      <c r="AN27" s="27"/>
      <c r="AO27" s="28">
        <v>42787</v>
      </c>
      <c r="AP27" s="27"/>
      <c r="AQ27" s="28">
        <v>42871</v>
      </c>
      <c r="AR27" s="27"/>
      <c r="AS27" s="28"/>
      <c r="AT27" s="27"/>
      <c r="AU27" s="27" t="s">
        <v>59</v>
      </c>
      <c r="AV27" s="40">
        <v>81.571428571428569</v>
      </c>
      <c r="AW27" s="39">
        <f t="shared" si="0"/>
        <v>20</v>
      </c>
      <c r="AX27" s="27"/>
      <c r="AY27" s="40" t="s">
        <v>145</v>
      </c>
      <c r="AZ27" s="41" t="str">
        <f t="shared" si="1"/>
        <v>Jul 15</v>
      </c>
      <c r="BA27" s="41" t="str">
        <f t="shared" si="2"/>
        <v>Feb 17</v>
      </c>
    </row>
    <row r="28" spans="1:53" ht="42" x14ac:dyDescent="0.15">
      <c r="A28" s="35" t="s">
        <v>53</v>
      </c>
      <c r="B28" s="35">
        <v>1645</v>
      </c>
      <c r="C28" s="27" t="s">
        <v>83</v>
      </c>
      <c r="D28" s="27" t="s">
        <v>146</v>
      </c>
      <c r="E28" s="27" t="s">
        <v>56</v>
      </c>
      <c r="F28" s="27" t="s">
        <v>57</v>
      </c>
      <c r="G28" s="27">
        <v>3</v>
      </c>
      <c r="H28" s="28">
        <v>42034</v>
      </c>
      <c r="I28" s="27"/>
      <c r="J28" s="28">
        <v>42219</v>
      </c>
      <c r="K28" s="27"/>
      <c r="L28" s="27"/>
      <c r="M28" s="28">
        <v>42219</v>
      </c>
      <c r="N28" s="28"/>
      <c r="O28" s="28">
        <v>42325</v>
      </c>
      <c r="P28" s="27"/>
      <c r="Q28" s="28">
        <v>42676</v>
      </c>
      <c r="R28" s="27"/>
      <c r="S28" s="27"/>
      <c r="T28" s="27"/>
      <c r="U28" s="27"/>
      <c r="V28" s="27"/>
      <c r="W28" s="27"/>
      <c r="X28" s="27">
        <v>42.27</v>
      </c>
      <c r="Y28" s="27">
        <v>20.63</v>
      </c>
      <c r="Z28" s="27"/>
      <c r="AA28" s="27">
        <v>6.3</v>
      </c>
      <c r="AB28" s="27">
        <v>6.58</v>
      </c>
      <c r="AC28" s="27"/>
      <c r="AD28" s="27">
        <v>50.1</v>
      </c>
      <c r="AE28" s="37">
        <f>AllPlans[[#This Row],[Prep days*]]+AllPlans[[#This Row],[Hearing days*]]+AllPlans[[#This Row],[SV days*]]+AllPlans[[#This Row],[Travel days]]+AllPlans[[#This Row],[Reptg days*]]</f>
        <v>125.88</v>
      </c>
      <c r="AF28" s="27"/>
      <c r="AG28" s="28">
        <v>42790</v>
      </c>
      <c r="AH28" s="27"/>
      <c r="AI28" s="28">
        <v>42766</v>
      </c>
      <c r="AJ28" s="27"/>
      <c r="AK28" s="28">
        <v>42789</v>
      </c>
      <c r="AL28" s="27"/>
      <c r="AM28" s="28">
        <v>42789</v>
      </c>
      <c r="AN28" s="27"/>
      <c r="AO28" s="28">
        <v>42808</v>
      </c>
      <c r="AP28" s="27"/>
      <c r="AQ28" s="28">
        <v>42845</v>
      </c>
      <c r="AR28" s="27"/>
      <c r="AS28" s="28"/>
      <c r="AT28" s="27"/>
      <c r="AU28" s="27" t="s">
        <v>59</v>
      </c>
      <c r="AV28" s="40">
        <v>84.142857142857139</v>
      </c>
      <c r="AW28" s="39">
        <f t="shared" si="0"/>
        <v>18.857142857142858</v>
      </c>
      <c r="AX28" s="27" t="s">
        <v>147</v>
      </c>
      <c r="AY28" s="40" t="s">
        <v>148</v>
      </c>
      <c r="AZ28" s="41" t="str">
        <f t="shared" si="1"/>
        <v>Aug 15</v>
      </c>
      <c r="BA28" s="41" t="str">
        <f t="shared" si="2"/>
        <v>Mar 17</v>
      </c>
    </row>
    <row r="29" spans="1:53" ht="14" x14ac:dyDescent="0.15">
      <c r="A29" s="35" t="s">
        <v>53</v>
      </c>
      <c r="B29" s="35">
        <v>1596</v>
      </c>
      <c r="C29" s="27" t="s">
        <v>67</v>
      </c>
      <c r="D29" s="27" t="s">
        <v>149</v>
      </c>
      <c r="E29" s="27" t="s">
        <v>150</v>
      </c>
      <c r="F29" s="27" t="s">
        <v>107</v>
      </c>
      <c r="G29" s="27">
        <v>3</v>
      </c>
      <c r="H29" s="28">
        <v>42088</v>
      </c>
      <c r="I29" s="27"/>
      <c r="J29" s="28">
        <v>42244</v>
      </c>
      <c r="K29" s="27"/>
      <c r="L29" s="27"/>
      <c r="M29" s="28">
        <v>42244</v>
      </c>
      <c r="N29" s="28"/>
      <c r="O29" s="28">
        <v>42395</v>
      </c>
      <c r="P29" s="27"/>
      <c r="Q29" s="28">
        <v>42930</v>
      </c>
      <c r="R29" s="27"/>
      <c r="S29" s="27"/>
      <c r="T29" s="27"/>
      <c r="U29" s="27"/>
      <c r="V29" s="27"/>
      <c r="W29" s="27"/>
      <c r="X29" s="27">
        <v>37.65</v>
      </c>
      <c r="Y29" s="27">
        <v>9.99</v>
      </c>
      <c r="Z29" s="27"/>
      <c r="AA29" s="27">
        <v>2.42</v>
      </c>
      <c r="AB29" s="27">
        <v>5.07</v>
      </c>
      <c r="AC29" s="27"/>
      <c r="AD29" s="27">
        <v>37.33</v>
      </c>
      <c r="AE29" s="37">
        <f>AllPlans[[#This Row],[Prep days*]]+AllPlans[[#This Row],[Hearing days*]]+AllPlans[[#This Row],[SV days*]]+AllPlans[[#This Row],[Travel days]]+AllPlans[[#This Row],[Reptg days*]]</f>
        <v>92.460000000000008</v>
      </c>
      <c r="AF29" s="27"/>
      <c r="AG29" s="28">
        <v>43270</v>
      </c>
      <c r="AH29" s="27"/>
      <c r="AI29" s="28">
        <v>43242</v>
      </c>
      <c r="AJ29" s="27"/>
      <c r="AK29" s="28">
        <v>43264</v>
      </c>
      <c r="AL29" s="27"/>
      <c r="AM29" s="28">
        <v>43265</v>
      </c>
      <c r="AN29" s="27"/>
      <c r="AO29" s="28">
        <v>43271</v>
      </c>
      <c r="AP29" s="27"/>
      <c r="AQ29" s="28">
        <v>43279</v>
      </c>
      <c r="AR29" s="27"/>
      <c r="AS29" s="28"/>
      <c r="AT29" s="27"/>
      <c r="AU29" s="27" t="s">
        <v>59</v>
      </c>
      <c r="AV29" s="40">
        <f>SUM(AO29-J29)/7</f>
        <v>146.71428571428572</v>
      </c>
      <c r="AW29" s="39">
        <f t="shared" si="0"/>
        <v>48.714285714285715</v>
      </c>
      <c r="AX29" s="27"/>
      <c r="AY29" s="40" t="s">
        <v>151</v>
      </c>
      <c r="AZ29" s="41" t="str">
        <f t="shared" si="1"/>
        <v>Aug 15</v>
      </c>
      <c r="BA29" s="41" t="str">
        <f t="shared" si="2"/>
        <v>Jun 18</v>
      </c>
    </row>
    <row r="30" spans="1:53" ht="14" x14ac:dyDescent="0.15">
      <c r="A30" s="35" t="s">
        <v>53</v>
      </c>
      <c r="B30" s="35">
        <v>1679</v>
      </c>
      <c r="C30" s="27" t="s">
        <v>54</v>
      </c>
      <c r="D30" s="27" t="s">
        <v>152</v>
      </c>
      <c r="E30" s="27" t="s">
        <v>153</v>
      </c>
      <c r="F30" s="27" t="s">
        <v>74</v>
      </c>
      <c r="G30" s="27">
        <v>2</v>
      </c>
      <c r="H30" s="28">
        <v>42164</v>
      </c>
      <c r="I30" s="27"/>
      <c r="J30" s="28">
        <v>42276</v>
      </c>
      <c r="K30" s="27"/>
      <c r="L30" s="27"/>
      <c r="M30" s="28">
        <v>42276</v>
      </c>
      <c r="N30" s="28"/>
      <c r="O30" s="28">
        <v>42394</v>
      </c>
      <c r="P30" s="27"/>
      <c r="Q30" s="28">
        <v>42394</v>
      </c>
      <c r="R30" s="27"/>
      <c r="S30" s="27"/>
      <c r="T30" s="27"/>
      <c r="U30" s="27"/>
      <c r="V30" s="27"/>
      <c r="W30" s="27"/>
      <c r="X30" s="27">
        <v>8.7200000000000006</v>
      </c>
      <c r="Y30" s="27">
        <v>0.84</v>
      </c>
      <c r="Z30" s="27"/>
      <c r="AA30" s="27">
        <v>0.68</v>
      </c>
      <c r="AB30" s="27">
        <v>0.54</v>
      </c>
      <c r="AC30" s="27"/>
      <c r="AD30" s="27">
        <v>8.08</v>
      </c>
      <c r="AE30" s="37">
        <f>AllPlans[[#This Row],[Prep days*]]+AllPlans[[#This Row],[Hearing days*]]+AllPlans[[#This Row],[SV days*]]+AllPlans[[#This Row],[Travel days]]+AllPlans[[#This Row],[Reptg days*]]</f>
        <v>18.86</v>
      </c>
      <c r="AF30" s="27"/>
      <c r="AG30" s="28">
        <v>42545</v>
      </c>
      <c r="AH30" s="27"/>
      <c r="AI30" s="28">
        <v>42521</v>
      </c>
      <c r="AJ30" s="27"/>
      <c r="AK30" s="28">
        <v>42542</v>
      </c>
      <c r="AL30" s="27"/>
      <c r="AM30" s="28">
        <v>42542</v>
      </c>
      <c r="AN30" s="27"/>
      <c r="AO30" s="28">
        <v>42562</v>
      </c>
      <c r="AP30" s="27"/>
      <c r="AQ30" s="28">
        <v>42634</v>
      </c>
      <c r="AR30" s="27"/>
      <c r="AS30" s="28"/>
      <c r="AT30" s="27"/>
      <c r="AU30" s="27" t="s">
        <v>59</v>
      </c>
      <c r="AV30" s="40">
        <v>40.857142857142854</v>
      </c>
      <c r="AW30" s="39">
        <f t="shared" si="0"/>
        <v>24</v>
      </c>
      <c r="AX30" s="27"/>
      <c r="AY30" s="40" t="s">
        <v>154</v>
      </c>
      <c r="AZ30" s="41" t="str">
        <f t="shared" si="1"/>
        <v>Sep 15</v>
      </c>
      <c r="BA30" s="41" t="str">
        <f t="shared" si="2"/>
        <v>Jul 16</v>
      </c>
    </row>
    <row r="31" spans="1:53" ht="14" x14ac:dyDescent="0.15">
      <c r="A31" s="35" t="s">
        <v>53</v>
      </c>
      <c r="B31" s="35">
        <v>1690</v>
      </c>
      <c r="C31" s="27" t="s">
        <v>71</v>
      </c>
      <c r="D31" s="27" t="s">
        <v>155</v>
      </c>
      <c r="E31" s="27" t="s">
        <v>106</v>
      </c>
      <c r="F31" s="27" t="s">
        <v>107</v>
      </c>
      <c r="G31" s="27">
        <v>3</v>
      </c>
      <c r="H31" s="28">
        <v>42219</v>
      </c>
      <c r="I31" s="27"/>
      <c r="J31" s="28">
        <v>42324</v>
      </c>
      <c r="K31" s="27"/>
      <c r="L31" s="27"/>
      <c r="M31" s="28">
        <v>42324</v>
      </c>
      <c r="N31" s="28"/>
      <c r="O31" s="28">
        <v>42472</v>
      </c>
      <c r="P31" s="27"/>
      <c r="Q31" s="28">
        <v>42474</v>
      </c>
      <c r="R31" s="27"/>
      <c r="S31" s="27"/>
      <c r="T31" s="27"/>
      <c r="U31" s="27"/>
      <c r="V31" s="27"/>
      <c r="W31" s="27"/>
      <c r="X31" s="27">
        <v>19.93</v>
      </c>
      <c r="Y31" s="27">
        <v>2.56</v>
      </c>
      <c r="Z31" s="27"/>
      <c r="AA31" s="27">
        <v>1.08</v>
      </c>
      <c r="AB31" s="27">
        <v>2.16</v>
      </c>
      <c r="AC31" s="27"/>
      <c r="AD31" s="27">
        <v>23.94</v>
      </c>
      <c r="AE31" s="37">
        <f>AllPlans[[#This Row],[Prep days*]]+AllPlans[[#This Row],[Hearing days*]]+AllPlans[[#This Row],[SV days*]]+AllPlans[[#This Row],[Travel days]]+AllPlans[[#This Row],[Reptg days*]]</f>
        <v>49.67</v>
      </c>
      <c r="AF31" s="27"/>
      <c r="AG31" s="28">
        <v>42622</v>
      </c>
      <c r="AH31" s="27"/>
      <c r="AI31" s="28">
        <v>42600</v>
      </c>
      <c r="AJ31" s="27"/>
      <c r="AK31" s="28">
        <v>42594</v>
      </c>
      <c r="AL31" s="27"/>
      <c r="AM31" s="28">
        <v>42616</v>
      </c>
      <c r="AN31" s="27"/>
      <c r="AO31" s="28">
        <v>42627</v>
      </c>
      <c r="AP31" s="27"/>
      <c r="AQ31" s="28">
        <v>42697</v>
      </c>
      <c r="AR31" s="27"/>
      <c r="AS31" s="28"/>
      <c r="AT31" s="27"/>
      <c r="AU31" s="27" t="s">
        <v>59</v>
      </c>
      <c r="AV31" s="40">
        <v>43.285714285714285</v>
      </c>
      <c r="AW31" s="39">
        <f t="shared" si="0"/>
        <v>21.857142857142858</v>
      </c>
      <c r="AX31" s="27"/>
      <c r="AY31" s="40" t="s">
        <v>156</v>
      </c>
      <c r="AZ31" s="41" t="str">
        <f t="shared" si="1"/>
        <v>Nov 15</v>
      </c>
      <c r="BA31" s="41" t="str">
        <f t="shared" si="2"/>
        <v>Sep 16</v>
      </c>
    </row>
    <row r="32" spans="1:53" ht="14" x14ac:dyDescent="0.15">
      <c r="A32" s="35" t="s">
        <v>53</v>
      </c>
      <c r="B32" s="35">
        <v>1682</v>
      </c>
      <c r="C32" s="27" t="s">
        <v>77</v>
      </c>
      <c r="D32" s="27" t="s">
        <v>157</v>
      </c>
      <c r="E32" s="27" t="s">
        <v>158</v>
      </c>
      <c r="F32" s="27" t="s">
        <v>74</v>
      </c>
      <c r="G32" s="27">
        <v>2</v>
      </c>
      <c r="H32" s="28">
        <v>42173</v>
      </c>
      <c r="I32" s="27"/>
      <c r="J32" s="28">
        <v>42338</v>
      </c>
      <c r="K32" s="27"/>
      <c r="L32" s="27"/>
      <c r="M32" s="28">
        <v>42338</v>
      </c>
      <c r="N32" s="28"/>
      <c r="O32" s="28">
        <v>42423</v>
      </c>
      <c r="P32" s="27"/>
      <c r="Q32" s="28">
        <v>42424</v>
      </c>
      <c r="R32" s="27"/>
      <c r="S32" s="27"/>
      <c r="T32" s="27"/>
      <c r="U32" s="27"/>
      <c r="V32" s="27"/>
      <c r="W32" s="27"/>
      <c r="X32" s="27">
        <v>14.8</v>
      </c>
      <c r="Y32" s="27">
        <v>1.76</v>
      </c>
      <c r="Z32" s="27"/>
      <c r="AA32" s="27"/>
      <c r="AB32" s="27">
        <v>0.68</v>
      </c>
      <c r="AC32" s="27"/>
      <c r="AD32" s="27">
        <v>12.23</v>
      </c>
      <c r="AE32" s="37">
        <f>AllPlans[[#This Row],[Prep days*]]+AllPlans[[#This Row],[Hearing days*]]+AllPlans[[#This Row],[SV days*]]+AllPlans[[#This Row],[Travel days]]+AllPlans[[#This Row],[Reptg days*]]</f>
        <v>29.470000000000002</v>
      </c>
      <c r="AF32" s="27"/>
      <c r="AG32" s="28">
        <v>42531</v>
      </c>
      <c r="AH32" s="27"/>
      <c r="AI32" s="28">
        <v>42502</v>
      </c>
      <c r="AJ32" s="27"/>
      <c r="AK32" s="28">
        <v>42515</v>
      </c>
      <c r="AL32" s="27"/>
      <c r="AM32" s="28">
        <v>42515</v>
      </c>
      <c r="AN32" s="27"/>
      <c r="AO32" s="28">
        <v>42521</v>
      </c>
      <c r="AP32" s="27"/>
      <c r="AQ32" s="28">
        <v>42628</v>
      </c>
      <c r="AR32" s="27"/>
      <c r="AS32" s="28"/>
      <c r="AT32" s="27"/>
      <c r="AU32" s="27" t="s">
        <v>59</v>
      </c>
      <c r="AV32" s="40">
        <v>26.142857142857142</v>
      </c>
      <c r="AW32" s="39">
        <f t="shared" si="0"/>
        <v>13.857142857142858</v>
      </c>
      <c r="AX32" s="27"/>
      <c r="AY32" s="40" t="s">
        <v>159</v>
      </c>
      <c r="AZ32" s="41" t="str">
        <f t="shared" si="1"/>
        <v>Nov 15</v>
      </c>
      <c r="BA32" s="41" t="str">
        <f t="shared" si="2"/>
        <v>May 16</v>
      </c>
    </row>
    <row r="33" spans="1:53" ht="14" x14ac:dyDescent="0.15">
      <c r="A33" s="35" t="s">
        <v>53</v>
      </c>
      <c r="B33" s="35">
        <v>1711</v>
      </c>
      <c r="C33" s="27" t="s">
        <v>90</v>
      </c>
      <c r="D33" s="27" t="s">
        <v>160</v>
      </c>
      <c r="E33" s="27" t="s">
        <v>161</v>
      </c>
      <c r="F33" s="27" t="s">
        <v>162</v>
      </c>
      <c r="G33" s="27">
        <v>2</v>
      </c>
      <c r="H33" s="28">
        <v>42201</v>
      </c>
      <c r="I33" s="27"/>
      <c r="J33" s="28">
        <v>42339</v>
      </c>
      <c r="K33" s="27"/>
      <c r="L33" s="27"/>
      <c r="M33" s="28">
        <v>42339</v>
      </c>
      <c r="N33" s="28"/>
      <c r="O33" s="28">
        <v>42437</v>
      </c>
      <c r="P33" s="27"/>
      <c r="Q33" s="28">
        <v>42437</v>
      </c>
      <c r="R33" s="27"/>
      <c r="S33" s="27"/>
      <c r="T33" s="27"/>
      <c r="U33" s="27"/>
      <c r="V33" s="27"/>
      <c r="W33" s="27"/>
      <c r="X33" s="27">
        <v>4.34</v>
      </c>
      <c r="Y33" s="27">
        <v>0.56999999999999995</v>
      </c>
      <c r="Z33" s="27"/>
      <c r="AA33" s="27"/>
      <c r="AB33" s="27">
        <v>0.27</v>
      </c>
      <c r="AC33" s="27"/>
      <c r="AD33" s="27">
        <v>3.12</v>
      </c>
      <c r="AE33" s="37">
        <f>AllPlans[[#This Row],[Prep days*]]+AllPlans[[#This Row],[Hearing days*]]+AllPlans[[#This Row],[SV days*]]+AllPlans[[#This Row],[Travel days]]+AllPlans[[#This Row],[Reptg days*]]</f>
        <v>8.3000000000000007</v>
      </c>
      <c r="AF33" s="27"/>
      <c r="AG33" s="28">
        <v>42552</v>
      </c>
      <c r="AH33" s="27"/>
      <c r="AI33" s="28">
        <v>42536</v>
      </c>
      <c r="AJ33" s="27"/>
      <c r="AK33" s="28">
        <v>42549</v>
      </c>
      <c r="AL33" s="27"/>
      <c r="AM33" s="28">
        <v>42549</v>
      </c>
      <c r="AN33" s="27"/>
      <c r="AO33" s="28">
        <v>42549</v>
      </c>
      <c r="AP33" s="27"/>
      <c r="AQ33" s="28">
        <v>42564</v>
      </c>
      <c r="AR33" s="27"/>
      <c r="AS33" s="28"/>
      <c r="AT33" s="27"/>
      <c r="AU33" s="27" t="s">
        <v>59</v>
      </c>
      <c r="AV33" s="40">
        <v>30</v>
      </c>
      <c r="AW33" s="39">
        <f t="shared" si="0"/>
        <v>16</v>
      </c>
      <c r="AX33" s="27"/>
      <c r="AY33" s="40" t="s">
        <v>163</v>
      </c>
      <c r="AZ33" s="41" t="str">
        <f t="shared" si="1"/>
        <v>Dec 15</v>
      </c>
      <c r="BA33" s="41" t="str">
        <f t="shared" si="2"/>
        <v>Jun 16</v>
      </c>
    </row>
    <row r="34" spans="1:53" ht="14" x14ac:dyDescent="0.15">
      <c r="A34" s="35" t="s">
        <v>53</v>
      </c>
      <c r="B34" s="35">
        <v>1712</v>
      </c>
      <c r="C34" s="27" t="s">
        <v>90</v>
      </c>
      <c r="D34" s="27" t="s">
        <v>160</v>
      </c>
      <c r="E34" s="27" t="s">
        <v>164</v>
      </c>
      <c r="F34" s="27" t="s">
        <v>162</v>
      </c>
      <c r="G34" s="27">
        <v>2</v>
      </c>
      <c r="H34" s="28">
        <v>42201</v>
      </c>
      <c r="I34" s="27"/>
      <c r="J34" s="28">
        <v>42339</v>
      </c>
      <c r="K34" s="27"/>
      <c r="L34" s="27"/>
      <c r="M34" s="28">
        <v>42339</v>
      </c>
      <c r="N34" s="28"/>
      <c r="O34" s="28">
        <v>42438</v>
      </c>
      <c r="P34" s="27"/>
      <c r="Q34" s="28">
        <v>42438</v>
      </c>
      <c r="R34" s="27"/>
      <c r="S34" s="27"/>
      <c r="T34" s="27"/>
      <c r="U34" s="27"/>
      <c r="V34" s="27"/>
      <c r="W34" s="27"/>
      <c r="X34" s="27">
        <v>4.17</v>
      </c>
      <c r="Y34" s="27">
        <v>0.61</v>
      </c>
      <c r="Z34" s="27"/>
      <c r="AA34" s="27"/>
      <c r="AB34" s="27">
        <v>0.27</v>
      </c>
      <c r="AC34" s="27"/>
      <c r="AD34" s="27">
        <v>3.71</v>
      </c>
      <c r="AE34" s="37">
        <f>AllPlans[[#This Row],[Prep days*]]+AllPlans[[#This Row],[Hearing days*]]+AllPlans[[#This Row],[SV days*]]+AllPlans[[#This Row],[Travel days]]+AllPlans[[#This Row],[Reptg days*]]</f>
        <v>8.7600000000000016</v>
      </c>
      <c r="AF34" s="27"/>
      <c r="AG34" s="28">
        <v>42552</v>
      </c>
      <c r="AH34" s="27"/>
      <c r="AI34" s="28">
        <v>42536</v>
      </c>
      <c r="AJ34" s="27"/>
      <c r="AK34" s="28">
        <v>42549</v>
      </c>
      <c r="AL34" s="27"/>
      <c r="AM34" s="28">
        <v>42549</v>
      </c>
      <c r="AN34" s="27"/>
      <c r="AO34" s="28">
        <v>42549</v>
      </c>
      <c r="AP34" s="27"/>
      <c r="AQ34" s="28">
        <v>42564</v>
      </c>
      <c r="AR34" s="27"/>
      <c r="AS34" s="28"/>
      <c r="AT34" s="27"/>
      <c r="AU34" s="27" t="s">
        <v>59</v>
      </c>
      <c r="AV34" s="40">
        <v>30</v>
      </c>
      <c r="AW34" s="39">
        <f t="shared" ref="AW34:AW65" si="3">SUM(AO34-Q34)/7</f>
        <v>15.857142857142858</v>
      </c>
      <c r="AX34" s="27"/>
      <c r="AY34" s="40" t="s">
        <v>163</v>
      </c>
      <c r="AZ34" s="41" t="str">
        <f t="shared" si="1"/>
        <v>Dec 15</v>
      </c>
      <c r="BA34" s="41" t="str">
        <f t="shared" si="2"/>
        <v>Jun 16</v>
      </c>
    </row>
    <row r="35" spans="1:53" ht="14" x14ac:dyDescent="0.15">
      <c r="A35" s="35" t="s">
        <v>53</v>
      </c>
      <c r="B35" s="35">
        <v>1702</v>
      </c>
      <c r="C35" s="27" t="s">
        <v>90</v>
      </c>
      <c r="D35" s="27" t="s">
        <v>165</v>
      </c>
      <c r="E35" s="27" t="s">
        <v>166</v>
      </c>
      <c r="F35" s="27" t="s">
        <v>107</v>
      </c>
      <c r="G35" s="27">
        <v>3</v>
      </c>
      <c r="H35" s="28">
        <v>42272</v>
      </c>
      <c r="I35" s="27"/>
      <c r="J35" s="28">
        <v>42349</v>
      </c>
      <c r="K35" s="27"/>
      <c r="L35" s="27"/>
      <c r="M35" s="28">
        <v>42352</v>
      </c>
      <c r="N35" s="28"/>
      <c r="O35" s="28">
        <v>42486</v>
      </c>
      <c r="P35" s="27"/>
      <c r="Q35" s="28">
        <v>42495</v>
      </c>
      <c r="R35" s="27"/>
      <c r="S35" s="27"/>
      <c r="T35" s="27"/>
      <c r="U35" s="27"/>
      <c r="V35" s="27"/>
      <c r="W35" s="27"/>
      <c r="X35" s="27">
        <v>19.59</v>
      </c>
      <c r="Y35" s="27">
        <v>2.97</v>
      </c>
      <c r="Z35" s="27"/>
      <c r="AA35" s="27"/>
      <c r="AB35" s="27">
        <v>1.9</v>
      </c>
      <c r="AC35" s="27"/>
      <c r="AD35" s="27">
        <v>27.11</v>
      </c>
      <c r="AE35" s="37">
        <f>AllPlans[[#This Row],[Prep days*]]+AllPlans[[#This Row],[Hearing days*]]+AllPlans[[#This Row],[SV days*]]+AllPlans[[#This Row],[Travel days]]+AllPlans[[#This Row],[Reptg days*]]</f>
        <v>51.569999999999993</v>
      </c>
      <c r="AF35" s="27"/>
      <c r="AG35" s="28">
        <v>42622</v>
      </c>
      <c r="AH35" s="27"/>
      <c r="AI35" s="28">
        <v>42612</v>
      </c>
      <c r="AJ35" s="27"/>
      <c r="AK35" s="28">
        <v>42618</v>
      </c>
      <c r="AL35" s="27"/>
      <c r="AM35" s="28">
        <v>42618</v>
      </c>
      <c r="AN35" s="27"/>
      <c r="AO35" s="28">
        <v>42625</v>
      </c>
      <c r="AP35" s="27"/>
      <c r="AQ35" s="28">
        <v>42663</v>
      </c>
      <c r="AR35" s="27"/>
      <c r="AS35" s="28"/>
      <c r="AT35" s="27"/>
      <c r="AU35" s="27" t="s">
        <v>59</v>
      </c>
      <c r="AV35" s="40">
        <v>39.428571428571431</v>
      </c>
      <c r="AW35" s="39">
        <f t="shared" si="3"/>
        <v>18.571428571428573</v>
      </c>
      <c r="AX35" s="27"/>
      <c r="AY35" s="40" t="s">
        <v>167</v>
      </c>
      <c r="AZ35" s="41" t="str">
        <f t="shared" si="1"/>
        <v>Dec 15</v>
      </c>
      <c r="BA35" s="41" t="str">
        <f t="shared" si="2"/>
        <v>Sep 16</v>
      </c>
    </row>
    <row r="36" spans="1:53" ht="14" x14ac:dyDescent="0.15">
      <c r="A36" s="35" t="s">
        <v>53</v>
      </c>
      <c r="B36" s="35">
        <v>1531</v>
      </c>
      <c r="C36" s="27" t="s">
        <v>71</v>
      </c>
      <c r="D36" s="27" t="s">
        <v>168</v>
      </c>
      <c r="E36" s="27" t="s">
        <v>169</v>
      </c>
      <c r="F36" s="27" t="s">
        <v>57</v>
      </c>
      <c r="G36" s="27">
        <v>3</v>
      </c>
      <c r="H36" s="28">
        <v>41985</v>
      </c>
      <c r="I36" s="27"/>
      <c r="J36" s="28">
        <v>42352</v>
      </c>
      <c r="K36" s="27"/>
      <c r="L36" s="27"/>
      <c r="M36" s="28">
        <v>42352</v>
      </c>
      <c r="N36" s="28"/>
      <c r="O36" s="28">
        <v>42451</v>
      </c>
      <c r="P36" s="27"/>
      <c r="Q36" s="28">
        <v>42550</v>
      </c>
      <c r="R36" s="27"/>
      <c r="S36" s="27"/>
      <c r="T36" s="27"/>
      <c r="U36" s="27"/>
      <c r="V36" s="27"/>
      <c r="W36" s="27"/>
      <c r="X36" s="27">
        <v>13.47</v>
      </c>
      <c r="Y36" s="27">
        <v>4.0199999999999996</v>
      </c>
      <c r="Z36" s="27"/>
      <c r="AA36" s="27"/>
      <c r="AB36" s="27">
        <v>2.87</v>
      </c>
      <c r="AC36" s="27"/>
      <c r="AD36" s="27">
        <v>25.2</v>
      </c>
      <c r="AE36" s="37">
        <f>AllPlans[[#This Row],[Prep days*]]+AllPlans[[#This Row],[Hearing days*]]+AllPlans[[#This Row],[SV days*]]+AllPlans[[#This Row],[Travel days]]+AllPlans[[#This Row],[Reptg days*]]</f>
        <v>45.56</v>
      </c>
      <c r="AF36" s="27"/>
      <c r="AG36" s="28">
        <v>42755</v>
      </c>
      <c r="AH36" s="27"/>
      <c r="AI36" s="28">
        <v>42733</v>
      </c>
      <c r="AJ36" s="27"/>
      <c r="AK36" s="28">
        <v>42746</v>
      </c>
      <c r="AL36" s="27"/>
      <c r="AM36" s="28">
        <v>42746</v>
      </c>
      <c r="AN36" s="27"/>
      <c r="AO36" s="28">
        <v>42752</v>
      </c>
      <c r="AP36" s="27"/>
      <c r="AQ36" s="28">
        <v>42788</v>
      </c>
      <c r="AR36" s="27"/>
      <c r="AS36" s="28"/>
      <c r="AT36" s="27"/>
      <c r="AU36" s="27" t="s">
        <v>59</v>
      </c>
      <c r="AV36" s="40">
        <v>57.142857142857146</v>
      </c>
      <c r="AW36" s="39">
        <f t="shared" si="3"/>
        <v>28.857142857142858</v>
      </c>
      <c r="AX36" s="27"/>
      <c r="AY36" s="40" t="s">
        <v>170</v>
      </c>
      <c r="AZ36" s="41" t="str">
        <f t="shared" si="1"/>
        <v>Dec 15</v>
      </c>
      <c r="BA36" s="41" t="str">
        <f t="shared" si="2"/>
        <v>Jan 17</v>
      </c>
    </row>
    <row r="37" spans="1:53" ht="14" x14ac:dyDescent="0.15">
      <c r="A37" s="35" t="s">
        <v>53</v>
      </c>
      <c r="B37" s="35">
        <v>868</v>
      </c>
      <c r="C37" s="27" t="s">
        <v>71</v>
      </c>
      <c r="D37" s="27" t="s">
        <v>168</v>
      </c>
      <c r="E37" s="27" t="s">
        <v>171</v>
      </c>
      <c r="F37" s="27" t="s">
        <v>107</v>
      </c>
      <c r="G37" s="27">
        <v>3</v>
      </c>
      <c r="H37" s="28">
        <v>41985</v>
      </c>
      <c r="I37" s="27"/>
      <c r="J37" s="28">
        <v>42352</v>
      </c>
      <c r="K37" s="27"/>
      <c r="L37" s="27"/>
      <c r="M37" s="28">
        <v>42352</v>
      </c>
      <c r="N37" s="28"/>
      <c r="O37" s="28">
        <v>42556</v>
      </c>
      <c r="P37" s="27"/>
      <c r="Q37" s="28">
        <v>42572</v>
      </c>
      <c r="R37" s="27"/>
      <c r="S37" s="27"/>
      <c r="T37" s="27"/>
      <c r="U37" s="27"/>
      <c r="V37" s="27"/>
      <c r="W37" s="27"/>
      <c r="X37" s="27">
        <v>14.31</v>
      </c>
      <c r="Y37" s="27">
        <v>5.4</v>
      </c>
      <c r="Z37" s="27"/>
      <c r="AA37" s="27"/>
      <c r="AB37" s="27">
        <v>3.55</v>
      </c>
      <c r="AC37" s="27"/>
      <c r="AD37" s="27">
        <v>15.75</v>
      </c>
      <c r="AE37" s="37">
        <f>AllPlans[[#This Row],[Prep days*]]+AllPlans[[#This Row],[Hearing days*]]+AllPlans[[#This Row],[SV days*]]+AllPlans[[#This Row],[Travel days]]+AllPlans[[#This Row],[Reptg days*]]</f>
        <v>39.010000000000005</v>
      </c>
      <c r="AF37" s="27"/>
      <c r="AG37" s="28">
        <v>42755</v>
      </c>
      <c r="AH37" s="27"/>
      <c r="AI37" s="28">
        <v>42733</v>
      </c>
      <c r="AJ37" s="27"/>
      <c r="AK37" s="28">
        <v>42746</v>
      </c>
      <c r="AL37" s="27"/>
      <c r="AM37" s="28">
        <v>42746</v>
      </c>
      <c r="AN37" s="27"/>
      <c r="AO37" s="28">
        <v>42752</v>
      </c>
      <c r="AP37" s="27"/>
      <c r="AQ37" s="28">
        <v>42788</v>
      </c>
      <c r="AR37" s="27"/>
      <c r="AS37" s="28"/>
      <c r="AT37" s="27"/>
      <c r="AU37" s="27" t="s">
        <v>59</v>
      </c>
      <c r="AV37" s="40">
        <v>57.142857142857146</v>
      </c>
      <c r="AW37" s="39">
        <f t="shared" si="3"/>
        <v>25.714285714285715</v>
      </c>
      <c r="AX37" s="27"/>
      <c r="AY37" s="40" t="s">
        <v>170</v>
      </c>
      <c r="AZ37" s="41" t="str">
        <f t="shared" si="1"/>
        <v>Dec 15</v>
      </c>
      <c r="BA37" s="41" t="str">
        <f t="shared" si="2"/>
        <v>Jan 17</v>
      </c>
    </row>
    <row r="38" spans="1:53" ht="14" x14ac:dyDescent="0.15">
      <c r="A38" s="35" t="s">
        <v>53</v>
      </c>
      <c r="B38" s="35">
        <v>1693</v>
      </c>
      <c r="C38" s="27" t="s">
        <v>104</v>
      </c>
      <c r="D38" s="27" t="s">
        <v>172</v>
      </c>
      <c r="E38" s="27" t="s">
        <v>173</v>
      </c>
      <c r="F38" s="27" t="s">
        <v>57</v>
      </c>
      <c r="G38" s="27">
        <v>3</v>
      </c>
      <c r="H38" s="28">
        <v>42242</v>
      </c>
      <c r="I38" s="27"/>
      <c r="J38" s="28">
        <v>42356</v>
      </c>
      <c r="K38" s="27"/>
      <c r="L38" s="27"/>
      <c r="M38" s="28">
        <v>42356</v>
      </c>
      <c r="N38" s="28"/>
      <c r="O38" s="28">
        <v>42486</v>
      </c>
      <c r="P38" s="27"/>
      <c r="Q38" s="28">
        <v>42495</v>
      </c>
      <c r="R38" s="27"/>
      <c r="S38" s="27"/>
      <c r="T38" s="27"/>
      <c r="U38" s="27"/>
      <c r="V38" s="27"/>
      <c r="W38" s="27"/>
      <c r="X38" s="27">
        <v>25.37</v>
      </c>
      <c r="Y38" s="27">
        <v>4.09</v>
      </c>
      <c r="Z38" s="27"/>
      <c r="AA38" s="27">
        <v>2.17</v>
      </c>
      <c r="AB38" s="27">
        <v>3.02</v>
      </c>
      <c r="AC38" s="27"/>
      <c r="AD38" s="27">
        <v>22.59</v>
      </c>
      <c r="AE38" s="37">
        <f>AllPlans[[#This Row],[Prep days*]]+AllPlans[[#This Row],[Hearing days*]]+AllPlans[[#This Row],[SV days*]]+AllPlans[[#This Row],[Travel days]]+AllPlans[[#This Row],[Reptg days*]]</f>
        <v>57.240000000000009</v>
      </c>
      <c r="AF38" s="27"/>
      <c r="AG38" s="28">
        <v>42699</v>
      </c>
      <c r="AH38" s="27"/>
      <c r="AI38" s="28">
        <v>42678</v>
      </c>
      <c r="AJ38" s="27"/>
      <c r="AK38" s="28">
        <v>42692</v>
      </c>
      <c r="AL38" s="27"/>
      <c r="AM38" s="28">
        <v>42695</v>
      </c>
      <c r="AN38" s="27"/>
      <c r="AO38" s="28">
        <v>42709</v>
      </c>
      <c r="AP38" s="27"/>
      <c r="AQ38" s="28">
        <v>42760</v>
      </c>
      <c r="AR38" s="27"/>
      <c r="AS38" s="28"/>
      <c r="AT38" s="27"/>
      <c r="AU38" s="27" t="s">
        <v>59</v>
      </c>
      <c r="AV38" s="40">
        <v>50.428571428571431</v>
      </c>
      <c r="AW38" s="39">
        <f t="shared" si="3"/>
        <v>30.571428571428573</v>
      </c>
      <c r="AX38" s="27"/>
      <c r="AY38" s="40" t="s">
        <v>174</v>
      </c>
      <c r="AZ38" s="41" t="str">
        <f t="shared" si="1"/>
        <v>Dec 15</v>
      </c>
      <c r="BA38" s="41" t="str">
        <f t="shared" si="2"/>
        <v>Dec 16</v>
      </c>
    </row>
    <row r="39" spans="1:53" ht="14" x14ac:dyDescent="0.15">
      <c r="A39" s="35" t="s">
        <v>53</v>
      </c>
      <c r="B39" s="46">
        <v>1706</v>
      </c>
      <c r="C39" s="29" t="s">
        <v>83</v>
      </c>
      <c r="D39" s="29" t="s">
        <v>175</v>
      </c>
      <c r="E39" s="29" t="s">
        <v>176</v>
      </c>
      <c r="F39" s="29" t="s">
        <v>57</v>
      </c>
      <c r="G39" s="29">
        <v>3</v>
      </c>
      <c r="H39" s="30">
        <v>42283</v>
      </c>
      <c r="I39" s="29"/>
      <c r="J39" s="30">
        <v>42361</v>
      </c>
      <c r="K39" s="29"/>
      <c r="L39" s="29"/>
      <c r="M39" s="30">
        <v>42361</v>
      </c>
      <c r="N39" s="30"/>
      <c r="O39" s="30">
        <v>42499</v>
      </c>
      <c r="P39" s="29"/>
      <c r="Q39" s="30">
        <v>42859</v>
      </c>
      <c r="R39" s="29"/>
      <c r="S39" s="29"/>
      <c r="T39" s="29"/>
      <c r="U39" s="29"/>
      <c r="V39" s="29"/>
      <c r="W39" s="29"/>
      <c r="X39" s="29">
        <v>30.28</v>
      </c>
      <c r="Y39" s="29">
        <v>11.77</v>
      </c>
      <c r="Z39" s="29"/>
      <c r="AA39" s="29">
        <v>4.68</v>
      </c>
      <c r="AB39" s="29">
        <v>6.5</v>
      </c>
      <c r="AC39" s="29"/>
      <c r="AD39" s="29">
        <v>51.51</v>
      </c>
      <c r="AE39" s="48">
        <f>AllPlans[[#This Row],[Prep days*]]+AllPlans[[#This Row],[Hearing days*]]+AllPlans[[#This Row],[SV days*]]+AllPlans[[#This Row],[Travel days]]+AllPlans[[#This Row],[Reptg days*]]</f>
        <v>104.74</v>
      </c>
      <c r="AF39" s="29"/>
      <c r="AG39" s="30">
        <v>43259</v>
      </c>
      <c r="AH39" s="29"/>
      <c r="AI39" s="30">
        <v>43252</v>
      </c>
      <c r="AJ39" s="29"/>
      <c r="AK39" s="30">
        <v>43257</v>
      </c>
      <c r="AL39" s="29"/>
      <c r="AM39" s="30">
        <v>43257</v>
      </c>
      <c r="AN39" s="29"/>
      <c r="AO39" s="30">
        <v>43342</v>
      </c>
      <c r="AP39" s="29"/>
      <c r="AQ39" s="30">
        <v>43384</v>
      </c>
      <c r="AR39" s="29"/>
      <c r="AS39" s="30"/>
      <c r="AT39" s="29"/>
      <c r="AU39" s="29" t="s">
        <v>59</v>
      </c>
      <c r="AV39" s="50">
        <f>SUM(AO39-J39)/7</f>
        <v>140.14285714285714</v>
      </c>
      <c r="AW39" s="49">
        <f t="shared" si="3"/>
        <v>69</v>
      </c>
      <c r="AX39" s="29"/>
      <c r="AY39" s="50" t="s">
        <v>177</v>
      </c>
      <c r="AZ39" s="51" t="str">
        <f t="shared" si="1"/>
        <v>Dec 15</v>
      </c>
      <c r="BA39" s="51" t="str">
        <f t="shared" si="2"/>
        <v>Aug 18</v>
      </c>
    </row>
    <row r="40" spans="1:53" ht="34.5" customHeight="1" x14ac:dyDescent="0.15">
      <c r="A40" s="35" t="s">
        <v>53</v>
      </c>
      <c r="B40" s="35">
        <v>1696</v>
      </c>
      <c r="C40" s="27" t="s">
        <v>61</v>
      </c>
      <c r="D40" s="27" t="s">
        <v>178</v>
      </c>
      <c r="E40" s="27" t="s">
        <v>179</v>
      </c>
      <c r="F40" s="27" t="s">
        <v>80</v>
      </c>
      <c r="G40" s="27">
        <v>3</v>
      </c>
      <c r="H40" s="28">
        <v>42235</v>
      </c>
      <c r="I40" s="27"/>
      <c r="J40" s="28">
        <v>42368</v>
      </c>
      <c r="K40" s="27"/>
      <c r="L40" s="27"/>
      <c r="M40" s="28">
        <v>42368</v>
      </c>
      <c r="N40" s="28"/>
      <c r="O40" s="28">
        <v>42633</v>
      </c>
      <c r="P40" s="27"/>
      <c r="Q40" s="28">
        <v>42643</v>
      </c>
      <c r="R40" s="27"/>
      <c r="S40" s="27"/>
      <c r="T40" s="27"/>
      <c r="U40" s="27"/>
      <c r="V40" s="27"/>
      <c r="W40" s="27"/>
      <c r="X40" s="27">
        <v>28.37</v>
      </c>
      <c r="Y40" s="27">
        <v>5.43</v>
      </c>
      <c r="Z40" s="27"/>
      <c r="AA40" s="27"/>
      <c r="AB40" s="27">
        <v>1.62</v>
      </c>
      <c r="AC40" s="27"/>
      <c r="AD40" s="27">
        <v>22.26</v>
      </c>
      <c r="AE40" s="37">
        <f>AllPlans[[#This Row],[Prep days*]]+AllPlans[[#This Row],[Hearing days*]]+AllPlans[[#This Row],[SV days*]]+AllPlans[[#This Row],[Travel days]]+AllPlans[[#This Row],[Reptg days*]]</f>
        <v>57.679999999999993</v>
      </c>
      <c r="AF40" s="27"/>
      <c r="AG40" s="28">
        <v>42865</v>
      </c>
      <c r="AH40" s="27"/>
      <c r="AI40" s="28">
        <v>42832</v>
      </c>
      <c r="AJ40" s="27"/>
      <c r="AK40" s="28">
        <v>42845</v>
      </c>
      <c r="AL40" s="27"/>
      <c r="AM40" s="28">
        <v>42859</v>
      </c>
      <c r="AN40" s="27"/>
      <c r="AO40" s="28">
        <v>42901</v>
      </c>
      <c r="AP40" s="27"/>
      <c r="AQ40" s="28">
        <v>42990</v>
      </c>
      <c r="AR40" s="27"/>
      <c r="AS40" s="28"/>
      <c r="AT40" s="27"/>
      <c r="AU40" s="27" t="s">
        <v>59</v>
      </c>
      <c r="AV40" s="40">
        <v>76.142857142857139</v>
      </c>
      <c r="AW40" s="39">
        <f t="shared" si="3"/>
        <v>36.857142857142854</v>
      </c>
      <c r="AX40" s="27"/>
      <c r="AY40" s="40" t="s">
        <v>180</v>
      </c>
      <c r="AZ40" s="41" t="str">
        <f t="shared" si="1"/>
        <v>Dec 15</v>
      </c>
      <c r="BA40" s="41" t="str">
        <f t="shared" si="2"/>
        <v>Jun 17</v>
      </c>
    </row>
    <row r="41" spans="1:53" ht="14" x14ac:dyDescent="0.15">
      <c r="A41" s="35" t="s">
        <v>53</v>
      </c>
      <c r="B41" s="35">
        <v>1716</v>
      </c>
      <c r="C41" s="27" t="s">
        <v>67</v>
      </c>
      <c r="D41" s="27" t="s">
        <v>134</v>
      </c>
      <c r="E41" s="27" t="s">
        <v>181</v>
      </c>
      <c r="F41" s="27" t="s">
        <v>162</v>
      </c>
      <c r="G41" s="27">
        <v>3</v>
      </c>
      <c r="H41" s="28"/>
      <c r="I41" s="27" t="s">
        <v>182</v>
      </c>
      <c r="J41" s="28">
        <v>42377</v>
      </c>
      <c r="K41" s="27"/>
      <c r="L41" s="27"/>
      <c r="M41" s="28">
        <v>42380</v>
      </c>
      <c r="N41" s="28"/>
      <c r="O41" s="28">
        <v>42542</v>
      </c>
      <c r="P41" s="27"/>
      <c r="Q41" s="28">
        <v>42544</v>
      </c>
      <c r="R41" s="27"/>
      <c r="S41" s="27"/>
      <c r="T41" s="27"/>
      <c r="U41" s="27"/>
      <c r="V41" s="27"/>
      <c r="W41" s="27"/>
      <c r="X41" s="27">
        <v>22</v>
      </c>
      <c r="Y41" s="27">
        <v>7.18</v>
      </c>
      <c r="Z41" s="27"/>
      <c r="AA41" s="27"/>
      <c r="AB41" s="27">
        <v>2.91</v>
      </c>
      <c r="AC41" s="27"/>
      <c r="AD41" s="27">
        <v>25</v>
      </c>
      <c r="AE41" s="37">
        <f>AllPlans[[#This Row],[Prep days*]]+AllPlans[[#This Row],[Hearing days*]]+AllPlans[[#This Row],[SV days*]]+AllPlans[[#This Row],[Travel days]]+AllPlans[[#This Row],[Reptg days*]]</f>
        <v>57.09</v>
      </c>
      <c r="AF41" s="27"/>
      <c r="AG41" s="28">
        <v>42678</v>
      </c>
      <c r="AH41" s="27"/>
      <c r="AI41" s="28">
        <v>42650</v>
      </c>
      <c r="AJ41" s="27"/>
      <c r="AK41" s="28">
        <v>42667</v>
      </c>
      <c r="AL41" s="27"/>
      <c r="AM41" s="28">
        <v>42668</v>
      </c>
      <c r="AN41" s="27"/>
      <c r="AO41" s="28">
        <v>42682</v>
      </c>
      <c r="AP41" s="27"/>
      <c r="AQ41" s="28">
        <v>42745</v>
      </c>
      <c r="AR41" s="27"/>
      <c r="AS41" s="28"/>
      <c r="AT41" s="27"/>
      <c r="AU41" s="27" t="s">
        <v>59</v>
      </c>
      <c r="AV41" s="40">
        <v>46</v>
      </c>
      <c r="AW41" s="39">
        <f t="shared" si="3"/>
        <v>19.714285714285715</v>
      </c>
      <c r="AX41" s="27"/>
      <c r="AY41" s="40" t="s">
        <v>137</v>
      </c>
      <c r="AZ41" s="41" t="str">
        <f t="shared" si="1"/>
        <v>Jan 16</v>
      </c>
      <c r="BA41" s="41" t="str">
        <f t="shared" si="2"/>
        <v>Nov 16</v>
      </c>
    </row>
    <row r="42" spans="1:53" ht="14" x14ac:dyDescent="0.15">
      <c r="A42" s="35" t="s">
        <v>53</v>
      </c>
      <c r="B42" s="35">
        <v>1681</v>
      </c>
      <c r="C42" s="27" t="s">
        <v>54</v>
      </c>
      <c r="D42" s="27" t="s">
        <v>183</v>
      </c>
      <c r="E42" s="27" t="s">
        <v>184</v>
      </c>
      <c r="F42" s="27" t="s">
        <v>80</v>
      </c>
      <c r="G42" s="27">
        <v>3</v>
      </c>
      <c r="H42" s="28">
        <v>42165</v>
      </c>
      <c r="I42" s="27"/>
      <c r="J42" s="28">
        <v>42377</v>
      </c>
      <c r="K42" s="27"/>
      <c r="L42" s="27"/>
      <c r="M42" s="28">
        <v>42377</v>
      </c>
      <c r="N42" s="28"/>
      <c r="O42" s="28">
        <v>42459</v>
      </c>
      <c r="P42" s="27"/>
      <c r="Q42" s="28">
        <v>42473</v>
      </c>
      <c r="R42" s="27"/>
      <c r="S42" s="27"/>
      <c r="T42" s="27"/>
      <c r="U42" s="27"/>
      <c r="V42" s="27"/>
      <c r="W42" s="27"/>
      <c r="X42" s="27">
        <v>18.84</v>
      </c>
      <c r="Y42" s="27">
        <v>2.74</v>
      </c>
      <c r="Z42" s="27"/>
      <c r="AA42" s="27">
        <v>0.68</v>
      </c>
      <c r="AB42" s="27">
        <v>1.21</v>
      </c>
      <c r="AC42" s="27"/>
      <c r="AD42" s="27">
        <v>16.55</v>
      </c>
      <c r="AE42" s="37">
        <f>AllPlans[[#This Row],[Prep days*]]+AllPlans[[#This Row],[Hearing days*]]+AllPlans[[#This Row],[SV days*]]+AllPlans[[#This Row],[Travel days]]+AllPlans[[#This Row],[Reptg days*]]</f>
        <v>40.019999999999996</v>
      </c>
      <c r="AF42" s="27"/>
      <c r="AG42" s="28">
        <v>42692</v>
      </c>
      <c r="AH42" s="27"/>
      <c r="AI42" s="28">
        <v>42678</v>
      </c>
      <c r="AJ42" s="27"/>
      <c r="AK42" s="28">
        <v>42688</v>
      </c>
      <c r="AL42" s="27"/>
      <c r="AM42" s="28">
        <v>42690</v>
      </c>
      <c r="AN42" s="27"/>
      <c r="AO42" s="28">
        <v>42699</v>
      </c>
      <c r="AP42" s="27"/>
      <c r="AQ42" s="28">
        <v>42782</v>
      </c>
      <c r="AR42" s="27"/>
      <c r="AS42" s="28"/>
      <c r="AT42" s="27"/>
      <c r="AU42" s="27" t="s">
        <v>59</v>
      </c>
      <c r="AV42" s="40">
        <v>43.571428571428569</v>
      </c>
      <c r="AW42" s="39">
        <f t="shared" si="3"/>
        <v>32.285714285714285</v>
      </c>
      <c r="AX42" s="27"/>
      <c r="AY42" s="40" t="s">
        <v>185</v>
      </c>
      <c r="AZ42" s="41" t="str">
        <f t="shared" si="1"/>
        <v>Jan 16</v>
      </c>
      <c r="BA42" s="41" t="str">
        <f t="shared" si="2"/>
        <v>Nov 16</v>
      </c>
    </row>
    <row r="43" spans="1:53" ht="14" x14ac:dyDescent="0.15">
      <c r="A43" s="35" t="s">
        <v>53</v>
      </c>
      <c r="B43" s="35">
        <v>775</v>
      </c>
      <c r="C43" s="27" t="s">
        <v>90</v>
      </c>
      <c r="D43" s="27" t="s">
        <v>186</v>
      </c>
      <c r="E43" s="27" t="s">
        <v>187</v>
      </c>
      <c r="F43" s="27" t="s">
        <v>136</v>
      </c>
      <c r="G43" s="27">
        <v>2</v>
      </c>
      <c r="H43" s="28">
        <v>42271</v>
      </c>
      <c r="I43" s="27"/>
      <c r="J43" s="28">
        <v>42394</v>
      </c>
      <c r="K43" s="27"/>
      <c r="L43" s="27"/>
      <c r="M43" s="28">
        <v>42394</v>
      </c>
      <c r="N43" s="28"/>
      <c r="O43" s="28">
        <v>42493</v>
      </c>
      <c r="P43" s="27"/>
      <c r="Q43" s="28">
        <v>42494</v>
      </c>
      <c r="R43" s="27"/>
      <c r="S43" s="27"/>
      <c r="T43" s="27"/>
      <c r="U43" s="27"/>
      <c r="V43" s="27"/>
      <c r="W43" s="27"/>
      <c r="X43" s="27">
        <v>15.43</v>
      </c>
      <c r="Y43" s="27">
        <v>2.16</v>
      </c>
      <c r="Z43" s="27"/>
      <c r="AA43" s="27">
        <v>0.27</v>
      </c>
      <c r="AB43" s="27">
        <v>0.54</v>
      </c>
      <c r="AC43" s="27"/>
      <c r="AD43" s="27">
        <v>13.28</v>
      </c>
      <c r="AE43" s="37">
        <f>AllPlans[[#This Row],[Prep days*]]+AllPlans[[#This Row],[Hearing days*]]+AllPlans[[#This Row],[SV days*]]+AllPlans[[#This Row],[Travel days]]+AllPlans[[#This Row],[Reptg days*]]</f>
        <v>31.68</v>
      </c>
      <c r="AF43" s="27"/>
      <c r="AG43" s="28">
        <v>42622</v>
      </c>
      <c r="AH43" s="27"/>
      <c r="AI43" s="28">
        <v>42605</v>
      </c>
      <c r="AJ43" s="27"/>
      <c r="AK43" s="28">
        <v>42620</v>
      </c>
      <c r="AL43" s="27"/>
      <c r="AM43" s="28">
        <v>42621</v>
      </c>
      <c r="AN43" s="27"/>
      <c r="AO43" s="28">
        <v>42632</v>
      </c>
      <c r="AP43" s="27"/>
      <c r="AQ43" s="28">
        <v>42695</v>
      </c>
      <c r="AR43" s="27"/>
      <c r="AS43" s="28"/>
      <c r="AT43" s="27"/>
      <c r="AU43" s="27" t="s">
        <v>59</v>
      </c>
      <c r="AV43" s="40">
        <v>34</v>
      </c>
      <c r="AW43" s="39">
        <f t="shared" si="3"/>
        <v>19.714285714285715</v>
      </c>
      <c r="AX43" s="27"/>
      <c r="AY43" s="40" t="s">
        <v>188</v>
      </c>
      <c r="AZ43" s="41" t="str">
        <f t="shared" si="1"/>
        <v>Jan 16</v>
      </c>
      <c r="BA43" s="41" t="str">
        <f t="shared" si="2"/>
        <v>Sep 16</v>
      </c>
    </row>
    <row r="44" spans="1:53" ht="14" x14ac:dyDescent="0.15">
      <c r="A44" s="35" t="s">
        <v>53</v>
      </c>
      <c r="B44" s="35">
        <v>1688</v>
      </c>
      <c r="C44" s="27" t="s">
        <v>77</v>
      </c>
      <c r="D44" s="27" t="s">
        <v>189</v>
      </c>
      <c r="E44" s="27" t="s">
        <v>56</v>
      </c>
      <c r="F44" s="27" t="s">
        <v>57</v>
      </c>
      <c r="G44" s="27">
        <v>3</v>
      </c>
      <c r="H44" s="28">
        <v>42213</v>
      </c>
      <c r="I44" s="27"/>
      <c r="J44" s="28">
        <v>42397</v>
      </c>
      <c r="K44" s="27"/>
      <c r="L44" s="27"/>
      <c r="M44" s="28">
        <v>42397</v>
      </c>
      <c r="N44" s="28"/>
      <c r="O44" s="28">
        <v>42570</v>
      </c>
      <c r="P44" s="27"/>
      <c r="Q44" s="28">
        <v>42573</v>
      </c>
      <c r="R44" s="27"/>
      <c r="S44" s="27"/>
      <c r="T44" s="27"/>
      <c r="U44" s="27"/>
      <c r="V44" s="27"/>
      <c r="W44" s="27"/>
      <c r="X44" s="27">
        <v>37</v>
      </c>
      <c r="Y44" s="27">
        <v>4</v>
      </c>
      <c r="Z44" s="27"/>
      <c r="AA44" s="27">
        <v>1</v>
      </c>
      <c r="AB44" s="27"/>
      <c r="AC44" s="27"/>
      <c r="AD44" s="27">
        <v>17</v>
      </c>
      <c r="AE44" s="37">
        <f>AllPlans[[#This Row],[Prep days*]]+AllPlans[[#This Row],[Hearing days*]]+AllPlans[[#This Row],[SV days*]]+AllPlans[[#This Row],[Travel days]]+AllPlans[[#This Row],[Reptg days*]]</f>
        <v>59</v>
      </c>
      <c r="AF44" s="27"/>
      <c r="AG44" s="28">
        <v>42723</v>
      </c>
      <c r="AH44" s="27"/>
      <c r="AI44" s="28">
        <v>42690</v>
      </c>
      <c r="AJ44" s="27"/>
      <c r="AK44" s="28">
        <v>42717</v>
      </c>
      <c r="AL44" s="27"/>
      <c r="AM44" s="28">
        <v>42718</v>
      </c>
      <c r="AN44" s="27"/>
      <c r="AO44" s="28">
        <v>42719</v>
      </c>
      <c r="AP44" s="27"/>
      <c r="AQ44" s="28">
        <v>42724</v>
      </c>
      <c r="AR44" s="27"/>
      <c r="AS44" s="28"/>
      <c r="AT44" s="27"/>
      <c r="AU44" s="27" t="s">
        <v>59</v>
      </c>
      <c r="AV44" s="40">
        <v>46</v>
      </c>
      <c r="AW44" s="39">
        <f t="shared" si="3"/>
        <v>20.857142857142858</v>
      </c>
      <c r="AX44" s="27"/>
      <c r="AY44" s="40" t="s">
        <v>190</v>
      </c>
      <c r="AZ44" s="41" t="str">
        <f t="shared" si="1"/>
        <v>Jan 16</v>
      </c>
      <c r="BA44" s="41" t="str">
        <f t="shared" si="2"/>
        <v>Dec 16</v>
      </c>
    </row>
    <row r="45" spans="1:53" ht="14" x14ac:dyDescent="0.15">
      <c r="A45" s="35" t="s">
        <v>53</v>
      </c>
      <c r="B45" s="35">
        <v>1704</v>
      </c>
      <c r="C45" s="27" t="s">
        <v>77</v>
      </c>
      <c r="D45" s="27" t="s">
        <v>191</v>
      </c>
      <c r="E45" s="27" t="s">
        <v>192</v>
      </c>
      <c r="F45" s="27" t="s">
        <v>102</v>
      </c>
      <c r="G45" s="27">
        <v>2</v>
      </c>
      <c r="H45" s="28">
        <v>42292</v>
      </c>
      <c r="I45" s="27"/>
      <c r="J45" s="28">
        <v>42404</v>
      </c>
      <c r="K45" s="27"/>
      <c r="L45" s="27"/>
      <c r="M45" s="28">
        <v>42404</v>
      </c>
      <c r="N45" s="28"/>
      <c r="O45" s="28">
        <v>42535</v>
      </c>
      <c r="P45" s="27"/>
      <c r="Q45" s="28">
        <v>42535</v>
      </c>
      <c r="R45" s="27"/>
      <c r="S45" s="27"/>
      <c r="T45" s="27"/>
      <c r="U45" s="27"/>
      <c r="V45" s="27"/>
      <c r="W45" s="27"/>
      <c r="X45" s="27">
        <v>11.13</v>
      </c>
      <c r="Y45" s="27">
        <v>1</v>
      </c>
      <c r="Z45" s="27"/>
      <c r="AA45" s="27">
        <v>0.32</v>
      </c>
      <c r="AB45" s="27">
        <v>0.38</v>
      </c>
      <c r="AC45" s="27"/>
      <c r="AD45" s="27">
        <v>6.96</v>
      </c>
      <c r="AE45" s="37">
        <f>AllPlans[[#This Row],[Prep days*]]+AllPlans[[#This Row],[Hearing days*]]+AllPlans[[#This Row],[SV days*]]+AllPlans[[#This Row],[Travel days]]+AllPlans[[#This Row],[Reptg days*]]</f>
        <v>19.790000000000003</v>
      </c>
      <c r="AF45" s="27"/>
      <c r="AG45" s="28">
        <v>42662</v>
      </c>
      <c r="AH45" s="27"/>
      <c r="AI45" s="28">
        <v>42639</v>
      </c>
      <c r="AJ45" s="27"/>
      <c r="AK45" s="28">
        <v>42656</v>
      </c>
      <c r="AL45" s="27"/>
      <c r="AM45" s="28">
        <v>42656</v>
      </c>
      <c r="AN45" s="27"/>
      <c r="AO45" s="28">
        <v>42664</v>
      </c>
      <c r="AP45" s="27"/>
      <c r="AQ45" s="28">
        <v>42753</v>
      </c>
      <c r="AR45" s="27"/>
      <c r="AS45" s="28"/>
      <c r="AT45" s="27"/>
      <c r="AU45" s="27" t="s">
        <v>59</v>
      </c>
      <c r="AV45" s="40">
        <v>37.142857142857146</v>
      </c>
      <c r="AW45" s="39">
        <f t="shared" si="3"/>
        <v>18.428571428571427</v>
      </c>
      <c r="AX45" s="27"/>
      <c r="AY45" s="40" t="s">
        <v>193</v>
      </c>
      <c r="AZ45" s="41" t="str">
        <f t="shared" si="1"/>
        <v>Feb 16</v>
      </c>
      <c r="BA45" s="41" t="str">
        <f t="shared" si="2"/>
        <v>Oct 16</v>
      </c>
    </row>
    <row r="46" spans="1:53" ht="14" x14ac:dyDescent="0.15">
      <c r="A46" s="35" t="s">
        <v>53</v>
      </c>
      <c r="B46" s="35">
        <v>1705</v>
      </c>
      <c r="C46" s="27" t="s">
        <v>77</v>
      </c>
      <c r="D46" s="27" t="s">
        <v>191</v>
      </c>
      <c r="E46" s="27" t="s">
        <v>194</v>
      </c>
      <c r="F46" s="27" t="s">
        <v>102</v>
      </c>
      <c r="G46" s="27">
        <v>2</v>
      </c>
      <c r="H46" s="28">
        <v>42292</v>
      </c>
      <c r="I46" s="27"/>
      <c r="J46" s="28">
        <v>42404</v>
      </c>
      <c r="K46" s="27"/>
      <c r="L46" s="27"/>
      <c r="M46" s="28">
        <v>42404</v>
      </c>
      <c r="N46" s="28"/>
      <c r="O46" s="28">
        <v>42536</v>
      </c>
      <c r="P46" s="27"/>
      <c r="Q46" s="28">
        <v>42536</v>
      </c>
      <c r="R46" s="27"/>
      <c r="S46" s="27"/>
      <c r="T46" s="27"/>
      <c r="U46" s="27"/>
      <c r="V46" s="27"/>
      <c r="W46" s="27"/>
      <c r="X46" s="27">
        <v>9.0399999999999991</v>
      </c>
      <c r="Y46" s="27">
        <v>1</v>
      </c>
      <c r="Z46" s="27"/>
      <c r="AA46" s="27">
        <v>0.39</v>
      </c>
      <c r="AB46" s="27">
        <v>0.39</v>
      </c>
      <c r="AC46" s="27"/>
      <c r="AD46" s="27">
        <v>4.33</v>
      </c>
      <c r="AE46" s="37">
        <f>AllPlans[[#This Row],[Prep days*]]+AllPlans[[#This Row],[Hearing days*]]+AllPlans[[#This Row],[SV days*]]+AllPlans[[#This Row],[Travel days]]+AllPlans[[#This Row],[Reptg days*]]</f>
        <v>15.15</v>
      </c>
      <c r="AF46" s="27"/>
      <c r="AG46" s="28">
        <v>42662</v>
      </c>
      <c r="AH46" s="27"/>
      <c r="AI46" s="28">
        <v>42639</v>
      </c>
      <c r="AJ46" s="27"/>
      <c r="AK46" s="28">
        <v>42656</v>
      </c>
      <c r="AL46" s="27"/>
      <c r="AM46" s="28">
        <v>42656</v>
      </c>
      <c r="AN46" s="27"/>
      <c r="AO46" s="28">
        <v>42664</v>
      </c>
      <c r="AP46" s="27"/>
      <c r="AQ46" s="28">
        <v>42753</v>
      </c>
      <c r="AR46" s="27"/>
      <c r="AS46" s="28"/>
      <c r="AT46" s="27"/>
      <c r="AU46" s="27" t="s">
        <v>59</v>
      </c>
      <c r="AV46" s="40">
        <v>37.142857142857146</v>
      </c>
      <c r="AW46" s="39">
        <f t="shared" si="3"/>
        <v>18.285714285714285</v>
      </c>
      <c r="AX46" s="27"/>
      <c r="AY46" s="40" t="s">
        <v>193</v>
      </c>
      <c r="AZ46" s="41" t="str">
        <f t="shared" si="1"/>
        <v>Feb 16</v>
      </c>
      <c r="BA46" s="41" t="str">
        <f t="shared" si="2"/>
        <v>Oct 16</v>
      </c>
    </row>
    <row r="47" spans="1:53" ht="14" x14ac:dyDescent="0.15">
      <c r="A47" s="35" t="s">
        <v>53</v>
      </c>
      <c r="B47" s="35">
        <v>985</v>
      </c>
      <c r="C47" s="27" t="s">
        <v>71</v>
      </c>
      <c r="D47" s="27" t="s">
        <v>195</v>
      </c>
      <c r="E47" s="27" t="s">
        <v>118</v>
      </c>
      <c r="F47" s="27" t="s">
        <v>107</v>
      </c>
      <c r="G47" s="27">
        <v>3</v>
      </c>
      <c r="H47" s="28">
        <v>41906</v>
      </c>
      <c r="I47" s="27"/>
      <c r="J47" s="28">
        <v>42405</v>
      </c>
      <c r="K47" s="27"/>
      <c r="L47" s="27"/>
      <c r="M47" s="28">
        <v>42405</v>
      </c>
      <c r="N47" s="28"/>
      <c r="O47" s="28">
        <v>42647</v>
      </c>
      <c r="P47" s="27"/>
      <c r="Q47" s="28">
        <v>42656</v>
      </c>
      <c r="R47" s="27"/>
      <c r="S47" s="27"/>
      <c r="T47" s="27"/>
      <c r="U47" s="27"/>
      <c r="V47" s="27"/>
      <c r="W47" s="27"/>
      <c r="X47" s="27">
        <v>28.01</v>
      </c>
      <c r="Y47" s="27">
        <v>7.1</v>
      </c>
      <c r="Z47" s="27"/>
      <c r="AA47" s="27">
        <v>0.68</v>
      </c>
      <c r="AB47" s="27">
        <v>2.84</v>
      </c>
      <c r="AC47" s="27"/>
      <c r="AD47" s="27">
        <v>13.55</v>
      </c>
      <c r="AE47" s="37">
        <f>AllPlans[[#This Row],[Prep days*]]+AllPlans[[#This Row],[Hearing days*]]+AllPlans[[#This Row],[SV days*]]+AllPlans[[#This Row],[Travel days]]+AllPlans[[#This Row],[Reptg days*]]</f>
        <v>52.179999999999993</v>
      </c>
      <c r="AF47" s="27"/>
      <c r="AG47" s="28">
        <v>42823</v>
      </c>
      <c r="AH47" s="27"/>
      <c r="AI47" s="28">
        <v>42795</v>
      </c>
      <c r="AJ47" s="27"/>
      <c r="AK47" s="28">
        <v>42808</v>
      </c>
      <c r="AL47" s="27"/>
      <c r="AM47" s="28">
        <v>42809</v>
      </c>
      <c r="AN47" s="27"/>
      <c r="AO47" s="28">
        <v>42831</v>
      </c>
      <c r="AP47" s="27"/>
      <c r="AQ47" s="28">
        <v>42928</v>
      </c>
      <c r="AR47" s="27"/>
      <c r="AS47" s="28"/>
      <c r="AT47" s="27"/>
      <c r="AU47" s="27" t="s">
        <v>59</v>
      </c>
      <c r="AV47" s="40">
        <v>60.857142857142854</v>
      </c>
      <c r="AW47" s="39">
        <f t="shared" si="3"/>
        <v>25</v>
      </c>
      <c r="AX47" s="27"/>
      <c r="AY47" s="40" t="s">
        <v>196</v>
      </c>
      <c r="AZ47" s="41" t="str">
        <f t="shared" si="1"/>
        <v>Feb 16</v>
      </c>
      <c r="BA47" s="41" t="str">
        <f t="shared" si="2"/>
        <v>Apr 17</v>
      </c>
    </row>
    <row r="48" spans="1:53" ht="14" x14ac:dyDescent="0.15">
      <c r="A48" s="35" t="s">
        <v>53</v>
      </c>
      <c r="B48" s="35">
        <v>850</v>
      </c>
      <c r="C48" s="27" t="s">
        <v>67</v>
      </c>
      <c r="D48" s="27" t="s">
        <v>197</v>
      </c>
      <c r="E48" s="27" t="s">
        <v>184</v>
      </c>
      <c r="F48" s="27" t="s">
        <v>80</v>
      </c>
      <c r="G48" s="27">
        <v>3</v>
      </c>
      <c r="H48" s="28">
        <v>42240</v>
      </c>
      <c r="I48" s="27"/>
      <c r="J48" s="28">
        <v>42415</v>
      </c>
      <c r="K48" s="27"/>
      <c r="L48" s="27"/>
      <c r="M48" s="28">
        <v>42415</v>
      </c>
      <c r="N48" s="28"/>
      <c r="O48" s="28">
        <v>42514</v>
      </c>
      <c r="P48" s="27"/>
      <c r="Q48" s="28">
        <v>42517</v>
      </c>
      <c r="R48" s="27"/>
      <c r="S48" s="27"/>
      <c r="T48" s="27"/>
      <c r="U48" s="27"/>
      <c r="V48" s="27"/>
      <c r="W48" s="27"/>
      <c r="X48" s="27">
        <v>21</v>
      </c>
      <c r="Y48" s="27">
        <v>3.46</v>
      </c>
      <c r="Z48" s="27"/>
      <c r="AA48" s="27">
        <v>0.41</v>
      </c>
      <c r="AB48" s="27">
        <v>2.46</v>
      </c>
      <c r="AC48" s="27"/>
      <c r="AD48" s="27">
        <v>13.43</v>
      </c>
      <c r="AE48" s="37">
        <f>AllPlans[[#This Row],[Prep days*]]+AllPlans[[#This Row],[Hearing days*]]+AllPlans[[#This Row],[SV days*]]+AllPlans[[#This Row],[Travel days]]+AllPlans[[#This Row],[Reptg days*]]</f>
        <v>40.760000000000005</v>
      </c>
      <c r="AF48" s="27"/>
      <c r="AG48" s="28">
        <v>42657</v>
      </c>
      <c r="AH48" s="27"/>
      <c r="AI48" s="28">
        <v>42649</v>
      </c>
      <c r="AJ48" s="27"/>
      <c r="AK48" s="28">
        <v>42656</v>
      </c>
      <c r="AL48" s="27"/>
      <c r="AM48" s="28">
        <v>42656</v>
      </c>
      <c r="AN48" s="27"/>
      <c r="AO48" s="28">
        <v>42660</v>
      </c>
      <c r="AP48" s="27"/>
      <c r="AQ48" s="28">
        <v>42782</v>
      </c>
      <c r="AR48" s="27"/>
      <c r="AS48" s="28"/>
      <c r="AT48" s="27"/>
      <c r="AU48" s="27" t="s">
        <v>59</v>
      </c>
      <c r="AV48" s="40">
        <v>35</v>
      </c>
      <c r="AW48" s="39">
        <f t="shared" si="3"/>
        <v>20.428571428571427</v>
      </c>
      <c r="AX48" s="27"/>
      <c r="AY48" s="40" t="s">
        <v>198</v>
      </c>
      <c r="AZ48" s="41" t="str">
        <f t="shared" si="1"/>
        <v>Feb 16</v>
      </c>
      <c r="BA48" s="41" t="str">
        <f t="shared" si="2"/>
        <v>Oct 16</v>
      </c>
    </row>
    <row r="49" spans="1:53" ht="14" x14ac:dyDescent="0.15">
      <c r="A49" s="35" t="s">
        <v>53</v>
      </c>
      <c r="B49" s="35">
        <v>1633</v>
      </c>
      <c r="C49" s="27" t="s">
        <v>61</v>
      </c>
      <c r="D49" s="27" t="s">
        <v>199</v>
      </c>
      <c r="E49" s="27" t="s">
        <v>200</v>
      </c>
      <c r="F49" s="27" t="s">
        <v>107</v>
      </c>
      <c r="G49" s="27">
        <v>2</v>
      </c>
      <c r="H49" s="28">
        <v>41985</v>
      </c>
      <c r="I49" s="27"/>
      <c r="J49" s="28">
        <v>42423</v>
      </c>
      <c r="K49" s="27"/>
      <c r="L49" s="27"/>
      <c r="M49" s="28">
        <v>42423</v>
      </c>
      <c r="N49" s="28"/>
      <c r="O49" s="28">
        <v>42502</v>
      </c>
      <c r="P49" s="27"/>
      <c r="Q49" s="28">
        <v>42551</v>
      </c>
      <c r="R49" s="27"/>
      <c r="S49" s="27"/>
      <c r="T49" s="27"/>
      <c r="U49" s="27"/>
      <c r="V49" s="27"/>
      <c r="W49" s="27"/>
      <c r="X49" s="27">
        <v>20.100000000000001</v>
      </c>
      <c r="Y49" s="27">
        <v>2.68</v>
      </c>
      <c r="Z49" s="27"/>
      <c r="AA49" s="27"/>
      <c r="AB49" s="27">
        <v>1.08</v>
      </c>
      <c r="AC49" s="27"/>
      <c r="AD49" s="27">
        <v>10.26</v>
      </c>
      <c r="AE49" s="37">
        <f>AllPlans[[#This Row],[Prep days*]]+AllPlans[[#This Row],[Hearing days*]]+AllPlans[[#This Row],[SV days*]]+AllPlans[[#This Row],[Travel days]]+AllPlans[[#This Row],[Reptg days*]]</f>
        <v>34.119999999999997</v>
      </c>
      <c r="AF49" s="27"/>
      <c r="AG49" s="28">
        <v>42667</v>
      </c>
      <c r="AH49" s="27"/>
      <c r="AI49" s="28">
        <v>42642</v>
      </c>
      <c r="AJ49" s="27"/>
      <c r="AK49" s="28">
        <v>42642</v>
      </c>
      <c r="AL49" s="27"/>
      <c r="AM49" s="28">
        <v>42662</v>
      </c>
      <c r="AN49" s="27"/>
      <c r="AO49" s="28">
        <v>42667</v>
      </c>
      <c r="AP49" s="27"/>
      <c r="AQ49" s="28">
        <v>42690</v>
      </c>
      <c r="AR49" s="27"/>
      <c r="AS49" s="28"/>
      <c r="AT49" s="27"/>
      <c r="AU49" s="27" t="s">
        <v>59</v>
      </c>
      <c r="AV49" s="40">
        <v>34.857142857142854</v>
      </c>
      <c r="AW49" s="39">
        <f t="shared" si="3"/>
        <v>16.571428571428573</v>
      </c>
      <c r="AX49" s="27"/>
      <c r="AY49" s="40" t="s">
        <v>201</v>
      </c>
      <c r="AZ49" s="41" t="str">
        <f t="shared" si="1"/>
        <v>Feb 16</v>
      </c>
      <c r="BA49" s="41" t="str">
        <f t="shared" si="2"/>
        <v>Oct 16</v>
      </c>
    </row>
    <row r="50" spans="1:53" ht="14" x14ac:dyDescent="0.15">
      <c r="A50" s="35" t="s">
        <v>53</v>
      </c>
      <c r="B50" s="35">
        <v>1701</v>
      </c>
      <c r="C50" s="27" t="s">
        <v>61</v>
      </c>
      <c r="D50" s="27" t="s">
        <v>202</v>
      </c>
      <c r="E50" s="27" t="s">
        <v>203</v>
      </c>
      <c r="F50" s="27" t="s">
        <v>136</v>
      </c>
      <c r="G50" s="27">
        <v>2</v>
      </c>
      <c r="H50" s="28">
        <v>42669</v>
      </c>
      <c r="I50" s="27"/>
      <c r="J50" s="28">
        <v>42424</v>
      </c>
      <c r="K50" s="27"/>
      <c r="L50" s="27"/>
      <c r="M50" s="28">
        <v>42424</v>
      </c>
      <c r="N50" s="28"/>
      <c r="O50" s="28">
        <v>42500</v>
      </c>
      <c r="P50" s="27"/>
      <c r="Q50" s="28">
        <v>42500</v>
      </c>
      <c r="R50" s="27"/>
      <c r="S50" s="27"/>
      <c r="T50" s="27"/>
      <c r="U50" s="27"/>
      <c r="V50" s="27"/>
      <c r="W50" s="27"/>
      <c r="X50" s="27">
        <v>9</v>
      </c>
      <c r="Y50" s="27">
        <v>0.84</v>
      </c>
      <c r="Z50" s="27"/>
      <c r="AA50" s="27"/>
      <c r="AB50" s="27">
        <v>1.1200000000000001</v>
      </c>
      <c r="AC50" s="27"/>
      <c r="AD50" s="27">
        <v>7.91</v>
      </c>
      <c r="AE50" s="37">
        <f>AllPlans[[#This Row],[Prep days*]]+AllPlans[[#This Row],[Hearing days*]]+AllPlans[[#This Row],[SV days*]]+AllPlans[[#This Row],[Travel days]]+AllPlans[[#This Row],[Reptg days*]]</f>
        <v>18.87</v>
      </c>
      <c r="AF50" s="27"/>
      <c r="AG50" s="28">
        <v>42587</v>
      </c>
      <c r="AH50" s="27"/>
      <c r="AI50" s="28">
        <v>42565</v>
      </c>
      <c r="AJ50" s="27"/>
      <c r="AK50" s="28">
        <v>42564</v>
      </c>
      <c r="AL50" s="27"/>
      <c r="AM50" s="28">
        <v>42576</v>
      </c>
      <c r="AN50" s="27"/>
      <c r="AO50" s="28">
        <v>42583</v>
      </c>
      <c r="AP50" s="27"/>
      <c r="AQ50" s="28">
        <v>42663</v>
      </c>
      <c r="AR50" s="27"/>
      <c r="AS50" s="28"/>
      <c r="AT50" s="27"/>
      <c r="AU50" s="27" t="s">
        <v>59</v>
      </c>
      <c r="AV50" s="40">
        <v>22.714285714285715</v>
      </c>
      <c r="AW50" s="39">
        <f t="shared" si="3"/>
        <v>11.857142857142858</v>
      </c>
      <c r="AX50" s="27"/>
      <c r="AY50" s="40" t="s">
        <v>204</v>
      </c>
      <c r="AZ50" s="41" t="str">
        <f t="shared" si="1"/>
        <v>Feb 16</v>
      </c>
      <c r="BA50" s="41" t="str">
        <f t="shared" si="2"/>
        <v>Aug 16</v>
      </c>
    </row>
    <row r="51" spans="1:53" ht="14" x14ac:dyDescent="0.15">
      <c r="A51" s="35" t="s">
        <v>53</v>
      </c>
      <c r="B51" s="35">
        <v>1720</v>
      </c>
      <c r="C51" s="27" t="s">
        <v>54</v>
      </c>
      <c r="D51" s="27" t="s">
        <v>205</v>
      </c>
      <c r="E51" s="27" t="s">
        <v>206</v>
      </c>
      <c r="F51" s="27" t="s">
        <v>74</v>
      </c>
      <c r="G51" s="27">
        <v>2</v>
      </c>
      <c r="H51" s="28">
        <v>42314</v>
      </c>
      <c r="I51" s="27"/>
      <c r="J51" s="28">
        <v>42432</v>
      </c>
      <c r="K51" s="27"/>
      <c r="L51" s="27"/>
      <c r="M51" s="28">
        <v>42432</v>
      </c>
      <c r="N51" s="28"/>
      <c r="O51" s="28">
        <v>42535</v>
      </c>
      <c r="P51" s="27"/>
      <c r="Q51" s="28">
        <v>42535</v>
      </c>
      <c r="R51" s="27"/>
      <c r="S51" s="27"/>
      <c r="T51" s="27"/>
      <c r="U51" s="27"/>
      <c r="V51" s="27"/>
      <c r="W51" s="27"/>
      <c r="X51" s="27">
        <v>9.98</v>
      </c>
      <c r="Y51" s="27">
        <v>1.22</v>
      </c>
      <c r="Z51" s="27"/>
      <c r="AA51" s="27"/>
      <c r="AB51" s="27">
        <v>0.27</v>
      </c>
      <c r="AC51" s="27"/>
      <c r="AD51" s="27">
        <v>10.68</v>
      </c>
      <c r="AE51" s="37">
        <f>AllPlans[[#This Row],[Prep days*]]+AllPlans[[#This Row],[Hearing days*]]+AllPlans[[#This Row],[SV days*]]+AllPlans[[#This Row],[Travel days]]+AllPlans[[#This Row],[Reptg days*]]</f>
        <v>22.15</v>
      </c>
      <c r="AF51" s="27"/>
      <c r="AG51" s="28">
        <v>42699</v>
      </c>
      <c r="AH51" s="27"/>
      <c r="AI51" s="28">
        <v>42664</v>
      </c>
      <c r="AJ51" s="27"/>
      <c r="AK51" s="28">
        <v>42681</v>
      </c>
      <c r="AL51" s="27"/>
      <c r="AM51" s="28">
        <v>42681</v>
      </c>
      <c r="AN51" s="27"/>
      <c r="AO51" s="28">
        <v>42683</v>
      </c>
      <c r="AP51" s="27"/>
      <c r="AQ51" s="28">
        <v>42793</v>
      </c>
      <c r="AR51" s="27"/>
      <c r="AS51" s="28"/>
      <c r="AT51" s="27"/>
      <c r="AU51" s="27" t="s">
        <v>59</v>
      </c>
      <c r="AV51" s="40">
        <v>35.857142857142854</v>
      </c>
      <c r="AW51" s="39">
        <f t="shared" si="3"/>
        <v>21.142857142857142</v>
      </c>
      <c r="AX51" s="27"/>
      <c r="AY51" s="40" t="s">
        <v>207</v>
      </c>
      <c r="AZ51" s="41" t="str">
        <f t="shared" si="1"/>
        <v>Mar 16</v>
      </c>
      <c r="BA51" s="41" t="str">
        <f t="shared" si="2"/>
        <v>Nov 16</v>
      </c>
    </row>
    <row r="52" spans="1:53" ht="14" x14ac:dyDescent="0.15">
      <c r="A52" s="35" t="s">
        <v>53</v>
      </c>
      <c r="B52" s="35">
        <v>1731</v>
      </c>
      <c r="C52" s="27" t="s">
        <v>54</v>
      </c>
      <c r="D52" s="27" t="s">
        <v>205</v>
      </c>
      <c r="E52" s="27" t="s">
        <v>208</v>
      </c>
      <c r="F52" s="27" t="s">
        <v>136</v>
      </c>
      <c r="G52" s="27">
        <v>3</v>
      </c>
      <c r="H52" s="28">
        <v>42380</v>
      </c>
      <c r="I52" s="27"/>
      <c r="J52" s="28">
        <v>42439</v>
      </c>
      <c r="K52" s="27"/>
      <c r="L52" s="27"/>
      <c r="M52" s="28">
        <v>42439</v>
      </c>
      <c r="N52" s="28"/>
      <c r="O52" s="28">
        <v>42507</v>
      </c>
      <c r="P52" s="27"/>
      <c r="Q52" s="28">
        <v>42508</v>
      </c>
      <c r="R52" s="27"/>
      <c r="S52" s="27"/>
      <c r="T52" s="27"/>
      <c r="U52" s="27"/>
      <c r="V52" s="27"/>
      <c r="W52" s="27"/>
      <c r="X52" s="27">
        <v>11.77</v>
      </c>
      <c r="Y52" s="27">
        <v>2.2999999999999998</v>
      </c>
      <c r="Z52" s="27"/>
      <c r="AA52" s="27"/>
      <c r="AB52" s="27">
        <v>0.54</v>
      </c>
      <c r="AC52" s="27"/>
      <c r="AD52" s="27">
        <v>10.09</v>
      </c>
      <c r="AE52" s="37">
        <f>AllPlans[[#This Row],[Prep days*]]+AllPlans[[#This Row],[Hearing days*]]+AllPlans[[#This Row],[SV days*]]+AllPlans[[#This Row],[Travel days]]+AllPlans[[#This Row],[Reptg days*]]</f>
        <v>24.7</v>
      </c>
      <c r="AF52" s="27"/>
      <c r="AG52" s="28">
        <v>42662</v>
      </c>
      <c r="AH52" s="27"/>
      <c r="AI52" s="28">
        <v>42633</v>
      </c>
      <c r="AJ52" s="27"/>
      <c r="AK52" s="28">
        <v>42656</v>
      </c>
      <c r="AL52" s="27"/>
      <c r="AM52" s="28">
        <v>42656</v>
      </c>
      <c r="AN52" s="27"/>
      <c r="AO52" s="28">
        <v>42675</v>
      </c>
      <c r="AP52" s="27"/>
      <c r="AQ52" s="28">
        <v>42793</v>
      </c>
      <c r="AR52" s="27"/>
      <c r="AS52" s="28"/>
      <c r="AT52" s="27"/>
      <c r="AU52" s="27" t="s">
        <v>59</v>
      </c>
      <c r="AV52" s="40">
        <v>33.714285714285715</v>
      </c>
      <c r="AW52" s="39">
        <f t="shared" si="3"/>
        <v>23.857142857142858</v>
      </c>
      <c r="AX52" s="27"/>
      <c r="AY52" s="40" t="s">
        <v>207</v>
      </c>
      <c r="AZ52" s="41" t="str">
        <f t="shared" si="1"/>
        <v>Mar 16</v>
      </c>
      <c r="BA52" s="41" t="str">
        <f t="shared" si="2"/>
        <v>Nov 16</v>
      </c>
    </row>
    <row r="53" spans="1:53" ht="14" x14ac:dyDescent="0.15">
      <c r="A53" s="35" t="s">
        <v>53</v>
      </c>
      <c r="B53" s="35">
        <v>1721</v>
      </c>
      <c r="C53" s="27" t="s">
        <v>67</v>
      </c>
      <c r="D53" s="27" t="s">
        <v>84</v>
      </c>
      <c r="E53" s="27" t="s">
        <v>209</v>
      </c>
      <c r="F53" s="27" t="s">
        <v>74</v>
      </c>
      <c r="G53" s="27">
        <v>2</v>
      </c>
      <c r="H53" s="28">
        <v>42271</v>
      </c>
      <c r="I53" s="27"/>
      <c r="J53" s="28">
        <v>42450</v>
      </c>
      <c r="K53" s="27"/>
      <c r="L53" s="27"/>
      <c r="M53" s="28">
        <v>42450</v>
      </c>
      <c r="N53" s="28"/>
      <c r="O53" s="28">
        <v>42556</v>
      </c>
      <c r="P53" s="27"/>
      <c r="Q53" s="28">
        <v>42577</v>
      </c>
      <c r="R53" s="27"/>
      <c r="S53" s="27"/>
      <c r="T53" s="27"/>
      <c r="U53" s="27"/>
      <c r="V53" s="27"/>
      <c r="W53" s="27"/>
      <c r="X53" s="27">
        <v>13.18</v>
      </c>
      <c r="Y53" s="27">
        <v>3.62</v>
      </c>
      <c r="Z53" s="27"/>
      <c r="AA53" s="27"/>
      <c r="AB53" s="27">
        <v>3.24</v>
      </c>
      <c r="AC53" s="27"/>
      <c r="AD53" s="27">
        <v>13.82</v>
      </c>
      <c r="AE53" s="37">
        <f>AllPlans[[#This Row],[Prep days*]]+AllPlans[[#This Row],[Hearing days*]]+AllPlans[[#This Row],[SV days*]]+AllPlans[[#This Row],[Travel days]]+AllPlans[[#This Row],[Reptg days*]]</f>
        <v>33.86</v>
      </c>
      <c r="AF53" s="27"/>
      <c r="AG53" s="28">
        <v>42818</v>
      </c>
      <c r="AH53" s="27"/>
      <c r="AI53" s="28">
        <v>42800</v>
      </c>
      <c r="AJ53" s="27"/>
      <c r="AK53" s="28">
        <v>42817</v>
      </c>
      <c r="AL53" s="27"/>
      <c r="AM53" s="28">
        <v>42817</v>
      </c>
      <c r="AN53" s="27"/>
      <c r="AO53" s="28">
        <v>42830</v>
      </c>
      <c r="AP53" s="27"/>
      <c r="AQ53" s="28">
        <v>42947</v>
      </c>
      <c r="AR53" s="27"/>
      <c r="AS53" s="28"/>
      <c r="AT53" s="27"/>
      <c r="AU53" s="27" t="s">
        <v>59</v>
      </c>
      <c r="AV53" s="40">
        <v>54.285714285714285</v>
      </c>
      <c r="AW53" s="39">
        <f t="shared" si="3"/>
        <v>36.142857142857146</v>
      </c>
      <c r="AX53" s="27"/>
      <c r="AY53" s="40" t="s">
        <v>210</v>
      </c>
      <c r="AZ53" s="41" t="str">
        <f t="shared" si="1"/>
        <v>Mar 16</v>
      </c>
      <c r="BA53" s="41" t="str">
        <f t="shared" si="2"/>
        <v>Apr 17</v>
      </c>
    </row>
    <row r="54" spans="1:53" ht="14" x14ac:dyDescent="0.15">
      <c r="A54" s="35" t="s">
        <v>53</v>
      </c>
      <c r="B54" s="35">
        <v>1388</v>
      </c>
      <c r="C54" s="27" t="s">
        <v>61</v>
      </c>
      <c r="D54" s="27" t="s">
        <v>211</v>
      </c>
      <c r="E54" s="27" t="s">
        <v>212</v>
      </c>
      <c r="F54" s="27" t="s">
        <v>107</v>
      </c>
      <c r="G54" s="27">
        <v>3</v>
      </c>
      <c r="H54" s="28">
        <v>42301</v>
      </c>
      <c r="I54" s="27"/>
      <c r="J54" s="28">
        <v>42451</v>
      </c>
      <c r="K54" s="27"/>
      <c r="L54" s="27"/>
      <c r="M54" s="28">
        <v>42451</v>
      </c>
      <c r="N54" s="28"/>
      <c r="O54" s="28">
        <v>42563</v>
      </c>
      <c r="P54" s="27"/>
      <c r="Q54" s="28">
        <v>42571</v>
      </c>
      <c r="R54" s="27"/>
      <c r="S54" s="27"/>
      <c r="T54" s="27"/>
      <c r="U54" s="27"/>
      <c r="V54" s="27"/>
      <c r="W54" s="27"/>
      <c r="X54" s="27">
        <v>21</v>
      </c>
      <c r="Y54" s="27">
        <v>5.68</v>
      </c>
      <c r="Z54" s="27"/>
      <c r="AA54" s="27">
        <v>1.5</v>
      </c>
      <c r="AB54" s="27">
        <v>0.82</v>
      </c>
      <c r="AC54" s="27"/>
      <c r="AD54" s="27">
        <v>41</v>
      </c>
      <c r="AE54" s="37">
        <f>AllPlans[[#This Row],[Prep days*]]+AllPlans[[#This Row],[Hearing days*]]+AllPlans[[#This Row],[SV days*]]+AllPlans[[#This Row],[Travel days]]+AllPlans[[#This Row],[Reptg days*]]</f>
        <v>70</v>
      </c>
      <c r="AF54" s="27"/>
      <c r="AG54" s="28">
        <v>42761</v>
      </c>
      <c r="AH54" s="27"/>
      <c r="AI54" s="28">
        <v>42745</v>
      </c>
      <c r="AJ54" s="27"/>
      <c r="AK54" s="28">
        <v>42754</v>
      </c>
      <c r="AL54" s="27"/>
      <c r="AM54" s="28">
        <v>42389</v>
      </c>
      <c r="AN54" s="27"/>
      <c r="AO54" s="28">
        <v>42766</v>
      </c>
      <c r="AP54" s="27"/>
      <c r="AQ54" s="28">
        <v>42830</v>
      </c>
      <c r="AR54" s="27"/>
      <c r="AS54" s="28"/>
      <c r="AT54" s="27"/>
      <c r="AU54" s="27" t="s">
        <v>59</v>
      </c>
      <c r="AV54" s="40">
        <v>45</v>
      </c>
      <c r="AW54" s="39">
        <f t="shared" si="3"/>
        <v>27.857142857142858</v>
      </c>
      <c r="AX54" s="27"/>
      <c r="AY54" s="40" t="s">
        <v>213</v>
      </c>
      <c r="AZ54" s="41" t="str">
        <f t="shared" si="1"/>
        <v>Mar 16</v>
      </c>
      <c r="BA54" s="41" t="str">
        <f t="shared" si="2"/>
        <v>Jan 17</v>
      </c>
    </row>
    <row r="55" spans="1:53" ht="14" x14ac:dyDescent="0.15">
      <c r="A55" s="35" t="s">
        <v>53</v>
      </c>
      <c r="B55" s="35">
        <v>1700</v>
      </c>
      <c r="C55" s="27" t="s">
        <v>77</v>
      </c>
      <c r="D55" s="27" t="s">
        <v>214</v>
      </c>
      <c r="E55" s="27" t="s">
        <v>215</v>
      </c>
      <c r="F55" s="27" t="s">
        <v>107</v>
      </c>
      <c r="G55" s="27">
        <v>3</v>
      </c>
      <c r="H55" s="28">
        <v>42275</v>
      </c>
      <c r="I55" s="27"/>
      <c r="J55" s="28">
        <v>42453</v>
      </c>
      <c r="K55" s="27"/>
      <c r="L55" s="27"/>
      <c r="M55" s="28">
        <v>42453</v>
      </c>
      <c r="N55" s="28"/>
      <c r="O55" s="28">
        <v>42563</v>
      </c>
      <c r="P55" s="27"/>
      <c r="Q55" s="28">
        <v>43028</v>
      </c>
      <c r="R55" s="27"/>
      <c r="S55" s="27"/>
      <c r="T55" s="27"/>
      <c r="U55" s="27"/>
      <c r="V55" s="27"/>
      <c r="W55" s="27"/>
      <c r="X55" s="27">
        <v>46.35</v>
      </c>
      <c r="Y55" s="27">
        <v>23.6</v>
      </c>
      <c r="Z55" s="27"/>
      <c r="AA55" s="27">
        <v>5.8</v>
      </c>
      <c r="AB55" s="27">
        <v>5.21</v>
      </c>
      <c r="AC55" s="27"/>
      <c r="AD55" s="27">
        <v>55.42</v>
      </c>
      <c r="AE55" s="37">
        <f>AllPlans[[#This Row],[Prep days*]]+AllPlans[[#This Row],[Hearing days*]]+AllPlans[[#This Row],[SV days*]]+AllPlans[[#This Row],[Travel days]]+AllPlans[[#This Row],[Reptg days*]]</f>
        <v>136.38</v>
      </c>
      <c r="AF55" s="27"/>
      <c r="AG55" s="28">
        <v>43188</v>
      </c>
      <c r="AH55" s="27"/>
      <c r="AI55" s="28">
        <v>43179</v>
      </c>
      <c r="AJ55" s="27"/>
      <c r="AK55" s="28">
        <v>43186</v>
      </c>
      <c r="AL55" s="27"/>
      <c r="AM55" s="28">
        <v>43187</v>
      </c>
      <c r="AN55" s="27"/>
      <c r="AO55" s="28">
        <v>43194</v>
      </c>
      <c r="AP55" s="27"/>
      <c r="AQ55" s="28">
        <v>43278</v>
      </c>
      <c r="AR55" s="27"/>
      <c r="AS55" s="28"/>
      <c r="AT55" s="27"/>
      <c r="AU55" s="27" t="s">
        <v>59</v>
      </c>
      <c r="AV55" s="40">
        <v>105.85714285714286</v>
      </c>
      <c r="AW55" s="39">
        <f t="shared" si="3"/>
        <v>23.714285714285715</v>
      </c>
      <c r="AX55" s="27"/>
      <c r="AY55" s="40" t="s">
        <v>216</v>
      </c>
      <c r="AZ55" s="41" t="str">
        <f t="shared" si="1"/>
        <v>Mar 16</v>
      </c>
      <c r="BA55" s="41" t="str">
        <f t="shared" si="2"/>
        <v>Apr 18</v>
      </c>
    </row>
    <row r="56" spans="1:53" ht="14" x14ac:dyDescent="0.15">
      <c r="A56" s="35" t="s">
        <v>53</v>
      </c>
      <c r="B56" s="35">
        <v>1739</v>
      </c>
      <c r="C56" s="27" t="s">
        <v>61</v>
      </c>
      <c r="D56" s="27" t="s">
        <v>217</v>
      </c>
      <c r="E56" s="27" t="s">
        <v>184</v>
      </c>
      <c r="F56" s="27" t="s">
        <v>80</v>
      </c>
      <c r="G56" s="27">
        <v>2</v>
      </c>
      <c r="H56" s="28">
        <v>42397</v>
      </c>
      <c r="I56" s="27"/>
      <c r="J56" s="28">
        <v>42460</v>
      </c>
      <c r="K56" s="27"/>
      <c r="L56" s="27"/>
      <c r="M56" s="28">
        <v>42465</v>
      </c>
      <c r="N56" s="28"/>
      <c r="O56" s="28">
        <v>42626</v>
      </c>
      <c r="P56" s="27"/>
      <c r="Q56" s="28">
        <v>42662</v>
      </c>
      <c r="R56" s="27"/>
      <c r="S56" s="27"/>
      <c r="T56" s="27"/>
      <c r="U56" s="27"/>
      <c r="V56" s="27"/>
      <c r="W56" s="27"/>
      <c r="X56" s="27">
        <v>12.89</v>
      </c>
      <c r="Y56" s="27">
        <v>1.36</v>
      </c>
      <c r="Z56" s="27"/>
      <c r="AA56" s="27"/>
      <c r="AB56" s="27">
        <v>1.45</v>
      </c>
      <c r="AC56" s="27"/>
      <c r="AD56" s="27">
        <v>5.23</v>
      </c>
      <c r="AE56" s="37">
        <f>AllPlans[[#This Row],[Prep days*]]+AllPlans[[#This Row],[Hearing days*]]+AllPlans[[#This Row],[SV days*]]+AllPlans[[#This Row],[Travel days]]+AllPlans[[#This Row],[Reptg days*]]</f>
        <v>20.93</v>
      </c>
      <c r="AF56" s="27"/>
      <c r="AG56" s="28">
        <v>42845</v>
      </c>
      <c r="AH56" s="27"/>
      <c r="AI56" s="28">
        <v>42824</v>
      </c>
      <c r="AJ56" s="27"/>
      <c r="AK56" s="28">
        <v>42835</v>
      </c>
      <c r="AL56" s="27"/>
      <c r="AM56" s="28">
        <v>42838</v>
      </c>
      <c r="AN56" s="27"/>
      <c r="AO56" s="28">
        <v>42844</v>
      </c>
      <c r="AP56" s="27"/>
      <c r="AQ56" s="28">
        <v>42917</v>
      </c>
      <c r="AR56" s="27"/>
      <c r="AS56" s="28"/>
      <c r="AT56" s="27"/>
      <c r="AU56" s="27" t="s">
        <v>59</v>
      </c>
      <c r="AV56" s="40">
        <v>54.857142857142854</v>
      </c>
      <c r="AW56" s="39">
        <f t="shared" si="3"/>
        <v>26</v>
      </c>
      <c r="AX56" s="27"/>
      <c r="AY56" s="40" t="s">
        <v>218</v>
      </c>
      <c r="AZ56" s="41" t="str">
        <f t="shared" si="1"/>
        <v>Mar 16</v>
      </c>
      <c r="BA56" s="41" t="str">
        <f t="shared" si="2"/>
        <v>Apr 17</v>
      </c>
    </row>
    <row r="57" spans="1:53" ht="14" x14ac:dyDescent="0.15">
      <c r="A57" s="35" t="s">
        <v>53</v>
      </c>
      <c r="B57" s="35">
        <v>1741</v>
      </c>
      <c r="C57" s="27" t="s">
        <v>54</v>
      </c>
      <c r="D57" s="27" t="s">
        <v>219</v>
      </c>
      <c r="E57" s="27" t="s">
        <v>56</v>
      </c>
      <c r="F57" s="27" t="s">
        <v>57</v>
      </c>
      <c r="G57" s="27">
        <v>3</v>
      </c>
      <c r="H57" s="28">
        <v>42387</v>
      </c>
      <c r="I57" s="27"/>
      <c r="J57" s="28">
        <v>42461</v>
      </c>
      <c r="K57" s="27"/>
      <c r="L57" s="27"/>
      <c r="M57" s="28">
        <v>42461</v>
      </c>
      <c r="N57" s="28"/>
      <c r="O57" s="28">
        <v>42563</v>
      </c>
      <c r="P57" s="27"/>
      <c r="Q57" s="28">
        <v>42753</v>
      </c>
      <c r="R57" s="27"/>
      <c r="S57" s="27"/>
      <c r="T57" s="27"/>
      <c r="U57" s="27"/>
      <c r="V57" s="27"/>
      <c r="W57" s="27"/>
      <c r="X57" s="27">
        <v>29.78</v>
      </c>
      <c r="Y57" s="27">
        <v>14.27</v>
      </c>
      <c r="Z57" s="27"/>
      <c r="AA57" s="27">
        <v>3.46</v>
      </c>
      <c r="AB57" s="27">
        <v>4.1399999999999997</v>
      </c>
      <c r="AC57" s="27"/>
      <c r="AD57" s="27">
        <v>68.52</v>
      </c>
      <c r="AE57" s="37">
        <f>AllPlans[[#This Row],[Prep days*]]+AllPlans[[#This Row],[Hearing days*]]+AllPlans[[#This Row],[SV days*]]+AllPlans[[#This Row],[Travel days]]+AllPlans[[#This Row],[Reptg days*]]</f>
        <v>120.16999999999999</v>
      </c>
      <c r="AF57" s="27"/>
      <c r="AG57" s="28">
        <v>43007</v>
      </c>
      <c r="AH57" s="27"/>
      <c r="AI57" s="28">
        <v>42991</v>
      </c>
      <c r="AJ57" s="27"/>
      <c r="AK57" s="28">
        <v>43010</v>
      </c>
      <c r="AL57" s="27"/>
      <c r="AM57" s="28">
        <v>43010</v>
      </c>
      <c r="AN57" s="27"/>
      <c r="AO57" s="28">
        <v>43021</v>
      </c>
      <c r="AP57" s="27"/>
      <c r="AQ57" s="28">
        <v>43075</v>
      </c>
      <c r="AR57" s="27"/>
      <c r="AS57" s="28"/>
      <c r="AT57" s="27"/>
      <c r="AU57" s="27" t="s">
        <v>59</v>
      </c>
      <c r="AV57" s="40">
        <v>80</v>
      </c>
      <c r="AW57" s="39">
        <f t="shared" si="3"/>
        <v>38.285714285714285</v>
      </c>
      <c r="AX57" s="27"/>
      <c r="AY57" s="40" t="s">
        <v>220</v>
      </c>
      <c r="AZ57" s="41" t="str">
        <f t="shared" si="1"/>
        <v>Apr 16</v>
      </c>
      <c r="BA57" s="41" t="str">
        <f t="shared" si="2"/>
        <v>Oct 17</v>
      </c>
    </row>
    <row r="58" spans="1:53" ht="14" x14ac:dyDescent="0.15">
      <c r="A58" s="35" t="s">
        <v>53</v>
      </c>
      <c r="B58" s="35">
        <v>1742</v>
      </c>
      <c r="C58" s="27" t="s">
        <v>54</v>
      </c>
      <c r="D58" s="27" t="s">
        <v>219</v>
      </c>
      <c r="E58" s="27" t="s">
        <v>153</v>
      </c>
      <c r="F58" s="27" t="s">
        <v>74</v>
      </c>
      <c r="G58" s="27">
        <v>2</v>
      </c>
      <c r="H58" s="28">
        <v>42387</v>
      </c>
      <c r="I58" s="27"/>
      <c r="J58" s="28">
        <v>42461</v>
      </c>
      <c r="K58" s="27"/>
      <c r="L58" s="27"/>
      <c r="M58" s="28">
        <v>42461</v>
      </c>
      <c r="N58" s="28"/>
      <c r="O58" s="28">
        <v>42663</v>
      </c>
      <c r="P58" s="27"/>
      <c r="Q58" s="28">
        <v>42930</v>
      </c>
      <c r="R58" s="27"/>
      <c r="S58" s="27"/>
      <c r="T58" s="27"/>
      <c r="U58" s="27"/>
      <c r="V58" s="27"/>
      <c r="W58" s="27"/>
      <c r="X58" s="27">
        <v>9.4700000000000006</v>
      </c>
      <c r="Y58" s="27">
        <v>0.54</v>
      </c>
      <c r="Z58" s="27"/>
      <c r="AA58" s="27"/>
      <c r="AB58" s="27">
        <v>0.46</v>
      </c>
      <c r="AC58" s="27"/>
      <c r="AD58" s="27">
        <v>5</v>
      </c>
      <c r="AE58" s="37">
        <f>AllPlans[[#This Row],[Prep days*]]+AllPlans[[#This Row],[Hearing days*]]+AllPlans[[#This Row],[SV days*]]+AllPlans[[#This Row],[Travel days]]+AllPlans[[#This Row],[Reptg days*]]</f>
        <v>15.470000000000002</v>
      </c>
      <c r="AF58" s="27"/>
      <c r="AG58" s="28">
        <v>43028</v>
      </c>
      <c r="AH58" s="27"/>
      <c r="AI58" s="28">
        <v>43011</v>
      </c>
      <c r="AJ58" s="27"/>
      <c r="AK58" s="28">
        <v>43028</v>
      </c>
      <c r="AL58" s="27"/>
      <c r="AM58" s="28">
        <v>43028</v>
      </c>
      <c r="AN58" s="27"/>
      <c r="AO58" s="28">
        <v>43046</v>
      </c>
      <c r="AP58" s="27"/>
      <c r="AQ58" s="28">
        <v>43075</v>
      </c>
      <c r="AR58" s="27"/>
      <c r="AS58" s="28"/>
      <c r="AT58" s="27"/>
      <c r="AU58" s="27" t="s">
        <v>59</v>
      </c>
      <c r="AV58" s="40">
        <v>83.571428571428569</v>
      </c>
      <c r="AW58" s="39">
        <f t="shared" si="3"/>
        <v>16.571428571428573</v>
      </c>
      <c r="AX58" s="27"/>
      <c r="AY58" s="40" t="s">
        <v>220</v>
      </c>
      <c r="AZ58" s="41" t="str">
        <f t="shared" si="1"/>
        <v>Apr 16</v>
      </c>
      <c r="BA58" s="41" t="str">
        <f t="shared" si="2"/>
        <v>Nov 17</v>
      </c>
    </row>
    <row r="59" spans="1:53" ht="14" x14ac:dyDescent="0.15">
      <c r="A59" s="35" t="s">
        <v>53</v>
      </c>
      <c r="B59" s="35">
        <v>1718</v>
      </c>
      <c r="C59" s="27" t="s">
        <v>61</v>
      </c>
      <c r="D59" s="27" t="s">
        <v>221</v>
      </c>
      <c r="E59" s="27" t="s">
        <v>118</v>
      </c>
      <c r="F59" s="27" t="s">
        <v>107</v>
      </c>
      <c r="G59" s="27">
        <v>3</v>
      </c>
      <c r="H59" s="28">
        <v>42317</v>
      </c>
      <c r="I59" s="27"/>
      <c r="J59" s="28">
        <v>42466</v>
      </c>
      <c r="K59" s="27"/>
      <c r="L59" s="27"/>
      <c r="M59" s="28">
        <v>42466</v>
      </c>
      <c r="N59" s="28"/>
      <c r="O59" s="28">
        <v>42542</v>
      </c>
      <c r="P59" s="27"/>
      <c r="Q59" s="28">
        <v>42565</v>
      </c>
      <c r="R59" s="27"/>
      <c r="S59" s="27"/>
      <c r="T59" s="27"/>
      <c r="U59" s="27"/>
      <c r="V59" s="27"/>
      <c r="W59" s="27"/>
      <c r="X59" s="27">
        <v>32.92</v>
      </c>
      <c r="Y59" s="27">
        <v>7.59</v>
      </c>
      <c r="Z59" s="27"/>
      <c r="AA59" s="27">
        <v>1.5</v>
      </c>
      <c r="AB59" s="27">
        <v>3.11</v>
      </c>
      <c r="AC59" s="27"/>
      <c r="AD59" s="27">
        <v>29.39</v>
      </c>
      <c r="AE59" s="37">
        <f>AllPlans[[#This Row],[Prep days*]]+AllPlans[[#This Row],[Hearing days*]]+AllPlans[[#This Row],[SV days*]]+AllPlans[[#This Row],[Travel days]]+AllPlans[[#This Row],[Reptg days*]]</f>
        <v>74.510000000000005</v>
      </c>
      <c r="AF59" s="27"/>
      <c r="AG59" s="28">
        <v>42832</v>
      </c>
      <c r="AH59" s="27"/>
      <c r="AI59" s="28">
        <v>42808</v>
      </c>
      <c r="AJ59" s="27"/>
      <c r="AK59" s="28">
        <v>42821</v>
      </c>
      <c r="AL59" s="27"/>
      <c r="AM59" s="28">
        <v>42822</v>
      </c>
      <c r="AN59" s="27"/>
      <c r="AO59" s="28">
        <v>42831</v>
      </c>
      <c r="AP59" s="27"/>
      <c r="AQ59" s="28">
        <v>42864</v>
      </c>
      <c r="AR59" s="27"/>
      <c r="AS59" s="28"/>
      <c r="AT59" s="27"/>
      <c r="AU59" s="27" t="s">
        <v>59</v>
      </c>
      <c r="AV59" s="40">
        <v>52.142857142857146</v>
      </c>
      <c r="AW59" s="39">
        <f t="shared" si="3"/>
        <v>38</v>
      </c>
      <c r="AX59" s="27"/>
      <c r="AY59" s="40" t="s">
        <v>222</v>
      </c>
      <c r="AZ59" s="41" t="str">
        <f t="shared" si="1"/>
        <v>Apr 16</v>
      </c>
      <c r="BA59" s="41" t="str">
        <f t="shared" si="2"/>
        <v>Apr 17</v>
      </c>
    </row>
    <row r="60" spans="1:53" ht="14" x14ac:dyDescent="0.15">
      <c r="A60" s="35" t="s">
        <v>53</v>
      </c>
      <c r="B60" s="35">
        <v>1733</v>
      </c>
      <c r="C60" s="27" t="s">
        <v>67</v>
      </c>
      <c r="D60" s="27" t="s">
        <v>223</v>
      </c>
      <c r="E60" s="27" t="s">
        <v>224</v>
      </c>
      <c r="F60" s="27" t="s">
        <v>107</v>
      </c>
      <c r="G60" s="27">
        <v>3</v>
      </c>
      <c r="H60" s="28">
        <v>42354</v>
      </c>
      <c r="I60" s="27"/>
      <c r="J60" s="28">
        <v>42472</v>
      </c>
      <c r="K60" s="27"/>
      <c r="L60" s="27"/>
      <c r="M60" s="28">
        <v>42473</v>
      </c>
      <c r="N60" s="28"/>
      <c r="O60" s="28">
        <v>42625</v>
      </c>
      <c r="P60" s="27"/>
      <c r="Q60" s="28">
        <v>42656</v>
      </c>
      <c r="R60" s="27"/>
      <c r="S60" s="27"/>
      <c r="T60" s="27"/>
      <c r="U60" s="27"/>
      <c r="V60" s="27"/>
      <c r="W60" s="27"/>
      <c r="X60" s="27">
        <v>19.5</v>
      </c>
      <c r="Y60" s="27">
        <v>8.3699999999999992</v>
      </c>
      <c r="Z60" s="27"/>
      <c r="AA60" s="27">
        <v>1</v>
      </c>
      <c r="AB60" s="27">
        <v>3.83</v>
      </c>
      <c r="AC60" s="27"/>
      <c r="AD60" s="27">
        <v>28.84</v>
      </c>
      <c r="AE60" s="37">
        <f>AllPlans[[#This Row],[Prep days*]]+AllPlans[[#This Row],[Hearing days*]]+AllPlans[[#This Row],[SV days*]]+AllPlans[[#This Row],[Travel days]]+AllPlans[[#This Row],[Reptg days*]]</f>
        <v>61.539999999999992</v>
      </c>
      <c r="AF60" s="27"/>
      <c r="AG60" s="28">
        <v>42888</v>
      </c>
      <c r="AH60" s="27"/>
      <c r="AI60" s="28">
        <v>42857</v>
      </c>
      <c r="AJ60" s="27"/>
      <c r="AK60" s="28">
        <v>42886</v>
      </c>
      <c r="AL60" s="27"/>
      <c r="AM60" s="28">
        <v>42887</v>
      </c>
      <c r="AN60" s="27"/>
      <c r="AO60" s="28">
        <v>42914</v>
      </c>
      <c r="AP60" s="27"/>
      <c r="AQ60" s="28">
        <v>42929</v>
      </c>
      <c r="AR60" s="27"/>
      <c r="AS60" s="28"/>
      <c r="AT60" s="27"/>
      <c r="AU60" s="27" t="s">
        <v>59</v>
      </c>
      <c r="AV60" s="40">
        <v>63.142857142857146</v>
      </c>
      <c r="AW60" s="39">
        <f t="shared" si="3"/>
        <v>36.857142857142854</v>
      </c>
      <c r="AX60" s="27"/>
      <c r="AY60" s="40" t="s">
        <v>225</v>
      </c>
      <c r="AZ60" s="41" t="str">
        <f t="shared" si="1"/>
        <v>Apr 16</v>
      </c>
      <c r="BA60" s="41" t="str">
        <f t="shared" si="2"/>
        <v>Jun 17</v>
      </c>
    </row>
    <row r="61" spans="1:53" ht="28" x14ac:dyDescent="0.15">
      <c r="A61" s="35" t="s">
        <v>53</v>
      </c>
      <c r="B61" s="35">
        <v>902</v>
      </c>
      <c r="C61" s="27" t="s">
        <v>61</v>
      </c>
      <c r="D61" s="27" t="s">
        <v>226</v>
      </c>
      <c r="E61" s="27" t="s">
        <v>227</v>
      </c>
      <c r="F61" s="27" t="s">
        <v>80</v>
      </c>
      <c r="G61" s="27">
        <v>3</v>
      </c>
      <c r="H61" s="28">
        <v>42305</v>
      </c>
      <c r="I61" s="27"/>
      <c r="J61" s="28">
        <v>42475</v>
      </c>
      <c r="K61" s="27"/>
      <c r="L61" s="27"/>
      <c r="M61" s="28">
        <v>42475</v>
      </c>
      <c r="N61" s="28"/>
      <c r="O61" s="28">
        <v>42583</v>
      </c>
      <c r="P61" s="27"/>
      <c r="Q61" s="28">
        <v>42586</v>
      </c>
      <c r="R61" s="27"/>
      <c r="S61" s="27"/>
      <c r="T61" s="27"/>
      <c r="U61" s="27"/>
      <c r="V61" s="27"/>
      <c r="W61" s="27"/>
      <c r="X61" s="27">
        <v>11.01</v>
      </c>
      <c r="Y61" s="27">
        <v>1.77</v>
      </c>
      <c r="Z61" s="27"/>
      <c r="AA61" s="27"/>
      <c r="AB61" s="27">
        <v>1.29</v>
      </c>
      <c r="AC61" s="27"/>
      <c r="AD61" s="27">
        <v>6.03</v>
      </c>
      <c r="AE61" s="37">
        <f>AllPlans[[#This Row],[Prep days*]]+AllPlans[[#This Row],[Hearing days*]]+AllPlans[[#This Row],[SV days*]]+AllPlans[[#This Row],[Travel days]]+AllPlans[[#This Row],[Reptg days*]]</f>
        <v>20.100000000000001</v>
      </c>
      <c r="AF61" s="27"/>
      <c r="AG61" s="28">
        <v>42671</v>
      </c>
      <c r="AH61" s="27"/>
      <c r="AI61" s="28">
        <v>42655</v>
      </c>
      <c r="AJ61" s="27"/>
      <c r="AK61" s="28">
        <v>42663</v>
      </c>
      <c r="AL61" s="27"/>
      <c r="AM61" s="28">
        <v>42667</v>
      </c>
      <c r="AN61" s="27"/>
      <c r="AO61" s="28">
        <v>42681</v>
      </c>
      <c r="AP61" s="27"/>
      <c r="AQ61" s="28">
        <v>42773</v>
      </c>
      <c r="AR61" s="27"/>
      <c r="AS61" s="28"/>
      <c r="AT61" s="27"/>
      <c r="AU61" s="27" t="s">
        <v>59</v>
      </c>
      <c r="AV61" s="40">
        <v>29.428571428571427</v>
      </c>
      <c r="AW61" s="39">
        <f t="shared" si="3"/>
        <v>13.571428571428571</v>
      </c>
      <c r="AX61" s="27"/>
      <c r="AY61" s="40" t="s">
        <v>228</v>
      </c>
      <c r="AZ61" s="41" t="str">
        <f t="shared" si="1"/>
        <v>Apr 16</v>
      </c>
      <c r="BA61" s="41" t="str">
        <f t="shared" si="2"/>
        <v>Nov 16</v>
      </c>
    </row>
    <row r="62" spans="1:53" ht="14" x14ac:dyDescent="0.15">
      <c r="A62" s="35" t="s">
        <v>53</v>
      </c>
      <c r="B62" s="35">
        <v>1709</v>
      </c>
      <c r="C62" s="27" t="s">
        <v>71</v>
      </c>
      <c r="D62" s="27" t="s">
        <v>229</v>
      </c>
      <c r="E62" s="27" t="s">
        <v>56</v>
      </c>
      <c r="F62" s="27" t="s">
        <v>57</v>
      </c>
      <c r="G62" s="27">
        <v>3</v>
      </c>
      <c r="H62" s="28">
        <v>42303</v>
      </c>
      <c r="I62" s="27"/>
      <c r="J62" s="28">
        <v>42482</v>
      </c>
      <c r="K62" s="27"/>
      <c r="L62" s="27"/>
      <c r="M62" s="28">
        <v>42485</v>
      </c>
      <c r="N62" s="28"/>
      <c r="O62" s="28">
        <v>42570</v>
      </c>
      <c r="P62" s="27"/>
      <c r="Q62" s="28">
        <v>42747</v>
      </c>
      <c r="R62" s="27"/>
      <c r="S62" s="27"/>
      <c r="T62" s="27"/>
      <c r="U62" s="27"/>
      <c r="V62" s="27"/>
      <c r="W62" s="27"/>
      <c r="X62" s="27">
        <v>45.89</v>
      </c>
      <c r="Y62" s="27">
        <v>12.81</v>
      </c>
      <c r="Z62" s="27"/>
      <c r="AA62" s="27"/>
      <c r="AB62" s="27">
        <v>5.53</v>
      </c>
      <c r="AC62" s="27"/>
      <c r="AD62" s="27">
        <v>33.51</v>
      </c>
      <c r="AE62" s="37">
        <f>AllPlans[[#This Row],[Prep days*]]+AllPlans[[#This Row],[Hearing days*]]+AllPlans[[#This Row],[SV days*]]+AllPlans[[#This Row],[Travel days]]+AllPlans[[#This Row],[Reptg days*]]</f>
        <v>97.740000000000009</v>
      </c>
      <c r="AF62" s="27"/>
      <c r="AG62" s="28">
        <v>42923</v>
      </c>
      <c r="AH62" s="27"/>
      <c r="AI62" s="28">
        <v>42905</v>
      </c>
      <c r="AJ62" s="27"/>
      <c r="AK62" s="28">
        <v>42921</v>
      </c>
      <c r="AL62" s="27"/>
      <c r="AM62" s="28">
        <v>42922</v>
      </c>
      <c r="AN62" s="27"/>
      <c r="AO62" s="28">
        <v>42948</v>
      </c>
      <c r="AP62" s="27"/>
      <c r="AQ62" s="28">
        <v>43046</v>
      </c>
      <c r="AR62" s="27"/>
      <c r="AS62" s="28"/>
      <c r="AT62" s="27"/>
      <c r="AU62" s="27" t="s">
        <v>59</v>
      </c>
      <c r="AV62" s="40">
        <v>66.571428571428569</v>
      </c>
      <c r="AW62" s="39">
        <f t="shared" si="3"/>
        <v>28.714285714285715</v>
      </c>
      <c r="AX62" s="27"/>
      <c r="AY62" s="40" t="s">
        <v>230</v>
      </c>
      <c r="AZ62" s="41" t="str">
        <f t="shared" si="1"/>
        <v>Apr 16</v>
      </c>
      <c r="BA62" s="41" t="str">
        <f t="shared" si="2"/>
        <v>Aug 17</v>
      </c>
    </row>
    <row r="63" spans="1:53" ht="14" x14ac:dyDescent="0.15">
      <c r="A63" s="35" t="s">
        <v>53</v>
      </c>
      <c r="B63" s="35">
        <v>1724</v>
      </c>
      <c r="C63" s="27" t="s">
        <v>77</v>
      </c>
      <c r="D63" s="27" t="s">
        <v>231</v>
      </c>
      <c r="E63" s="27" t="s">
        <v>232</v>
      </c>
      <c r="F63" s="27" t="s">
        <v>74</v>
      </c>
      <c r="G63" s="27">
        <v>2</v>
      </c>
      <c r="H63" s="28">
        <v>42352</v>
      </c>
      <c r="I63" s="27"/>
      <c r="J63" s="28">
        <v>42482</v>
      </c>
      <c r="K63" s="27"/>
      <c r="L63" s="27"/>
      <c r="M63" s="28">
        <v>42482</v>
      </c>
      <c r="N63" s="28"/>
      <c r="O63" s="28">
        <v>42703</v>
      </c>
      <c r="P63" s="27"/>
      <c r="Q63" s="28">
        <v>42795</v>
      </c>
      <c r="R63" s="27"/>
      <c r="S63" s="27"/>
      <c r="T63" s="27"/>
      <c r="U63" s="27"/>
      <c r="V63" s="27"/>
      <c r="W63" s="27"/>
      <c r="X63" s="27">
        <v>12.04</v>
      </c>
      <c r="Y63" s="27">
        <v>1.1499999999999999</v>
      </c>
      <c r="Z63" s="27"/>
      <c r="AA63" s="27"/>
      <c r="AB63" s="27">
        <v>0.56999999999999995</v>
      </c>
      <c r="AC63" s="27"/>
      <c r="AD63" s="27">
        <v>2.19</v>
      </c>
      <c r="AE63" s="37">
        <f>AllPlans[[#This Row],[Prep days*]]+AllPlans[[#This Row],[Hearing days*]]+AllPlans[[#This Row],[SV days*]]+AllPlans[[#This Row],[Travel days]]+AllPlans[[#This Row],[Reptg days*]]</f>
        <v>15.95</v>
      </c>
      <c r="AF63" s="27"/>
      <c r="AG63" s="28">
        <v>43007</v>
      </c>
      <c r="AH63" s="27"/>
      <c r="AI63" s="28">
        <v>42986</v>
      </c>
      <c r="AJ63" s="27"/>
      <c r="AK63" s="28">
        <v>42999</v>
      </c>
      <c r="AL63" s="27"/>
      <c r="AM63" s="28">
        <v>43003</v>
      </c>
      <c r="AN63" s="27"/>
      <c r="AO63" s="28">
        <v>43010</v>
      </c>
      <c r="AP63" s="27"/>
      <c r="AQ63" s="28">
        <v>43081</v>
      </c>
      <c r="AR63" s="27"/>
      <c r="AS63" s="28"/>
      <c r="AT63" s="27"/>
      <c r="AU63" s="27" t="s">
        <v>59</v>
      </c>
      <c r="AV63" s="40">
        <v>75.428571428571431</v>
      </c>
      <c r="AW63" s="39">
        <f t="shared" si="3"/>
        <v>30.714285714285715</v>
      </c>
      <c r="AX63" s="27"/>
      <c r="AY63" s="40" t="s">
        <v>228</v>
      </c>
      <c r="AZ63" s="41" t="str">
        <f t="shared" si="1"/>
        <v>Apr 16</v>
      </c>
      <c r="BA63" s="41" t="str">
        <f t="shared" si="2"/>
        <v>Oct 17</v>
      </c>
    </row>
    <row r="64" spans="1:53" ht="14" x14ac:dyDescent="0.15">
      <c r="A64" s="35" t="s">
        <v>53</v>
      </c>
      <c r="B64" s="35">
        <v>1723</v>
      </c>
      <c r="C64" s="27" t="s">
        <v>77</v>
      </c>
      <c r="D64" s="27" t="s">
        <v>231</v>
      </c>
      <c r="E64" s="27" t="s">
        <v>233</v>
      </c>
      <c r="F64" s="27" t="s">
        <v>74</v>
      </c>
      <c r="G64" s="27">
        <v>2</v>
      </c>
      <c r="H64" s="28">
        <v>42352</v>
      </c>
      <c r="I64" s="27"/>
      <c r="J64" s="28">
        <v>42482</v>
      </c>
      <c r="K64" s="27"/>
      <c r="L64" s="27"/>
      <c r="M64" s="28">
        <v>42471</v>
      </c>
      <c r="N64" s="28"/>
      <c r="O64" s="28">
        <v>42704</v>
      </c>
      <c r="P64" s="27"/>
      <c r="Q64" s="28">
        <v>42795</v>
      </c>
      <c r="R64" s="27"/>
      <c r="S64" s="27"/>
      <c r="T64" s="27"/>
      <c r="U64" s="27"/>
      <c r="V64" s="27"/>
      <c r="W64" s="27"/>
      <c r="X64" s="27">
        <v>12.67</v>
      </c>
      <c r="Y64" s="27">
        <v>1.74</v>
      </c>
      <c r="Z64" s="27"/>
      <c r="AA64" s="27"/>
      <c r="AB64" s="27">
        <v>0.56999999999999995</v>
      </c>
      <c r="AC64" s="27"/>
      <c r="AD64" s="27">
        <v>6.59</v>
      </c>
      <c r="AE64" s="37">
        <f>AllPlans[[#This Row],[Prep days*]]+AllPlans[[#This Row],[Hearing days*]]+AllPlans[[#This Row],[SV days*]]+AllPlans[[#This Row],[Travel days]]+AllPlans[[#This Row],[Reptg days*]]</f>
        <v>21.57</v>
      </c>
      <c r="AF64" s="27"/>
      <c r="AG64" s="28">
        <v>43007</v>
      </c>
      <c r="AH64" s="27"/>
      <c r="AI64" s="28">
        <v>42986</v>
      </c>
      <c r="AJ64" s="27"/>
      <c r="AK64" s="28">
        <v>42999</v>
      </c>
      <c r="AL64" s="27"/>
      <c r="AM64" s="28">
        <v>43003</v>
      </c>
      <c r="AN64" s="27"/>
      <c r="AO64" s="28">
        <v>43010</v>
      </c>
      <c r="AP64" s="27"/>
      <c r="AQ64" s="28">
        <v>43081</v>
      </c>
      <c r="AR64" s="27"/>
      <c r="AS64" s="28"/>
      <c r="AT64" s="27"/>
      <c r="AU64" s="27" t="s">
        <v>59</v>
      </c>
      <c r="AV64" s="40">
        <v>75.428571428571431</v>
      </c>
      <c r="AW64" s="39">
        <f t="shared" si="3"/>
        <v>30.714285714285715</v>
      </c>
      <c r="AX64" s="27"/>
      <c r="AY64" s="40" t="s">
        <v>228</v>
      </c>
      <c r="AZ64" s="41" t="str">
        <f t="shared" si="1"/>
        <v>Apr 16</v>
      </c>
      <c r="BA64" s="41" t="str">
        <f t="shared" si="2"/>
        <v>Oct 17</v>
      </c>
    </row>
    <row r="65" spans="1:53" ht="14" x14ac:dyDescent="0.15">
      <c r="A65" s="35" t="s">
        <v>53</v>
      </c>
      <c r="B65" s="35">
        <v>1719</v>
      </c>
      <c r="C65" s="27" t="s">
        <v>54</v>
      </c>
      <c r="D65" s="27" t="s">
        <v>234</v>
      </c>
      <c r="E65" s="27" t="s">
        <v>235</v>
      </c>
      <c r="F65" s="27" t="s">
        <v>107</v>
      </c>
      <c r="G65" s="27">
        <v>3</v>
      </c>
      <c r="H65" s="28">
        <v>42314</v>
      </c>
      <c r="I65" s="27"/>
      <c r="J65" s="28">
        <v>42486</v>
      </c>
      <c r="K65" s="27"/>
      <c r="L65" s="27"/>
      <c r="M65" s="28">
        <v>42486</v>
      </c>
      <c r="N65" s="28"/>
      <c r="O65" s="28">
        <v>42570</v>
      </c>
      <c r="P65" s="27"/>
      <c r="Q65" s="28">
        <v>42584</v>
      </c>
      <c r="R65" s="27"/>
      <c r="S65" s="27"/>
      <c r="T65" s="27"/>
      <c r="U65" s="27"/>
      <c r="V65" s="27"/>
      <c r="W65" s="27"/>
      <c r="X65" s="27">
        <v>30.65</v>
      </c>
      <c r="Y65" s="27">
        <v>4.12</v>
      </c>
      <c r="Z65" s="27"/>
      <c r="AA65" s="27">
        <v>1.89</v>
      </c>
      <c r="AB65" s="27">
        <v>4.9800000000000004</v>
      </c>
      <c r="AC65" s="27"/>
      <c r="AD65" s="27">
        <v>12.02</v>
      </c>
      <c r="AE65" s="37">
        <f>AllPlans[[#This Row],[Prep days*]]+AllPlans[[#This Row],[Hearing days*]]+AllPlans[[#This Row],[SV days*]]+AllPlans[[#This Row],[Travel days]]+AllPlans[[#This Row],[Reptg days*]]</f>
        <v>53.66</v>
      </c>
      <c r="AF65" s="27"/>
      <c r="AG65" s="28">
        <v>42720</v>
      </c>
      <c r="AH65" s="27"/>
      <c r="AI65" s="28">
        <v>42691</v>
      </c>
      <c r="AJ65" s="27"/>
      <c r="AK65" s="28">
        <v>42716</v>
      </c>
      <c r="AL65" s="27"/>
      <c r="AM65" s="28">
        <v>42716</v>
      </c>
      <c r="AN65" s="27"/>
      <c r="AO65" s="28">
        <v>42732</v>
      </c>
      <c r="AP65" s="27"/>
      <c r="AQ65" s="28">
        <v>42766</v>
      </c>
      <c r="AR65" s="27"/>
      <c r="AS65" s="28"/>
      <c r="AT65" s="27"/>
      <c r="AU65" s="27" t="s">
        <v>59</v>
      </c>
      <c r="AV65" s="40">
        <v>35.142857142857146</v>
      </c>
      <c r="AW65" s="39">
        <f t="shared" si="3"/>
        <v>21.142857142857142</v>
      </c>
      <c r="AX65" s="27"/>
      <c r="AY65" s="40" t="s">
        <v>236</v>
      </c>
      <c r="AZ65" s="41" t="str">
        <f t="shared" si="1"/>
        <v>Apr 16</v>
      </c>
      <c r="BA65" s="41" t="str">
        <f t="shared" si="2"/>
        <v>Dec 16</v>
      </c>
    </row>
    <row r="66" spans="1:53" ht="14" x14ac:dyDescent="0.15">
      <c r="A66" s="35" t="s">
        <v>53</v>
      </c>
      <c r="B66" s="35">
        <v>1738</v>
      </c>
      <c r="C66" s="27" t="s">
        <v>83</v>
      </c>
      <c r="D66" s="27" t="s">
        <v>237</v>
      </c>
      <c r="E66" s="27" t="s">
        <v>238</v>
      </c>
      <c r="F66" s="27" t="s">
        <v>74</v>
      </c>
      <c r="G66" s="27">
        <v>3</v>
      </c>
      <c r="H66" s="28">
        <v>42389</v>
      </c>
      <c r="I66" s="27"/>
      <c r="J66" s="28">
        <v>42496</v>
      </c>
      <c r="K66" s="27"/>
      <c r="L66" s="27"/>
      <c r="M66" s="28">
        <v>42496</v>
      </c>
      <c r="N66" s="28"/>
      <c r="O66" s="28">
        <v>42604</v>
      </c>
      <c r="P66" s="27"/>
      <c r="Q66" s="28">
        <v>42604</v>
      </c>
      <c r="R66" s="27"/>
      <c r="S66" s="27"/>
      <c r="T66" s="27"/>
      <c r="U66" s="27"/>
      <c r="V66" s="27"/>
      <c r="W66" s="27"/>
      <c r="X66" s="27">
        <v>19.54</v>
      </c>
      <c r="Y66" s="27">
        <v>3.04</v>
      </c>
      <c r="Z66" s="27"/>
      <c r="AA66" s="27">
        <v>0.37</v>
      </c>
      <c r="AB66" s="27">
        <v>2.15</v>
      </c>
      <c r="AC66" s="27"/>
      <c r="AD66" s="27">
        <v>23.11</v>
      </c>
      <c r="AE66" s="37">
        <f>AllPlans[[#This Row],[Prep days*]]+AllPlans[[#This Row],[Hearing days*]]+AllPlans[[#This Row],[SV days*]]+AllPlans[[#This Row],[Travel days]]+AllPlans[[#This Row],[Reptg days*]]</f>
        <v>48.209999999999994</v>
      </c>
      <c r="AF66" s="27"/>
      <c r="AG66" s="28">
        <v>42768</v>
      </c>
      <c r="AH66" s="27"/>
      <c r="AI66" s="28">
        <v>42726</v>
      </c>
      <c r="AJ66" s="27"/>
      <c r="AK66" s="28">
        <v>42762</v>
      </c>
      <c r="AL66" s="27"/>
      <c r="AM66" s="28">
        <v>42762</v>
      </c>
      <c r="AN66" s="27"/>
      <c r="AO66" s="28">
        <v>42775</v>
      </c>
      <c r="AP66" s="27"/>
      <c r="AQ66" s="28">
        <v>42928</v>
      </c>
      <c r="AR66" s="27"/>
      <c r="AS66" s="28"/>
      <c r="AT66" s="27"/>
      <c r="AU66" s="27" t="s">
        <v>59</v>
      </c>
      <c r="AV66" s="40">
        <v>57.857142857142854</v>
      </c>
      <c r="AW66" s="39">
        <f t="shared" ref="AW66:AW97" si="4">SUM(AO66-Q66)/7</f>
        <v>24.428571428571427</v>
      </c>
      <c r="AX66" s="27"/>
      <c r="AY66" s="40" t="s">
        <v>239</v>
      </c>
      <c r="AZ66" s="41" t="str">
        <f t="shared" ref="AZ66:AZ129" si="5">TEXT(J66,"MMM YY")</f>
        <v>May 16</v>
      </c>
      <c r="BA66" s="41" t="str">
        <f t="shared" ref="BA66:BA129" si="6">TEXT(AO66,"MMM YY")</f>
        <v>Feb 17</v>
      </c>
    </row>
    <row r="67" spans="1:53" ht="14" x14ac:dyDescent="0.15">
      <c r="A67" s="35" t="s">
        <v>53</v>
      </c>
      <c r="B67" s="35">
        <v>574</v>
      </c>
      <c r="C67" s="27" t="s">
        <v>67</v>
      </c>
      <c r="D67" s="27" t="s">
        <v>240</v>
      </c>
      <c r="E67" s="27" t="s">
        <v>56</v>
      </c>
      <c r="F67" s="27" t="s">
        <v>57</v>
      </c>
      <c r="G67" s="27">
        <v>3</v>
      </c>
      <c r="H67" s="28">
        <v>42170</v>
      </c>
      <c r="I67" s="27"/>
      <c r="J67" s="28">
        <v>42496</v>
      </c>
      <c r="K67" s="27"/>
      <c r="L67" s="27"/>
      <c r="M67" s="28">
        <v>42496</v>
      </c>
      <c r="N67" s="28"/>
      <c r="O67" s="28">
        <v>42563</v>
      </c>
      <c r="P67" s="27"/>
      <c r="Q67" s="28">
        <v>42566</v>
      </c>
      <c r="R67" s="27"/>
      <c r="S67" s="27"/>
      <c r="T67" s="27"/>
      <c r="U67" s="27"/>
      <c r="V67" s="27"/>
      <c r="W67" s="27"/>
      <c r="X67" s="27">
        <v>12.94</v>
      </c>
      <c r="Y67" s="27">
        <v>1.05</v>
      </c>
      <c r="Z67" s="27"/>
      <c r="AA67" s="27"/>
      <c r="AB67" s="27">
        <v>0.27</v>
      </c>
      <c r="AC67" s="27"/>
      <c r="AD67" s="27">
        <v>13.93</v>
      </c>
      <c r="AE67" s="37">
        <f>AllPlans[[#This Row],[Prep days*]]+AllPlans[[#This Row],[Hearing days*]]+AllPlans[[#This Row],[SV days*]]+AllPlans[[#This Row],[Travel days]]+AllPlans[[#This Row],[Reptg days*]]</f>
        <v>28.189999999999998</v>
      </c>
      <c r="AF67" s="27"/>
      <c r="AG67" s="28">
        <v>42874</v>
      </c>
      <c r="AH67" s="27"/>
      <c r="AI67" s="28">
        <v>42852</v>
      </c>
      <c r="AJ67" s="27"/>
      <c r="AK67" s="28">
        <v>42870</v>
      </c>
      <c r="AL67" s="27"/>
      <c r="AM67" s="28">
        <v>42871</v>
      </c>
      <c r="AN67" s="27"/>
      <c r="AO67" s="28">
        <v>42901</v>
      </c>
      <c r="AP67" s="27"/>
      <c r="AQ67" s="28">
        <v>42920</v>
      </c>
      <c r="AR67" s="27"/>
      <c r="AS67" s="28"/>
      <c r="AT67" s="27"/>
      <c r="AU67" s="27" t="s">
        <v>59</v>
      </c>
      <c r="AV67" s="40">
        <v>39.857142857142854</v>
      </c>
      <c r="AW67" s="39">
        <f t="shared" si="4"/>
        <v>47.857142857142854</v>
      </c>
      <c r="AX67" s="27"/>
      <c r="AY67" s="40" t="s">
        <v>241</v>
      </c>
      <c r="AZ67" s="41" t="str">
        <f t="shared" si="5"/>
        <v>May 16</v>
      </c>
      <c r="BA67" s="41" t="str">
        <f t="shared" si="6"/>
        <v>Jun 17</v>
      </c>
    </row>
    <row r="68" spans="1:53" ht="14" x14ac:dyDescent="0.15">
      <c r="A68" s="35" t="s">
        <v>53</v>
      </c>
      <c r="B68" s="35">
        <v>1715</v>
      </c>
      <c r="C68" s="27" t="s">
        <v>77</v>
      </c>
      <c r="D68" s="27" t="s">
        <v>242</v>
      </c>
      <c r="E68" s="27" t="s">
        <v>56</v>
      </c>
      <c r="F68" s="27" t="s">
        <v>57</v>
      </c>
      <c r="G68" s="27">
        <v>3</v>
      </c>
      <c r="H68" s="28">
        <v>42314</v>
      </c>
      <c r="I68" s="27"/>
      <c r="J68" s="28">
        <v>42499</v>
      </c>
      <c r="K68" s="27"/>
      <c r="L68" s="27"/>
      <c r="M68" s="28">
        <v>42499</v>
      </c>
      <c r="N68" s="28"/>
      <c r="O68" s="28">
        <v>42598</v>
      </c>
      <c r="P68" s="27"/>
      <c r="Q68" s="28">
        <v>42759</v>
      </c>
      <c r="R68" s="27"/>
      <c r="S68" s="27"/>
      <c r="T68" s="27"/>
      <c r="U68" s="27"/>
      <c r="V68" s="27"/>
      <c r="W68" s="27"/>
      <c r="X68" s="27">
        <v>28.7</v>
      </c>
      <c r="Y68" s="27">
        <v>4.08</v>
      </c>
      <c r="Z68" s="27"/>
      <c r="AA68" s="27"/>
      <c r="AB68" s="27">
        <v>3.8</v>
      </c>
      <c r="AC68" s="27"/>
      <c r="AD68" s="27">
        <v>18.579999999999998</v>
      </c>
      <c r="AE68" s="37">
        <f>AllPlans[[#This Row],[Prep days*]]+AllPlans[[#This Row],[Hearing days*]]+AllPlans[[#This Row],[SV days*]]+AllPlans[[#This Row],[Travel days]]+AllPlans[[#This Row],[Reptg days*]]</f>
        <v>55.16</v>
      </c>
      <c r="AF68" s="27"/>
      <c r="AG68" s="28">
        <v>42774</v>
      </c>
      <c r="AH68" s="27"/>
      <c r="AI68" s="28">
        <v>42762</v>
      </c>
      <c r="AJ68" s="27"/>
      <c r="AK68" s="28">
        <v>42768</v>
      </c>
      <c r="AL68" s="27"/>
      <c r="AM68" s="28">
        <v>42769</v>
      </c>
      <c r="AN68" s="27"/>
      <c r="AO68" s="28">
        <v>42775</v>
      </c>
      <c r="AP68" s="27"/>
      <c r="AQ68" s="28">
        <v>42919</v>
      </c>
      <c r="AR68" s="27"/>
      <c r="AS68" s="28"/>
      <c r="AT68" s="27"/>
      <c r="AU68" s="27" t="s">
        <v>59</v>
      </c>
      <c r="AV68" s="40">
        <v>39.428571428571431</v>
      </c>
      <c r="AW68" s="39">
        <f t="shared" si="4"/>
        <v>2.2857142857142856</v>
      </c>
      <c r="AX68" s="27"/>
      <c r="AY68" s="40" t="s">
        <v>243</v>
      </c>
      <c r="AZ68" s="41" t="str">
        <f t="shared" si="5"/>
        <v>May 16</v>
      </c>
      <c r="BA68" s="41" t="str">
        <f t="shared" si="6"/>
        <v>Feb 17</v>
      </c>
    </row>
    <row r="69" spans="1:53" ht="42" x14ac:dyDescent="0.15">
      <c r="A69" s="35" t="s">
        <v>53</v>
      </c>
      <c r="B69" s="35">
        <v>1727</v>
      </c>
      <c r="C69" s="27" t="s">
        <v>90</v>
      </c>
      <c r="D69" s="27" t="s">
        <v>160</v>
      </c>
      <c r="E69" s="27" t="s">
        <v>244</v>
      </c>
      <c r="F69" s="27" t="s">
        <v>162</v>
      </c>
      <c r="G69" s="27">
        <v>2</v>
      </c>
      <c r="H69" s="28">
        <v>42341</v>
      </c>
      <c r="I69" s="27"/>
      <c r="J69" s="28">
        <v>42501</v>
      </c>
      <c r="K69" s="27"/>
      <c r="L69" s="27"/>
      <c r="M69" s="28">
        <v>42501</v>
      </c>
      <c r="N69" s="28"/>
      <c r="O69" s="28"/>
      <c r="P69" s="27" t="s">
        <v>245</v>
      </c>
      <c r="Q69" s="28"/>
      <c r="R69" s="27" t="s">
        <v>246</v>
      </c>
      <c r="S69" s="27"/>
      <c r="T69" s="27"/>
      <c r="U69" s="27"/>
      <c r="V69" s="27"/>
      <c r="W69" s="27"/>
      <c r="X69" s="27">
        <v>9.1300000000000008</v>
      </c>
      <c r="Y69" s="27"/>
      <c r="Z69" s="27"/>
      <c r="AA69" s="27"/>
      <c r="AB69" s="27"/>
      <c r="AC69" s="27"/>
      <c r="AD69" s="27">
        <v>3.49</v>
      </c>
      <c r="AE69" s="37">
        <f>AllPlans[[#This Row],[Prep days*]]+AllPlans[[#This Row],[Hearing days*]]+AllPlans[[#This Row],[SV days*]]+AllPlans[[#This Row],[Travel days]]+AllPlans[[#This Row],[Reptg days*]]</f>
        <v>12.620000000000001</v>
      </c>
      <c r="AF69" s="27"/>
      <c r="AG69" s="28">
        <v>42627</v>
      </c>
      <c r="AH69" s="27"/>
      <c r="AI69" s="28">
        <v>42604</v>
      </c>
      <c r="AJ69" s="27"/>
      <c r="AK69" s="28">
        <v>42612</v>
      </c>
      <c r="AL69" s="27"/>
      <c r="AM69" s="28">
        <v>42613</v>
      </c>
      <c r="AN69" s="27"/>
      <c r="AO69" s="28">
        <v>42613</v>
      </c>
      <c r="AP69" s="27"/>
      <c r="AQ69" s="28">
        <v>42683</v>
      </c>
      <c r="AR69" s="27"/>
      <c r="AS69" s="28"/>
      <c r="AT69" s="27"/>
      <c r="AU69" s="27" t="s">
        <v>59</v>
      </c>
      <c r="AV69" s="40">
        <v>16</v>
      </c>
      <c r="AW69" s="39">
        <f t="shared" si="4"/>
        <v>6087.5714285714284</v>
      </c>
      <c r="AX69" s="27"/>
      <c r="AY69" s="40" t="s">
        <v>163</v>
      </c>
      <c r="AZ69" s="41" t="str">
        <f t="shared" si="5"/>
        <v>May 16</v>
      </c>
      <c r="BA69" s="41" t="str">
        <f t="shared" si="6"/>
        <v>Aug 16</v>
      </c>
    </row>
    <row r="70" spans="1:53" ht="42" x14ac:dyDescent="0.15">
      <c r="A70" s="35" t="s">
        <v>53</v>
      </c>
      <c r="B70" s="35">
        <v>1722</v>
      </c>
      <c r="C70" s="27" t="s">
        <v>77</v>
      </c>
      <c r="D70" s="27" t="s">
        <v>231</v>
      </c>
      <c r="E70" s="27" t="s">
        <v>247</v>
      </c>
      <c r="F70" s="27" t="s">
        <v>80</v>
      </c>
      <c r="G70" s="27">
        <v>3</v>
      </c>
      <c r="H70" s="28">
        <v>42352</v>
      </c>
      <c r="I70" s="27"/>
      <c r="J70" s="28">
        <v>42501</v>
      </c>
      <c r="K70" s="27"/>
      <c r="L70" s="27"/>
      <c r="M70" s="28">
        <v>42501</v>
      </c>
      <c r="N70" s="28"/>
      <c r="O70" s="28"/>
      <c r="P70" s="27" t="s">
        <v>245</v>
      </c>
      <c r="Q70" s="28" t="s">
        <v>53</v>
      </c>
      <c r="R70" s="27" t="s">
        <v>246</v>
      </c>
      <c r="S70" s="27"/>
      <c r="T70" s="27"/>
      <c r="U70" s="27"/>
      <c r="V70" s="27"/>
      <c r="W70" s="27"/>
      <c r="X70" s="27">
        <v>7.73</v>
      </c>
      <c r="Y70" s="27"/>
      <c r="Z70" s="27"/>
      <c r="AA70" s="27"/>
      <c r="AB70" s="27"/>
      <c r="AC70" s="27"/>
      <c r="AD70" s="27">
        <v>10.86</v>
      </c>
      <c r="AE70" s="37">
        <f>AllPlans[[#This Row],[Prep days*]]+AllPlans[[#This Row],[Hearing days*]]+AllPlans[[#This Row],[SV days*]]+AllPlans[[#This Row],[Travel days]]+AllPlans[[#This Row],[Reptg days*]]</f>
        <v>18.59</v>
      </c>
      <c r="AF70" s="27"/>
      <c r="AG70" s="28">
        <v>42937</v>
      </c>
      <c r="AH70" s="27"/>
      <c r="AI70" s="28">
        <v>42923</v>
      </c>
      <c r="AJ70" s="27"/>
      <c r="AK70" s="28">
        <v>42935</v>
      </c>
      <c r="AL70" s="27"/>
      <c r="AM70" s="28">
        <v>42936</v>
      </c>
      <c r="AN70" s="27"/>
      <c r="AO70" s="28">
        <v>42941</v>
      </c>
      <c r="AP70" s="27"/>
      <c r="AQ70" s="28">
        <v>43025</v>
      </c>
      <c r="AR70" s="27"/>
      <c r="AS70" s="28"/>
      <c r="AT70" s="27"/>
      <c r="AU70" s="27" t="s">
        <v>59</v>
      </c>
      <c r="AV70" s="40">
        <v>62.857142857142854</v>
      </c>
      <c r="AW70" s="39" t="e">
        <f t="shared" si="4"/>
        <v>#VALUE!</v>
      </c>
      <c r="AX70" s="27"/>
      <c r="AY70" s="40" t="s">
        <v>228</v>
      </c>
      <c r="AZ70" s="41" t="str">
        <f t="shared" si="5"/>
        <v>May 16</v>
      </c>
      <c r="BA70" s="41" t="str">
        <f t="shared" si="6"/>
        <v>Jul 17</v>
      </c>
    </row>
    <row r="71" spans="1:53" ht="14" x14ac:dyDescent="0.15">
      <c r="A71" s="35" t="s">
        <v>53</v>
      </c>
      <c r="B71" s="35">
        <v>693</v>
      </c>
      <c r="C71" s="27" t="s">
        <v>61</v>
      </c>
      <c r="D71" s="27" t="s">
        <v>248</v>
      </c>
      <c r="E71" s="27" t="s">
        <v>56</v>
      </c>
      <c r="F71" s="27" t="s">
        <v>57</v>
      </c>
      <c r="G71" s="27">
        <v>3</v>
      </c>
      <c r="H71" s="28">
        <v>42405</v>
      </c>
      <c r="I71" s="27"/>
      <c r="J71" s="28">
        <v>42510</v>
      </c>
      <c r="K71" s="27"/>
      <c r="L71" s="27"/>
      <c r="M71" s="28">
        <v>42510</v>
      </c>
      <c r="N71" s="28"/>
      <c r="O71" s="28">
        <v>42647</v>
      </c>
      <c r="P71" s="27"/>
      <c r="Q71" s="28">
        <v>42759</v>
      </c>
      <c r="R71" s="27"/>
      <c r="S71" s="27"/>
      <c r="T71" s="27"/>
      <c r="U71" s="27"/>
      <c r="V71" s="27"/>
      <c r="W71" s="27"/>
      <c r="X71" s="27">
        <v>73.56</v>
      </c>
      <c r="Y71" s="27">
        <v>18.739999999999998</v>
      </c>
      <c r="Z71" s="27"/>
      <c r="AA71" s="27"/>
      <c r="AB71" s="27">
        <v>5.41</v>
      </c>
      <c r="AC71" s="27"/>
      <c r="AD71" s="27">
        <v>48.31</v>
      </c>
      <c r="AE71" s="37">
        <f>AllPlans[[#This Row],[Prep days*]]+AllPlans[[#This Row],[Hearing days*]]+AllPlans[[#This Row],[SV days*]]+AllPlans[[#This Row],[Travel days]]+AllPlans[[#This Row],[Reptg days*]]</f>
        <v>146.01999999999998</v>
      </c>
      <c r="AF71" s="27"/>
      <c r="AG71" s="28">
        <v>42944</v>
      </c>
      <c r="AH71" s="27"/>
      <c r="AI71" s="28">
        <v>42902</v>
      </c>
      <c r="AJ71" s="27"/>
      <c r="AK71" s="28">
        <v>42940</v>
      </c>
      <c r="AL71" s="27"/>
      <c r="AM71" s="28">
        <v>42940</v>
      </c>
      <c r="AN71" s="27"/>
      <c r="AO71" s="28">
        <v>42943</v>
      </c>
      <c r="AP71" s="27"/>
      <c r="AQ71" s="28">
        <v>43033</v>
      </c>
      <c r="AR71" s="27"/>
      <c r="AS71" s="28"/>
      <c r="AT71" s="27"/>
      <c r="AU71" s="27" t="s">
        <v>59</v>
      </c>
      <c r="AV71" s="40">
        <v>61.857142857142854</v>
      </c>
      <c r="AW71" s="39">
        <f t="shared" si="4"/>
        <v>26.285714285714285</v>
      </c>
      <c r="AX71" s="27"/>
      <c r="AY71" s="40" t="s">
        <v>249</v>
      </c>
      <c r="AZ71" s="41" t="str">
        <f t="shared" si="5"/>
        <v>May 16</v>
      </c>
      <c r="BA71" s="41" t="str">
        <f t="shared" si="6"/>
        <v>Jul 17</v>
      </c>
    </row>
    <row r="72" spans="1:53" ht="14" x14ac:dyDescent="0.15">
      <c r="A72" s="35" t="s">
        <v>53</v>
      </c>
      <c r="B72" s="35">
        <v>1734</v>
      </c>
      <c r="C72" s="27" t="s">
        <v>90</v>
      </c>
      <c r="D72" s="27" t="s">
        <v>250</v>
      </c>
      <c r="E72" s="27" t="s">
        <v>251</v>
      </c>
      <c r="F72" s="27" t="s">
        <v>57</v>
      </c>
      <c r="G72" s="27">
        <v>3</v>
      </c>
      <c r="H72" s="28">
        <v>42377</v>
      </c>
      <c r="I72" s="27"/>
      <c r="J72" s="28">
        <v>42514</v>
      </c>
      <c r="K72" s="27"/>
      <c r="L72" s="27"/>
      <c r="M72" s="28">
        <v>42514</v>
      </c>
      <c r="N72" s="28"/>
      <c r="O72" s="28">
        <v>42605</v>
      </c>
      <c r="P72" s="27"/>
      <c r="Q72" s="28">
        <v>42621</v>
      </c>
      <c r="R72" s="27"/>
      <c r="S72" s="27"/>
      <c r="T72" s="27"/>
      <c r="U72" s="27"/>
      <c r="V72" s="27"/>
      <c r="W72" s="27"/>
      <c r="X72" s="27">
        <v>35.79</v>
      </c>
      <c r="Y72" s="27">
        <v>11.21</v>
      </c>
      <c r="Z72" s="27"/>
      <c r="AA72" s="27"/>
      <c r="AB72" s="27"/>
      <c r="AC72" s="27"/>
      <c r="AD72" s="27">
        <v>35.770000000000003</v>
      </c>
      <c r="AE72" s="37">
        <f>AllPlans[[#This Row],[Prep days*]]+AllPlans[[#This Row],[Hearing days*]]+AllPlans[[#This Row],[SV days*]]+AllPlans[[#This Row],[Travel days]]+AllPlans[[#This Row],[Reptg days*]]</f>
        <v>82.77000000000001</v>
      </c>
      <c r="AF72" s="27"/>
      <c r="AG72" s="28">
        <v>42852</v>
      </c>
      <c r="AH72" s="27"/>
      <c r="AI72" s="28">
        <v>42828</v>
      </c>
      <c r="AJ72" s="27"/>
      <c r="AK72" s="28">
        <v>42846</v>
      </c>
      <c r="AL72" s="27"/>
      <c r="AM72" s="28">
        <v>42846</v>
      </c>
      <c r="AN72" s="27"/>
      <c r="AO72" s="28">
        <v>42853</v>
      </c>
      <c r="AP72" s="27"/>
      <c r="AQ72" s="28">
        <v>42940</v>
      </c>
      <c r="AR72" s="27"/>
      <c r="AS72" s="28"/>
      <c r="AT72" s="27"/>
      <c r="AU72" s="27" t="s">
        <v>59</v>
      </c>
      <c r="AV72" s="40">
        <v>48.428571428571431</v>
      </c>
      <c r="AW72" s="39">
        <f t="shared" si="4"/>
        <v>33.142857142857146</v>
      </c>
      <c r="AX72" s="27"/>
      <c r="AY72" s="40" t="s">
        <v>252</v>
      </c>
      <c r="AZ72" s="41" t="str">
        <f t="shared" si="5"/>
        <v>May 16</v>
      </c>
      <c r="BA72" s="41" t="str">
        <f t="shared" si="6"/>
        <v>Apr 17</v>
      </c>
    </row>
    <row r="73" spans="1:53" ht="14" x14ac:dyDescent="0.15">
      <c r="A73" s="35" t="s">
        <v>53</v>
      </c>
      <c r="B73" s="35">
        <v>1735</v>
      </c>
      <c r="C73" s="27" t="s">
        <v>90</v>
      </c>
      <c r="D73" s="27" t="s">
        <v>250</v>
      </c>
      <c r="E73" s="27" t="s">
        <v>253</v>
      </c>
      <c r="F73" s="27" t="s">
        <v>136</v>
      </c>
      <c r="G73" s="27">
        <v>2</v>
      </c>
      <c r="H73" s="28">
        <v>42377</v>
      </c>
      <c r="I73" s="27"/>
      <c r="J73" s="28">
        <v>42514</v>
      </c>
      <c r="K73" s="27"/>
      <c r="L73" s="27"/>
      <c r="M73" s="28">
        <v>42514</v>
      </c>
      <c r="N73" s="28"/>
      <c r="O73" s="28">
        <v>42607</v>
      </c>
      <c r="P73" s="27"/>
      <c r="Q73" s="28">
        <v>42621</v>
      </c>
      <c r="R73" s="27"/>
      <c r="S73" s="27"/>
      <c r="T73" s="27"/>
      <c r="U73" s="27"/>
      <c r="V73" s="27"/>
      <c r="W73" s="27"/>
      <c r="X73" s="80">
        <v>0</v>
      </c>
      <c r="Y73" s="80">
        <v>2</v>
      </c>
      <c r="Z73" s="80"/>
      <c r="AA73" s="80">
        <v>0</v>
      </c>
      <c r="AB73" s="80">
        <v>0</v>
      </c>
      <c r="AC73" s="80"/>
      <c r="AD73" s="80">
        <v>3</v>
      </c>
      <c r="AE73" s="37">
        <f>AllPlans[[#This Row],[Prep days*]]+AllPlans[[#This Row],[Hearing days*]]+AllPlans[[#This Row],[SV days*]]+AllPlans[[#This Row],[Travel days]]+AllPlans[[#This Row],[Reptg days*]]</f>
        <v>5</v>
      </c>
      <c r="AF73" s="27">
        <v>1734</v>
      </c>
      <c r="AG73" s="28">
        <v>42852</v>
      </c>
      <c r="AH73" s="27"/>
      <c r="AI73" s="28">
        <v>42828</v>
      </c>
      <c r="AJ73" s="27"/>
      <c r="AK73" s="28">
        <v>42846</v>
      </c>
      <c r="AL73" s="27"/>
      <c r="AM73" s="28">
        <v>42846</v>
      </c>
      <c r="AN73" s="27"/>
      <c r="AO73" s="28">
        <v>42853</v>
      </c>
      <c r="AP73" s="27"/>
      <c r="AQ73" s="28">
        <v>42940</v>
      </c>
      <c r="AR73" s="27"/>
      <c r="AS73" s="28"/>
      <c r="AT73" s="27"/>
      <c r="AU73" s="27" t="s">
        <v>59</v>
      </c>
      <c r="AV73" s="40">
        <v>48.428571428571431</v>
      </c>
      <c r="AW73" s="39">
        <f t="shared" si="4"/>
        <v>33.142857142857146</v>
      </c>
      <c r="AX73" s="27"/>
      <c r="AY73" s="40" t="s">
        <v>252</v>
      </c>
      <c r="AZ73" s="41" t="str">
        <f t="shared" si="5"/>
        <v>May 16</v>
      </c>
      <c r="BA73" s="41" t="str">
        <f t="shared" si="6"/>
        <v>Apr 17</v>
      </c>
    </row>
    <row r="74" spans="1:53" ht="14" x14ac:dyDescent="0.15">
      <c r="A74" s="35" t="s">
        <v>53</v>
      </c>
      <c r="B74" s="35">
        <v>1736</v>
      </c>
      <c r="C74" s="27" t="s">
        <v>90</v>
      </c>
      <c r="D74" s="27" t="s">
        <v>250</v>
      </c>
      <c r="E74" s="27" t="s">
        <v>118</v>
      </c>
      <c r="F74" s="27" t="s">
        <v>107</v>
      </c>
      <c r="G74" s="27">
        <v>3</v>
      </c>
      <c r="H74" s="28">
        <v>42377</v>
      </c>
      <c r="I74" s="27"/>
      <c r="J74" s="28">
        <v>42514</v>
      </c>
      <c r="K74" s="27"/>
      <c r="L74" s="27"/>
      <c r="M74" s="28">
        <v>42514</v>
      </c>
      <c r="N74" s="28"/>
      <c r="O74" s="28">
        <v>42612</v>
      </c>
      <c r="P74" s="27"/>
      <c r="Q74" s="28">
        <v>42621</v>
      </c>
      <c r="R74" s="27"/>
      <c r="S74" s="27"/>
      <c r="T74" s="27"/>
      <c r="U74" s="27"/>
      <c r="V74" s="27"/>
      <c r="W74" s="27"/>
      <c r="X74" s="80">
        <v>17</v>
      </c>
      <c r="Y74" s="80">
        <v>3</v>
      </c>
      <c r="Z74" s="80"/>
      <c r="AA74" s="80">
        <v>0</v>
      </c>
      <c r="AB74" s="80">
        <v>0</v>
      </c>
      <c r="AC74" s="80"/>
      <c r="AD74" s="80">
        <v>0</v>
      </c>
      <c r="AE74" s="37">
        <f>AllPlans[[#This Row],[Prep days*]]+AllPlans[[#This Row],[Hearing days*]]+AllPlans[[#This Row],[SV days*]]+AllPlans[[#This Row],[Travel days]]+AllPlans[[#This Row],[Reptg days*]]</f>
        <v>20</v>
      </c>
      <c r="AF74" s="27">
        <v>1734</v>
      </c>
      <c r="AG74" s="28">
        <v>42852</v>
      </c>
      <c r="AH74" s="27"/>
      <c r="AI74" s="28">
        <v>43069</v>
      </c>
      <c r="AJ74" s="27"/>
      <c r="AK74" s="28">
        <v>42846</v>
      </c>
      <c r="AL74" s="27"/>
      <c r="AM74" s="28">
        <v>42846</v>
      </c>
      <c r="AN74" s="27"/>
      <c r="AO74" s="28">
        <v>42853</v>
      </c>
      <c r="AP74" s="27"/>
      <c r="AQ74" s="28">
        <v>42940</v>
      </c>
      <c r="AR74" s="27"/>
      <c r="AS74" s="28"/>
      <c r="AT74" s="27"/>
      <c r="AU74" s="27" t="s">
        <v>59</v>
      </c>
      <c r="AV74" s="40">
        <v>48.428571428571431</v>
      </c>
      <c r="AW74" s="39">
        <f t="shared" si="4"/>
        <v>33.142857142857146</v>
      </c>
      <c r="AX74" s="27"/>
      <c r="AY74" s="40" t="s">
        <v>252</v>
      </c>
      <c r="AZ74" s="41" t="str">
        <f t="shared" si="5"/>
        <v>May 16</v>
      </c>
      <c r="BA74" s="41" t="str">
        <f t="shared" si="6"/>
        <v>Apr 17</v>
      </c>
    </row>
    <row r="75" spans="1:53" ht="14" x14ac:dyDescent="0.15">
      <c r="A75" s="35" t="s">
        <v>53</v>
      </c>
      <c r="B75" s="35">
        <v>1737</v>
      </c>
      <c r="C75" s="27" t="s">
        <v>90</v>
      </c>
      <c r="D75" s="27" t="s">
        <v>250</v>
      </c>
      <c r="E75" s="27" t="s">
        <v>254</v>
      </c>
      <c r="F75" s="27" t="s">
        <v>74</v>
      </c>
      <c r="G75" s="27">
        <v>2</v>
      </c>
      <c r="H75" s="28">
        <v>42377</v>
      </c>
      <c r="I75" s="27"/>
      <c r="J75" s="28">
        <v>42514</v>
      </c>
      <c r="K75" s="27"/>
      <c r="L75" s="27"/>
      <c r="M75" s="28">
        <v>42514</v>
      </c>
      <c r="N75" s="28"/>
      <c r="O75" s="28">
        <v>42619</v>
      </c>
      <c r="P75" s="27"/>
      <c r="Q75" s="28">
        <v>42621</v>
      </c>
      <c r="R75" s="27"/>
      <c r="S75" s="27"/>
      <c r="T75" s="27"/>
      <c r="U75" s="27"/>
      <c r="V75" s="27"/>
      <c r="W75" s="27"/>
      <c r="X75" s="80">
        <v>7</v>
      </c>
      <c r="Y75" s="80">
        <v>3</v>
      </c>
      <c r="Z75" s="80"/>
      <c r="AA75" s="80">
        <v>0</v>
      </c>
      <c r="AB75" s="80">
        <v>0</v>
      </c>
      <c r="AC75" s="80"/>
      <c r="AD75" s="80">
        <v>2</v>
      </c>
      <c r="AE75" s="37">
        <f>AllPlans[[#This Row],[Prep days*]]+AllPlans[[#This Row],[Hearing days*]]+AllPlans[[#This Row],[SV days*]]+AllPlans[[#This Row],[Travel days]]+AllPlans[[#This Row],[Reptg days*]]</f>
        <v>12</v>
      </c>
      <c r="AF75" s="27">
        <v>1734</v>
      </c>
      <c r="AG75" s="28">
        <v>42852</v>
      </c>
      <c r="AH75" s="27"/>
      <c r="AI75" s="28">
        <v>42828</v>
      </c>
      <c r="AJ75" s="27"/>
      <c r="AK75" s="28">
        <v>42846</v>
      </c>
      <c r="AL75" s="27"/>
      <c r="AM75" s="28">
        <v>42846</v>
      </c>
      <c r="AN75" s="27"/>
      <c r="AO75" s="28">
        <v>42853</v>
      </c>
      <c r="AP75" s="27"/>
      <c r="AQ75" s="28">
        <v>42940</v>
      </c>
      <c r="AR75" s="27"/>
      <c r="AS75" s="28"/>
      <c r="AT75" s="27"/>
      <c r="AU75" s="27" t="s">
        <v>59</v>
      </c>
      <c r="AV75" s="40">
        <v>48.428571428571431</v>
      </c>
      <c r="AW75" s="39">
        <f t="shared" si="4"/>
        <v>33.142857142857146</v>
      </c>
      <c r="AX75" s="27"/>
      <c r="AY75" s="40" t="s">
        <v>252</v>
      </c>
      <c r="AZ75" s="41" t="str">
        <f t="shared" si="5"/>
        <v>May 16</v>
      </c>
      <c r="BA75" s="41" t="str">
        <f t="shared" si="6"/>
        <v>Apr 17</v>
      </c>
    </row>
    <row r="76" spans="1:53" ht="14" x14ac:dyDescent="0.15">
      <c r="A76" s="35" t="s">
        <v>53</v>
      </c>
      <c r="B76" s="35">
        <v>822</v>
      </c>
      <c r="C76" s="27" t="s">
        <v>71</v>
      </c>
      <c r="D76" s="27" t="s">
        <v>255</v>
      </c>
      <c r="E76" s="27" t="s">
        <v>256</v>
      </c>
      <c r="F76" s="27" t="s">
        <v>80</v>
      </c>
      <c r="G76" s="27">
        <v>3</v>
      </c>
      <c r="H76" s="28">
        <v>42432</v>
      </c>
      <c r="I76" s="27"/>
      <c r="J76" s="28">
        <v>42531</v>
      </c>
      <c r="K76" s="27"/>
      <c r="L76" s="27"/>
      <c r="M76" s="28">
        <v>42531</v>
      </c>
      <c r="N76" s="28"/>
      <c r="O76" s="28">
        <v>42640</v>
      </c>
      <c r="P76" s="27"/>
      <c r="Q76" s="28">
        <v>42650</v>
      </c>
      <c r="R76" s="27"/>
      <c r="S76" s="27"/>
      <c r="T76" s="27"/>
      <c r="U76" s="27"/>
      <c r="V76" s="27"/>
      <c r="W76" s="27"/>
      <c r="X76" s="27">
        <v>34.159999999999997</v>
      </c>
      <c r="Y76" s="27">
        <v>10.25</v>
      </c>
      <c r="Z76" s="27"/>
      <c r="AA76" s="27">
        <v>1.08</v>
      </c>
      <c r="AB76" s="27">
        <v>3.38</v>
      </c>
      <c r="AC76" s="27"/>
      <c r="AD76" s="27">
        <v>46.54</v>
      </c>
      <c r="AE76" s="37">
        <f>AllPlans[[#This Row],[Prep days*]]+AllPlans[[#This Row],[Hearing days*]]+AllPlans[[#This Row],[SV days*]]+AllPlans[[#This Row],[Travel days]]+AllPlans[[#This Row],[Reptg days*]]</f>
        <v>95.41</v>
      </c>
      <c r="AF76" s="27"/>
      <c r="AG76" s="28">
        <v>42886</v>
      </c>
      <c r="AH76" s="27"/>
      <c r="AI76" s="28">
        <v>42878</v>
      </c>
      <c r="AJ76" s="27"/>
      <c r="AK76" s="28">
        <v>42885</v>
      </c>
      <c r="AL76" s="27"/>
      <c r="AM76" s="28">
        <v>42885</v>
      </c>
      <c r="AN76" s="27"/>
      <c r="AO76" s="28">
        <v>42905</v>
      </c>
      <c r="AP76" s="27"/>
      <c r="AQ76" s="28">
        <v>42927</v>
      </c>
      <c r="AR76" s="27"/>
      <c r="AS76" s="28"/>
      <c r="AT76" s="27"/>
      <c r="AU76" s="27" t="s">
        <v>59</v>
      </c>
      <c r="AV76" s="40">
        <v>117.57142857142857</v>
      </c>
      <c r="AW76" s="39">
        <f t="shared" si="4"/>
        <v>36.428571428571431</v>
      </c>
      <c r="AX76" s="27"/>
      <c r="AY76" s="40" t="s">
        <v>228</v>
      </c>
      <c r="AZ76" s="41" t="str">
        <f t="shared" si="5"/>
        <v>Jun 16</v>
      </c>
      <c r="BA76" s="41" t="str">
        <f t="shared" si="6"/>
        <v>Jun 17</v>
      </c>
    </row>
    <row r="77" spans="1:53" ht="14" x14ac:dyDescent="0.15">
      <c r="A77" s="35" t="s">
        <v>53</v>
      </c>
      <c r="B77" s="35">
        <v>1585</v>
      </c>
      <c r="C77" s="27" t="s">
        <v>67</v>
      </c>
      <c r="D77" s="27" t="s">
        <v>257</v>
      </c>
      <c r="E77" s="27" t="s">
        <v>56</v>
      </c>
      <c r="F77" s="27" t="s">
        <v>57</v>
      </c>
      <c r="G77" s="27">
        <v>3</v>
      </c>
      <c r="H77" s="28">
        <v>41816</v>
      </c>
      <c r="I77" s="27"/>
      <c r="J77" s="28">
        <v>42531</v>
      </c>
      <c r="K77" s="27"/>
      <c r="L77" s="27"/>
      <c r="M77" s="28">
        <v>42531</v>
      </c>
      <c r="N77" s="28"/>
      <c r="O77" s="28">
        <v>42696</v>
      </c>
      <c r="P77" s="27"/>
      <c r="Q77" s="28">
        <v>43117</v>
      </c>
      <c r="R77" s="27"/>
      <c r="S77" s="27"/>
      <c r="T77" s="27"/>
      <c r="U77" s="27"/>
      <c r="V77" s="27"/>
      <c r="W77" s="27"/>
      <c r="X77" s="27">
        <v>14.74</v>
      </c>
      <c r="Y77" s="27">
        <v>5.88</v>
      </c>
      <c r="Z77" s="27"/>
      <c r="AA77" s="27"/>
      <c r="AB77" s="27">
        <v>2.16</v>
      </c>
      <c r="AC77" s="27"/>
      <c r="AD77" s="27">
        <v>15.49</v>
      </c>
      <c r="AE77" s="37">
        <f>AllPlans[[#This Row],[Prep days*]]+AllPlans[[#This Row],[Hearing days*]]+AllPlans[[#This Row],[SV days*]]+AllPlans[[#This Row],[Travel days]]+AllPlans[[#This Row],[Reptg days*]]</f>
        <v>38.270000000000003</v>
      </c>
      <c r="AF77" s="27"/>
      <c r="AG77" s="28">
        <v>43336</v>
      </c>
      <c r="AH77" s="27"/>
      <c r="AI77" s="28">
        <v>43327</v>
      </c>
      <c r="AJ77" s="27"/>
      <c r="AK77" s="28">
        <v>43334</v>
      </c>
      <c r="AL77" s="27"/>
      <c r="AM77" s="28">
        <v>43335</v>
      </c>
      <c r="AN77" s="27"/>
      <c r="AO77" s="28">
        <v>43354</v>
      </c>
      <c r="AP77" s="27"/>
      <c r="AQ77" s="28">
        <v>43402</v>
      </c>
      <c r="AR77" s="27"/>
      <c r="AS77" s="28"/>
      <c r="AT77" s="27"/>
      <c r="AU77" s="27" t="s">
        <v>59</v>
      </c>
      <c r="AV77" s="40">
        <v>53.428571428571431</v>
      </c>
      <c r="AW77" s="39">
        <f t="shared" si="4"/>
        <v>33.857142857142854</v>
      </c>
      <c r="AX77" s="27"/>
      <c r="AY77" s="40" t="s">
        <v>258</v>
      </c>
      <c r="AZ77" s="41" t="str">
        <f t="shared" si="5"/>
        <v>Jun 16</v>
      </c>
      <c r="BA77" s="41" t="str">
        <f t="shared" si="6"/>
        <v>Sep 18</v>
      </c>
    </row>
    <row r="78" spans="1:53" ht="14" x14ac:dyDescent="0.15">
      <c r="A78" s="35" t="s">
        <v>53</v>
      </c>
      <c r="B78" s="35">
        <v>1754</v>
      </c>
      <c r="C78" s="27" t="s">
        <v>71</v>
      </c>
      <c r="D78" s="27" t="s">
        <v>259</v>
      </c>
      <c r="E78" s="27" t="s">
        <v>260</v>
      </c>
      <c r="F78" s="27" t="s">
        <v>74</v>
      </c>
      <c r="G78" s="27">
        <v>2</v>
      </c>
      <c r="H78" s="28">
        <v>42478</v>
      </c>
      <c r="I78" s="27"/>
      <c r="J78" s="28">
        <v>42541</v>
      </c>
      <c r="K78" s="27"/>
      <c r="L78" s="27"/>
      <c r="M78" s="28">
        <v>42542</v>
      </c>
      <c r="N78" s="28"/>
      <c r="O78" s="28">
        <v>42612</v>
      </c>
      <c r="P78" s="27"/>
      <c r="Q78" s="28">
        <v>42615</v>
      </c>
      <c r="R78" s="27"/>
      <c r="S78" s="27"/>
      <c r="T78" s="27"/>
      <c r="U78" s="27"/>
      <c r="V78" s="27"/>
      <c r="W78" s="27"/>
      <c r="X78" s="27">
        <v>4.32</v>
      </c>
      <c r="Y78" s="27"/>
      <c r="Z78" s="27"/>
      <c r="AA78" s="27"/>
      <c r="AB78" s="27"/>
      <c r="AC78" s="27"/>
      <c r="AD78" s="27">
        <v>3.17</v>
      </c>
      <c r="AE78" s="37">
        <f>AllPlans[[#This Row],[Prep days*]]+AllPlans[[#This Row],[Hearing days*]]+AllPlans[[#This Row],[SV days*]]+AllPlans[[#This Row],[Travel days]]+AllPlans[[#This Row],[Reptg days*]]</f>
        <v>7.49</v>
      </c>
      <c r="AF78" s="27"/>
      <c r="AG78" s="28">
        <v>42762</v>
      </c>
      <c r="AH78" s="27"/>
      <c r="AI78" s="28">
        <v>42733</v>
      </c>
      <c r="AJ78" s="27"/>
      <c r="AK78" s="28">
        <v>42748</v>
      </c>
      <c r="AL78" s="27"/>
      <c r="AM78" s="28">
        <v>42748</v>
      </c>
      <c r="AN78" s="27"/>
      <c r="AO78" s="28">
        <v>42751</v>
      </c>
      <c r="AP78" s="27"/>
      <c r="AQ78" s="28">
        <v>42761</v>
      </c>
      <c r="AR78" s="27"/>
      <c r="AS78" s="28"/>
      <c r="AT78" s="27"/>
      <c r="AU78" s="27" t="s">
        <v>59</v>
      </c>
      <c r="AV78" s="40">
        <v>30</v>
      </c>
      <c r="AW78" s="39">
        <f t="shared" si="4"/>
        <v>19.428571428571427</v>
      </c>
      <c r="AX78" s="27"/>
      <c r="AY78" s="40" t="s">
        <v>261</v>
      </c>
      <c r="AZ78" s="41" t="str">
        <f t="shared" si="5"/>
        <v>Jun 16</v>
      </c>
      <c r="BA78" s="41" t="str">
        <f t="shared" si="6"/>
        <v>Jan 17</v>
      </c>
    </row>
    <row r="79" spans="1:53" ht="14" x14ac:dyDescent="0.15">
      <c r="A79" s="35" t="s">
        <v>53</v>
      </c>
      <c r="B79" s="35">
        <v>1755</v>
      </c>
      <c r="C79" s="27" t="s">
        <v>71</v>
      </c>
      <c r="D79" s="27" t="s">
        <v>259</v>
      </c>
      <c r="E79" s="27" t="s">
        <v>262</v>
      </c>
      <c r="F79" s="27" t="s">
        <v>107</v>
      </c>
      <c r="G79" s="27">
        <v>3</v>
      </c>
      <c r="H79" s="28">
        <v>42478</v>
      </c>
      <c r="I79" s="27"/>
      <c r="J79" s="28">
        <v>42541</v>
      </c>
      <c r="K79" s="27"/>
      <c r="L79" s="27"/>
      <c r="M79" s="28">
        <v>42542</v>
      </c>
      <c r="N79" s="28"/>
      <c r="O79" s="28">
        <v>42612</v>
      </c>
      <c r="P79" s="27"/>
      <c r="Q79" s="28">
        <v>42615</v>
      </c>
      <c r="R79" s="27"/>
      <c r="S79" s="27"/>
      <c r="T79" s="27"/>
      <c r="U79" s="27"/>
      <c r="V79" s="27"/>
      <c r="W79" s="27"/>
      <c r="X79" s="27">
        <v>19.09</v>
      </c>
      <c r="Y79" s="27">
        <v>3.37</v>
      </c>
      <c r="Z79" s="27"/>
      <c r="AA79" s="27"/>
      <c r="AB79" s="27">
        <v>1.42</v>
      </c>
      <c r="AC79" s="27"/>
      <c r="AD79" s="27">
        <v>22.12</v>
      </c>
      <c r="AE79" s="37">
        <f>AllPlans[[#This Row],[Prep days*]]+AllPlans[[#This Row],[Hearing days*]]+AllPlans[[#This Row],[SV days*]]+AllPlans[[#This Row],[Travel days]]+AllPlans[[#This Row],[Reptg days*]]</f>
        <v>46</v>
      </c>
      <c r="AF79" s="27"/>
      <c r="AG79" s="28">
        <v>42762</v>
      </c>
      <c r="AH79" s="27"/>
      <c r="AI79" s="28">
        <v>42733</v>
      </c>
      <c r="AJ79" s="27"/>
      <c r="AK79" s="28">
        <v>42748</v>
      </c>
      <c r="AL79" s="27"/>
      <c r="AM79" s="28">
        <v>42748</v>
      </c>
      <c r="AN79" s="27"/>
      <c r="AO79" s="28">
        <v>42751</v>
      </c>
      <c r="AP79" s="27"/>
      <c r="AQ79" s="28">
        <v>42761</v>
      </c>
      <c r="AR79" s="27"/>
      <c r="AS79" s="28"/>
      <c r="AT79" s="27"/>
      <c r="AU79" s="27" t="s">
        <v>59</v>
      </c>
      <c r="AV79" s="40">
        <v>30</v>
      </c>
      <c r="AW79" s="39">
        <f t="shared" si="4"/>
        <v>19.428571428571427</v>
      </c>
      <c r="AX79" s="27"/>
      <c r="AY79" s="40" t="s">
        <v>261</v>
      </c>
      <c r="AZ79" s="41" t="str">
        <f t="shared" si="5"/>
        <v>Jun 16</v>
      </c>
      <c r="BA79" s="41" t="str">
        <f t="shared" si="6"/>
        <v>Jan 17</v>
      </c>
    </row>
    <row r="80" spans="1:53" ht="14" x14ac:dyDescent="0.15">
      <c r="A80" s="35" t="s">
        <v>53</v>
      </c>
      <c r="B80" s="35">
        <v>1449</v>
      </c>
      <c r="C80" s="27" t="s">
        <v>61</v>
      </c>
      <c r="D80" s="27" t="s">
        <v>263</v>
      </c>
      <c r="E80" s="27" t="s">
        <v>264</v>
      </c>
      <c r="F80" s="27" t="s">
        <v>136</v>
      </c>
      <c r="G80" s="27">
        <v>2</v>
      </c>
      <c r="H80" s="28">
        <v>42391</v>
      </c>
      <c r="I80" s="27"/>
      <c r="J80" s="28">
        <v>42542</v>
      </c>
      <c r="K80" s="27"/>
      <c r="L80" s="27"/>
      <c r="M80" s="28">
        <v>42543</v>
      </c>
      <c r="N80" s="28"/>
      <c r="O80" s="28">
        <v>42661</v>
      </c>
      <c r="P80" s="27"/>
      <c r="Q80" s="28">
        <v>42664</v>
      </c>
      <c r="R80" s="27"/>
      <c r="S80" s="27"/>
      <c r="T80" s="27"/>
      <c r="U80" s="27"/>
      <c r="V80" s="27"/>
      <c r="W80" s="27"/>
      <c r="X80" s="27">
        <v>22.37</v>
      </c>
      <c r="Y80" s="27">
        <v>3.52</v>
      </c>
      <c r="Z80" s="27"/>
      <c r="AA80" s="27"/>
      <c r="AB80" s="27">
        <v>1.89</v>
      </c>
      <c r="AC80" s="27"/>
      <c r="AD80" s="27">
        <v>20.84</v>
      </c>
      <c r="AE80" s="37">
        <f>AllPlans[[#This Row],[Prep days*]]+AllPlans[[#This Row],[Hearing days*]]+AllPlans[[#This Row],[SV days*]]+AllPlans[[#This Row],[Travel days]]+AllPlans[[#This Row],[Reptg days*]]</f>
        <v>48.620000000000005</v>
      </c>
      <c r="AF80" s="27"/>
      <c r="AG80" s="28">
        <v>42920</v>
      </c>
      <c r="AH80" s="27"/>
      <c r="AI80" s="28">
        <v>42909</v>
      </c>
      <c r="AJ80" s="27"/>
      <c r="AK80" s="28">
        <v>42913</v>
      </c>
      <c r="AL80" s="27"/>
      <c r="AM80" s="28">
        <v>42913</v>
      </c>
      <c r="AN80" s="27"/>
      <c r="AO80" s="28">
        <v>42916</v>
      </c>
      <c r="AP80" s="27"/>
      <c r="AQ80" s="28">
        <v>42933</v>
      </c>
      <c r="AR80" s="27"/>
      <c r="AS80" s="28"/>
      <c r="AT80" s="27"/>
      <c r="AU80" s="27" t="s">
        <v>59</v>
      </c>
      <c r="AV80" s="40">
        <v>53.428571428571431</v>
      </c>
      <c r="AW80" s="39">
        <f t="shared" si="4"/>
        <v>36</v>
      </c>
      <c r="AX80" s="27"/>
      <c r="AY80" s="40" t="s">
        <v>265</v>
      </c>
      <c r="AZ80" s="41" t="str">
        <f t="shared" si="5"/>
        <v>Jun 16</v>
      </c>
      <c r="BA80" s="41" t="str">
        <f t="shared" si="6"/>
        <v>Jun 17</v>
      </c>
    </row>
    <row r="81" spans="1:53" ht="14" x14ac:dyDescent="0.15">
      <c r="A81" s="35" t="s">
        <v>53</v>
      </c>
      <c r="B81" s="35">
        <v>1746</v>
      </c>
      <c r="C81" s="27" t="s">
        <v>90</v>
      </c>
      <c r="D81" s="27" t="s">
        <v>266</v>
      </c>
      <c r="E81" s="27" t="s">
        <v>56</v>
      </c>
      <c r="F81" s="27" t="s">
        <v>57</v>
      </c>
      <c r="G81" s="27">
        <v>3</v>
      </c>
      <c r="H81" s="28">
        <v>42408</v>
      </c>
      <c r="I81" s="27"/>
      <c r="J81" s="28">
        <v>42545</v>
      </c>
      <c r="K81" s="27"/>
      <c r="L81" s="27"/>
      <c r="M81" s="28">
        <v>42545</v>
      </c>
      <c r="N81" s="28"/>
      <c r="O81" s="28">
        <v>42661</v>
      </c>
      <c r="P81" s="27"/>
      <c r="Q81" s="28">
        <v>42668</v>
      </c>
      <c r="R81" s="27"/>
      <c r="S81" s="27"/>
      <c r="T81" s="27"/>
      <c r="U81" s="27"/>
      <c r="V81" s="27"/>
      <c r="W81" s="27"/>
      <c r="X81" s="27">
        <v>31.78</v>
      </c>
      <c r="Y81" s="27">
        <v>3.11</v>
      </c>
      <c r="Z81" s="27"/>
      <c r="AA81" s="27">
        <v>0.2</v>
      </c>
      <c r="AB81" s="27">
        <v>1.08</v>
      </c>
      <c r="AC81" s="27"/>
      <c r="AD81" s="27">
        <v>27.31</v>
      </c>
      <c r="AE81" s="37">
        <f>AllPlans[[#This Row],[Prep days*]]+AllPlans[[#This Row],[Hearing days*]]+AllPlans[[#This Row],[SV days*]]+AllPlans[[#This Row],[Travel days]]+AllPlans[[#This Row],[Reptg days*]]</f>
        <v>63.480000000000004</v>
      </c>
      <c r="AF81" s="27"/>
      <c r="AG81" s="28">
        <v>42852</v>
      </c>
      <c r="AH81" s="27"/>
      <c r="AI81" s="28">
        <v>42828</v>
      </c>
      <c r="AJ81" s="27"/>
      <c r="AK81" s="28">
        <v>42846</v>
      </c>
      <c r="AL81" s="27"/>
      <c r="AM81" s="28">
        <v>42846</v>
      </c>
      <c r="AN81" s="27"/>
      <c r="AO81" s="28">
        <v>42865</v>
      </c>
      <c r="AP81" s="27"/>
      <c r="AQ81" s="28">
        <v>42919</v>
      </c>
      <c r="AR81" s="27"/>
      <c r="AS81" s="28"/>
      <c r="AT81" s="27"/>
      <c r="AU81" s="27" t="s">
        <v>59</v>
      </c>
      <c r="AV81" s="40">
        <v>45.714285714285715</v>
      </c>
      <c r="AW81" s="39">
        <f t="shared" si="4"/>
        <v>28.142857142857142</v>
      </c>
      <c r="AX81" s="27"/>
      <c r="AY81" s="40" t="s">
        <v>267</v>
      </c>
      <c r="AZ81" s="41" t="str">
        <f t="shared" si="5"/>
        <v>Jun 16</v>
      </c>
      <c r="BA81" s="41" t="str">
        <f t="shared" si="6"/>
        <v>May 17</v>
      </c>
    </row>
    <row r="82" spans="1:53" ht="14" x14ac:dyDescent="0.15">
      <c r="A82" s="35" t="s">
        <v>53</v>
      </c>
      <c r="B82" s="35">
        <v>1753</v>
      </c>
      <c r="C82" s="27" t="s">
        <v>104</v>
      </c>
      <c r="D82" s="27" t="s">
        <v>268</v>
      </c>
      <c r="E82" s="27" t="s">
        <v>56</v>
      </c>
      <c r="F82" s="27" t="s">
        <v>57</v>
      </c>
      <c r="G82" s="27">
        <v>3</v>
      </c>
      <c r="H82" s="28">
        <v>42475</v>
      </c>
      <c r="I82" s="27"/>
      <c r="J82" s="28">
        <v>42551</v>
      </c>
      <c r="K82" s="27"/>
      <c r="L82" s="27"/>
      <c r="M82" s="28">
        <v>42552</v>
      </c>
      <c r="N82" s="28"/>
      <c r="O82" s="28">
        <v>42675</v>
      </c>
      <c r="P82" s="27"/>
      <c r="Q82" s="28">
        <v>42718</v>
      </c>
      <c r="R82" s="27"/>
      <c r="S82" s="27"/>
      <c r="T82" s="27"/>
      <c r="U82" s="27"/>
      <c r="V82" s="27"/>
      <c r="W82" s="27"/>
      <c r="X82" s="27">
        <v>23.27</v>
      </c>
      <c r="Y82" s="27">
        <v>6.96</v>
      </c>
      <c r="Z82" s="27"/>
      <c r="AA82" s="27"/>
      <c r="AB82" s="27">
        <v>2.37</v>
      </c>
      <c r="AC82" s="27"/>
      <c r="AD82" s="27">
        <v>22.88</v>
      </c>
      <c r="AE82" s="37">
        <f>AllPlans[[#This Row],[Prep days*]]+AllPlans[[#This Row],[Hearing days*]]+AllPlans[[#This Row],[SV days*]]+AllPlans[[#This Row],[Travel days]]+AllPlans[[#This Row],[Reptg days*]]</f>
        <v>55.480000000000004</v>
      </c>
      <c r="AF82" s="27"/>
      <c r="AG82" s="28">
        <v>42838</v>
      </c>
      <c r="AH82" s="27"/>
      <c r="AI82" s="28">
        <v>42823</v>
      </c>
      <c r="AJ82" s="27"/>
      <c r="AK82" s="28">
        <v>42830</v>
      </c>
      <c r="AL82" s="27"/>
      <c r="AM82" s="28">
        <v>42830</v>
      </c>
      <c r="AN82" s="27"/>
      <c r="AO82" s="28">
        <v>42835</v>
      </c>
      <c r="AP82" s="27"/>
      <c r="AQ82" s="28">
        <v>42849</v>
      </c>
      <c r="AR82" s="27"/>
      <c r="AS82" s="28"/>
      <c r="AT82" s="27"/>
      <c r="AU82" s="27" t="s">
        <v>59</v>
      </c>
      <c r="AV82" s="40">
        <v>70.571428571428569</v>
      </c>
      <c r="AW82" s="39">
        <f t="shared" si="4"/>
        <v>16.714285714285715</v>
      </c>
      <c r="AX82" s="27"/>
      <c r="AY82" s="40" t="s">
        <v>269</v>
      </c>
      <c r="AZ82" s="41" t="str">
        <f t="shared" si="5"/>
        <v>Jun 16</v>
      </c>
      <c r="BA82" s="41" t="str">
        <f t="shared" si="6"/>
        <v>Apr 17</v>
      </c>
    </row>
    <row r="83" spans="1:53" ht="14" x14ac:dyDescent="0.15">
      <c r="A83" s="35" t="s">
        <v>53</v>
      </c>
      <c r="B83" s="35">
        <v>1510</v>
      </c>
      <c r="C83" s="27" t="s">
        <v>270</v>
      </c>
      <c r="D83" s="27" t="s">
        <v>271</v>
      </c>
      <c r="E83" s="27" t="s">
        <v>56</v>
      </c>
      <c r="F83" s="27" t="s">
        <v>57</v>
      </c>
      <c r="G83" s="27">
        <v>3</v>
      </c>
      <c r="H83" s="28">
        <v>42310</v>
      </c>
      <c r="I83" s="27"/>
      <c r="J83" s="28">
        <v>42551</v>
      </c>
      <c r="K83" s="27"/>
      <c r="L83" s="27"/>
      <c r="M83" s="28">
        <v>42552</v>
      </c>
      <c r="N83" s="28"/>
      <c r="O83" s="28">
        <v>42682</v>
      </c>
      <c r="P83" s="27"/>
      <c r="Q83" s="28">
        <v>42711</v>
      </c>
      <c r="R83" s="27"/>
      <c r="S83" s="27"/>
      <c r="T83" s="27"/>
      <c r="U83" s="27"/>
      <c r="V83" s="27"/>
      <c r="W83" s="27"/>
      <c r="X83" s="27">
        <v>49.67</v>
      </c>
      <c r="Y83" s="27">
        <v>20.41</v>
      </c>
      <c r="Z83" s="27"/>
      <c r="AA83" s="27">
        <v>2.2999999999999998</v>
      </c>
      <c r="AB83" s="27">
        <v>3.26</v>
      </c>
      <c r="AC83" s="27"/>
      <c r="AD83" s="27">
        <v>30.8</v>
      </c>
      <c r="AE83" s="37">
        <f>AllPlans[[#This Row],[Prep days*]]+AllPlans[[#This Row],[Hearing days*]]+AllPlans[[#This Row],[SV days*]]+AllPlans[[#This Row],[Travel days]]+AllPlans[[#This Row],[Reptg days*]]</f>
        <v>106.44</v>
      </c>
      <c r="AF83" s="27"/>
      <c r="AG83" s="28">
        <v>42845</v>
      </c>
      <c r="AH83" s="27"/>
      <c r="AI83" s="28">
        <v>42824</v>
      </c>
      <c r="AJ83" s="27"/>
      <c r="AK83" s="28">
        <v>42836</v>
      </c>
      <c r="AL83" s="27"/>
      <c r="AM83" s="28">
        <v>42836</v>
      </c>
      <c r="AN83" s="27"/>
      <c r="AO83" s="28">
        <v>42864</v>
      </c>
      <c r="AP83" s="27"/>
      <c r="AQ83" s="28">
        <v>42936</v>
      </c>
      <c r="AR83" s="27"/>
      <c r="AS83" s="28"/>
      <c r="AT83" s="27"/>
      <c r="AU83" s="27" t="s">
        <v>59</v>
      </c>
      <c r="AV83" s="40">
        <v>40.571428571428569</v>
      </c>
      <c r="AW83" s="39">
        <f t="shared" si="4"/>
        <v>21.857142857142858</v>
      </c>
      <c r="AX83" s="27"/>
      <c r="AY83" s="40" t="s">
        <v>272</v>
      </c>
      <c r="AZ83" s="41" t="str">
        <f t="shared" si="5"/>
        <v>Jun 16</v>
      </c>
      <c r="BA83" s="41" t="str">
        <f t="shared" si="6"/>
        <v>May 17</v>
      </c>
    </row>
    <row r="84" spans="1:53" ht="14" x14ac:dyDescent="0.15">
      <c r="A84" s="35" t="s">
        <v>53</v>
      </c>
      <c r="B84" s="35">
        <v>1740</v>
      </c>
      <c r="C84" s="27" t="s">
        <v>54</v>
      </c>
      <c r="D84" s="27" t="s">
        <v>273</v>
      </c>
      <c r="E84" s="27" t="s">
        <v>56</v>
      </c>
      <c r="F84" s="27" t="s">
        <v>57</v>
      </c>
      <c r="G84" s="27">
        <v>3</v>
      </c>
      <c r="H84" s="28">
        <v>42401</v>
      </c>
      <c r="I84" s="27"/>
      <c r="J84" s="28">
        <v>42551</v>
      </c>
      <c r="K84" s="27"/>
      <c r="L84" s="27"/>
      <c r="M84" s="28">
        <v>42551</v>
      </c>
      <c r="N84" s="28"/>
      <c r="O84" s="28">
        <v>42765</v>
      </c>
      <c r="P84" s="27"/>
      <c r="Q84" s="28">
        <v>42776</v>
      </c>
      <c r="R84" s="27"/>
      <c r="S84" s="27"/>
      <c r="T84" s="27"/>
      <c r="U84" s="27"/>
      <c r="V84" s="27"/>
      <c r="W84" s="27"/>
      <c r="X84" s="27">
        <v>43.94</v>
      </c>
      <c r="Y84" s="27">
        <v>13.09</v>
      </c>
      <c r="Z84" s="27"/>
      <c r="AA84" s="27">
        <v>1.35</v>
      </c>
      <c r="AB84" s="27">
        <v>5.7</v>
      </c>
      <c r="AC84" s="27"/>
      <c r="AD84" s="27">
        <v>32.68</v>
      </c>
      <c r="AE84" s="37">
        <f>AllPlans[[#This Row],[Prep days*]]+AllPlans[[#This Row],[Hearing days*]]+AllPlans[[#This Row],[SV days*]]+AllPlans[[#This Row],[Travel days]]+AllPlans[[#This Row],[Reptg days*]]</f>
        <v>96.759999999999991</v>
      </c>
      <c r="AF84" s="27"/>
      <c r="AG84" s="28">
        <v>43032</v>
      </c>
      <c r="AH84" s="27"/>
      <c r="AI84" s="28">
        <v>43013</v>
      </c>
      <c r="AJ84" s="27"/>
      <c r="AK84" s="28">
        <v>43032</v>
      </c>
      <c r="AL84" s="27"/>
      <c r="AM84" s="28">
        <v>43032</v>
      </c>
      <c r="AN84" s="27"/>
      <c r="AO84" s="28">
        <v>43045</v>
      </c>
      <c r="AP84" s="27"/>
      <c r="AQ84" s="28">
        <v>43111</v>
      </c>
      <c r="AR84" s="27"/>
      <c r="AS84" s="28"/>
      <c r="AT84" s="27"/>
      <c r="AU84" s="27" t="s">
        <v>59</v>
      </c>
      <c r="AV84" s="40">
        <v>44.714285714285715</v>
      </c>
      <c r="AW84" s="39">
        <f t="shared" si="4"/>
        <v>38.428571428571431</v>
      </c>
      <c r="AX84" s="27"/>
      <c r="AY84" s="40" t="s">
        <v>274</v>
      </c>
      <c r="AZ84" s="41" t="str">
        <f t="shared" si="5"/>
        <v>Jun 16</v>
      </c>
      <c r="BA84" s="41" t="str">
        <f t="shared" si="6"/>
        <v>Nov 17</v>
      </c>
    </row>
    <row r="85" spans="1:53" ht="14" x14ac:dyDescent="0.15">
      <c r="A85" s="35" t="s">
        <v>53</v>
      </c>
      <c r="B85" s="35">
        <v>844</v>
      </c>
      <c r="C85" s="27" t="s">
        <v>71</v>
      </c>
      <c r="D85" s="27" t="s">
        <v>275</v>
      </c>
      <c r="E85" s="27" t="s">
        <v>56</v>
      </c>
      <c r="F85" s="27" t="s">
        <v>57</v>
      </c>
      <c r="G85" s="27">
        <v>3</v>
      </c>
      <c r="H85" s="28">
        <v>42375</v>
      </c>
      <c r="I85" s="27"/>
      <c r="J85" s="28">
        <v>42573</v>
      </c>
      <c r="K85" s="27"/>
      <c r="L85" s="27"/>
      <c r="M85" s="28">
        <v>42573</v>
      </c>
      <c r="N85" s="28"/>
      <c r="O85" s="28">
        <v>42752</v>
      </c>
      <c r="P85" s="27"/>
      <c r="Q85" s="28">
        <v>42825</v>
      </c>
      <c r="R85" s="27"/>
      <c r="S85" s="27"/>
      <c r="T85" s="27"/>
      <c r="U85" s="27"/>
      <c r="V85" s="27"/>
      <c r="W85" s="27"/>
      <c r="X85" s="27">
        <v>47.25</v>
      </c>
      <c r="Y85" s="27">
        <v>12.12</v>
      </c>
      <c r="Z85" s="27"/>
      <c r="AA85" s="27"/>
      <c r="AB85" s="27">
        <v>3.86</v>
      </c>
      <c r="AC85" s="27"/>
      <c r="AD85" s="27">
        <v>27.24</v>
      </c>
      <c r="AE85" s="37">
        <f>AllPlans[[#This Row],[Prep days*]]+AllPlans[[#This Row],[Hearing days*]]+AllPlans[[#This Row],[SV days*]]+AllPlans[[#This Row],[Travel days]]+AllPlans[[#This Row],[Reptg days*]]</f>
        <v>90.47</v>
      </c>
      <c r="AF85" s="27"/>
      <c r="AG85" s="28">
        <v>43021</v>
      </c>
      <c r="AH85" s="27"/>
      <c r="AI85" s="28">
        <v>42989</v>
      </c>
      <c r="AJ85" s="27"/>
      <c r="AK85" s="28">
        <v>43013</v>
      </c>
      <c r="AL85" s="27"/>
      <c r="AM85" s="28">
        <v>43014</v>
      </c>
      <c r="AN85" s="27"/>
      <c r="AO85" s="28">
        <v>43026</v>
      </c>
      <c r="AP85" s="27"/>
      <c r="AQ85" s="28">
        <v>43607</v>
      </c>
      <c r="AR85" s="27"/>
      <c r="AS85" s="28"/>
      <c r="AT85" s="27"/>
      <c r="AU85" s="27" t="s">
        <v>59</v>
      </c>
      <c r="AV85" s="40">
        <v>64.714285714285708</v>
      </c>
      <c r="AW85" s="39">
        <f t="shared" si="4"/>
        <v>28.714285714285715</v>
      </c>
      <c r="AX85" s="27"/>
      <c r="AY85" s="40" t="s">
        <v>276</v>
      </c>
      <c r="AZ85" s="41" t="str">
        <f t="shared" si="5"/>
        <v>Jul 16</v>
      </c>
      <c r="BA85" s="41" t="str">
        <f t="shared" si="6"/>
        <v>Oct 17</v>
      </c>
    </row>
    <row r="86" spans="1:53" ht="14" x14ac:dyDescent="0.15">
      <c r="A86" s="35" t="s">
        <v>53</v>
      </c>
      <c r="B86" s="35">
        <v>1732</v>
      </c>
      <c r="C86" s="27" t="s">
        <v>71</v>
      </c>
      <c r="D86" s="27" t="s">
        <v>277</v>
      </c>
      <c r="E86" s="27" t="s">
        <v>56</v>
      </c>
      <c r="F86" s="27" t="s">
        <v>57</v>
      </c>
      <c r="G86" s="27">
        <v>3</v>
      </c>
      <c r="H86" s="28">
        <v>42377</v>
      </c>
      <c r="I86" s="27"/>
      <c r="J86" s="28">
        <v>42584</v>
      </c>
      <c r="K86" s="27"/>
      <c r="L86" s="27"/>
      <c r="M86" s="28">
        <v>42585</v>
      </c>
      <c r="N86" s="28"/>
      <c r="O86" s="28">
        <v>42669</v>
      </c>
      <c r="P86" s="27"/>
      <c r="Q86" s="28"/>
      <c r="R86" s="27"/>
      <c r="S86" s="27"/>
      <c r="T86" s="27"/>
      <c r="U86" s="27"/>
      <c r="V86" s="27"/>
      <c r="W86" s="27"/>
      <c r="X86" s="27">
        <v>27.33</v>
      </c>
      <c r="Y86" s="27">
        <v>0</v>
      </c>
      <c r="Z86" s="27"/>
      <c r="AA86" s="27">
        <v>0</v>
      </c>
      <c r="AB86" s="27">
        <v>0</v>
      </c>
      <c r="AC86" s="27"/>
      <c r="AD86" s="27">
        <v>0</v>
      </c>
      <c r="AE86" s="37">
        <f>AllPlans[[#This Row],[Prep days*]]+AllPlans[[#This Row],[Hearing days*]]+AllPlans[[#This Row],[SV days*]]+AllPlans[[#This Row],[Travel days]]+AllPlans[[#This Row],[Reptg days*]]</f>
        <v>27.33</v>
      </c>
      <c r="AF86" s="27"/>
      <c r="AG86" s="28"/>
      <c r="AH86" s="27"/>
      <c r="AI86" s="28"/>
      <c r="AJ86" s="27"/>
      <c r="AK86" s="28"/>
      <c r="AL86" s="27"/>
      <c r="AM86" s="28"/>
      <c r="AN86" s="27"/>
      <c r="AO86" s="28"/>
      <c r="AP86" s="27"/>
      <c r="AQ86" s="28"/>
      <c r="AR86" s="27"/>
      <c r="AS86" s="28">
        <v>43105</v>
      </c>
      <c r="AT86" s="27"/>
      <c r="AU86" s="27" t="s">
        <v>278</v>
      </c>
      <c r="AV86" s="38" t="e">
        <f>DATEDIF(J86,AO86, "d")/7</f>
        <v>#NUM!</v>
      </c>
      <c r="AW86" s="39">
        <f t="shared" si="4"/>
        <v>0</v>
      </c>
      <c r="AX86" s="27"/>
      <c r="AY86" s="40" t="s">
        <v>279</v>
      </c>
      <c r="AZ86" s="41" t="str">
        <f t="shared" si="5"/>
        <v>Aug 16</v>
      </c>
      <c r="BA86" s="41" t="str">
        <f t="shared" si="6"/>
        <v>Jan 00</v>
      </c>
    </row>
    <row r="87" spans="1:53" ht="14" x14ac:dyDescent="0.15">
      <c r="A87" s="35" t="s">
        <v>53</v>
      </c>
      <c r="B87" s="35">
        <v>1676</v>
      </c>
      <c r="C87" s="27" t="s">
        <v>61</v>
      </c>
      <c r="D87" s="27" t="s">
        <v>280</v>
      </c>
      <c r="E87" s="27" t="s">
        <v>281</v>
      </c>
      <c r="F87" s="27" t="s">
        <v>57</v>
      </c>
      <c r="G87" s="27">
        <v>3</v>
      </c>
      <c r="H87" s="28">
        <v>42167</v>
      </c>
      <c r="I87" s="27"/>
      <c r="J87" s="28">
        <v>42599</v>
      </c>
      <c r="K87" s="27"/>
      <c r="L87" s="27"/>
      <c r="M87" s="28">
        <v>42597</v>
      </c>
      <c r="N87" s="28"/>
      <c r="O87" s="28">
        <v>42703</v>
      </c>
      <c r="P87" s="27"/>
      <c r="Q87" s="28">
        <v>43136</v>
      </c>
      <c r="R87" s="27"/>
      <c r="S87" s="27"/>
      <c r="T87" s="27"/>
      <c r="U87" s="27"/>
      <c r="V87" s="27"/>
      <c r="W87" s="27"/>
      <c r="X87" s="27">
        <v>67.02</v>
      </c>
      <c r="Y87" s="27">
        <v>9.94</v>
      </c>
      <c r="Z87" s="27"/>
      <c r="AA87" s="27"/>
      <c r="AB87" s="27">
        <v>8.82</v>
      </c>
      <c r="AC87" s="27"/>
      <c r="AD87" s="27">
        <v>35.18</v>
      </c>
      <c r="AE87" s="37">
        <f>AllPlans[[#This Row],[Prep days*]]+AllPlans[[#This Row],[Hearing days*]]+AllPlans[[#This Row],[SV days*]]+AllPlans[[#This Row],[Travel days]]+AllPlans[[#This Row],[Reptg days*]]</f>
        <v>120.96000000000001</v>
      </c>
      <c r="AF87" s="27"/>
      <c r="AG87" s="28">
        <v>43179</v>
      </c>
      <c r="AH87" s="27"/>
      <c r="AI87" s="28">
        <v>43153</v>
      </c>
      <c r="AJ87" s="27"/>
      <c r="AK87" s="28">
        <v>43161</v>
      </c>
      <c r="AL87" s="27"/>
      <c r="AM87" s="28">
        <v>43165</v>
      </c>
      <c r="AN87" s="27"/>
      <c r="AO87" s="28">
        <v>43171</v>
      </c>
      <c r="AP87" s="27"/>
      <c r="AQ87" s="28">
        <v>43187</v>
      </c>
      <c r="AR87" s="27"/>
      <c r="AS87" s="28"/>
      <c r="AT87" s="27"/>
      <c r="AU87" s="27" t="s">
        <v>59</v>
      </c>
      <c r="AV87" s="40">
        <v>81.714285714285708</v>
      </c>
      <c r="AW87" s="39">
        <f t="shared" si="4"/>
        <v>5</v>
      </c>
      <c r="AX87" s="27"/>
      <c r="AY87" s="40" t="s">
        <v>282</v>
      </c>
      <c r="AZ87" s="41" t="str">
        <f t="shared" si="5"/>
        <v>Aug 16</v>
      </c>
      <c r="BA87" s="41" t="str">
        <f t="shared" si="6"/>
        <v>Mar 18</v>
      </c>
    </row>
    <row r="88" spans="1:53" ht="28" x14ac:dyDescent="0.15">
      <c r="A88" s="35" t="s">
        <v>53</v>
      </c>
      <c r="B88" s="35">
        <v>1762</v>
      </c>
      <c r="C88" s="27" t="s">
        <v>104</v>
      </c>
      <c r="D88" s="27" t="s">
        <v>283</v>
      </c>
      <c r="E88" s="27" t="s">
        <v>284</v>
      </c>
      <c r="F88" s="27" t="s">
        <v>80</v>
      </c>
      <c r="G88" s="27">
        <v>2</v>
      </c>
      <c r="H88" s="28">
        <v>42522</v>
      </c>
      <c r="I88" s="27"/>
      <c r="J88" s="28">
        <v>42600</v>
      </c>
      <c r="K88" s="27"/>
      <c r="L88" s="27"/>
      <c r="M88" s="28">
        <v>42601</v>
      </c>
      <c r="N88" s="28"/>
      <c r="O88" s="28">
        <v>42703</v>
      </c>
      <c r="P88" s="27"/>
      <c r="Q88" s="28">
        <v>42704</v>
      </c>
      <c r="R88" s="27"/>
      <c r="S88" s="27"/>
      <c r="T88" s="27"/>
      <c r="U88" s="27"/>
      <c r="V88" s="27"/>
      <c r="W88" s="27"/>
      <c r="X88" s="27">
        <v>14.5</v>
      </c>
      <c r="Y88" s="27">
        <v>2</v>
      </c>
      <c r="Z88" s="27"/>
      <c r="AA88" s="27">
        <v>1.5</v>
      </c>
      <c r="AB88" s="27">
        <v>0.5</v>
      </c>
      <c r="AC88" s="27"/>
      <c r="AD88" s="27">
        <v>11</v>
      </c>
      <c r="AE88" s="37">
        <f>AllPlans[[#This Row],[Prep days*]]+AllPlans[[#This Row],[Hearing days*]]+AllPlans[[#This Row],[SV days*]]+AllPlans[[#This Row],[Travel days]]+AllPlans[[#This Row],[Reptg days*]]</f>
        <v>29.5</v>
      </c>
      <c r="AF88" s="27"/>
      <c r="AG88" s="28">
        <v>42830</v>
      </c>
      <c r="AH88" s="27"/>
      <c r="AI88" s="28">
        <v>42804</v>
      </c>
      <c r="AJ88" s="27"/>
      <c r="AK88" s="28">
        <v>42815</v>
      </c>
      <c r="AL88" s="27"/>
      <c r="AM88" s="28">
        <v>42816</v>
      </c>
      <c r="AN88" s="27"/>
      <c r="AO88" s="28">
        <v>42823</v>
      </c>
      <c r="AP88" s="27"/>
      <c r="AQ88" s="28">
        <v>42917</v>
      </c>
      <c r="AR88" s="27"/>
      <c r="AS88" s="28"/>
      <c r="AT88" s="27"/>
      <c r="AU88" s="27" t="s">
        <v>59</v>
      </c>
      <c r="AV88" s="40">
        <v>31.857142857142858</v>
      </c>
      <c r="AW88" s="39">
        <f t="shared" si="4"/>
        <v>17</v>
      </c>
      <c r="AX88" s="27"/>
      <c r="AY88" s="40" t="s">
        <v>285</v>
      </c>
      <c r="AZ88" s="41" t="str">
        <f t="shared" si="5"/>
        <v>Aug 16</v>
      </c>
      <c r="BA88" s="41" t="str">
        <f t="shared" si="6"/>
        <v>Mar 17</v>
      </c>
    </row>
    <row r="89" spans="1:53" ht="14" x14ac:dyDescent="0.15">
      <c r="A89" s="35" t="s">
        <v>53</v>
      </c>
      <c r="B89" s="35">
        <v>1757</v>
      </c>
      <c r="C89" s="27" t="s">
        <v>71</v>
      </c>
      <c r="D89" s="27" t="s">
        <v>286</v>
      </c>
      <c r="E89" s="27" t="s">
        <v>56</v>
      </c>
      <c r="F89" s="27" t="s">
        <v>57</v>
      </c>
      <c r="G89" s="27">
        <v>3</v>
      </c>
      <c r="H89" s="28">
        <v>42506</v>
      </c>
      <c r="I89" s="27"/>
      <c r="J89" s="28">
        <v>42607</v>
      </c>
      <c r="K89" s="27"/>
      <c r="L89" s="27"/>
      <c r="M89" s="28">
        <v>42607</v>
      </c>
      <c r="N89" s="28"/>
      <c r="O89" s="28">
        <v>42716</v>
      </c>
      <c r="P89" s="27"/>
      <c r="Q89" s="28">
        <v>42716</v>
      </c>
      <c r="R89" s="27"/>
      <c r="S89" s="27"/>
      <c r="T89" s="27"/>
      <c r="U89" s="27"/>
      <c r="V89" s="27"/>
      <c r="W89" s="27"/>
      <c r="X89" s="80">
        <v>9</v>
      </c>
      <c r="Y89" s="80">
        <v>2</v>
      </c>
      <c r="Z89" s="80"/>
      <c r="AA89" s="80">
        <v>0</v>
      </c>
      <c r="AB89" s="80">
        <v>0</v>
      </c>
      <c r="AC89" s="80"/>
      <c r="AD89" s="80">
        <v>7.5</v>
      </c>
      <c r="AE89" s="37">
        <f>AllPlans[[#This Row],[Prep days*]]+AllPlans[[#This Row],[Hearing days*]]+AllPlans[[#This Row],[SV days*]]+AllPlans[[#This Row],[Travel days]]+AllPlans[[#This Row],[Reptg days*]]</f>
        <v>18.5</v>
      </c>
      <c r="AF89" s="27"/>
      <c r="AG89" s="28">
        <v>42809</v>
      </c>
      <c r="AH89" s="27"/>
      <c r="AI89" s="28"/>
      <c r="AJ89" s="27" t="s">
        <v>246</v>
      </c>
      <c r="AK89" s="28">
        <v>42795</v>
      </c>
      <c r="AL89" s="27"/>
      <c r="AM89" s="28">
        <v>42795</v>
      </c>
      <c r="AN89" s="27"/>
      <c r="AO89" s="28">
        <v>42804</v>
      </c>
      <c r="AP89" s="27"/>
      <c r="AQ89" s="28"/>
      <c r="AR89" s="27"/>
      <c r="AS89" s="28"/>
      <c r="AT89" s="27"/>
      <c r="AU89" s="27" t="s">
        <v>287</v>
      </c>
      <c r="AV89" s="40">
        <v>28.142857142857142</v>
      </c>
      <c r="AW89" s="39">
        <f t="shared" si="4"/>
        <v>12.571428571428571</v>
      </c>
      <c r="AX89" s="27"/>
      <c r="AY89" s="40" t="s">
        <v>288</v>
      </c>
      <c r="AZ89" s="41" t="str">
        <f t="shared" si="5"/>
        <v>Aug 16</v>
      </c>
      <c r="BA89" s="41" t="str">
        <f t="shared" si="6"/>
        <v>Mar 17</v>
      </c>
    </row>
    <row r="90" spans="1:53" ht="56" x14ac:dyDescent="0.15">
      <c r="A90" s="35" t="s">
        <v>53</v>
      </c>
      <c r="B90" s="35">
        <v>1761</v>
      </c>
      <c r="C90" s="27" t="s">
        <v>83</v>
      </c>
      <c r="D90" s="27" t="s">
        <v>289</v>
      </c>
      <c r="E90" s="27" t="s">
        <v>290</v>
      </c>
      <c r="F90" s="27" t="s">
        <v>80</v>
      </c>
      <c r="G90" s="27">
        <v>3</v>
      </c>
      <c r="H90" s="28">
        <v>42513</v>
      </c>
      <c r="I90" s="27"/>
      <c r="J90" s="28">
        <v>42621</v>
      </c>
      <c r="K90" s="27"/>
      <c r="L90" s="27"/>
      <c r="M90" s="28">
        <v>42622</v>
      </c>
      <c r="N90" s="28"/>
      <c r="O90" s="28">
        <v>42703</v>
      </c>
      <c r="P90" s="27"/>
      <c r="Q90" s="28">
        <v>42718</v>
      </c>
      <c r="R90" s="27"/>
      <c r="S90" s="27"/>
      <c r="T90" s="27"/>
      <c r="U90" s="27"/>
      <c r="V90" s="27"/>
      <c r="W90" s="27"/>
      <c r="X90" s="27">
        <v>24.01</v>
      </c>
      <c r="Y90" s="27">
        <v>5.5</v>
      </c>
      <c r="Z90" s="27"/>
      <c r="AA90" s="27">
        <v>5.52</v>
      </c>
      <c r="AB90" s="27">
        <v>1.9</v>
      </c>
      <c r="AC90" s="27"/>
      <c r="AD90" s="27">
        <v>12.63</v>
      </c>
      <c r="AE90" s="37">
        <f>AllPlans[[#This Row],[Prep days*]]+AllPlans[[#This Row],[Hearing days*]]+AllPlans[[#This Row],[SV days*]]+AllPlans[[#This Row],[Travel days]]+AllPlans[[#This Row],[Reptg days*]]</f>
        <v>49.56</v>
      </c>
      <c r="AF90" s="27"/>
      <c r="AG90" s="28">
        <v>42908</v>
      </c>
      <c r="AH90" s="27"/>
      <c r="AI90" s="28">
        <v>42872</v>
      </c>
      <c r="AJ90" s="27"/>
      <c r="AK90" s="28">
        <v>42893</v>
      </c>
      <c r="AL90" s="27"/>
      <c r="AM90" s="28">
        <v>42905</v>
      </c>
      <c r="AN90" s="27"/>
      <c r="AO90" s="28">
        <v>42915</v>
      </c>
      <c r="AP90" s="27"/>
      <c r="AQ90" s="28">
        <v>42984</v>
      </c>
      <c r="AR90" s="27"/>
      <c r="AS90" s="28"/>
      <c r="AT90" s="27"/>
      <c r="AU90" s="27" t="s">
        <v>59</v>
      </c>
      <c r="AV90" s="40">
        <v>42</v>
      </c>
      <c r="AW90" s="39">
        <f t="shared" si="4"/>
        <v>28.142857142857142</v>
      </c>
      <c r="AX90" s="27" t="s">
        <v>291</v>
      </c>
      <c r="AY90" s="40" t="s">
        <v>292</v>
      </c>
      <c r="AZ90" s="41" t="str">
        <f t="shared" si="5"/>
        <v>Sep 16</v>
      </c>
      <c r="BA90" s="41" t="str">
        <f t="shared" si="6"/>
        <v>Jun 17</v>
      </c>
    </row>
    <row r="91" spans="1:53" ht="56" x14ac:dyDescent="0.15">
      <c r="A91" s="35" t="s">
        <v>53</v>
      </c>
      <c r="B91" s="35">
        <v>1771</v>
      </c>
      <c r="C91" s="27" t="s">
        <v>90</v>
      </c>
      <c r="D91" s="27" t="s">
        <v>165</v>
      </c>
      <c r="E91" s="27" t="s">
        <v>293</v>
      </c>
      <c r="F91" s="27" t="s">
        <v>102</v>
      </c>
      <c r="G91" s="27">
        <v>2</v>
      </c>
      <c r="H91" s="28">
        <v>42553</v>
      </c>
      <c r="I91" s="27"/>
      <c r="J91" s="28">
        <v>42636</v>
      </c>
      <c r="K91" s="27"/>
      <c r="L91" s="27"/>
      <c r="M91" s="28">
        <v>42636</v>
      </c>
      <c r="N91" s="28"/>
      <c r="O91" s="28">
        <v>42753</v>
      </c>
      <c r="P91" s="27"/>
      <c r="Q91" s="28">
        <v>42754</v>
      </c>
      <c r="R91" s="27"/>
      <c r="S91" s="27"/>
      <c r="T91" s="27"/>
      <c r="U91" s="27"/>
      <c r="V91" s="27"/>
      <c r="W91" s="27"/>
      <c r="X91" s="27">
        <v>22.62</v>
      </c>
      <c r="Y91" s="27">
        <v>3.31</v>
      </c>
      <c r="Z91" s="27"/>
      <c r="AA91" s="27">
        <v>0.95</v>
      </c>
      <c r="AB91" s="27">
        <v>2.37</v>
      </c>
      <c r="AC91" s="27"/>
      <c r="AD91" s="27">
        <v>16.97</v>
      </c>
      <c r="AE91" s="37">
        <f>AllPlans[[#This Row],[Prep days*]]+AllPlans[[#This Row],[Hearing days*]]+AllPlans[[#This Row],[SV days*]]+AllPlans[[#This Row],[Travel days]]+AllPlans[[#This Row],[Reptg days*]]</f>
        <v>46.22</v>
      </c>
      <c r="AF91" s="27"/>
      <c r="AG91" s="28">
        <v>42909</v>
      </c>
      <c r="AH91" s="27"/>
      <c r="AI91" s="28">
        <v>42871</v>
      </c>
      <c r="AJ91" s="27"/>
      <c r="AK91" s="28">
        <v>42900</v>
      </c>
      <c r="AL91" s="27"/>
      <c r="AM91" s="28">
        <v>42905</v>
      </c>
      <c r="AN91" s="27"/>
      <c r="AO91" s="28">
        <v>42914</v>
      </c>
      <c r="AP91" s="27"/>
      <c r="AQ91" s="28">
        <v>42996</v>
      </c>
      <c r="AR91" s="27"/>
      <c r="AS91" s="28"/>
      <c r="AT91" s="27"/>
      <c r="AU91" s="27" t="s">
        <v>59</v>
      </c>
      <c r="AV91" s="40">
        <v>45.571428571428569</v>
      </c>
      <c r="AW91" s="39">
        <f t="shared" si="4"/>
        <v>22.857142857142858</v>
      </c>
      <c r="AX91" s="27" t="s">
        <v>291</v>
      </c>
      <c r="AY91" s="40" t="s">
        <v>167</v>
      </c>
      <c r="AZ91" s="41" t="str">
        <f t="shared" si="5"/>
        <v>Sep 16</v>
      </c>
      <c r="BA91" s="41" t="str">
        <f t="shared" si="6"/>
        <v>Jun 17</v>
      </c>
    </row>
    <row r="92" spans="1:53" ht="14" x14ac:dyDescent="0.15">
      <c r="A92" s="35" t="s">
        <v>53</v>
      </c>
      <c r="B92" s="35">
        <v>1697</v>
      </c>
      <c r="C92" s="27" t="s">
        <v>77</v>
      </c>
      <c r="D92" s="27" t="s">
        <v>78</v>
      </c>
      <c r="E92" s="27" t="s">
        <v>294</v>
      </c>
      <c r="F92" s="27" t="s">
        <v>74</v>
      </c>
      <c r="G92" s="27">
        <v>2</v>
      </c>
      <c r="H92" s="28">
        <v>42269</v>
      </c>
      <c r="I92" s="27"/>
      <c r="J92" s="28">
        <v>42636</v>
      </c>
      <c r="K92" s="27"/>
      <c r="L92" s="27"/>
      <c r="M92" s="28">
        <v>42636</v>
      </c>
      <c r="N92" s="28"/>
      <c r="O92" s="28">
        <v>42759</v>
      </c>
      <c r="P92" s="27"/>
      <c r="Q92" s="28">
        <v>42761</v>
      </c>
      <c r="R92" s="27"/>
      <c r="S92" s="27"/>
      <c r="T92" s="27"/>
      <c r="U92" s="27"/>
      <c r="V92" s="27"/>
      <c r="W92" s="27"/>
      <c r="X92" s="27">
        <v>12</v>
      </c>
      <c r="Y92" s="27">
        <v>2</v>
      </c>
      <c r="Z92" s="27"/>
      <c r="AA92" s="27"/>
      <c r="AB92" s="27">
        <v>2</v>
      </c>
      <c r="AC92" s="27"/>
      <c r="AD92" s="27">
        <v>12</v>
      </c>
      <c r="AE92" s="37">
        <f>AllPlans[[#This Row],[Prep days*]]+AllPlans[[#This Row],[Hearing days*]]+AllPlans[[#This Row],[SV days*]]+AllPlans[[#This Row],[Travel days]]+AllPlans[[#This Row],[Reptg days*]]</f>
        <v>28</v>
      </c>
      <c r="AF92" s="27"/>
      <c r="AG92" s="28">
        <v>42949</v>
      </c>
      <c r="AH92" s="27"/>
      <c r="AI92" s="28">
        <v>42922</v>
      </c>
      <c r="AJ92" s="27"/>
      <c r="AK92" s="28">
        <v>42940</v>
      </c>
      <c r="AL92" s="27"/>
      <c r="AM92" s="28">
        <v>42940</v>
      </c>
      <c r="AN92" s="27"/>
      <c r="AO92" s="28">
        <v>42955</v>
      </c>
      <c r="AP92" s="27"/>
      <c r="AQ92" s="28">
        <v>43047</v>
      </c>
      <c r="AR92" s="27"/>
      <c r="AS92" s="28"/>
      <c r="AT92" s="27"/>
      <c r="AU92" s="27" t="s">
        <v>59</v>
      </c>
      <c r="AV92" s="40">
        <v>39.714285714285715</v>
      </c>
      <c r="AW92" s="39">
        <f t="shared" si="4"/>
        <v>27.714285714285715</v>
      </c>
      <c r="AX92" s="27"/>
      <c r="AY92" s="40" t="s">
        <v>82</v>
      </c>
      <c r="AZ92" s="41" t="str">
        <f t="shared" si="5"/>
        <v>Sep 16</v>
      </c>
      <c r="BA92" s="41" t="str">
        <f t="shared" si="6"/>
        <v>Aug 17</v>
      </c>
    </row>
    <row r="93" spans="1:53" ht="14" x14ac:dyDescent="0.15">
      <c r="A93" s="35" t="s">
        <v>53</v>
      </c>
      <c r="B93" s="35">
        <v>1770</v>
      </c>
      <c r="C93" s="27" t="s">
        <v>104</v>
      </c>
      <c r="D93" s="27" t="s">
        <v>295</v>
      </c>
      <c r="E93" s="27" t="s">
        <v>56</v>
      </c>
      <c r="F93" s="27" t="s">
        <v>57</v>
      </c>
      <c r="G93" s="27">
        <v>3</v>
      </c>
      <c r="H93" s="28">
        <v>42555</v>
      </c>
      <c r="I93" s="27"/>
      <c r="J93" s="28">
        <v>42647</v>
      </c>
      <c r="K93" s="27"/>
      <c r="L93" s="27"/>
      <c r="M93" s="28">
        <v>42647</v>
      </c>
      <c r="N93" s="28"/>
      <c r="O93" s="28">
        <v>42740</v>
      </c>
      <c r="P93" s="27"/>
      <c r="Q93" s="28">
        <v>42816</v>
      </c>
      <c r="R93" s="27"/>
      <c r="S93" s="27"/>
      <c r="T93" s="27"/>
      <c r="U93" s="27"/>
      <c r="V93" s="27"/>
      <c r="W93" s="27"/>
      <c r="X93" s="27">
        <v>24.96</v>
      </c>
      <c r="Y93" s="27">
        <v>6.7</v>
      </c>
      <c r="Z93" s="27"/>
      <c r="AA93" s="27">
        <v>0.95</v>
      </c>
      <c r="AB93" s="27">
        <v>5.56</v>
      </c>
      <c r="AC93" s="27"/>
      <c r="AD93" s="27">
        <v>23.23</v>
      </c>
      <c r="AE93" s="37">
        <f>AllPlans[[#This Row],[Prep days*]]+AllPlans[[#This Row],[Hearing days*]]+AllPlans[[#This Row],[SV days*]]+AllPlans[[#This Row],[Travel days]]+AllPlans[[#This Row],[Reptg days*]]</f>
        <v>61.400000000000006</v>
      </c>
      <c r="AF93" s="27"/>
      <c r="AG93" s="28">
        <v>43019</v>
      </c>
      <c r="AH93" s="27"/>
      <c r="AI93" s="28">
        <v>42977</v>
      </c>
      <c r="AJ93" s="27"/>
      <c r="AK93" s="28">
        <v>43005</v>
      </c>
      <c r="AL93" s="27"/>
      <c r="AM93" s="28">
        <v>43005</v>
      </c>
      <c r="AN93" s="27"/>
      <c r="AO93" s="28">
        <v>43020</v>
      </c>
      <c r="AP93" s="27"/>
      <c r="AQ93" s="28">
        <v>43060</v>
      </c>
      <c r="AR93" s="27"/>
      <c r="AS93" s="28"/>
      <c r="AT93" s="27"/>
      <c r="AU93" s="27" t="s">
        <v>59</v>
      </c>
      <c r="AV93" s="40">
        <v>53.285714285714285</v>
      </c>
      <c r="AW93" s="39">
        <f t="shared" si="4"/>
        <v>29.142857142857142</v>
      </c>
      <c r="AX93" s="27"/>
      <c r="AY93" s="40" t="s">
        <v>296</v>
      </c>
      <c r="AZ93" s="41" t="str">
        <f t="shared" si="5"/>
        <v>Oct 16</v>
      </c>
      <c r="BA93" s="41" t="str">
        <f t="shared" si="6"/>
        <v>Oct 17</v>
      </c>
    </row>
    <row r="94" spans="1:53" ht="14" x14ac:dyDescent="0.15">
      <c r="A94" s="35" t="s">
        <v>53</v>
      </c>
      <c r="B94" s="35">
        <v>1765</v>
      </c>
      <c r="C94" s="27" t="s">
        <v>104</v>
      </c>
      <c r="D94" s="27" t="s">
        <v>297</v>
      </c>
      <c r="E94" s="27" t="s">
        <v>212</v>
      </c>
      <c r="F94" s="27" t="s">
        <v>107</v>
      </c>
      <c r="G94" s="27">
        <v>3</v>
      </c>
      <c r="H94" s="28">
        <v>42513</v>
      </c>
      <c r="I94" s="27"/>
      <c r="J94" s="28">
        <v>42660</v>
      </c>
      <c r="K94" s="27"/>
      <c r="L94" s="27"/>
      <c r="M94" s="28">
        <v>42661</v>
      </c>
      <c r="N94" s="28"/>
      <c r="O94" s="28">
        <v>42773</v>
      </c>
      <c r="P94" s="27"/>
      <c r="Q94" s="28">
        <v>43074</v>
      </c>
      <c r="R94" s="27"/>
      <c r="S94" s="27"/>
      <c r="T94" s="27"/>
      <c r="U94" s="27"/>
      <c r="V94" s="27"/>
      <c r="W94" s="27"/>
      <c r="X94" s="27">
        <v>38.200000000000003</v>
      </c>
      <c r="Y94" s="27">
        <v>14.31</v>
      </c>
      <c r="Z94" s="27"/>
      <c r="AA94" s="27">
        <v>0.96</v>
      </c>
      <c r="AB94" s="27">
        <v>4.12</v>
      </c>
      <c r="AC94" s="27"/>
      <c r="AD94" s="27">
        <v>29.49</v>
      </c>
      <c r="AE94" s="37">
        <f>AllPlans[[#This Row],[Prep days*]]+AllPlans[[#This Row],[Hearing days*]]+AllPlans[[#This Row],[SV days*]]+AllPlans[[#This Row],[Travel days]]+AllPlans[[#This Row],[Reptg days*]]</f>
        <v>87.08</v>
      </c>
      <c r="AF94" s="27"/>
      <c r="AG94" s="28">
        <v>43250</v>
      </c>
      <c r="AH94" s="27"/>
      <c r="AI94" s="28">
        <v>43235</v>
      </c>
      <c r="AJ94" s="27"/>
      <c r="AK94" s="28">
        <v>43249</v>
      </c>
      <c r="AL94" s="27"/>
      <c r="AM94" s="28">
        <v>43250</v>
      </c>
      <c r="AN94" s="27"/>
      <c r="AO94" s="28">
        <v>43277</v>
      </c>
      <c r="AP94" s="27"/>
      <c r="AQ94" s="28">
        <v>43299</v>
      </c>
      <c r="AR94" s="27"/>
      <c r="AS94" s="28"/>
      <c r="AT94" s="27"/>
      <c r="AU94" s="27" t="s">
        <v>59</v>
      </c>
      <c r="AV94" s="40">
        <v>88.142857142857139</v>
      </c>
      <c r="AW94" s="39">
        <f t="shared" si="4"/>
        <v>29</v>
      </c>
      <c r="AX94" s="27"/>
      <c r="AY94" s="40" t="s">
        <v>298</v>
      </c>
      <c r="AZ94" s="41" t="str">
        <f t="shared" si="5"/>
        <v>Oct 16</v>
      </c>
      <c r="BA94" s="41" t="str">
        <f t="shared" si="6"/>
        <v>Jun 18</v>
      </c>
    </row>
    <row r="95" spans="1:53" ht="14" x14ac:dyDescent="0.15">
      <c r="A95" s="35" t="s">
        <v>53</v>
      </c>
      <c r="B95" s="35">
        <v>995</v>
      </c>
      <c r="C95" s="27" t="s">
        <v>61</v>
      </c>
      <c r="D95" s="27" t="s">
        <v>299</v>
      </c>
      <c r="E95" s="27" t="s">
        <v>56</v>
      </c>
      <c r="F95" s="27" t="s">
        <v>57</v>
      </c>
      <c r="G95" s="27">
        <v>3</v>
      </c>
      <c r="H95" s="28">
        <v>42460</v>
      </c>
      <c r="I95" s="27"/>
      <c r="J95" s="28">
        <v>42663</v>
      </c>
      <c r="K95" s="27"/>
      <c r="L95" s="27"/>
      <c r="M95" s="28">
        <v>42664</v>
      </c>
      <c r="N95" s="28"/>
      <c r="O95" s="28">
        <v>42766</v>
      </c>
      <c r="P95" s="27"/>
      <c r="Q95" s="28">
        <v>42774</v>
      </c>
      <c r="R95" s="27"/>
      <c r="S95" s="27"/>
      <c r="T95" s="27"/>
      <c r="U95" s="27"/>
      <c r="V95" s="27"/>
      <c r="W95" s="27"/>
      <c r="X95" s="27">
        <v>29.24</v>
      </c>
      <c r="Y95" s="27">
        <v>3.44</v>
      </c>
      <c r="Z95" s="27"/>
      <c r="AA95" s="27"/>
      <c r="AB95" s="27">
        <v>2.7</v>
      </c>
      <c r="AC95" s="27"/>
      <c r="AD95" s="27">
        <v>30.51</v>
      </c>
      <c r="AE95" s="37">
        <f>AllPlans[[#This Row],[Prep days*]]+AllPlans[[#This Row],[Hearing days*]]+AllPlans[[#This Row],[SV days*]]+AllPlans[[#This Row],[Travel days]]+AllPlans[[#This Row],[Reptg days*]]</f>
        <v>65.89</v>
      </c>
      <c r="AF95" s="27"/>
      <c r="AG95" s="28">
        <v>43007</v>
      </c>
      <c r="AH95" s="27"/>
      <c r="AI95" s="28">
        <v>42977</v>
      </c>
      <c r="AJ95" s="27"/>
      <c r="AK95" s="28">
        <v>42993</v>
      </c>
      <c r="AL95" s="27"/>
      <c r="AM95" s="28">
        <v>42993</v>
      </c>
      <c r="AN95" s="27"/>
      <c r="AO95" s="28">
        <v>43007</v>
      </c>
      <c r="AP95" s="27"/>
      <c r="AQ95" s="28">
        <v>43083</v>
      </c>
      <c r="AR95" s="27"/>
      <c r="AS95" s="28"/>
      <c r="AT95" s="27"/>
      <c r="AU95" s="27" t="s">
        <v>59</v>
      </c>
      <c r="AV95" s="40">
        <v>49.142857142857146</v>
      </c>
      <c r="AW95" s="39">
        <f t="shared" si="4"/>
        <v>33.285714285714285</v>
      </c>
      <c r="AX95" s="27"/>
      <c r="AY95" s="40" t="s">
        <v>300</v>
      </c>
      <c r="AZ95" s="41" t="str">
        <f t="shared" si="5"/>
        <v>Oct 16</v>
      </c>
      <c r="BA95" s="41" t="str">
        <f t="shared" si="6"/>
        <v>Sep 17</v>
      </c>
    </row>
    <row r="96" spans="1:53" ht="14" x14ac:dyDescent="0.15">
      <c r="A96" s="35" t="s">
        <v>53</v>
      </c>
      <c r="B96" s="35">
        <v>1673</v>
      </c>
      <c r="C96" s="27" t="s">
        <v>67</v>
      </c>
      <c r="D96" s="27" t="s">
        <v>301</v>
      </c>
      <c r="E96" s="27" t="s">
        <v>302</v>
      </c>
      <c r="F96" s="27" t="s">
        <v>107</v>
      </c>
      <c r="G96" s="27">
        <v>3</v>
      </c>
      <c r="H96" s="28">
        <v>42572</v>
      </c>
      <c r="I96" s="27"/>
      <c r="J96" s="28">
        <v>42688</v>
      </c>
      <c r="K96" s="27"/>
      <c r="L96" s="27"/>
      <c r="M96" s="28">
        <v>42688</v>
      </c>
      <c r="N96" s="28"/>
      <c r="O96" s="28">
        <v>42773</v>
      </c>
      <c r="P96" s="27"/>
      <c r="Q96" s="28">
        <v>42789</v>
      </c>
      <c r="R96" s="27"/>
      <c r="S96" s="27"/>
      <c r="T96" s="27"/>
      <c r="U96" s="27"/>
      <c r="V96" s="27"/>
      <c r="W96" s="27"/>
      <c r="X96" s="27">
        <v>25</v>
      </c>
      <c r="Y96" s="27">
        <v>4</v>
      </c>
      <c r="Z96" s="27"/>
      <c r="AA96" s="27"/>
      <c r="AB96" s="27">
        <v>2</v>
      </c>
      <c r="AC96" s="27"/>
      <c r="AD96" s="27">
        <v>20.059999999999999</v>
      </c>
      <c r="AE96" s="37">
        <f>AllPlans[[#This Row],[Prep days*]]+AllPlans[[#This Row],[Hearing days*]]+AllPlans[[#This Row],[SV days*]]+AllPlans[[#This Row],[Travel days]]+AllPlans[[#This Row],[Reptg days*]]</f>
        <v>51.06</v>
      </c>
      <c r="AF96" s="27"/>
      <c r="AG96" s="28">
        <v>42991</v>
      </c>
      <c r="AH96" s="27"/>
      <c r="AI96" s="28">
        <v>42968</v>
      </c>
      <c r="AJ96" s="27"/>
      <c r="AK96" s="28">
        <v>42967</v>
      </c>
      <c r="AL96" s="27"/>
      <c r="AM96" s="28">
        <v>42985</v>
      </c>
      <c r="AN96" s="27"/>
      <c r="AO96" s="28">
        <v>42999</v>
      </c>
      <c r="AP96" s="27"/>
      <c r="AQ96" s="28">
        <v>43047</v>
      </c>
      <c r="AR96" s="27"/>
      <c r="AS96" s="28"/>
      <c r="AT96" s="27"/>
      <c r="AU96" s="27" t="s">
        <v>59</v>
      </c>
      <c r="AV96" s="40">
        <v>44.428571428571431</v>
      </c>
      <c r="AW96" s="39">
        <f t="shared" si="4"/>
        <v>30</v>
      </c>
      <c r="AX96" s="27"/>
      <c r="AY96" s="40" t="s">
        <v>303</v>
      </c>
      <c r="AZ96" s="41" t="str">
        <f t="shared" si="5"/>
        <v>Nov 16</v>
      </c>
      <c r="BA96" s="41" t="str">
        <f t="shared" si="6"/>
        <v>Sep 17</v>
      </c>
    </row>
    <row r="97" spans="1:53" ht="14" x14ac:dyDescent="0.15">
      <c r="A97" s="35" t="s">
        <v>53</v>
      </c>
      <c r="B97" s="35">
        <v>1758</v>
      </c>
      <c r="C97" s="27" t="s">
        <v>71</v>
      </c>
      <c r="D97" s="27" t="s">
        <v>304</v>
      </c>
      <c r="E97" s="27" t="s">
        <v>305</v>
      </c>
      <c r="F97" s="27" t="s">
        <v>80</v>
      </c>
      <c r="G97" s="27">
        <v>2</v>
      </c>
      <c r="H97" s="28">
        <v>42506</v>
      </c>
      <c r="I97" s="27"/>
      <c r="J97" s="28">
        <v>42712</v>
      </c>
      <c r="K97" s="27"/>
      <c r="L97" s="27"/>
      <c r="M97" s="28">
        <v>42712</v>
      </c>
      <c r="N97" s="28"/>
      <c r="O97" s="28">
        <v>42808</v>
      </c>
      <c r="P97" s="27"/>
      <c r="Q97" s="28">
        <v>42809</v>
      </c>
      <c r="R97" s="27"/>
      <c r="S97" s="27"/>
      <c r="T97" s="27"/>
      <c r="U97" s="27"/>
      <c r="V97" s="27"/>
      <c r="W97" s="27"/>
      <c r="X97" s="27">
        <v>12.73</v>
      </c>
      <c r="Y97" s="27">
        <v>2.3199999999999998</v>
      </c>
      <c r="Z97" s="27"/>
      <c r="AA97" s="27"/>
      <c r="AB97" s="27">
        <v>1.36</v>
      </c>
      <c r="AC97" s="27"/>
      <c r="AD97" s="27">
        <v>11.78</v>
      </c>
      <c r="AE97" s="37">
        <f>AllPlans[[#This Row],[Prep days*]]+AllPlans[[#This Row],[Hearing days*]]+AllPlans[[#This Row],[SV days*]]+AllPlans[[#This Row],[Travel days]]+AllPlans[[#This Row],[Reptg days*]]</f>
        <v>28.189999999999998</v>
      </c>
      <c r="AF97" s="27"/>
      <c r="AG97" s="28">
        <v>43017</v>
      </c>
      <c r="AH97" s="27"/>
      <c r="AI97" s="28">
        <v>42983</v>
      </c>
      <c r="AJ97" s="27"/>
      <c r="AK97" s="28">
        <v>43003</v>
      </c>
      <c r="AL97" s="27"/>
      <c r="AM97" s="28">
        <v>43003</v>
      </c>
      <c r="AN97" s="27"/>
      <c r="AO97" s="28">
        <v>43007</v>
      </c>
      <c r="AP97" s="27"/>
      <c r="AQ97" s="28">
        <v>43080</v>
      </c>
      <c r="AR97" s="27"/>
      <c r="AS97" s="28"/>
      <c r="AT97" s="27"/>
      <c r="AU97" s="27" t="s">
        <v>59</v>
      </c>
      <c r="AV97" s="40">
        <v>42.142857142857146</v>
      </c>
      <c r="AW97" s="39">
        <f t="shared" si="4"/>
        <v>28.285714285714285</v>
      </c>
      <c r="AX97" s="27"/>
      <c r="AY97" s="40" t="s">
        <v>306</v>
      </c>
      <c r="AZ97" s="41" t="str">
        <f t="shared" si="5"/>
        <v>Dec 16</v>
      </c>
      <c r="BA97" s="41" t="str">
        <f t="shared" si="6"/>
        <v>Sep 17</v>
      </c>
    </row>
    <row r="98" spans="1:53" ht="14" x14ac:dyDescent="0.15">
      <c r="A98" s="35" t="s">
        <v>53</v>
      </c>
      <c r="B98" s="35">
        <v>1782</v>
      </c>
      <c r="C98" s="27" t="s">
        <v>83</v>
      </c>
      <c r="D98" s="27" t="s">
        <v>307</v>
      </c>
      <c r="E98" s="27" t="s">
        <v>56</v>
      </c>
      <c r="F98" s="27" t="s">
        <v>57</v>
      </c>
      <c r="G98" s="27">
        <v>3</v>
      </c>
      <c r="H98" s="28">
        <v>42593</v>
      </c>
      <c r="I98" s="27"/>
      <c r="J98" s="28">
        <v>42713</v>
      </c>
      <c r="K98" s="27"/>
      <c r="L98" s="27"/>
      <c r="M98" s="28">
        <v>42713</v>
      </c>
      <c r="N98" s="28"/>
      <c r="O98" s="28">
        <v>42822</v>
      </c>
      <c r="P98" s="27"/>
      <c r="Q98" s="28">
        <v>43082</v>
      </c>
      <c r="R98" s="27"/>
      <c r="S98" s="27"/>
      <c r="T98" s="27"/>
      <c r="U98" s="27"/>
      <c r="V98" s="27"/>
      <c r="W98" s="27"/>
      <c r="X98" s="27">
        <v>33.229999999999997</v>
      </c>
      <c r="Y98" s="27">
        <v>8.2100000000000009</v>
      </c>
      <c r="Z98" s="27"/>
      <c r="AA98" s="27"/>
      <c r="AB98" s="27">
        <v>3.87</v>
      </c>
      <c r="AC98" s="27"/>
      <c r="AD98" s="27">
        <v>43.37</v>
      </c>
      <c r="AE98" s="37">
        <f>AllPlans[[#This Row],[Prep days*]]+AllPlans[[#This Row],[Hearing days*]]+AllPlans[[#This Row],[SV days*]]+AllPlans[[#This Row],[Travel days]]+AllPlans[[#This Row],[Reptg days*]]</f>
        <v>88.679999999999993</v>
      </c>
      <c r="AF98" s="27"/>
      <c r="AG98" s="28">
        <v>43368</v>
      </c>
      <c r="AH98" s="27"/>
      <c r="AI98" s="28">
        <v>43335</v>
      </c>
      <c r="AJ98" s="27"/>
      <c r="AK98" s="28">
        <v>43350</v>
      </c>
      <c r="AL98" s="27"/>
      <c r="AM98" s="28">
        <v>43354</v>
      </c>
      <c r="AN98" s="27"/>
      <c r="AO98" s="28">
        <v>43362</v>
      </c>
      <c r="AP98" s="27"/>
      <c r="AQ98" s="28">
        <v>43395</v>
      </c>
      <c r="AR98" s="27"/>
      <c r="AS98" s="28"/>
      <c r="AT98" s="27"/>
      <c r="AU98" s="27" t="s">
        <v>59</v>
      </c>
      <c r="AV98" s="40">
        <v>92.714285714285708</v>
      </c>
      <c r="AW98" s="39">
        <f t="shared" ref="AW98:AW129" si="7">SUM(AO98-Q98)/7</f>
        <v>40</v>
      </c>
      <c r="AX98" s="27"/>
      <c r="AY98" s="40" t="s">
        <v>308</v>
      </c>
      <c r="AZ98" s="41" t="str">
        <f t="shared" si="5"/>
        <v>Dec 16</v>
      </c>
      <c r="BA98" s="41" t="str">
        <f t="shared" si="6"/>
        <v>Sep 18</v>
      </c>
    </row>
    <row r="99" spans="1:53" ht="14" x14ac:dyDescent="0.15">
      <c r="A99" s="35" t="s">
        <v>53</v>
      </c>
      <c r="B99" s="35">
        <v>1744</v>
      </c>
      <c r="C99" s="27" t="s">
        <v>104</v>
      </c>
      <c r="D99" s="27" t="s">
        <v>309</v>
      </c>
      <c r="E99" s="27" t="s">
        <v>184</v>
      </c>
      <c r="F99" s="27" t="s">
        <v>80</v>
      </c>
      <c r="G99" s="27">
        <v>2</v>
      </c>
      <c r="H99" s="28">
        <v>42415</v>
      </c>
      <c r="I99" s="27"/>
      <c r="J99" s="28">
        <v>42719</v>
      </c>
      <c r="K99" s="27"/>
      <c r="L99" s="27"/>
      <c r="M99" s="28">
        <v>42719</v>
      </c>
      <c r="N99" s="28"/>
      <c r="O99" s="28">
        <v>42913</v>
      </c>
      <c r="P99" s="27"/>
      <c r="Q99" s="28"/>
      <c r="R99" s="27"/>
      <c r="S99" s="27"/>
      <c r="T99" s="27"/>
      <c r="U99" s="27"/>
      <c r="V99" s="27"/>
      <c r="W99" s="27"/>
      <c r="X99" s="27">
        <v>14.31</v>
      </c>
      <c r="Y99" s="27">
        <v>0</v>
      </c>
      <c r="Z99" s="27"/>
      <c r="AA99" s="27">
        <v>0.81</v>
      </c>
      <c r="AB99" s="27">
        <v>0.47</v>
      </c>
      <c r="AC99" s="27"/>
      <c r="AD99" s="27">
        <v>0</v>
      </c>
      <c r="AE99" s="37">
        <f>AllPlans[[#This Row],[Prep days*]]+AllPlans[[#This Row],[Hearing days*]]+AllPlans[[#This Row],[SV days*]]+AllPlans[[#This Row],[Travel days]]+AllPlans[[#This Row],[Reptg days*]]</f>
        <v>15.590000000000002</v>
      </c>
      <c r="AF99" s="27"/>
      <c r="AG99" s="28"/>
      <c r="AH99" s="27"/>
      <c r="AI99" s="28"/>
      <c r="AJ99" s="27"/>
      <c r="AK99" s="28"/>
      <c r="AL99" s="27"/>
      <c r="AM99" s="28"/>
      <c r="AN99" s="27"/>
      <c r="AO99" s="28"/>
      <c r="AP99" s="27"/>
      <c r="AQ99" s="28"/>
      <c r="AR99" s="27"/>
      <c r="AS99" s="28">
        <v>42880</v>
      </c>
      <c r="AT99" s="27"/>
      <c r="AU99" s="27" t="s">
        <v>278</v>
      </c>
      <c r="AV99" s="38" t="e">
        <f>DATEDIF(J99,AO99, "d")/7</f>
        <v>#NUM!</v>
      </c>
      <c r="AW99" s="39">
        <f t="shared" si="7"/>
        <v>0</v>
      </c>
      <c r="AX99" s="27"/>
      <c r="AY99" s="40" t="s">
        <v>228</v>
      </c>
      <c r="AZ99" s="41" t="str">
        <f t="shared" si="5"/>
        <v>Dec 16</v>
      </c>
      <c r="BA99" s="41" t="str">
        <f t="shared" si="6"/>
        <v>Jan 00</v>
      </c>
    </row>
    <row r="100" spans="1:53" ht="14" x14ac:dyDescent="0.15">
      <c r="A100" s="35" t="s">
        <v>53</v>
      </c>
      <c r="B100" s="35">
        <v>1767</v>
      </c>
      <c r="C100" s="27" t="s">
        <v>77</v>
      </c>
      <c r="D100" s="27" t="s">
        <v>157</v>
      </c>
      <c r="E100" s="27" t="s">
        <v>56</v>
      </c>
      <c r="F100" s="27" t="s">
        <v>57</v>
      </c>
      <c r="G100" s="27">
        <v>3</v>
      </c>
      <c r="H100" s="28">
        <v>42541</v>
      </c>
      <c r="I100" s="27"/>
      <c r="J100" s="28">
        <v>42720</v>
      </c>
      <c r="K100" s="27"/>
      <c r="L100" s="27"/>
      <c r="M100" s="28">
        <v>42720</v>
      </c>
      <c r="N100" s="28"/>
      <c r="O100" s="28">
        <v>42807</v>
      </c>
      <c r="P100" s="27"/>
      <c r="Q100" s="28">
        <v>42859</v>
      </c>
      <c r="R100" s="27"/>
      <c r="S100" s="27"/>
      <c r="T100" s="27"/>
      <c r="U100" s="27"/>
      <c r="V100" s="27"/>
      <c r="W100" s="27"/>
      <c r="X100" s="27">
        <v>35.15</v>
      </c>
      <c r="Y100" s="27">
        <v>8.23</v>
      </c>
      <c r="Z100" s="27"/>
      <c r="AA100" s="27">
        <v>1.63</v>
      </c>
      <c r="AB100" s="27">
        <v>2.77</v>
      </c>
      <c r="AC100" s="27"/>
      <c r="AD100" s="27">
        <v>24.79</v>
      </c>
      <c r="AE100" s="37">
        <f>AllPlans[[#This Row],[Prep days*]]+AllPlans[[#This Row],[Hearing days*]]+AllPlans[[#This Row],[SV days*]]+AllPlans[[#This Row],[Travel days]]+AllPlans[[#This Row],[Reptg days*]]</f>
        <v>72.569999999999993</v>
      </c>
      <c r="AF100" s="27"/>
      <c r="AG100" s="28">
        <v>43010</v>
      </c>
      <c r="AH100" s="27"/>
      <c r="AI100" s="28">
        <v>42986</v>
      </c>
      <c r="AJ100" s="27"/>
      <c r="AK100" s="28">
        <v>43005</v>
      </c>
      <c r="AL100" s="27"/>
      <c r="AM100" s="28">
        <v>43006</v>
      </c>
      <c r="AN100" s="27"/>
      <c r="AO100" s="28">
        <v>43012</v>
      </c>
      <c r="AP100" s="27"/>
      <c r="AQ100" s="28">
        <v>43062</v>
      </c>
      <c r="AR100" s="27"/>
      <c r="AS100" s="28"/>
      <c r="AT100" s="27"/>
      <c r="AU100" s="27" t="s">
        <v>59</v>
      </c>
      <c r="AV100" s="40">
        <v>41.714285714285715</v>
      </c>
      <c r="AW100" s="39">
        <f t="shared" si="7"/>
        <v>21.857142857142858</v>
      </c>
      <c r="AX100" s="27"/>
      <c r="AY100" s="40" t="s">
        <v>159</v>
      </c>
      <c r="AZ100" s="41" t="str">
        <f t="shared" si="5"/>
        <v>Dec 16</v>
      </c>
      <c r="BA100" s="41" t="str">
        <f t="shared" si="6"/>
        <v>Oct 17</v>
      </c>
    </row>
    <row r="101" spans="1:53" ht="14" x14ac:dyDescent="0.15">
      <c r="A101" s="35" t="s">
        <v>53</v>
      </c>
      <c r="B101" s="35">
        <v>1778</v>
      </c>
      <c r="C101" s="27" t="s">
        <v>104</v>
      </c>
      <c r="D101" s="27" t="s">
        <v>310</v>
      </c>
      <c r="E101" s="27" t="s">
        <v>56</v>
      </c>
      <c r="F101" s="27" t="s">
        <v>57</v>
      </c>
      <c r="G101" s="27">
        <v>3</v>
      </c>
      <c r="H101" s="28">
        <v>42593</v>
      </c>
      <c r="I101" s="27"/>
      <c r="J101" s="28">
        <v>42724</v>
      </c>
      <c r="K101" s="27"/>
      <c r="L101" s="27"/>
      <c r="M101" s="28"/>
      <c r="N101" s="28"/>
      <c r="O101" s="28">
        <v>42864</v>
      </c>
      <c r="P101" s="27"/>
      <c r="Q101" s="28">
        <v>42878</v>
      </c>
      <c r="R101" s="27"/>
      <c r="S101" s="27"/>
      <c r="T101" s="27"/>
      <c r="U101" s="27"/>
      <c r="V101" s="27"/>
      <c r="W101" s="27"/>
      <c r="X101" s="27">
        <v>23.33</v>
      </c>
      <c r="Y101" s="27">
        <v>5.68</v>
      </c>
      <c r="Z101" s="27"/>
      <c r="AA101" s="27"/>
      <c r="AB101" s="27">
        <v>2.4</v>
      </c>
      <c r="AC101" s="27"/>
      <c r="AD101" s="27">
        <v>17.64</v>
      </c>
      <c r="AE101" s="37">
        <f>AllPlans[[#This Row],[Prep days*]]+AllPlans[[#This Row],[Hearing days*]]+AllPlans[[#This Row],[SV days*]]+AllPlans[[#This Row],[Travel days]]+AllPlans[[#This Row],[Reptg days*]]</f>
        <v>49.05</v>
      </c>
      <c r="AF101" s="27"/>
      <c r="AG101" s="28">
        <v>43046</v>
      </c>
      <c r="AH101" s="27"/>
      <c r="AI101" s="28">
        <v>43013</v>
      </c>
      <c r="AJ101" s="27"/>
      <c r="AK101" s="28">
        <v>43038</v>
      </c>
      <c r="AL101" s="27"/>
      <c r="AM101" s="28">
        <v>43039</v>
      </c>
      <c r="AN101" s="27"/>
      <c r="AO101" s="28">
        <v>43052</v>
      </c>
      <c r="AP101" s="27"/>
      <c r="AQ101" s="28">
        <v>43076</v>
      </c>
      <c r="AR101" s="27"/>
      <c r="AS101" s="28"/>
      <c r="AT101" s="27"/>
      <c r="AU101" s="27" t="s">
        <v>59</v>
      </c>
      <c r="AV101" s="40">
        <v>46.857142857142854</v>
      </c>
      <c r="AW101" s="39">
        <f t="shared" si="7"/>
        <v>24.857142857142858</v>
      </c>
      <c r="AX101" s="27"/>
      <c r="AY101" s="40" t="s">
        <v>311</v>
      </c>
      <c r="AZ101" s="41" t="str">
        <f t="shared" si="5"/>
        <v>Dec 16</v>
      </c>
      <c r="BA101" s="41" t="str">
        <f t="shared" si="6"/>
        <v>Nov 17</v>
      </c>
    </row>
    <row r="102" spans="1:53" ht="14" x14ac:dyDescent="0.15">
      <c r="A102" s="35" t="s">
        <v>53</v>
      </c>
      <c r="B102" s="35">
        <v>1779</v>
      </c>
      <c r="C102" s="27" t="s">
        <v>61</v>
      </c>
      <c r="D102" s="27" t="s">
        <v>312</v>
      </c>
      <c r="E102" s="27" t="s">
        <v>313</v>
      </c>
      <c r="F102" s="27" t="s">
        <v>57</v>
      </c>
      <c r="G102" s="27">
        <v>3</v>
      </c>
      <c r="H102" s="28">
        <v>42601</v>
      </c>
      <c r="I102" s="27"/>
      <c r="J102" s="28">
        <v>42725</v>
      </c>
      <c r="K102" s="27"/>
      <c r="L102" s="27"/>
      <c r="M102" s="28">
        <v>42725</v>
      </c>
      <c r="N102" s="28"/>
      <c r="O102" s="28">
        <v>42913</v>
      </c>
      <c r="P102" s="27"/>
      <c r="Q102" s="28">
        <v>42922</v>
      </c>
      <c r="R102" s="27"/>
      <c r="S102" s="27"/>
      <c r="T102" s="27"/>
      <c r="U102" s="27"/>
      <c r="V102" s="27"/>
      <c r="W102" s="27"/>
      <c r="X102" s="27">
        <v>29.26</v>
      </c>
      <c r="Y102" s="27">
        <v>5.75</v>
      </c>
      <c r="Z102" s="27"/>
      <c r="AA102" s="27"/>
      <c r="AB102" s="27">
        <v>2.3199999999999998</v>
      </c>
      <c r="AC102" s="27"/>
      <c r="AD102" s="27">
        <v>23.99</v>
      </c>
      <c r="AE102" s="37">
        <f>AllPlans[[#This Row],[Prep days*]]+AllPlans[[#This Row],[Hearing days*]]+AllPlans[[#This Row],[SV days*]]+AllPlans[[#This Row],[Travel days]]+AllPlans[[#This Row],[Reptg days*]]</f>
        <v>61.320000000000007</v>
      </c>
      <c r="AF102" s="27"/>
      <c r="AG102" s="28">
        <v>43123</v>
      </c>
      <c r="AH102" s="27"/>
      <c r="AI102" s="28">
        <v>43082</v>
      </c>
      <c r="AJ102" s="27"/>
      <c r="AK102" s="28">
        <v>43104</v>
      </c>
      <c r="AL102" s="27"/>
      <c r="AM102" s="28">
        <v>43117</v>
      </c>
      <c r="AN102" s="27"/>
      <c r="AO102" s="28">
        <v>43132</v>
      </c>
      <c r="AP102" s="27"/>
      <c r="AQ102" s="28">
        <v>43151</v>
      </c>
      <c r="AR102" s="27"/>
      <c r="AS102" s="28"/>
      <c r="AT102" s="27"/>
      <c r="AU102" s="27" t="s">
        <v>59</v>
      </c>
      <c r="AV102" s="40">
        <v>59</v>
      </c>
      <c r="AW102" s="39">
        <f t="shared" si="7"/>
        <v>30</v>
      </c>
      <c r="AX102" s="27"/>
      <c r="AY102" s="40" t="s">
        <v>314</v>
      </c>
      <c r="AZ102" s="41" t="str">
        <f t="shared" si="5"/>
        <v>Dec 16</v>
      </c>
      <c r="BA102" s="41" t="str">
        <f t="shared" si="6"/>
        <v>Feb 18</v>
      </c>
    </row>
    <row r="103" spans="1:53" ht="14" x14ac:dyDescent="0.15">
      <c r="A103" s="35" t="s">
        <v>53</v>
      </c>
      <c r="B103" s="35">
        <v>1747</v>
      </c>
      <c r="C103" s="27" t="s">
        <v>77</v>
      </c>
      <c r="D103" s="27" t="s">
        <v>315</v>
      </c>
      <c r="E103" s="27" t="s">
        <v>56</v>
      </c>
      <c r="F103" s="27" t="s">
        <v>57</v>
      </c>
      <c r="G103" s="27">
        <v>3</v>
      </c>
      <c r="H103" s="28">
        <v>42429</v>
      </c>
      <c r="I103" s="27"/>
      <c r="J103" s="28">
        <v>42725</v>
      </c>
      <c r="K103" s="27"/>
      <c r="L103" s="27"/>
      <c r="M103" s="28">
        <v>42725</v>
      </c>
      <c r="N103" s="28"/>
      <c r="O103" s="28">
        <v>42829</v>
      </c>
      <c r="P103" s="27"/>
      <c r="Q103" s="28">
        <v>42860</v>
      </c>
      <c r="R103" s="27"/>
      <c r="S103" s="27"/>
      <c r="T103" s="27"/>
      <c r="U103" s="27"/>
      <c r="V103" s="27"/>
      <c r="W103" s="27"/>
      <c r="X103" s="27">
        <v>35.72</v>
      </c>
      <c r="Y103" s="27">
        <v>5.62</v>
      </c>
      <c r="Z103" s="27"/>
      <c r="AA103" s="27">
        <v>2.02</v>
      </c>
      <c r="AB103" s="27">
        <v>6</v>
      </c>
      <c r="AC103" s="27"/>
      <c r="AD103" s="27">
        <v>42.06</v>
      </c>
      <c r="AE103" s="37">
        <f>AllPlans[[#This Row],[Prep days*]]+AllPlans[[#This Row],[Hearing days*]]+AllPlans[[#This Row],[SV days*]]+AllPlans[[#This Row],[Travel days]]+AllPlans[[#This Row],[Reptg days*]]</f>
        <v>91.42</v>
      </c>
      <c r="AF103" s="27"/>
      <c r="AG103" s="28">
        <v>43133</v>
      </c>
      <c r="AH103" s="27"/>
      <c r="AI103" s="28">
        <v>43110</v>
      </c>
      <c r="AJ103" s="27"/>
      <c r="AK103" s="28">
        <v>43110</v>
      </c>
      <c r="AL103" s="27"/>
      <c r="AM103" s="28">
        <v>43130</v>
      </c>
      <c r="AN103" s="27"/>
      <c r="AO103" s="28">
        <v>43138</v>
      </c>
      <c r="AP103" s="27"/>
      <c r="AQ103" s="28">
        <v>43181</v>
      </c>
      <c r="AR103" s="27"/>
      <c r="AS103" s="28"/>
      <c r="AT103" s="27"/>
      <c r="AU103" s="27" t="s">
        <v>59</v>
      </c>
      <c r="AV103" s="40">
        <v>58.142857142857146</v>
      </c>
      <c r="AW103" s="39">
        <f t="shared" si="7"/>
        <v>39.714285714285715</v>
      </c>
      <c r="AX103" s="27"/>
      <c r="AY103" s="40" t="s">
        <v>316</v>
      </c>
      <c r="AZ103" s="41" t="str">
        <f t="shared" si="5"/>
        <v>Dec 16</v>
      </c>
      <c r="BA103" s="41" t="str">
        <f t="shared" si="6"/>
        <v>Feb 18</v>
      </c>
    </row>
    <row r="104" spans="1:53" ht="42" x14ac:dyDescent="0.15">
      <c r="A104" s="35" t="s">
        <v>53</v>
      </c>
      <c r="B104" s="35">
        <v>1768</v>
      </c>
      <c r="C104" s="27" t="s">
        <v>77</v>
      </c>
      <c r="D104" s="27" t="s">
        <v>317</v>
      </c>
      <c r="E104" s="27" t="s">
        <v>56</v>
      </c>
      <c r="F104" s="27" t="s">
        <v>57</v>
      </c>
      <c r="G104" s="27">
        <v>3</v>
      </c>
      <c r="H104" s="28">
        <v>42545</v>
      </c>
      <c r="I104" s="27"/>
      <c r="J104" s="28">
        <v>42726</v>
      </c>
      <c r="K104" s="27"/>
      <c r="L104" s="27"/>
      <c r="M104" s="28">
        <v>42726</v>
      </c>
      <c r="N104" s="28"/>
      <c r="O104" s="28">
        <v>42871</v>
      </c>
      <c r="P104" s="27"/>
      <c r="Q104" s="28">
        <v>43215</v>
      </c>
      <c r="R104" s="27"/>
      <c r="S104" s="27"/>
      <c r="T104" s="27"/>
      <c r="U104" s="27"/>
      <c r="V104" s="27"/>
      <c r="W104" s="27"/>
      <c r="X104" s="27">
        <v>53.43</v>
      </c>
      <c r="Y104" s="27">
        <v>21.16</v>
      </c>
      <c r="Z104" s="27"/>
      <c r="AA104" s="27">
        <v>1.72</v>
      </c>
      <c r="AB104" s="27">
        <v>4.1500000000000004</v>
      </c>
      <c r="AC104" s="27"/>
      <c r="AD104" s="27">
        <v>41.89</v>
      </c>
      <c r="AE104" s="37">
        <f>AllPlans[[#This Row],[Prep days*]]+AllPlans[[#This Row],[Hearing days*]]+AllPlans[[#This Row],[SV days*]]+AllPlans[[#This Row],[Travel days]]+AllPlans[[#This Row],[Reptg days*]]</f>
        <v>122.35000000000001</v>
      </c>
      <c r="AF104" s="27"/>
      <c r="AG104" s="28">
        <v>43439</v>
      </c>
      <c r="AH104" s="27"/>
      <c r="AI104" s="28">
        <v>43406</v>
      </c>
      <c r="AJ104" s="27"/>
      <c r="AK104" s="28">
        <v>43441</v>
      </c>
      <c r="AL104" s="27"/>
      <c r="AM104" s="28">
        <v>43434</v>
      </c>
      <c r="AN104" s="27"/>
      <c r="AO104" s="28">
        <v>43448</v>
      </c>
      <c r="AP104" s="27"/>
      <c r="AQ104" s="28">
        <v>43468</v>
      </c>
      <c r="AR104" s="27"/>
      <c r="AS104" s="28"/>
      <c r="AT104" s="27"/>
      <c r="AU104" s="27" t="s">
        <v>59</v>
      </c>
      <c r="AV104" s="40">
        <v>103.14285714285714</v>
      </c>
      <c r="AW104" s="39">
        <f t="shared" si="7"/>
        <v>33.285714285714285</v>
      </c>
      <c r="AX104" s="27" t="s">
        <v>318</v>
      </c>
      <c r="AY104" s="40" t="s">
        <v>319</v>
      </c>
      <c r="AZ104" s="41" t="str">
        <f t="shared" si="5"/>
        <v>Dec 16</v>
      </c>
      <c r="BA104" s="41" t="str">
        <f t="shared" si="6"/>
        <v>Dec 18</v>
      </c>
    </row>
    <row r="105" spans="1:53" ht="14" x14ac:dyDescent="0.15">
      <c r="A105" s="35" t="s">
        <v>53</v>
      </c>
      <c r="B105" s="35">
        <v>1789</v>
      </c>
      <c r="C105" s="27" t="s">
        <v>104</v>
      </c>
      <c r="D105" s="27" t="s">
        <v>320</v>
      </c>
      <c r="E105" s="27" t="s">
        <v>212</v>
      </c>
      <c r="F105" s="27" t="s">
        <v>107</v>
      </c>
      <c r="G105" s="27">
        <v>2</v>
      </c>
      <c r="H105" s="28">
        <v>42657</v>
      </c>
      <c r="I105" s="27"/>
      <c r="J105" s="28">
        <v>42758</v>
      </c>
      <c r="K105" s="27"/>
      <c r="L105" s="27"/>
      <c r="M105" s="28">
        <v>42758</v>
      </c>
      <c r="N105" s="28"/>
      <c r="O105" s="28">
        <v>42850</v>
      </c>
      <c r="P105" s="27"/>
      <c r="Q105" s="28">
        <v>42852</v>
      </c>
      <c r="R105" s="27"/>
      <c r="S105" s="27"/>
      <c r="T105" s="27"/>
      <c r="U105" s="27"/>
      <c r="V105" s="27"/>
      <c r="W105" s="27"/>
      <c r="X105" s="27">
        <v>16.46</v>
      </c>
      <c r="Y105" s="27">
        <v>3</v>
      </c>
      <c r="Z105" s="27"/>
      <c r="AA105" s="27"/>
      <c r="AB105" s="27">
        <v>0.2</v>
      </c>
      <c r="AC105" s="27"/>
      <c r="AD105" s="27">
        <v>17.559999999999999</v>
      </c>
      <c r="AE105" s="37">
        <f>AllPlans[[#This Row],[Prep days*]]+AllPlans[[#This Row],[Hearing days*]]+AllPlans[[#This Row],[SV days*]]+AllPlans[[#This Row],[Travel days]]+AllPlans[[#This Row],[Reptg days*]]</f>
        <v>37.22</v>
      </c>
      <c r="AF105" s="27"/>
      <c r="AG105" s="28">
        <v>42998</v>
      </c>
      <c r="AH105" s="27"/>
      <c r="AI105" s="28">
        <v>42977</v>
      </c>
      <c r="AJ105" s="27"/>
      <c r="AK105" s="28">
        <v>42984</v>
      </c>
      <c r="AL105" s="27"/>
      <c r="AM105" s="28">
        <v>42984</v>
      </c>
      <c r="AN105" s="27"/>
      <c r="AO105" s="28">
        <v>42991</v>
      </c>
      <c r="AP105" s="27"/>
      <c r="AQ105" s="28">
        <v>43041</v>
      </c>
      <c r="AR105" s="27"/>
      <c r="AS105" s="28"/>
      <c r="AT105" s="27"/>
      <c r="AU105" s="27" t="s">
        <v>59</v>
      </c>
      <c r="AV105" s="40">
        <v>33.285714285714285</v>
      </c>
      <c r="AW105" s="39">
        <f t="shared" si="7"/>
        <v>19.857142857142858</v>
      </c>
      <c r="AX105" s="27"/>
      <c r="AY105" s="40" t="s">
        <v>321</v>
      </c>
      <c r="AZ105" s="41" t="str">
        <f t="shared" si="5"/>
        <v>Jan 17</v>
      </c>
      <c r="BA105" s="41" t="str">
        <f t="shared" si="6"/>
        <v>Sep 17</v>
      </c>
    </row>
    <row r="106" spans="1:53" ht="14" x14ac:dyDescent="0.15">
      <c r="A106" s="35" t="s">
        <v>53</v>
      </c>
      <c r="B106" s="35">
        <v>1787</v>
      </c>
      <c r="C106" s="27" t="s">
        <v>83</v>
      </c>
      <c r="D106" s="27" t="s">
        <v>322</v>
      </c>
      <c r="E106" s="27" t="s">
        <v>323</v>
      </c>
      <c r="F106" s="27" t="s">
        <v>136</v>
      </c>
      <c r="G106" s="27">
        <v>2</v>
      </c>
      <c r="H106" s="28">
        <v>42642</v>
      </c>
      <c r="I106" s="27"/>
      <c r="J106" s="28">
        <v>42765</v>
      </c>
      <c r="K106" s="27"/>
      <c r="L106" s="27"/>
      <c r="M106" s="28">
        <v>42765</v>
      </c>
      <c r="N106" s="28"/>
      <c r="O106" s="28">
        <v>42872</v>
      </c>
      <c r="P106" s="27"/>
      <c r="Q106" s="28">
        <v>42873</v>
      </c>
      <c r="R106" s="27"/>
      <c r="S106" s="27"/>
      <c r="T106" s="27"/>
      <c r="U106" s="27"/>
      <c r="V106" s="27"/>
      <c r="W106" s="27"/>
      <c r="X106" s="27">
        <v>19.21</v>
      </c>
      <c r="Y106" s="27">
        <v>2.16</v>
      </c>
      <c r="Z106" s="27"/>
      <c r="AA106" s="27"/>
      <c r="AB106" s="27">
        <v>0.68</v>
      </c>
      <c r="AC106" s="27"/>
      <c r="AD106" s="27">
        <v>14.15</v>
      </c>
      <c r="AE106" s="37">
        <f>AllPlans[[#This Row],[Prep days*]]+AllPlans[[#This Row],[Hearing days*]]+AllPlans[[#This Row],[SV days*]]+AllPlans[[#This Row],[Travel days]]+AllPlans[[#This Row],[Reptg days*]]</f>
        <v>36.200000000000003</v>
      </c>
      <c r="AF106" s="27"/>
      <c r="AG106" s="28">
        <v>43049</v>
      </c>
      <c r="AH106" s="27"/>
      <c r="AI106" s="28">
        <v>43028</v>
      </c>
      <c r="AJ106" s="27"/>
      <c r="AK106" s="28">
        <v>43048</v>
      </c>
      <c r="AL106" s="27"/>
      <c r="AM106" s="28">
        <v>43049</v>
      </c>
      <c r="AN106" s="27"/>
      <c r="AO106" s="28">
        <v>43062</v>
      </c>
      <c r="AP106" s="27"/>
      <c r="AQ106" s="28">
        <v>43111</v>
      </c>
      <c r="AR106" s="27"/>
      <c r="AS106" s="28"/>
      <c r="AT106" s="27"/>
      <c r="AU106" s="27" t="s">
        <v>59</v>
      </c>
      <c r="AV106" s="40">
        <v>42.428571428571431</v>
      </c>
      <c r="AW106" s="39">
        <f t="shared" si="7"/>
        <v>27</v>
      </c>
      <c r="AX106" s="27"/>
      <c r="AY106" s="40" t="s">
        <v>324</v>
      </c>
      <c r="AZ106" s="41" t="str">
        <f t="shared" si="5"/>
        <v>Jan 17</v>
      </c>
      <c r="BA106" s="41" t="str">
        <f t="shared" si="6"/>
        <v>Nov 17</v>
      </c>
    </row>
    <row r="107" spans="1:53" ht="28" x14ac:dyDescent="0.15">
      <c r="A107" s="35" t="s">
        <v>53</v>
      </c>
      <c r="B107" s="35">
        <v>1784</v>
      </c>
      <c r="C107" s="27" t="s">
        <v>90</v>
      </c>
      <c r="D107" s="27" t="s">
        <v>325</v>
      </c>
      <c r="E107" s="27" t="s">
        <v>326</v>
      </c>
      <c r="F107" s="27" t="s">
        <v>57</v>
      </c>
      <c r="G107" s="27">
        <v>3</v>
      </c>
      <c r="H107" s="28">
        <v>42618</v>
      </c>
      <c r="I107" s="27"/>
      <c r="J107" s="28">
        <v>42768</v>
      </c>
      <c r="K107" s="27"/>
      <c r="L107" s="27"/>
      <c r="M107" s="28">
        <v>42768</v>
      </c>
      <c r="N107" s="28"/>
      <c r="O107" s="28">
        <v>42871</v>
      </c>
      <c r="P107" s="27"/>
      <c r="Q107" s="28">
        <v>42886</v>
      </c>
      <c r="R107" s="27"/>
      <c r="S107" s="27"/>
      <c r="T107" s="27"/>
      <c r="U107" s="27"/>
      <c r="V107" s="27"/>
      <c r="W107" s="27"/>
      <c r="X107" s="27">
        <v>22.8</v>
      </c>
      <c r="Y107" s="27">
        <v>4.05</v>
      </c>
      <c r="Z107" s="27"/>
      <c r="AA107" s="27"/>
      <c r="AB107" s="27">
        <v>1.1200000000000001</v>
      </c>
      <c r="AC107" s="27"/>
      <c r="AD107" s="27">
        <v>18.64</v>
      </c>
      <c r="AE107" s="37">
        <f>AllPlans[[#This Row],[Prep days*]]+AllPlans[[#This Row],[Hearing days*]]+AllPlans[[#This Row],[SV days*]]+AllPlans[[#This Row],[Travel days]]+AllPlans[[#This Row],[Reptg days*]]</f>
        <v>46.61</v>
      </c>
      <c r="AF107" s="27"/>
      <c r="AG107" s="28">
        <v>43112</v>
      </c>
      <c r="AH107" s="27"/>
      <c r="AI107" s="28">
        <v>43084</v>
      </c>
      <c r="AJ107" s="27"/>
      <c r="AK107" s="28">
        <v>43110</v>
      </c>
      <c r="AL107" s="27"/>
      <c r="AM107" s="28">
        <v>43110</v>
      </c>
      <c r="AN107" s="27"/>
      <c r="AO107" s="28">
        <v>43116</v>
      </c>
      <c r="AP107" s="27"/>
      <c r="AQ107" s="28">
        <v>43158</v>
      </c>
      <c r="AR107" s="27"/>
      <c r="AS107" s="28"/>
      <c r="AT107" s="27"/>
      <c r="AU107" s="27" t="s">
        <v>59</v>
      </c>
      <c r="AV107" s="40">
        <v>49.714285714285715</v>
      </c>
      <c r="AW107" s="39">
        <f t="shared" si="7"/>
        <v>32.857142857142854</v>
      </c>
      <c r="AX107" s="27"/>
      <c r="AY107" s="40" t="s">
        <v>327</v>
      </c>
      <c r="AZ107" s="41" t="str">
        <f t="shared" si="5"/>
        <v>Feb 17</v>
      </c>
      <c r="BA107" s="41" t="str">
        <f t="shared" si="6"/>
        <v>Jan 18</v>
      </c>
    </row>
    <row r="108" spans="1:53" ht="28" x14ac:dyDescent="0.15">
      <c r="A108" s="35" t="s">
        <v>53</v>
      </c>
      <c r="B108" s="35">
        <v>1785</v>
      </c>
      <c r="C108" s="27" t="s">
        <v>90</v>
      </c>
      <c r="D108" s="27" t="s">
        <v>325</v>
      </c>
      <c r="E108" s="27" t="s">
        <v>328</v>
      </c>
      <c r="F108" s="27" t="s">
        <v>107</v>
      </c>
      <c r="G108" s="27">
        <v>2</v>
      </c>
      <c r="H108" s="28">
        <v>42618</v>
      </c>
      <c r="I108" s="27"/>
      <c r="J108" s="28">
        <v>42768</v>
      </c>
      <c r="K108" s="27"/>
      <c r="L108" s="27"/>
      <c r="M108" s="28">
        <v>42768</v>
      </c>
      <c r="N108" s="28"/>
      <c r="O108" s="28">
        <v>42881</v>
      </c>
      <c r="P108" s="27"/>
      <c r="Q108" s="28">
        <v>42886</v>
      </c>
      <c r="R108" s="27"/>
      <c r="S108" s="27"/>
      <c r="T108" s="27"/>
      <c r="U108" s="27"/>
      <c r="V108" s="27"/>
      <c r="W108" s="27"/>
      <c r="X108" s="27">
        <v>22.89</v>
      </c>
      <c r="Y108" s="27">
        <v>4.05</v>
      </c>
      <c r="Z108" s="27"/>
      <c r="AA108" s="27"/>
      <c r="AB108" s="27">
        <v>1.1200000000000001</v>
      </c>
      <c r="AC108" s="27"/>
      <c r="AD108" s="27">
        <v>20.67</v>
      </c>
      <c r="AE108" s="37">
        <f>AllPlans[[#This Row],[Prep days*]]+AllPlans[[#This Row],[Hearing days*]]+AllPlans[[#This Row],[SV days*]]+AllPlans[[#This Row],[Travel days]]+AllPlans[[#This Row],[Reptg days*]]</f>
        <v>48.730000000000004</v>
      </c>
      <c r="AF108" s="27"/>
      <c r="AG108" s="28">
        <v>43112</v>
      </c>
      <c r="AH108" s="27"/>
      <c r="AI108" s="28">
        <v>43084</v>
      </c>
      <c r="AJ108" s="27"/>
      <c r="AK108" s="28">
        <v>43110</v>
      </c>
      <c r="AL108" s="27"/>
      <c r="AM108" s="28">
        <v>43110</v>
      </c>
      <c r="AN108" s="27"/>
      <c r="AO108" s="28">
        <v>43116</v>
      </c>
      <c r="AP108" s="27"/>
      <c r="AQ108" s="28">
        <v>43158</v>
      </c>
      <c r="AR108" s="27"/>
      <c r="AS108" s="28"/>
      <c r="AT108" s="27"/>
      <c r="AU108" s="27" t="s">
        <v>59</v>
      </c>
      <c r="AV108" s="40">
        <v>49.714285714285715</v>
      </c>
      <c r="AW108" s="39">
        <f t="shared" si="7"/>
        <v>32.857142857142854</v>
      </c>
      <c r="AX108" s="27"/>
      <c r="AY108" s="40" t="s">
        <v>327</v>
      </c>
      <c r="AZ108" s="41" t="str">
        <f t="shared" si="5"/>
        <v>Feb 17</v>
      </c>
      <c r="BA108" s="41" t="str">
        <f t="shared" si="6"/>
        <v>Jan 18</v>
      </c>
    </row>
    <row r="109" spans="1:53" ht="14" x14ac:dyDescent="0.15">
      <c r="A109" s="35" t="s">
        <v>53</v>
      </c>
      <c r="B109" s="35">
        <v>1777</v>
      </c>
      <c r="C109" s="27" t="s">
        <v>270</v>
      </c>
      <c r="D109" s="27" t="s">
        <v>329</v>
      </c>
      <c r="E109" s="27" t="s">
        <v>330</v>
      </c>
      <c r="F109" s="27" t="s">
        <v>74</v>
      </c>
      <c r="G109" s="27">
        <v>2</v>
      </c>
      <c r="H109" s="28">
        <v>42587</v>
      </c>
      <c r="I109" s="27"/>
      <c r="J109" s="28">
        <v>42772</v>
      </c>
      <c r="K109" s="27"/>
      <c r="L109" s="27"/>
      <c r="M109" s="28">
        <v>42773</v>
      </c>
      <c r="N109" s="28"/>
      <c r="O109" s="28">
        <v>42828</v>
      </c>
      <c r="P109" s="27"/>
      <c r="Q109" s="28">
        <v>42831</v>
      </c>
      <c r="R109" s="27"/>
      <c r="S109" s="27"/>
      <c r="T109" s="27"/>
      <c r="U109" s="27"/>
      <c r="V109" s="27"/>
      <c r="W109" s="27"/>
      <c r="X109" s="27">
        <v>12.65</v>
      </c>
      <c r="Y109" s="27">
        <v>4.38</v>
      </c>
      <c r="Z109" s="27"/>
      <c r="AA109" s="27"/>
      <c r="AB109" s="27"/>
      <c r="AC109" s="27"/>
      <c r="AD109" s="27">
        <v>12.89</v>
      </c>
      <c r="AE109" s="37">
        <f>AllPlans[[#This Row],[Prep days*]]+AllPlans[[#This Row],[Hearing days*]]+AllPlans[[#This Row],[SV days*]]+AllPlans[[#This Row],[Travel days]]+AllPlans[[#This Row],[Reptg days*]]</f>
        <v>29.92</v>
      </c>
      <c r="AF109" s="27"/>
      <c r="AG109" s="28">
        <v>43059</v>
      </c>
      <c r="AH109" s="27"/>
      <c r="AI109" s="28">
        <v>43028</v>
      </c>
      <c r="AJ109" s="27"/>
      <c r="AK109" s="28">
        <v>43049</v>
      </c>
      <c r="AL109" s="27"/>
      <c r="AM109" s="28">
        <v>43052</v>
      </c>
      <c r="AN109" s="27"/>
      <c r="AO109" s="28">
        <v>43053</v>
      </c>
      <c r="AP109" s="27"/>
      <c r="AQ109" s="28"/>
      <c r="AR109" s="27"/>
      <c r="AS109" s="28"/>
      <c r="AT109" s="27"/>
      <c r="AU109" s="27" t="s">
        <v>59</v>
      </c>
      <c r="AV109" s="40">
        <v>40.142857142857146</v>
      </c>
      <c r="AW109" s="39">
        <f t="shared" si="7"/>
        <v>31.714285714285715</v>
      </c>
      <c r="AX109" s="27"/>
      <c r="AY109" s="40" t="s">
        <v>331</v>
      </c>
      <c r="AZ109" s="41" t="str">
        <f t="shared" si="5"/>
        <v>Feb 17</v>
      </c>
      <c r="BA109" s="41" t="str">
        <f t="shared" si="6"/>
        <v>Nov 17</v>
      </c>
    </row>
    <row r="110" spans="1:53" ht="14" x14ac:dyDescent="0.15">
      <c r="A110" s="35" t="s">
        <v>53</v>
      </c>
      <c r="B110" s="35">
        <v>1801</v>
      </c>
      <c r="C110" s="27" t="s">
        <v>67</v>
      </c>
      <c r="D110" s="27" t="s">
        <v>134</v>
      </c>
      <c r="E110" s="27" t="s">
        <v>332</v>
      </c>
      <c r="F110" s="27" t="s">
        <v>107</v>
      </c>
      <c r="G110" s="27">
        <v>3</v>
      </c>
      <c r="H110" s="28">
        <v>42681</v>
      </c>
      <c r="I110" s="27"/>
      <c r="J110" s="28">
        <v>42790</v>
      </c>
      <c r="K110" s="27"/>
      <c r="L110" s="27"/>
      <c r="M110" s="28">
        <v>42790</v>
      </c>
      <c r="N110" s="28"/>
      <c r="O110" s="28">
        <v>42871</v>
      </c>
      <c r="P110" s="27"/>
      <c r="Q110" s="28">
        <v>42873</v>
      </c>
      <c r="R110" s="27"/>
      <c r="S110" s="27"/>
      <c r="T110" s="27"/>
      <c r="U110" s="27"/>
      <c r="V110" s="27"/>
      <c r="W110" s="27"/>
      <c r="X110" s="27">
        <v>18</v>
      </c>
      <c r="Y110" s="27">
        <v>3</v>
      </c>
      <c r="Z110" s="27"/>
      <c r="AA110" s="27">
        <v>0.59</v>
      </c>
      <c r="AB110" s="27">
        <v>0.83</v>
      </c>
      <c r="AC110" s="27"/>
      <c r="AD110" s="27">
        <v>20.38</v>
      </c>
      <c r="AE110" s="37">
        <f>AllPlans[[#This Row],[Prep days*]]+AllPlans[[#This Row],[Hearing days*]]+AllPlans[[#This Row],[SV days*]]+AllPlans[[#This Row],[Travel days]]+AllPlans[[#This Row],[Reptg days*]]</f>
        <v>42.8</v>
      </c>
      <c r="AF110" s="27"/>
      <c r="AG110" s="28">
        <v>43126</v>
      </c>
      <c r="AH110" s="27"/>
      <c r="AI110" s="28">
        <v>43081</v>
      </c>
      <c r="AJ110" s="27"/>
      <c r="AK110" s="28">
        <v>43115</v>
      </c>
      <c r="AL110" s="27"/>
      <c r="AM110" s="28">
        <v>43116</v>
      </c>
      <c r="AN110" s="27"/>
      <c r="AO110" s="28">
        <v>43147</v>
      </c>
      <c r="AP110" s="27"/>
      <c r="AQ110" s="28">
        <v>43200</v>
      </c>
      <c r="AR110" s="27"/>
      <c r="AS110" s="28"/>
      <c r="AT110" s="27"/>
      <c r="AU110" s="27" t="s">
        <v>59</v>
      </c>
      <c r="AV110" s="40">
        <v>51</v>
      </c>
      <c r="AW110" s="39">
        <f t="shared" si="7"/>
        <v>39.142857142857146</v>
      </c>
      <c r="AX110" s="27"/>
      <c r="AY110" s="40" t="s">
        <v>137</v>
      </c>
      <c r="AZ110" s="41" t="str">
        <f t="shared" si="5"/>
        <v>Feb 17</v>
      </c>
      <c r="BA110" s="41" t="str">
        <f t="shared" si="6"/>
        <v>Feb 18</v>
      </c>
    </row>
    <row r="111" spans="1:53" ht="14" x14ac:dyDescent="0.15">
      <c r="A111" s="35" t="s">
        <v>53</v>
      </c>
      <c r="B111" s="35">
        <v>1799</v>
      </c>
      <c r="C111" s="27" t="s">
        <v>104</v>
      </c>
      <c r="D111" s="27" t="s">
        <v>333</v>
      </c>
      <c r="E111" s="27" t="s">
        <v>56</v>
      </c>
      <c r="F111" s="27" t="s">
        <v>57</v>
      </c>
      <c r="G111" s="27">
        <v>3</v>
      </c>
      <c r="H111" s="28">
        <v>43043</v>
      </c>
      <c r="I111" s="27"/>
      <c r="J111" s="28">
        <v>42790</v>
      </c>
      <c r="K111" s="27"/>
      <c r="L111" s="27"/>
      <c r="M111" s="28">
        <v>42793</v>
      </c>
      <c r="N111" s="28"/>
      <c r="O111" s="28">
        <v>43010</v>
      </c>
      <c r="P111" s="27"/>
      <c r="Q111" s="28"/>
      <c r="R111" s="27"/>
      <c r="S111" s="27"/>
      <c r="T111" s="27"/>
      <c r="U111" s="27"/>
      <c r="V111" s="27"/>
      <c r="W111" s="27"/>
      <c r="X111" s="27">
        <v>0</v>
      </c>
      <c r="Y111" s="27">
        <v>0</v>
      </c>
      <c r="Z111" s="27"/>
      <c r="AA111" s="27">
        <v>0</v>
      </c>
      <c r="AB111" s="27">
        <v>0</v>
      </c>
      <c r="AC111" s="27"/>
      <c r="AD111" s="27">
        <v>0</v>
      </c>
      <c r="AE111" s="37">
        <v>40.78</v>
      </c>
      <c r="AF111" s="27"/>
      <c r="AG111" s="28"/>
      <c r="AH111" s="27"/>
      <c r="AI111" s="28"/>
      <c r="AJ111" s="27"/>
      <c r="AK111" s="28"/>
      <c r="AL111" s="27"/>
      <c r="AM111" s="28"/>
      <c r="AN111" s="27"/>
      <c r="AO111" s="28"/>
      <c r="AP111" s="27"/>
      <c r="AQ111" s="28"/>
      <c r="AR111" s="27"/>
      <c r="AS111" s="28">
        <v>43355</v>
      </c>
      <c r="AT111" s="27"/>
      <c r="AU111" s="27" t="s">
        <v>278</v>
      </c>
      <c r="AV111" s="38" t="e">
        <f>DATEDIF(J111,AO111, "d")/7</f>
        <v>#NUM!</v>
      </c>
      <c r="AW111" s="39">
        <f t="shared" si="7"/>
        <v>0</v>
      </c>
      <c r="AX111" s="27"/>
      <c r="AY111" s="40" t="s">
        <v>334</v>
      </c>
      <c r="AZ111" s="41" t="str">
        <f t="shared" si="5"/>
        <v>Feb 17</v>
      </c>
      <c r="BA111" s="41" t="str">
        <f t="shared" si="6"/>
        <v>Jan 00</v>
      </c>
    </row>
    <row r="112" spans="1:53" ht="14" x14ac:dyDescent="0.15">
      <c r="A112" s="35" t="s">
        <v>53</v>
      </c>
      <c r="B112" s="35">
        <v>1786</v>
      </c>
      <c r="C112" s="27" t="s">
        <v>90</v>
      </c>
      <c r="D112" s="27" t="s">
        <v>335</v>
      </c>
      <c r="E112" s="27" t="s">
        <v>56</v>
      </c>
      <c r="F112" s="27" t="s">
        <v>57</v>
      </c>
      <c r="G112" s="27">
        <v>3</v>
      </c>
      <c r="H112" s="28">
        <v>42628</v>
      </c>
      <c r="I112" s="27"/>
      <c r="J112" s="28">
        <v>42794</v>
      </c>
      <c r="K112" s="27"/>
      <c r="L112" s="27"/>
      <c r="M112" s="28">
        <v>42794</v>
      </c>
      <c r="N112" s="28"/>
      <c r="O112" s="28">
        <v>42899</v>
      </c>
      <c r="P112" s="27"/>
      <c r="Q112" s="28">
        <v>42907</v>
      </c>
      <c r="R112" s="27"/>
      <c r="S112" s="27"/>
      <c r="T112" s="27"/>
      <c r="U112" s="27"/>
      <c r="V112" s="27"/>
      <c r="W112" s="27"/>
      <c r="X112" s="27">
        <v>16.89</v>
      </c>
      <c r="Y112" s="27">
        <v>6</v>
      </c>
      <c r="Z112" s="27"/>
      <c r="AA112" s="27"/>
      <c r="AB112" s="27">
        <v>2.08</v>
      </c>
      <c r="AC112" s="27"/>
      <c r="AD112" s="27">
        <v>15.93</v>
      </c>
      <c r="AE112" s="37">
        <f>AllPlans[[#This Row],[Prep days*]]+AllPlans[[#This Row],[Hearing days*]]+AllPlans[[#This Row],[SV days*]]+AllPlans[[#This Row],[Travel days]]+AllPlans[[#This Row],[Reptg days*]]</f>
        <v>40.9</v>
      </c>
      <c r="AF112" s="27"/>
      <c r="AG112" s="28">
        <v>43069</v>
      </c>
      <c r="AH112" s="27"/>
      <c r="AI112" s="28">
        <v>43052</v>
      </c>
      <c r="AJ112" s="27"/>
      <c r="AK112" s="28">
        <v>43063</v>
      </c>
      <c r="AL112" s="27"/>
      <c r="AM112" s="28">
        <v>43063</v>
      </c>
      <c r="AN112" s="27"/>
      <c r="AO112" s="28">
        <v>43088</v>
      </c>
      <c r="AP112" s="27"/>
      <c r="AQ112" s="28">
        <v>43159</v>
      </c>
      <c r="AR112" s="27"/>
      <c r="AS112" s="28"/>
      <c r="AT112" s="27"/>
      <c r="AU112" s="27" t="s">
        <v>59</v>
      </c>
      <c r="AV112" s="40">
        <v>42</v>
      </c>
      <c r="AW112" s="39">
        <f t="shared" si="7"/>
        <v>25.857142857142858</v>
      </c>
      <c r="AX112" s="27"/>
      <c r="AY112" s="40" t="s">
        <v>336</v>
      </c>
      <c r="AZ112" s="41" t="str">
        <f t="shared" si="5"/>
        <v>Feb 17</v>
      </c>
      <c r="BA112" s="41" t="str">
        <f t="shared" si="6"/>
        <v>Dec 17</v>
      </c>
    </row>
    <row r="113" spans="1:53" ht="14" x14ac:dyDescent="0.15">
      <c r="A113" s="35" t="s">
        <v>53</v>
      </c>
      <c r="B113" s="35">
        <v>1776</v>
      </c>
      <c r="C113" s="27" t="s">
        <v>90</v>
      </c>
      <c r="D113" s="27" t="s">
        <v>337</v>
      </c>
      <c r="E113" s="27" t="s">
        <v>121</v>
      </c>
      <c r="F113" s="27" t="s">
        <v>57</v>
      </c>
      <c r="G113" s="27">
        <v>3</v>
      </c>
      <c r="H113" s="28">
        <v>42579</v>
      </c>
      <c r="I113" s="27"/>
      <c r="J113" s="28">
        <v>42797</v>
      </c>
      <c r="K113" s="27"/>
      <c r="L113" s="27"/>
      <c r="M113" s="28">
        <v>42797</v>
      </c>
      <c r="N113" s="28"/>
      <c r="O113" s="28">
        <v>42892</v>
      </c>
      <c r="P113" s="27"/>
      <c r="Q113" s="28">
        <v>42936</v>
      </c>
      <c r="R113" s="27"/>
      <c r="S113" s="27"/>
      <c r="T113" s="27"/>
      <c r="U113" s="27"/>
      <c r="V113" s="27"/>
      <c r="W113" s="27"/>
      <c r="X113" s="27">
        <v>30.6</v>
      </c>
      <c r="Y113" s="27">
        <v>9.5299999999999994</v>
      </c>
      <c r="Z113" s="27"/>
      <c r="AA113" s="27">
        <v>0.81</v>
      </c>
      <c r="AB113" s="27"/>
      <c r="AC113" s="27"/>
      <c r="AD113" s="27">
        <v>20.77</v>
      </c>
      <c r="AE113" s="37">
        <f>AllPlans[[#This Row],[Prep days*]]+AllPlans[[#This Row],[Hearing days*]]+AllPlans[[#This Row],[SV days*]]+AllPlans[[#This Row],[Travel days]]+AllPlans[[#This Row],[Reptg days*]]</f>
        <v>61.710000000000008</v>
      </c>
      <c r="AF113" s="27"/>
      <c r="AG113" s="28">
        <v>43112</v>
      </c>
      <c r="AH113" s="27"/>
      <c r="AI113" s="28">
        <v>43102</v>
      </c>
      <c r="AJ113" s="27"/>
      <c r="AK113" s="28">
        <v>43109</v>
      </c>
      <c r="AL113" s="27"/>
      <c r="AM113" s="28">
        <v>43110</v>
      </c>
      <c r="AN113" s="27"/>
      <c r="AO113" s="28">
        <v>43124</v>
      </c>
      <c r="AP113" s="27"/>
      <c r="AQ113" s="28">
        <v>43174</v>
      </c>
      <c r="AR113" s="27"/>
      <c r="AS113" s="28"/>
      <c r="AT113" s="27"/>
      <c r="AU113" s="27" t="s">
        <v>59</v>
      </c>
      <c r="AV113" s="40">
        <v>46.714285714285715</v>
      </c>
      <c r="AW113" s="39">
        <f t="shared" si="7"/>
        <v>26.857142857142858</v>
      </c>
      <c r="AX113" s="27"/>
      <c r="AY113" s="40" t="s">
        <v>338</v>
      </c>
      <c r="AZ113" s="41" t="str">
        <f t="shared" si="5"/>
        <v>Mar 17</v>
      </c>
      <c r="BA113" s="41" t="str">
        <f t="shared" si="6"/>
        <v>Jan 18</v>
      </c>
    </row>
    <row r="114" spans="1:53" ht="14" x14ac:dyDescent="0.15">
      <c r="A114" s="35" t="s">
        <v>53</v>
      </c>
      <c r="B114" s="35">
        <v>1263</v>
      </c>
      <c r="C114" s="27" t="s">
        <v>71</v>
      </c>
      <c r="D114" s="27" t="s">
        <v>339</v>
      </c>
      <c r="E114" s="27" t="s">
        <v>340</v>
      </c>
      <c r="F114" s="27" t="s">
        <v>74</v>
      </c>
      <c r="G114" s="27">
        <v>2</v>
      </c>
      <c r="H114" s="28">
        <v>42677</v>
      </c>
      <c r="I114" s="27"/>
      <c r="J114" s="28">
        <v>42804</v>
      </c>
      <c r="K114" s="27"/>
      <c r="L114" s="27"/>
      <c r="M114" s="28">
        <v>42808</v>
      </c>
      <c r="N114" s="28"/>
      <c r="O114" s="28">
        <v>42878</v>
      </c>
      <c r="P114" s="27"/>
      <c r="Q114" s="28">
        <v>42880</v>
      </c>
      <c r="R114" s="27"/>
      <c r="S114" s="27"/>
      <c r="T114" s="27"/>
      <c r="U114" s="27"/>
      <c r="V114" s="27"/>
      <c r="W114" s="27"/>
      <c r="X114" s="27">
        <v>17.3</v>
      </c>
      <c r="Y114" s="27">
        <v>2.97</v>
      </c>
      <c r="Z114" s="27"/>
      <c r="AA114" s="27">
        <v>1.1499999999999999</v>
      </c>
      <c r="AB114" s="27">
        <v>2.1</v>
      </c>
      <c r="AC114" s="27"/>
      <c r="AD114" s="27">
        <v>21.94</v>
      </c>
      <c r="AE114" s="37">
        <f>AllPlans[[#This Row],[Prep days*]]+AllPlans[[#This Row],[Hearing days*]]+AllPlans[[#This Row],[SV days*]]+AllPlans[[#This Row],[Travel days]]+AllPlans[[#This Row],[Reptg days*]]</f>
        <v>45.46</v>
      </c>
      <c r="AF114" s="27"/>
      <c r="AG114" s="28">
        <v>43070</v>
      </c>
      <c r="AH114" s="27"/>
      <c r="AI114" s="28">
        <v>43052</v>
      </c>
      <c r="AJ114" s="27"/>
      <c r="AK114" s="28">
        <v>43063</v>
      </c>
      <c r="AL114" s="27"/>
      <c r="AM114" s="28">
        <v>43067</v>
      </c>
      <c r="AN114" s="27"/>
      <c r="AO114" s="28">
        <v>43081</v>
      </c>
      <c r="AP114" s="27"/>
      <c r="AQ114" s="28">
        <v>43153</v>
      </c>
      <c r="AR114" s="27"/>
      <c r="AS114" s="28"/>
      <c r="AT114" s="27"/>
      <c r="AU114" s="27" t="s">
        <v>59</v>
      </c>
      <c r="AV114" s="40">
        <v>39.571428571428569</v>
      </c>
      <c r="AW114" s="39">
        <f t="shared" si="7"/>
        <v>28.714285714285715</v>
      </c>
      <c r="AX114" s="27"/>
      <c r="AY114" s="40" t="s">
        <v>341</v>
      </c>
      <c r="AZ114" s="41" t="str">
        <f t="shared" si="5"/>
        <v>Mar 17</v>
      </c>
      <c r="BA114" s="41" t="str">
        <f t="shared" si="6"/>
        <v>Dec 17</v>
      </c>
    </row>
    <row r="115" spans="1:53" ht="14" x14ac:dyDescent="0.15">
      <c r="A115" s="35" t="s">
        <v>53</v>
      </c>
      <c r="B115" s="35">
        <v>1807</v>
      </c>
      <c r="C115" s="27" t="s">
        <v>270</v>
      </c>
      <c r="D115" s="27" t="s">
        <v>342</v>
      </c>
      <c r="E115" s="27" t="s">
        <v>56</v>
      </c>
      <c r="F115" s="27" t="s">
        <v>57</v>
      </c>
      <c r="G115" s="27">
        <v>3</v>
      </c>
      <c r="H115" s="28">
        <v>42713</v>
      </c>
      <c r="I115" s="27"/>
      <c r="J115" s="28">
        <v>42817</v>
      </c>
      <c r="K115" s="27"/>
      <c r="L115" s="27"/>
      <c r="M115" s="28">
        <v>42818</v>
      </c>
      <c r="N115" s="28"/>
      <c r="O115" s="28">
        <v>43004</v>
      </c>
      <c r="P115" s="27"/>
      <c r="Q115" s="28">
        <v>43020</v>
      </c>
      <c r="R115" s="27"/>
      <c r="S115" s="27"/>
      <c r="T115" s="27"/>
      <c r="U115" s="27"/>
      <c r="V115" s="27"/>
      <c r="W115" s="27"/>
      <c r="X115" s="27">
        <v>23.01</v>
      </c>
      <c r="Y115" s="27">
        <v>10.8</v>
      </c>
      <c r="Z115" s="27"/>
      <c r="AA115" s="27">
        <v>1.59</v>
      </c>
      <c r="AB115" s="27">
        <v>3.86</v>
      </c>
      <c r="AC115" s="27"/>
      <c r="AD115" s="27">
        <v>23.55</v>
      </c>
      <c r="AE115" s="37">
        <v>62.93</v>
      </c>
      <c r="AF115" s="27"/>
      <c r="AG115" s="28">
        <v>43188</v>
      </c>
      <c r="AH115" s="27"/>
      <c r="AI115" s="28">
        <v>43168</v>
      </c>
      <c r="AJ115" s="27"/>
      <c r="AK115" s="28">
        <v>43185</v>
      </c>
      <c r="AL115" s="27"/>
      <c r="AM115" s="28">
        <v>43186</v>
      </c>
      <c r="AN115" s="27"/>
      <c r="AO115" s="28">
        <v>43203</v>
      </c>
      <c r="AP115" s="27"/>
      <c r="AQ115" s="28">
        <v>43242</v>
      </c>
      <c r="AR115" s="27"/>
      <c r="AS115" s="28"/>
      <c r="AT115" s="27"/>
      <c r="AU115" s="27" t="s">
        <v>59</v>
      </c>
      <c r="AV115" s="40">
        <v>55.142857142857146</v>
      </c>
      <c r="AW115" s="39">
        <f t="shared" si="7"/>
        <v>26.142857142857142</v>
      </c>
      <c r="AX115" s="27"/>
      <c r="AY115" s="40" t="s">
        <v>343</v>
      </c>
      <c r="AZ115" s="41" t="str">
        <f t="shared" si="5"/>
        <v>Mar 17</v>
      </c>
      <c r="BA115" s="41" t="str">
        <f t="shared" si="6"/>
        <v>Apr 18</v>
      </c>
    </row>
    <row r="116" spans="1:53" ht="14" x14ac:dyDescent="0.15">
      <c r="A116" s="35" t="s">
        <v>53</v>
      </c>
      <c r="B116" s="35">
        <v>1340</v>
      </c>
      <c r="C116" s="27" t="s">
        <v>71</v>
      </c>
      <c r="D116" s="27" t="s">
        <v>344</v>
      </c>
      <c r="E116" s="27" t="s">
        <v>345</v>
      </c>
      <c r="F116" s="27" t="s">
        <v>162</v>
      </c>
      <c r="G116" s="27">
        <v>3</v>
      </c>
      <c r="H116" s="28">
        <v>42745</v>
      </c>
      <c r="I116" s="27"/>
      <c r="J116" s="28">
        <v>42817</v>
      </c>
      <c r="K116" s="27"/>
      <c r="L116" s="27"/>
      <c r="M116" s="28">
        <v>42818</v>
      </c>
      <c r="N116" s="28"/>
      <c r="O116" s="28">
        <v>43003</v>
      </c>
      <c r="P116" s="27"/>
      <c r="Q116" s="28">
        <v>43277</v>
      </c>
      <c r="R116" s="27"/>
      <c r="S116" s="27"/>
      <c r="T116" s="27"/>
      <c r="U116" s="27"/>
      <c r="V116" s="27"/>
      <c r="W116" s="27"/>
      <c r="X116" s="27">
        <v>47.94</v>
      </c>
      <c r="Y116" s="27">
        <v>5.27</v>
      </c>
      <c r="Z116" s="27"/>
      <c r="AA116" s="27">
        <v>0</v>
      </c>
      <c r="AB116" s="27">
        <v>1.54</v>
      </c>
      <c r="AC116" s="27"/>
      <c r="AD116" s="27">
        <v>43.1</v>
      </c>
      <c r="AE116" s="37">
        <v>115</v>
      </c>
      <c r="AF116" s="27"/>
      <c r="AG116" s="28">
        <v>43671</v>
      </c>
      <c r="AH116" s="27"/>
      <c r="AI116" s="28">
        <v>43441</v>
      </c>
      <c r="AJ116" s="27"/>
      <c r="AK116" s="28">
        <v>43670</v>
      </c>
      <c r="AL116" s="27"/>
      <c r="AM116" s="28">
        <v>43670</v>
      </c>
      <c r="AN116" s="27"/>
      <c r="AO116" s="28">
        <v>43690</v>
      </c>
      <c r="AP116" s="27"/>
      <c r="AQ116" s="28">
        <v>43727</v>
      </c>
      <c r="AR116" s="27"/>
      <c r="AS116" s="28"/>
      <c r="AT116" s="27"/>
      <c r="AU116" s="27" t="s">
        <v>59</v>
      </c>
      <c r="AV116" s="40">
        <v>124.71428571428571</v>
      </c>
      <c r="AW116" s="39">
        <f t="shared" si="7"/>
        <v>59</v>
      </c>
      <c r="AX116" s="27"/>
      <c r="AY116" s="40" t="s">
        <v>346</v>
      </c>
      <c r="AZ116" s="41" t="str">
        <f t="shared" si="5"/>
        <v>Mar 17</v>
      </c>
      <c r="BA116" s="41" t="str">
        <f t="shared" si="6"/>
        <v>Aug 19</v>
      </c>
    </row>
    <row r="117" spans="1:53" ht="14" x14ac:dyDescent="0.15">
      <c r="A117" s="35" t="s">
        <v>53</v>
      </c>
      <c r="B117" s="35">
        <v>645</v>
      </c>
      <c r="C117" s="27" t="s">
        <v>71</v>
      </c>
      <c r="D117" s="27" t="s">
        <v>344</v>
      </c>
      <c r="E117" s="27" t="s">
        <v>118</v>
      </c>
      <c r="F117" s="27" t="s">
        <v>107</v>
      </c>
      <c r="G117" s="27">
        <v>2</v>
      </c>
      <c r="H117" s="28">
        <v>42745</v>
      </c>
      <c r="I117" s="27"/>
      <c r="J117" s="28">
        <v>42817</v>
      </c>
      <c r="K117" s="27"/>
      <c r="L117" s="27"/>
      <c r="M117" s="28">
        <v>42818</v>
      </c>
      <c r="N117" s="28"/>
      <c r="O117" s="28">
        <v>43025</v>
      </c>
      <c r="P117" s="27"/>
      <c r="Q117" s="28">
        <v>43278</v>
      </c>
      <c r="R117" s="27"/>
      <c r="S117" s="27"/>
      <c r="T117" s="27"/>
      <c r="U117" s="27"/>
      <c r="V117" s="27"/>
      <c r="W117" s="27"/>
      <c r="X117" s="27">
        <v>21.75</v>
      </c>
      <c r="Y117" s="27">
        <v>4.66</v>
      </c>
      <c r="Z117" s="27"/>
      <c r="AA117" s="27">
        <v>1.96</v>
      </c>
      <c r="AB117" s="27">
        <v>2.9</v>
      </c>
      <c r="AC117" s="27"/>
      <c r="AD117" s="27">
        <v>16.899999999999999</v>
      </c>
      <c r="AE117" s="37">
        <f>AllPlans[[#This Row],[Prep days*]]+AllPlans[[#This Row],[Hearing days*]]+AllPlans[[#This Row],[SV days*]]+AllPlans[[#This Row],[Travel days]]+AllPlans[[#This Row],[Reptg days*]]</f>
        <v>48.17</v>
      </c>
      <c r="AF117" s="27"/>
      <c r="AG117" s="28">
        <v>43676</v>
      </c>
      <c r="AH117" s="27"/>
      <c r="AI117" s="28">
        <v>43503</v>
      </c>
      <c r="AJ117" s="27"/>
      <c r="AK117" s="28">
        <v>43675</v>
      </c>
      <c r="AL117" s="27"/>
      <c r="AM117" s="28">
        <v>43676</v>
      </c>
      <c r="AN117" s="27"/>
      <c r="AO117" s="28">
        <v>43690</v>
      </c>
      <c r="AP117" s="27"/>
      <c r="AQ117" s="28">
        <v>43727</v>
      </c>
      <c r="AR117" s="27"/>
      <c r="AS117" s="28"/>
      <c r="AT117" s="27"/>
      <c r="AU117" s="27" t="s">
        <v>59</v>
      </c>
      <c r="AV117" s="40">
        <v>124.71428571428571</v>
      </c>
      <c r="AW117" s="39">
        <f t="shared" si="7"/>
        <v>58.857142857142854</v>
      </c>
      <c r="AX117" s="27"/>
      <c r="AY117" s="40" t="s">
        <v>346</v>
      </c>
      <c r="AZ117" s="41" t="str">
        <f t="shared" si="5"/>
        <v>Mar 17</v>
      </c>
      <c r="BA117" s="41" t="str">
        <f t="shared" si="6"/>
        <v>Aug 19</v>
      </c>
    </row>
    <row r="118" spans="1:53" ht="14" x14ac:dyDescent="0.15">
      <c r="A118" s="35" t="s">
        <v>53</v>
      </c>
      <c r="B118" s="35">
        <v>1814</v>
      </c>
      <c r="C118" s="27" t="s">
        <v>90</v>
      </c>
      <c r="D118" s="27" t="s">
        <v>347</v>
      </c>
      <c r="E118" s="27" t="s">
        <v>348</v>
      </c>
      <c r="F118" s="27" t="s">
        <v>74</v>
      </c>
      <c r="G118" s="27">
        <v>2</v>
      </c>
      <c r="H118" s="28">
        <v>42712</v>
      </c>
      <c r="I118" s="27"/>
      <c r="J118" s="28">
        <v>42824</v>
      </c>
      <c r="K118" s="27"/>
      <c r="L118" s="27"/>
      <c r="M118" s="28">
        <v>42824</v>
      </c>
      <c r="N118" s="28"/>
      <c r="O118" s="28">
        <v>42920</v>
      </c>
      <c r="P118" s="27"/>
      <c r="Q118" s="28">
        <v>42922</v>
      </c>
      <c r="R118" s="27"/>
      <c r="S118" s="27"/>
      <c r="T118" s="27"/>
      <c r="U118" s="27"/>
      <c r="V118" s="27"/>
      <c r="W118" s="27"/>
      <c r="X118" s="27">
        <v>11.35</v>
      </c>
      <c r="Y118" s="27">
        <v>2.84</v>
      </c>
      <c r="Z118" s="27"/>
      <c r="AA118" s="27">
        <v>1.79</v>
      </c>
      <c r="AB118" s="27">
        <v>1.36</v>
      </c>
      <c r="AC118" s="27"/>
      <c r="AD118" s="27">
        <v>13.81</v>
      </c>
      <c r="AE118" s="37">
        <f>AllPlans[[#This Row],[Prep days*]]+AllPlans[[#This Row],[Hearing days*]]+AllPlans[[#This Row],[SV days*]]+AllPlans[[#This Row],[Travel days]]+AllPlans[[#This Row],[Reptg days*]]</f>
        <v>31.15</v>
      </c>
      <c r="AF118" s="27"/>
      <c r="AG118" s="28">
        <v>43091</v>
      </c>
      <c r="AH118" s="27"/>
      <c r="AI118" s="28">
        <v>43074</v>
      </c>
      <c r="AJ118" s="27"/>
      <c r="AK118" s="28">
        <v>43083</v>
      </c>
      <c r="AL118" s="27"/>
      <c r="AM118" s="28">
        <v>43083</v>
      </c>
      <c r="AN118" s="27"/>
      <c r="AO118" s="28">
        <v>43087</v>
      </c>
      <c r="AP118" s="27"/>
      <c r="AQ118" s="28">
        <v>43138</v>
      </c>
      <c r="AR118" s="27"/>
      <c r="AS118" s="28"/>
      <c r="AT118" s="27"/>
      <c r="AU118" s="27" t="s">
        <v>59</v>
      </c>
      <c r="AV118" s="40">
        <v>37.571428571428569</v>
      </c>
      <c r="AW118" s="39">
        <f t="shared" si="7"/>
        <v>23.571428571428573</v>
      </c>
      <c r="AX118" s="27"/>
      <c r="AY118" s="40" t="s">
        <v>349</v>
      </c>
      <c r="AZ118" s="41" t="str">
        <f t="shared" si="5"/>
        <v>Mar 17</v>
      </c>
      <c r="BA118" s="41" t="str">
        <f t="shared" si="6"/>
        <v>Dec 17</v>
      </c>
    </row>
    <row r="119" spans="1:53" ht="14" x14ac:dyDescent="0.15">
      <c r="A119" s="35" t="s">
        <v>53</v>
      </c>
      <c r="B119" s="35">
        <v>1791</v>
      </c>
      <c r="C119" s="27" t="s">
        <v>61</v>
      </c>
      <c r="D119" s="27" t="s">
        <v>217</v>
      </c>
      <c r="E119" s="27" t="s">
        <v>118</v>
      </c>
      <c r="F119" s="27" t="s">
        <v>107</v>
      </c>
      <c r="G119" s="27">
        <v>2</v>
      </c>
      <c r="H119" s="28">
        <v>42669</v>
      </c>
      <c r="I119" s="27"/>
      <c r="J119" s="28">
        <v>42825</v>
      </c>
      <c r="K119" s="27"/>
      <c r="L119" s="27"/>
      <c r="M119" s="28">
        <v>42825</v>
      </c>
      <c r="N119" s="28"/>
      <c r="O119" s="28">
        <v>42990</v>
      </c>
      <c r="P119" s="27"/>
      <c r="Q119" s="28">
        <v>42991</v>
      </c>
      <c r="R119" s="27"/>
      <c r="S119" s="27"/>
      <c r="T119" s="27"/>
      <c r="U119" s="27"/>
      <c r="V119" s="27"/>
      <c r="W119" s="27"/>
      <c r="X119" s="27">
        <v>38.53</v>
      </c>
      <c r="Y119" s="27">
        <v>9.61</v>
      </c>
      <c r="Z119" s="27"/>
      <c r="AA119" s="27">
        <v>1.9</v>
      </c>
      <c r="AB119" s="27">
        <v>2.65</v>
      </c>
      <c r="AC119" s="27"/>
      <c r="AD119" s="27">
        <v>24.28</v>
      </c>
      <c r="AE119" s="37">
        <f>AllPlans[[#This Row],[Prep days*]]+AllPlans[[#This Row],[Hearing days*]]+AllPlans[[#This Row],[SV days*]]+AllPlans[[#This Row],[Travel days]]+AllPlans[[#This Row],[Reptg days*]]</f>
        <v>76.97</v>
      </c>
      <c r="AF119" s="27"/>
      <c r="AG119" s="28">
        <v>43266</v>
      </c>
      <c r="AH119" s="27"/>
      <c r="AI119" s="28">
        <v>43237</v>
      </c>
      <c r="AJ119" s="27"/>
      <c r="AK119" s="28">
        <v>43257</v>
      </c>
      <c r="AL119" s="27"/>
      <c r="AM119" s="28">
        <v>43257</v>
      </c>
      <c r="AN119" s="27"/>
      <c r="AO119" s="28">
        <v>43263</v>
      </c>
      <c r="AP119" s="27"/>
      <c r="AQ119" s="28">
        <v>43299</v>
      </c>
      <c r="AR119" s="27"/>
      <c r="AS119" s="28"/>
      <c r="AT119" s="27"/>
      <c r="AU119" s="27" t="s">
        <v>59</v>
      </c>
      <c r="AV119" s="40">
        <v>66.571428571428569</v>
      </c>
      <c r="AW119" s="39">
        <f t="shared" si="7"/>
        <v>38.857142857142854</v>
      </c>
      <c r="AX119" s="27"/>
      <c r="AY119" s="40" t="s">
        <v>218</v>
      </c>
      <c r="AZ119" s="41" t="str">
        <f t="shared" si="5"/>
        <v>Mar 17</v>
      </c>
      <c r="BA119" s="41" t="str">
        <f t="shared" si="6"/>
        <v>Jun 18</v>
      </c>
    </row>
    <row r="120" spans="1:53" ht="14" x14ac:dyDescent="0.15">
      <c r="A120" s="35" t="s">
        <v>53</v>
      </c>
      <c r="B120" s="35">
        <v>1794</v>
      </c>
      <c r="C120" s="27" t="s">
        <v>71</v>
      </c>
      <c r="D120" s="27" t="s">
        <v>350</v>
      </c>
      <c r="E120" s="27" t="s">
        <v>351</v>
      </c>
      <c r="F120" s="27" t="s">
        <v>57</v>
      </c>
      <c r="G120" s="27">
        <v>3</v>
      </c>
      <c r="H120" s="28">
        <v>42677</v>
      </c>
      <c r="I120" s="27"/>
      <c r="J120" s="28">
        <v>42825</v>
      </c>
      <c r="K120" s="27"/>
      <c r="L120" s="27"/>
      <c r="M120" s="28">
        <v>42825</v>
      </c>
      <c r="N120" s="28"/>
      <c r="O120" s="28">
        <v>43011</v>
      </c>
      <c r="P120" s="27"/>
      <c r="Q120" s="28">
        <v>43130</v>
      </c>
      <c r="R120" s="27"/>
      <c r="S120" s="27"/>
      <c r="T120" s="27"/>
      <c r="U120" s="27"/>
      <c r="V120" s="27"/>
      <c r="W120" s="27"/>
      <c r="X120" s="27">
        <v>20.2</v>
      </c>
      <c r="Y120" s="27">
        <v>7.29</v>
      </c>
      <c r="Z120" s="27"/>
      <c r="AA120" s="27"/>
      <c r="AB120" s="27">
        <v>0.95</v>
      </c>
      <c r="AC120" s="27"/>
      <c r="AD120" s="27">
        <v>14.55</v>
      </c>
      <c r="AE120" s="37">
        <v>76.91</v>
      </c>
      <c r="AF120" s="27"/>
      <c r="AG120" s="28">
        <v>43290</v>
      </c>
      <c r="AH120" s="27"/>
      <c r="AI120" s="28">
        <v>43269</v>
      </c>
      <c r="AJ120" s="27"/>
      <c r="AK120" s="28">
        <v>43276</v>
      </c>
      <c r="AL120" s="27"/>
      <c r="AM120" s="28">
        <v>43276</v>
      </c>
      <c r="AN120" s="27"/>
      <c r="AO120" s="28">
        <v>43291</v>
      </c>
      <c r="AP120" s="27"/>
      <c r="AQ120" s="28">
        <v>43396</v>
      </c>
      <c r="AR120" s="27"/>
      <c r="AS120" s="28"/>
      <c r="AT120" s="27"/>
      <c r="AU120" s="27" t="s">
        <v>59</v>
      </c>
      <c r="AV120" s="40">
        <v>82</v>
      </c>
      <c r="AW120" s="39">
        <f t="shared" si="7"/>
        <v>23</v>
      </c>
      <c r="AX120" s="27"/>
      <c r="AY120" s="40" t="s">
        <v>352</v>
      </c>
      <c r="AZ120" s="41" t="str">
        <f t="shared" si="5"/>
        <v>Mar 17</v>
      </c>
      <c r="BA120" s="41" t="str">
        <f t="shared" si="6"/>
        <v>Jul 18</v>
      </c>
    </row>
    <row r="121" spans="1:53" ht="14" x14ac:dyDescent="0.15">
      <c r="A121" s="35" t="s">
        <v>53</v>
      </c>
      <c r="B121" s="35">
        <v>1802</v>
      </c>
      <c r="C121" s="27" t="s">
        <v>61</v>
      </c>
      <c r="D121" s="27" t="s">
        <v>353</v>
      </c>
      <c r="E121" s="27" t="s">
        <v>118</v>
      </c>
      <c r="F121" s="27" t="s">
        <v>107</v>
      </c>
      <c r="G121" s="27">
        <v>2</v>
      </c>
      <c r="H121" s="28">
        <v>42705</v>
      </c>
      <c r="I121" s="27"/>
      <c r="J121" s="28">
        <v>42825</v>
      </c>
      <c r="K121" s="27"/>
      <c r="L121" s="27"/>
      <c r="M121" s="28">
        <v>42825</v>
      </c>
      <c r="N121" s="28"/>
      <c r="O121" s="28">
        <v>42990</v>
      </c>
      <c r="P121" s="27"/>
      <c r="Q121" s="28">
        <v>42999</v>
      </c>
      <c r="R121" s="27"/>
      <c r="S121" s="27"/>
      <c r="T121" s="27"/>
      <c r="U121" s="27"/>
      <c r="V121" s="27"/>
      <c r="W121" s="27"/>
      <c r="X121" s="29">
        <v>44.15</v>
      </c>
      <c r="Y121" s="29">
        <v>4.7</v>
      </c>
      <c r="Z121" s="29"/>
      <c r="AA121" s="29">
        <v>0</v>
      </c>
      <c r="AB121" s="29">
        <v>0.95</v>
      </c>
      <c r="AC121" s="29"/>
      <c r="AD121" s="29">
        <v>50.02</v>
      </c>
      <c r="AE121" s="37">
        <f>AllPlans[[#This Row],[Prep days*]]+AllPlans[[#This Row],[Hearing days*]]+AllPlans[[#This Row],[SV days*]]+AllPlans[[#This Row],[Travel days]]+AllPlans[[#This Row],[Reptg days*]]</f>
        <v>99.820000000000007</v>
      </c>
      <c r="AF121" s="27"/>
      <c r="AG121" s="28">
        <v>43392</v>
      </c>
      <c r="AH121" s="27"/>
      <c r="AI121" s="28">
        <v>43340</v>
      </c>
      <c r="AJ121" s="27"/>
      <c r="AK121" s="28">
        <v>43385</v>
      </c>
      <c r="AL121" s="27"/>
      <c r="AM121" s="28">
        <v>43385</v>
      </c>
      <c r="AN121" s="27"/>
      <c r="AO121" s="28">
        <v>43399</v>
      </c>
      <c r="AP121" s="27"/>
      <c r="AQ121" s="28">
        <v>43487</v>
      </c>
      <c r="AR121" s="27"/>
      <c r="AS121" s="28"/>
      <c r="AT121" s="27"/>
      <c r="AU121" s="27" t="s">
        <v>59</v>
      </c>
      <c r="AV121" s="38">
        <f>SUM(AO121-J121)/7</f>
        <v>82</v>
      </c>
      <c r="AW121" s="39">
        <f t="shared" si="7"/>
        <v>57.142857142857146</v>
      </c>
      <c r="AX121" s="27"/>
      <c r="AY121" s="40" t="s">
        <v>354</v>
      </c>
      <c r="AZ121" s="41" t="str">
        <f t="shared" si="5"/>
        <v>Mar 17</v>
      </c>
      <c r="BA121" s="41" t="str">
        <f t="shared" si="6"/>
        <v>Oct 18</v>
      </c>
    </row>
    <row r="122" spans="1:53" ht="14" x14ac:dyDescent="0.15">
      <c r="A122" s="35" t="s">
        <v>53</v>
      </c>
      <c r="B122" s="46">
        <v>1648</v>
      </c>
      <c r="C122" s="27" t="s">
        <v>67</v>
      </c>
      <c r="D122" s="29" t="s">
        <v>355</v>
      </c>
      <c r="E122" s="29" t="s">
        <v>92</v>
      </c>
      <c r="F122" s="29" t="s">
        <v>57</v>
      </c>
      <c r="G122" s="29">
        <v>3</v>
      </c>
      <c r="H122" s="30">
        <v>42044</v>
      </c>
      <c r="I122" s="29"/>
      <c r="J122" s="30">
        <v>42825</v>
      </c>
      <c r="K122" s="29"/>
      <c r="L122" s="29"/>
      <c r="M122" s="30">
        <v>42825</v>
      </c>
      <c r="N122" s="30"/>
      <c r="O122" s="30">
        <v>43363</v>
      </c>
      <c r="P122" s="29"/>
      <c r="Q122" s="30">
        <v>43516</v>
      </c>
      <c r="R122" s="29"/>
      <c r="S122" s="29"/>
      <c r="T122" s="29"/>
      <c r="U122" s="29"/>
      <c r="V122" s="29"/>
      <c r="W122" s="29"/>
      <c r="X122" s="27">
        <v>15.28</v>
      </c>
      <c r="Y122" s="27">
        <v>2</v>
      </c>
      <c r="Z122" s="27"/>
      <c r="AA122" s="27"/>
      <c r="AB122" s="27">
        <v>1</v>
      </c>
      <c r="AC122" s="27"/>
      <c r="AD122" s="27">
        <v>5.97</v>
      </c>
      <c r="AE122" s="37">
        <v>100.78</v>
      </c>
      <c r="AF122" s="29"/>
      <c r="AG122" s="30">
        <v>44007</v>
      </c>
      <c r="AH122" s="29"/>
      <c r="AI122" s="30">
        <v>43987</v>
      </c>
      <c r="AJ122" s="29"/>
      <c r="AK122" s="30">
        <v>44005</v>
      </c>
      <c r="AL122" s="29"/>
      <c r="AM122" s="30">
        <v>44006</v>
      </c>
      <c r="AN122" s="29"/>
      <c r="AO122" s="30">
        <v>44008</v>
      </c>
      <c r="AP122" s="29"/>
      <c r="AQ122" s="30">
        <v>44041</v>
      </c>
      <c r="AR122" s="29"/>
      <c r="AS122" s="30"/>
      <c r="AT122" s="29"/>
      <c r="AU122" s="29" t="s">
        <v>59</v>
      </c>
      <c r="AV122" s="38">
        <v>62.571428571428569</v>
      </c>
      <c r="AW122" s="49">
        <f t="shared" si="7"/>
        <v>70.285714285714292</v>
      </c>
      <c r="AX122" s="29"/>
      <c r="AY122" s="40" t="s">
        <v>356</v>
      </c>
      <c r="AZ122" s="41" t="str">
        <f t="shared" si="5"/>
        <v>Mar 17</v>
      </c>
      <c r="BA122" s="41" t="str">
        <f t="shared" si="6"/>
        <v>Jun 20</v>
      </c>
    </row>
    <row r="123" spans="1:53" ht="14" x14ac:dyDescent="0.15">
      <c r="A123" s="35" t="s">
        <v>53</v>
      </c>
      <c r="B123" s="35">
        <v>1026</v>
      </c>
      <c r="C123" s="27" t="s">
        <v>104</v>
      </c>
      <c r="D123" s="27" t="s">
        <v>114</v>
      </c>
      <c r="E123" s="27" t="s">
        <v>357</v>
      </c>
      <c r="F123" s="27" t="s">
        <v>80</v>
      </c>
      <c r="G123" s="27">
        <v>2</v>
      </c>
      <c r="H123" s="28">
        <v>42681</v>
      </c>
      <c r="I123" s="27"/>
      <c r="J123" s="28">
        <v>42828</v>
      </c>
      <c r="K123" s="27"/>
      <c r="L123" s="27"/>
      <c r="M123" s="28">
        <v>42829</v>
      </c>
      <c r="N123" s="28"/>
      <c r="O123" s="28">
        <v>42941</v>
      </c>
      <c r="P123" s="27"/>
      <c r="Q123" s="28">
        <v>42943</v>
      </c>
      <c r="R123" s="27"/>
      <c r="S123" s="27"/>
      <c r="T123" s="27"/>
      <c r="U123" s="27"/>
      <c r="V123" s="27"/>
      <c r="W123" s="27"/>
      <c r="X123" s="27">
        <v>21.38</v>
      </c>
      <c r="Y123" s="27">
        <v>2.4900000000000002</v>
      </c>
      <c r="Z123" s="27"/>
      <c r="AA123" s="27">
        <v>0.61</v>
      </c>
      <c r="AB123" s="27">
        <v>2.09</v>
      </c>
      <c r="AC123" s="27"/>
      <c r="AD123" s="27">
        <v>11.85</v>
      </c>
      <c r="AE123" s="37">
        <f>AllPlans[[#This Row],[Prep days*]]+AllPlans[[#This Row],[Hearing days*]]+AllPlans[[#This Row],[SV days*]]+AllPlans[[#This Row],[Travel days]]+AllPlans[[#This Row],[Reptg days*]]</f>
        <v>38.419999999999995</v>
      </c>
      <c r="AF123" s="27"/>
      <c r="AG123" s="28">
        <v>42998</v>
      </c>
      <c r="AH123" s="27"/>
      <c r="AI123" s="28">
        <v>42970</v>
      </c>
      <c r="AJ123" s="27"/>
      <c r="AK123" s="28">
        <v>42983</v>
      </c>
      <c r="AL123" s="27"/>
      <c r="AM123" s="28">
        <v>42984</v>
      </c>
      <c r="AN123" s="27"/>
      <c r="AO123" s="28">
        <v>42997</v>
      </c>
      <c r="AP123" s="27"/>
      <c r="AQ123" s="28">
        <v>43084</v>
      </c>
      <c r="AR123" s="27"/>
      <c r="AS123" s="28"/>
      <c r="AT123" s="27"/>
      <c r="AU123" s="27" t="s">
        <v>59</v>
      </c>
      <c r="AV123" s="40">
        <v>24.142857142857142</v>
      </c>
      <c r="AW123" s="39">
        <f t="shared" si="7"/>
        <v>7.7142857142857144</v>
      </c>
      <c r="AX123" s="27"/>
      <c r="AY123" s="40" t="s">
        <v>116</v>
      </c>
      <c r="AZ123" s="41" t="str">
        <f t="shared" si="5"/>
        <v>Apr 17</v>
      </c>
      <c r="BA123" s="41" t="str">
        <f t="shared" si="6"/>
        <v>Sep 17</v>
      </c>
    </row>
    <row r="124" spans="1:53" ht="14" x14ac:dyDescent="0.15">
      <c r="A124" s="35" t="s">
        <v>53</v>
      </c>
      <c r="B124" s="35">
        <v>1092</v>
      </c>
      <c r="C124" s="27" t="s">
        <v>270</v>
      </c>
      <c r="D124" s="27" t="s">
        <v>358</v>
      </c>
      <c r="E124" s="27" t="s">
        <v>56</v>
      </c>
      <c r="F124" s="27" t="s">
        <v>57</v>
      </c>
      <c r="G124" s="27">
        <v>3</v>
      </c>
      <c r="H124" s="28">
        <v>42291</v>
      </c>
      <c r="I124" s="27"/>
      <c r="J124" s="28">
        <v>42832</v>
      </c>
      <c r="K124" s="27"/>
      <c r="L124" s="27"/>
      <c r="M124" s="28">
        <v>42832</v>
      </c>
      <c r="N124" s="28"/>
      <c r="O124" s="28"/>
      <c r="P124" s="27" t="s">
        <v>246</v>
      </c>
      <c r="Q124" s="28"/>
      <c r="R124" s="27"/>
      <c r="S124" s="27"/>
      <c r="T124" s="27"/>
      <c r="U124" s="27"/>
      <c r="V124" s="27"/>
      <c r="W124" s="27"/>
      <c r="X124" s="27">
        <v>0</v>
      </c>
      <c r="Y124" s="27">
        <v>0</v>
      </c>
      <c r="Z124" s="27"/>
      <c r="AA124" s="27">
        <v>0</v>
      </c>
      <c r="AB124" s="27">
        <v>0</v>
      </c>
      <c r="AC124" s="27"/>
      <c r="AD124" s="27">
        <v>0</v>
      </c>
      <c r="AE124" s="37">
        <v>10.55</v>
      </c>
      <c r="AF124" s="27"/>
      <c r="AG124" s="28"/>
      <c r="AH124" s="27"/>
      <c r="AI124" s="28"/>
      <c r="AJ124" s="27"/>
      <c r="AK124" s="28"/>
      <c r="AL124" s="27"/>
      <c r="AM124" s="28"/>
      <c r="AN124" s="27"/>
      <c r="AO124" s="28"/>
      <c r="AP124" s="27"/>
      <c r="AQ124" s="28"/>
      <c r="AR124" s="27"/>
      <c r="AS124" s="28">
        <v>42923</v>
      </c>
      <c r="AT124" s="27"/>
      <c r="AU124" s="27" t="s">
        <v>278</v>
      </c>
      <c r="AV124" s="38" t="e">
        <f>DATEDIF(J124,AO124, "d")/7</f>
        <v>#NUM!</v>
      </c>
      <c r="AW124" s="39">
        <f t="shared" si="7"/>
        <v>0</v>
      </c>
      <c r="AX124" s="27"/>
      <c r="AY124" s="40" t="s">
        <v>359</v>
      </c>
      <c r="AZ124" s="41" t="str">
        <f t="shared" si="5"/>
        <v>Apr 17</v>
      </c>
      <c r="BA124" s="41" t="str">
        <f t="shared" si="6"/>
        <v>Jan 00</v>
      </c>
    </row>
    <row r="125" spans="1:53" ht="14" x14ac:dyDescent="0.15">
      <c r="A125" s="35" t="s">
        <v>53</v>
      </c>
      <c r="B125" s="35">
        <v>1810</v>
      </c>
      <c r="C125" s="27" t="s">
        <v>90</v>
      </c>
      <c r="D125" s="27" t="s">
        <v>360</v>
      </c>
      <c r="E125" s="27" t="s">
        <v>361</v>
      </c>
      <c r="F125" s="27" t="s">
        <v>57</v>
      </c>
      <c r="G125" s="27">
        <v>3</v>
      </c>
      <c r="H125" s="28">
        <v>42744</v>
      </c>
      <c r="I125" s="27"/>
      <c r="J125" s="28">
        <v>42837</v>
      </c>
      <c r="K125" s="27"/>
      <c r="L125" s="27"/>
      <c r="M125" s="28">
        <v>42831</v>
      </c>
      <c r="N125" s="28"/>
      <c r="O125" s="28">
        <v>42990</v>
      </c>
      <c r="P125" s="27"/>
      <c r="Q125" s="28">
        <v>43006</v>
      </c>
      <c r="R125" s="27"/>
      <c r="S125" s="27"/>
      <c r="T125" s="27"/>
      <c r="U125" s="27"/>
      <c r="V125" s="27"/>
      <c r="W125" s="27"/>
      <c r="X125" s="27">
        <v>17.38</v>
      </c>
      <c r="Y125" s="27">
        <v>4.7300000000000004</v>
      </c>
      <c r="Z125" s="27"/>
      <c r="AA125" s="27"/>
      <c r="AB125" s="27">
        <v>2.6</v>
      </c>
      <c r="AC125" s="27"/>
      <c r="AD125" s="27">
        <v>12.9</v>
      </c>
      <c r="AE125" s="37">
        <f>AllPlans[[#This Row],[Prep days*]]+AllPlans[[#This Row],[Hearing days*]]+AllPlans[[#This Row],[SV days*]]+AllPlans[[#This Row],[Travel days]]+AllPlans[[#This Row],[Reptg days*]]</f>
        <v>37.61</v>
      </c>
      <c r="AF125" s="27"/>
      <c r="AG125" s="28">
        <v>43131</v>
      </c>
      <c r="AH125" s="27"/>
      <c r="AI125" s="28">
        <v>43119</v>
      </c>
      <c r="AJ125" s="27"/>
      <c r="AK125" s="28">
        <v>43126</v>
      </c>
      <c r="AL125" s="27"/>
      <c r="AM125" s="28">
        <v>43126</v>
      </c>
      <c r="AN125" s="27"/>
      <c r="AO125" s="28">
        <v>43130</v>
      </c>
      <c r="AP125" s="27"/>
      <c r="AQ125" s="28">
        <v>43157</v>
      </c>
      <c r="AR125" s="27"/>
      <c r="AS125" s="28"/>
      <c r="AT125" s="27"/>
      <c r="AU125" s="27" t="s">
        <v>59</v>
      </c>
      <c r="AV125" s="40">
        <v>41.857142857142854</v>
      </c>
      <c r="AW125" s="39">
        <f t="shared" si="7"/>
        <v>17.714285714285715</v>
      </c>
      <c r="AX125" s="27"/>
      <c r="AY125" s="40" t="s">
        <v>362</v>
      </c>
      <c r="AZ125" s="41" t="str">
        <f t="shared" si="5"/>
        <v>Apr 17</v>
      </c>
      <c r="BA125" s="41" t="str">
        <f t="shared" si="6"/>
        <v>Jan 18</v>
      </c>
    </row>
    <row r="126" spans="1:53" ht="14" x14ac:dyDescent="0.15">
      <c r="A126" s="35" t="s">
        <v>53</v>
      </c>
      <c r="B126" s="35">
        <v>1372</v>
      </c>
      <c r="C126" s="27" t="s">
        <v>270</v>
      </c>
      <c r="D126" s="27" t="s">
        <v>363</v>
      </c>
      <c r="E126" s="27" t="s">
        <v>56</v>
      </c>
      <c r="F126" s="27" t="s">
        <v>57</v>
      </c>
      <c r="G126" s="27">
        <v>3</v>
      </c>
      <c r="H126" s="28">
        <v>42710</v>
      </c>
      <c r="I126" s="27"/>
      <c r="J126" s="28">
        <v>42843</v>
      </c>
      <c r="K126" s="27"/>
      <c r="L126" s="27"/>
      <c r="M126" s="28">
        <v>42853</v>
      </c>
      <c r="N126" s="28"/>
      <c r="O126" s="28">
        <v>42983</v>
      </c>
      <c r="P126" s="27"/>
      <c r="Q126" s="28">
        <v>43014</v>
      </c>
      <c r="R126" s="27"/>
      <c r="S126" s="27"/>
      <c r="T126" s="27"/>
      <c r="U126" s="27"/>
      <c r="V126" s="27"/>
      <c r="W126" s="27"/>
      <c r="X126" s="27">
        <v>11.95</v>
      </c>
      <c r="Y126" s="27">
        <v>1.95</v>
      </c>
      <c r="Z126" s="27"/>
      <c r="AA126" s="27"/>
      <c r="AB126" s="27">
        <v>1.69</v>
      </c>
      <c r="AC126" s="27"/>
      <c r="AD126" s="27">
        <v>15.33</v>
      </c>
      <c r="AE126" s="37">
        <v>63.5</v>
      </c>
      <c r="AF126" s="27"/>
      <c r="AG126" s="28">
        <v>43175</v>
      </c>
      <c r="AH126" s="27"/>
      <c r="AI126" s="28">
        <v>43159</v>
      </c>
      <c r="AJ126" s="27"/>
      <c r="AK126" s="28">
        <v>43168</v>
      </c>
      <c r="AL126" s="27"/>
      <c r="AM126" s="28">
        <v>43168</v>
      </c>
      <c r="AN126" s="27"/>
      <c r="AO126" s="28">
        <v>43182</v>
      </c>
      <c r="AP126" s="27"/>
      <c r="AQ126" s="28">
        <v>43244</v>
      </c>
      <c r="AR126" s="27"/>
      <c r="AS126" s="28"/>
      <c r="AT126" s="27"/>
      <c r="AU126" s="27" t="s">
        <v>59</v>
      </c>
      <c r="AV126" s="40">
        <v>54.285714285714285</v>
      </c>
      <c r="AW126" s="39">
        <f t="shared" si="7"/>
        <v>24</v>
      </c>
      <c r="AX126" s="27"/>
      <c r="AY126" s="40" t="s">
        <v>364</v>
      </c>
      <c r="AZ126" s="41" t="str">
        <f t="shared" si="5"/>
        <v>Apr 17</v>
      </c>
      <c r="BA126" s="41" t="str">
        <f t="shared" si="6"/>
        <v>Mar 18</v>
      </c>
    </row>
    <row r="127" spans="1:53" ht="14" x14ac:dyDescent="0.15">
      <c r="A127" s="35" t="s">
        <v>53</v>
      </c>
      <c r="B127" s="35">
        <v>1803</v>
      </c>
      <c r="C127" s="27" t="s">
        <v>104</v>
      </c>
      <c r="D127" s="27" t="s">
        <v>365</v>
      </c>
      <c r="E127" s="27" t="s">
        <v>366</v>
      </c>
      <c r="F127" s="27" t="s">
        <v>367</v>
      </c>
      <c r="G127" s="27">
        <v>3</v>
      </c>
      <c r="H127" s="28">
        <v>42704</v>
      </c>
      <c r="I127" s="27"/>
      <c r="J127" s="28">
        <v>42843</v>
      </c>
      <c r="K127" s="27"/>
      <c r="L127" s="27"/>
      <c r="M127" s="28">
        <v>42843</v>
      </c>
      <c r="N127" s="28"/>
      <c r="O127" s="28">
        <v>42928</v>
      </c>
      <c r="P127" s="27"/>
      <c r="Q127" s="28">
        <v>43012</v>
      </c>
      <c r="R127" s="27"/>
      <c r="S127" s="27"/>
      <c r="T127" s="27"/>
      <c r="U127" s="27"/>
      <c r="V127" s="27"/>
      <c r="W127" s="27"/>
      <c r="X127" s="27">
        <v>24.26</v>
      </c>
      <c r="Y127" s="27">
        <v>9.59</v>
      </c>
      <c r="Z127" s="27"/>
      <c r="AA127" s="27">
        <v>1.5</v>
      </c>
      <c r="AB127" s="27">
        <v>1.2</v>
      </c>
      <c r="AC127" s="27"/>
      <c r="AD127" s="27">
        <v>26.98</v>
      </c>
      <c r="AE127" s="37">
        <v>65.66</v>
      </c>
      <c r="AF127" s="27"/>
      <c r="AG127" s="28">
        <v>43224</v>
      </c>
      <c r="AH127" s="27"/>
      <c r="AI127" s="28">
        <v>43186</v>
      </c>
      <c r="AJ127" s="27"/>
      <c r="AK127" s="28">
        <v>43217</v>
      </c>
      <c r="AL127" s="27"/>
      <c r="AM127" s="28">
        <v>43217</v>
      </c>
      <c r="AN127" s="27"/>
      <c r="AO127" s="28">
        <v>43223</v>
      </c>
      <c r="AP127" s="27"/>
      <c r="AQ127" s="28">
        <v>43299</v>
      </c>
      <c r="AR127" s="27"/>
      <c r="AS127" s="28"/>
      <c r="AT127" s="27"/>
      <c r="AU127" s="27" t="s">
        <v>59</v>
      </c>
      <c r="AV127" s="40">
        <v>48.428571428571431</v>
      </c>
      <c r="AW127" s="39">
        <f t="shared" si="7"/>
        <v>30.142857142857142</v>
      </c>
      <c r="AX127" s="27"/>
      <c r="AY127" s="40" t="s">
        <v>368</v>
      </c>
      <c r="AZ127" s="41" t="str">
        <f t="shared" si="5"/>
        <v>Apr 17</v>
      </c>
      <c r="BA127" s="41" t="str">
        <f t="shared" si="6"/>
        <v>May 18</v>
      </c>
    </row>
    <row r="128" spans="1:53" ht="14" x14ac:dyDescent="0.15">
      <c r="A128" s="35" t="s">
        <v>53</v>
      </c>
      <c r="B128" s="35">
        <v>1804</v>
      </c>
      <c r="C128" s="27" t="s">
        <v>104</v>
      </c>
      <c r="D128" s="27" t="s">
        <v>365</v>
      </c>
      <c r="E128" s="27" t="s">
        <v>369</v>
      </c>
      <c r="F128" s="27" t="s">
        <v>107</v>
      </c>
      <c r="G128" s="27">
        <v>2</v>
      </c>
      <c r="H128" s="28">
        <v>42704</v>
      </c>
      <c r="I128" s="27"/>
      <c r="J128" s="28">
        <v>42843</v>
      </c>
      <c r="K128" s="27"/>
      <c r="L128" s="27"/>
      <c r="M128" s="28">
        <v>42843</v>
      </c>
      <c r="N128" s="28"/>
      <c r="O128" s="28">
        <v>43004</v>
      </c>
      <c r="P128" s="27"/>
      <c r="Q128" s="28">
        <v>43012</v>
      </c>
      <c r="R128" s="27"/>
      <c r="S128" s="27"/>
      <c r="T128" s="27"/>
      <c r="U128" s="27"/>
      <c r="V128" s="27"/>
      <c r="W128" s="27"/>
      <c r="X128" s="27">
        <v>25.44</v>
      </c>
      <c r="Y128" s="27">
        <v>7.68</v>
      </c>
      <c r="Z128" s="27"/>
      <c r="AA128" s="27"/>
      <c r="AB128" s="27">
        <v>3.29</v>
      </c>
      <c r="AC128" s="27"/>
      <c r="AD128" s="27">
        <v>23.03</v>
      </c>
      <c r="AE128" s="37">
        <f>AllPlans[[#This Row],[Prep days*]]+AllPlans[[#This Row],[Hearing days*]]+AllPlans[[#This Row],[SV days*]]+AllPlans[[#This Row],[Travel days]]+AllPlans[[#This Row],[Reptg days*]]</f>
        <v>59.440000000000005</v>
      </c>
      <c r="AF128" s="27"/>
      <c r="AG128" s="28">
        <v>43224</v>
      </c>
      <c r="AH128" s="27"/>
      <c r="AI128" s="28">
        <v>43186</v>
      </c>
      <c r="AJ128" s="27"/>
      <c r="AK128" s="28">
        <v>43217</v>
      </c>
      <c r="AL128" s="27"/>
      <c r="AM128" s="28">
        <v>43217</v>
      </c>
      <c r="AN128" s="27"/>
      <c r="AO128" s="28">
        <v>43223</v>
      </c>
      <c r="AP128" s="27"/>
      <c r="AQ128" s="28">
        <v>43299</v>
      </c>
      <c r="AR128" s="27"/>
      <c r="AS128" s="28"/>
      <c r="AT128" s="27"/>
      <c r="AU128" s="27" t="s">
        <v>59</v>
      </c>
      <c r="AV128" s="40">
        <v>54.285714285714285</v>
      </c>
      <c r="AW128" s="39">
        <f t="shared" si="7"/>
        <v>30.142857142857142</v>
      </c>
      <c r="AX128" s="27"/>
      <c r="AY128" s="40" t="s">
        <v>368</v>
      </c>
      <c r="AZ128" s="41" t="str">
        <f t="shared" si="5"/>
        <v>Apr 17</v>
      </c>
      <c r="BA128" s="41" t="str">
        <f t="shared" si="6"/>
        <v>May 18</v>
      </c>
    </row>
    <row r="129" spans="1:53" ht="14" x14ac:dyDescent="0.15">
      <c r="A129" s="35" t="s">
        <v>53</v>
      </c>
      <c r="B129" s="35">
        <v>1797</v>
      </c>
      <c r="C129" s="27" t="s">
        <v>77</v>
      </c>
      <c r="D129" s="27" t="s">
        <v>370</v>
      </c>
      <c r="E129" s="27" t="s">
        <v>56</v>
      </c>
      <c r="F129" s="27" t="s">
        <v>57</v>
      </c>
      <c r="G129" s="27">
        <v>3</v>
      </c>
      <c r="H129" s="28">
        <v>42681</v>
      </c>
      <c r="I129" s="27"/>
      <c r="J129" s="28">
        <v>42849</v>
      </c>
      <c r="K129" s="27"/>
      <c r="L129" s="27"/>
      <c r="M129" s="28">
        <v>42850</v>
      </c>
      <c r="N129" s="28"/>
      <c r="O129" s="28">
        <v>43018</v>
      </c>
      <c r="P129" s="27"/>
      <c r="Q129" s="28">
        <v>43216</v>
      </c>
      <c r="R129" s="27"/>
      <c r="S129" s="27"/>
      <c r="T129" s="27"/>
      <c r="U129" s="27"/>
      <c r="V129" s="27"/>
      <c r="W129" s="27"/>
      <c r="X129" s="27">
        <v>134.66999999999999</v>
      </c>
      <c r="Y129" s="27">
        <v>33.79</v>
      </c>
      <c r="Z129" s="27"/>
      <c r="AA129" s="27">
        <v>11.45</v>
      </c>
      <c r="AB129" s="27">
        <v>12.35</v>
      </c>
      <c r="AC129" s="27"/>
      <c r="AD129" s="27">
        <v>81.33</v>
      </c>
      <c r="AE129" s="37">
        <v>273.43</v>
      </c>
      <c r="AF129" s="27"/>
      <c r="AG129" s="28">
        <v>43481</v>
      </c>
      <c r="AH129" s="27"/>
      <c r="AI129" s="28">
        <v>43465</v>
      </c>
      <c r="AJ129" s="27"/>
      <c r="AK129" s="28">
        <v>43479</v>
      </c>
      <c r="AL129" s="27"/>
      <c r="AM129" s="28">
        <v>43479</v>
      </c>
      <c r="AN129" s="27"/>
      <c r="AO129" s="28">
        <v>43495</v>
      </c>
      <c r="AP129" s="27"/>
      <c r="AQ129" s="28">
        <v>43523</v>
      </c>
      <c r="AR129" s="27"/>
      <c r="AS129" s="28"/>
      <c r="AT129" s="27"/>
      <c r="AU129" s="27" t="s">
        <v>59</v>
      </c>
      <c r="AV129" s="40">
        <v>92.285714285714292</v>
      </c>
      <c r="AW129" s="39">
        <f t="shared" si="7"/>
        <v>39.857142857142854</v>
      </c>
      <c r="AX129" s="27"/>
      <c r="AY129" s="40" t="s">
        <v>371</v>
      </c>
      <c r="AZ129" s="41" t="str">
        <f t="shared" si="5"/>
        <v>Apr 17</v>
      </c>
      <c r="BA129" s="41" t="str">
        <f t="shared" si="6"/>
        <v>Jan 19</v>
      </c>
    </row>
    <row r="130" spans="1:53" ht="14" x14ac:dyDescent="0.15">
      <c r="A130" s="35" t="s">
        <v>53</v>
      </c>
      <c r="B130" s="35">
        <v>1698</v>
      </c>
      <c r="C130" s="27" t="s">
        <v>77</v>
      </c>
      <c r="D130" s="81" t="s">
        <v>78</v>
      </c>
      <c r="E130" s="27" t="s">
        <v>118</v>
      </c>
      <c r="F130" s="27" t="s">
        <v>107</v>
      </c>
      <c r="G130" s="27">
        <v>3</v>
      </c>
      <c r="H130" s="28">
        <v>42269</v>
      </c>
      <c r="I130" s="27"/>
      <c r="J130" s="28">
        <v>42860</v>
      </c>
      <c r="K130" s="27"/>
      <c r="L130" s="27"/>
      <c r="M130" s="28">
        <v>42860</v>
      </c>
      <c r="N130" s="28"/>
      <c r="O130" s="28">
        <v>43018</v>
      </c>
      <c r="P130" s="27"/>
      <c r="Q130" s="28">
        <v>43315</v>
      </c>
      <c r="R130" s="27"/>
      <c r="S130" s="27"/>
      <c r="T130" s="27"/>
      <c r="U130" s="27"/>
      <c r="V130" s="27"/>
      <c r="W130" s="27"/>
      <c r="X130" s="27">
        <v>175.17</v>
      </c>
      <c r="Y130" s="27">
        <v>29</v>
      </c>
      <c r="Z130" s="27"/>
      <c r="AA130" s="27">
        <v>1.9</v>
      </c>
      <c r="AB130" s="27">
        <v>8.56</v>
      </c>
      <c r="AC130" s="27"/>
      <c r="AD130" s="27">
        <v>84.75</v>
      </c>
      <c r="AE130" s="37">
        <f>AllPlans[[#This Row],[Prep days*]]+AllPlans[[#This Row],[Hearing days*]]+AllPlans[[#This Row],[SV days*]]+AllPlans[[#This Row],[Travel days]]+AllPlans[[#This Row],[Reptg days*]]</f>
        <v>299.38</v>
      </c>
      <c r="AF130" s="27"/>
      <c r="AG130" s="28">
        <v>43619</v>
      </c>
      <c r="AH130" s="27"/>
      <c r="AI130" s="28">
        <v>43606</v>
      </c>
      <c r="AJ130" s="27"/>
      <c r="AK130" s="28">
        <v>43619</v>
      </c>
      <c r="AL130" s="27"/>
      <c r="AM130" s="28">
        <v>43619</v>
      </c>
      <c r="AN130" s="27"/>
      <c r="AO130" s="28">
        <v>43623</v>
      </c>
      <c r="AP130" s="27"/>
      <c r="AQ130" s="28">
        <v>43656</v>
      </c>
      <c r="AR130" s="27"/>
      <c r="AS130" s="28"/>
      <c r="AT130" s="27"/>
      <c r="AU130" s="27" t="s">
        <v>59</v>
      </c>
      <c r="AV130" s="40">
        <v>109</v>
      </c>
      <c r="AW130" s="39">
        <f t="shared" ref="AW130:AW151" si="8">SUM(AO130-Q130)/7</f>
        <v>44</v>
      </c>
      <c r="AX130" s="27"/>
      <c r="AY130" s="40" t="s">
        <v>82</v>
      </c>
      <c r="AZ130" s="41" t="str">
        <f t="shared" ref="AZ130:AZ193" si="9">TEXT(J130,"MMM YY")</f>
        <v>May 17</v>
      </c>
      <c r="BA130" s="41" t="str">
        <f t="shared" ref="BA130:BA193" si="10">TEXT(AO130,"MMM YY")</f>
        <v>Jun 19</v>
      </c>
    </row>
    <row r="131" spans="1:53" ht="98" x14ac:dyDescent="0.15">
      <c r="A131" s="35" t="s">
        <v>53</v>
      </c>
      <c r="B131" s="35">
        <v>1478</v>
      </c>
      <c r="C131" s="27" t="s">
        <v>90</v>
      </c>
      <c r="D131" s="27" t="s">
        <v>372</v>
      </c>
      <c r="E131" s="27" t="s">
        <v>373</v>
      </c>
      <c r="F131" s="27" t="s">
        <v>57</v>
      </c>
      <c r="G131" s="27">
        <v>3</v>
      </c>
      <c r="H131" s="28">
        <v>42768</v>
      </c>
      <c r="I131" s="27"/>
      <c r="J131" s="28">
        <v>42860</v>
      </c>
      <c r="K131" s="27"/>
      <c r="L131" s="27"/>
      <c r="M131" s="28">
        <v>42860</v>
      </c>
      <c r="N131" s="28"/>
      <c r="O131" s="28">
        <v>43158</v>
      </c>
      <c r="P131" s="27"/>
      <c r="Q131" s="28">
        <v>43175</v>
      </c>
      <c r="R131" s="27"/>
      <c r="S131" s="27"/>
      <c r="T131" s="27"/>
      <c r="U131" s="27"/>
      <c r="V131" s="27"/>
      <c r="W131" s="27"/>
      <c r="X131" s="27">
        <v>16.09</v>
      </c>
      <c r="Y131" s="27">
        <v>8.52</v>
      </c>
      <c r="Z131" s="27"/>
      <c r="AA131" s="27"/>
      <c r="AB131" s="27">
        <v>2.44</v>
      </c>
      <c r="AC131" s="27"/>
      <c r="AD131" s="27">
        <v>13.97</v>
      </c>
      <c r="AE131" s="37">
        <v>74.89</v>
      </c>
      <c r="AF131" s="27"/>
      <c r="AG131" s="28">
        <v>43670</v>
      </c>
      <c r="AH131" s="27"/>
      <c r="AI131" s="28"/>
      <c r="AJ131" s="27"/>
      <c r="AK131" s="28">
        <v>43670</v>
      </c>
      <c r="AL131" s="27"/>
      <c r="AM131" s="28">
        <v>43670</v>
      </c>
      <c r="AN131" s="27"/>
      <c r="AO131" s="28">
        <v>43677</v>
      </c>
      <c r="AP131" s="27"/>
      <c r="AQ131" s="28">
        <v>43719</v>
      </c>
      <c r="AR131" s="27"/>
      <c r="AS131" s="28"/>
      <c r="AT131" s="27"/>
      <c r="AU131" s="27" t="s">
        <v>59</v>
      </c>
      <c r="AV131" s="40">
        <v>48.857142857142854</v>
      </c>
      <c r="AW131" s="39">
        <f t="shared" si="8"/>
        <v>71.714285714285708</v>
      </c>
      <c r="AX131" s="27" t="s">
        <v>374</v>
      </c>
      <c r="AY131" s="77" t="str">
        <f>IF(D131&lt;&gt;"",IF(LEFT(IFERROR(VLOOKUP(D131,'LPA Lookup'!$A$100:$C$470,2,FALSE),"LPA not known to MCLHG"),3)&lt;&gt;"JSP",IFERROR(VLOOKUP(D131,'LPA Lookup'!$A$100:$C$470,2,FALSE),"LPA not known to MCLHG"),VLOOKUP(D131&amp;B131,$A$100:$B$470,3,FALSE)),"")</f>
        <v>E09000020</v>
      </c>
      <c r="AZ131" s="41" t="str">
        <f t="shared" si="9"/>
        <v>May 17</v>
      </c>
      <c r="BA131" s="41" t="str">
        <f t="shared" si="10"/>
        <v>Jul 19</v>
      </c>
    </row>
    <row r="132" spans="1:53" ht="14" x14ac:dyDescent="0.15">
      <c r="A132" s="35" t="s">
        <v>53</v>
      </c>
      <c r="B132" s="35">
        <v>1717</v>
      </c>
      <c r="C132" s="27" t="s">
        <v>71</v>
      </c>
      <c r="D132" s="36" t="s">
        <v>375</v>
      </c>
      <c r="E132" s="27" t="s">
        <v>56</v>
      </c>
      <c r="F132" s="27" t="s">
        <v>57</v>
      </c>
      <c r="G132" s="27">
        <v>3</v>
      </c>
      <c r="H132" s="28">
        <v>42612</v>
      </c>
      <c r="I132" s="27"/>
      <c r="J132" s="28">
        <v>42870</v>
      </c>
      <c r="K132" s="27"/>
      <c r="L132" s="27"/>
      <c r="M132" s="28">
        <v>42871</v>
      </c>
      <c r="N132" s="28"/>
      <c r="O132" s="28">
        <v>42999</v>
      </c>
      <c r="P132" s="27"/>
      <c r="Q132" s="28">
        <v>44273</v>
      </c>
      <c r="R132" s="27"/>
      <c r="S132" s="27"/>
      <c r="T132" s="27"/>
      <c r="U132" s="27"/>
      <c r="V132" s="27"/>
      <c r="W132" s="27"/>
      <c r="X132" s="27">
        <v>23.5</v>
      </c>
      <c r="Y132" s="27">
        <v>6.5</v>
      </c>
      <c r="Z132" s="27"/>
      <c r="AA132" s="27"/>
      <c r="AB132" s="27">
        <v>1</v>
      </c>
      <c r="AC132" s="27"/>
      <c r="AD132" s="27">
        <v>89.1</v>
      </c>
      <c r="AE132" s="37">
        <v>407.18</v>
      </c>
      <c r="AF132" s="27"/>
      <c r="AG132" s="28">
        <v>45184</v>
      </c>
      <c r="AH132" s="27"/>
      <c r="AI132" s="28">
        <v>45147</v>
      </c>
      <c r="AJ132" s="27"/>
      <c r="AK132" s="28">
        <v>45182</v>
      </c>
      <c r="AL132" s="27"/>
      <c r="AM132" s="28">
        <v>45184</v>
      </c>
      <c r="AN132" s="27"/>
      <c r="AO132" s="28">
        <v>45194</v>
      </c>
      <c r="AP132" s="27"/>
      <c r="AQ132" s="28">
        <v>45211</v>
      </c>
      <c r="AR132" s="27"/>
      <c r="AS132" s="28"/>
      <c r="AT132" s="27"/>
      <c r="AU132" s="27" t="s">
        <v>59</v>
      </c>
      <c r="AV132" s="40">
        <v>52.714285714285715</v>
      </c>
      <c r="AW132" s="39">
        <f t="shared" si="8"/>
        <v>131.57142857142858</v>
      </c>
      <c r="AX132" s="27"/>
      <c r="AY132" s="77" t="str">
        <f>IF(D132&lt;&gt;"",IF(LEFT(IFERROR(VLOOKUP(D132,'LPA Lookup'!$A$100:$C$470,2,FALSE),"LPA not known to MCLHG"),3)&lt;&gt;"JSP",IFERROR(VLOOKUP(D132,'LPA Lookup'!$A$100:$C$470,2,FALSE),"LPA not known to MCLHG"),VLOOKUP(D132&amp;B132,$A$100:$B$470,3,FALSE)),"")</f>
        <v>E07000241</v>
      </c>
      <c r="AZ132" s="41" t="str">
        <f t="shared" si="9"/>
        <v>May 17</v>
      </c>
      <c r="BA132" s="41" t="str">
        <f t="shared" si="10"/>
        <v>Sep 23</v>
      </c>
    </row>
    <row r="133" spans="1:53" ht="14" x14ac:dyDescent="0.15">
      <c r="A133" s="35" t="s">
        <v>53</v>
      </c>
      <c r="B133" s="35">
        <v>1808</v>
      </c>
      <c r="C133" s="27" t="s">
        <v>90</v>
      </c>
      <c r="D133" s="27" t="s">
        <v>376</v>
      </c>
      <c r="E133" s="27" t="s">
        <v>56</v>
      </c>
      <c r="F133" s="27" t="s">
        <v>57</v>
      </c>
      <c r="G133" s="27">
        <v>3</v>
      </c>
      <c r="H133" s="28">
        <v>42739</v>
      </c>
      <c r="I133" s="27"/>
      <c r="J133" s="28">
        <v>42874</v>
      </c>
      <c r="K133" s="27"/>
      <c r="L133" s="27"/>
      <c r="M133" s="28">
        <v>42874</v>
      </c>
      <c r="N133" s="28"/>
      <c r="O133" s="28">
        <v>43004</v>
      </c>
      <c r="P133" s="27"/>
      <c r="Q133" s="28">
        <v>43021</v>
      </c>
      <c r="R133" s="27"/>
      <c r="S133" s="27"/>
      <c r="T133" s="27"/>
      <c r="U133" s="27"/>
      <c r="V133" s="27"/>
      <c r="W133" s="27"/>
      <c r="X133" s="27">
        <v>42.06</v>
      </c>
      <c r="Y133" s="27">
        <v>16.260000000000002</v>
      </c>
      <c r="Z133" s="27"/>
      <c r="AA133" s="27">
        <v>3</v>
      </c>
      <c r="AB133" s="27">
        <v>6.28</v>
      </c>
      <c r="AC133" s="27"/>
      <c r="AD133" s="27">
        <v>49.87</v>
      </c>
      <c r="AE133" s="37">
        <f>AllPlans[[#This Row],[Prep days*]]+AllPlans[[#This Row],[Hearing days*]]+AllPlans[[#This Row],[SV days*]]+AllPlans[[#This Row],[Travel days]]+AllPlans[[#This Row],[Reptg days*]]</f>
        <v>117.47</v>
      </c>
      <c r="AF133" s="27"/>
      <c r="AG133" s="28">
        <v>43182</v>
      </c>
      <c r="AH133" s="27"/>
      <c r="AI133" s="28">
        <v>43164</v>
      </c>
      <c r="AJ133" s="27"/>
      <c r="AK133" s="28">
        <v>43179</v>
      </c>
      <c r="AL133" s="27"/>
      <c r="AM133" s="28">
        <v>43179</v>
      </c>
      <c r="AN133" s="27"/>
      <c r="AO133" s="28">
        <v>43216</v>
      </c>
      <c r="AP133" s="27"/>
      <c r="AQ133" s="28">
        <v>43284</v>
      </c>
      <c r="AR133" s="27"/>
      <c r="AS133" s="28"/>
      <c r="AT133" s="27"/>
      <c r="AU133" s="27" t="s">
        <v>59</v>
      </c>
      <c r="AV133" s="40">
        <v>96</v>
      </c>
      <c r="AW133" s="39">
        <f t="shared" si="8"/>
        <v>27.857142857142858</v>
      </c>
      <c r="AX133" s="27"/>
      <c r="AY133" s="77" t="str">
        <f>IF(D133&lt;&gt;"",IF(LEFT(IFERROR(VLOOKUP(D133,'LPA Lookup'!$A$100:$C$470,2,FALSE),"LPA not known to MCLHG"),3)&lt;&gt;"JSP",IFERROR(VLOOKUP(D133,'LPA Lookup'!$A$100:$C$470,2,FALSE),"LPA not known to MCLHG"),VLOOKUP(D133&amp;B133,$A$100:$B$470,3,FALSE)),"")</f>
        <v>E09000027</v>
      </c>
      <c r="AZ133" s="41" t="str">
        <f t="shared" si="9"/>
        <v>May 17</v>
      </c>
      <c r="BA133" s="41" t="str">
        <f t="shared" si="10"/>
        <v>Apr 18</v>
      </c>
    </row>
    <row r="134" spans="1:53" ht="14" x14ac:dyDescent="0.15">
      <c r="A134" s="35" t="s">
        <v>53</v>
      </c>
      <c r="B134" s="35">
        <v>1812</v>
      </c>
      <c r="C134" s="27" t="s">
        <v>61</v>
      </c>
      <c r="D134" s="27" t="s">
        <v>377</v>
      </c>
      <c r="E134" s="27" t="s">
        <v>378</v>
      </c>
      <c r="F134" s="27" t="s">
        <v>80</v>
      </c>
      <c r="G134" s="27">
        <v>2</v>
      </c>
      <c r="H134" s="28">
        <v>42751</v>
      </c>
      <c r="I134" s="27"/>
      <c r="J134" s="28">
        <v>42881</v>
      </c>
      <c r="K134" s="27"/>
      <c r="L134" s="27"/>
      <c r="M134" s="28">
        <v>42891</v>
      </c>
      <c r="N134" s="28"/>
      <c r="O134" s="28">
        <v>42997</v>
      </c>
      <c r="P134" s="27"/>
      <c r="Q134" s="28">
        <v>43006</v>
      </c>
      <c r="R134" s="27"/>
      <c r="S134" s="27"/>
      <c r="T134" s="27"/>
      <c r="U134" s="27"/>
      <c r="V134" s="27"/>
      <c r="W134" s="27"/>
      <c r="X134" s="27">
        <v>10.85</v>
      </c>
      <c r="Y134" s="27">
        <v>3</v>
      </c>
      <c r="Z134" s="27"/>
      <c r="AA134" s="27"/>
      <c r="AB134" s="27"/>
      <c r="AC134" s="27"/>
      <c r="AD134" s="27">
        <v>12.23</v>
      </c>
      <c r="AE134" s="37">
        <v>50.5</v>
      </c>
      <c r="AF134" s="27"/>
      <c r="AG134" s="28">
        <v>43245</v>
      </c>
      <c r="AH134" s="27"/>
      <c r="AI134" s="28">
        <v>43195</v>
      </c>
      <c r="AJ134" s="27"/>
      <c r="AK134" s="28">
        <v>43238</v>
      </c>
      <c r="AL134" s="27"/>
      <c r="AM134" s="28">
        <v>43238</v>
      </c>
      <c r="AN134" s="27"/>
      <c r="AO134" s="28">
        <v>43250</v>
      </c>
      <c r="AP134" s="27"/>
      <c r="AQ134" s="28">
        <v>43301</v>
      </c>
      <c r="AR134" s="27"/>
      <c r="AS134" s="28"/>
      <c r="AT134" s="27"/>
      <c r="AU134" s="27" t="s">
        <v>59</v>
      </c>
      <c r="AV134" s="40">
        <v>64</v>
      </c>
      <c r="AW134" s="39">
        <f t="shared" si="8"/>
        <v>34.857142857142854</v>
      </c>
      <c r="AX134" s="27"/>
      <c r="AY134" s="77" t="str">
        <f>IF(D134&lt;&gt;"",IF(LEFT(IFERROR(VLOOKUP(D134,'LPA Lookup'!$A$100:$C$470,2,FALSE),"LPA not known to MCLHG"),3)&lt;&gt;"JSP",IFERROR(VLOOKUP(D134,'LPA Lookup'!$A$100:$C$470,2,FALSE),"LPA not known to MCLHG"),VLOOKUP(D134&amp;B134,$A$100:$B$470,3,FALSE)),"")</f>
        <v>LPA not known to MCLHG</v>
      </c>
      <c r="AZ134" s="41" t="str">
        <f t="shared" si="9"/>
        <v>May 17</v>
      </c>
      <c r="BA134" s="41" t="str">
        <f t="shared" si="10"/>
        <v>May 18</v>
      </c>
    </row>
    <row r="135" spans="1:53" ht="14" x14ac:dyDescent="0.15">
      <c r="A135" s="35" t="s">
        <v>53</v>
      </c>
      <c r="B135" s="35">
        <v>1678</v>
      </c>
      <c r="C135" s="27" t="s">
        <v>54</v>
      </c>
      <c r="D135" s="27" t="s">
        <v>379</v>
      </c>
      <c r="E135" s="27" t="s">
        <v>380</v>
      </c>
      <c r="F135" s="27" t="s">
        <v>57</v>
      </c>
      <c r="G135" s="27">
        <v>3</v>
      </c>
      <c r="H135" s="28">
        <v>42765</v>
      </c>
      <c r="I135" s="27"/>
      <c r="J135" s="28">
        <v>42892</v>
      </c>
      <c r="K135" s="27"/>
      <c r="L135" s="27"/>
      <c r="M135" s="28">
        <v>42892</v>
      </c>
      <c r="N135" s="28"/>
      <c r="O135" s="28">
        <v>42977</v>
      </c>
      <c r="P135" s="27"/>
      <c r="Q135" s="28">
        <v>43515</v>
      </c>
      <c r="R135" s="27"/>
      <c r="S135" s="27"/>
      <c r="T135" s="27"/>
      <c r="U135" s="27"/>
      <c r="V135" s="27"/>
      <c r="W135" s="27"/>
      <c r="X135" s="27">
        <v>16.14</v>
      </c>
      <c r="Y135" s="27">
        <v>5.67</v>
      </c>
      <c r="Z135" s="27"/>
      <c r="AA135" s="27"/>
      <c r="AB135" s="27">
        <v>1.76</v>
      </c>
      <c r="AC135" s="27"/>
      <c r="AD135" s="27">
        <v>25.6</v>
      </c>
      <c r="AE135" s="37">
        <v>117.63</v>
      </c>
      <c r="AF135" s="27"/>
      <c r="AG135" s="28">
        <v>43553</v>
      </c>
      <c r="AH135" s="27"/>
      <c r="AI135" s="28">
        <v>43539</v>
      </c>
      <c r="AJ135" s="27"/>
      <c r="AK135" s="28">
        <v>43552</v>
      </c>
      <c r="AL135" s="27"/>
      <c r="AM135" s="28">
        <v>43553</v>
      </c>
      <c r="AN135" s="27"/>
      <c r="AO135" s="28">
        <v>43564</v>
      </c>
      <c r="AP135" s="27"/>
      <c r="AQ135" s="28">
        <v>43627</v>
      </c>
      <c r="AR135" s="27"/>
      <c r="AS135" s="28"/>
      <c r="AT135" s="27"/>
      <c r="AU135" s="27" t="s">
        <v>59</v>
      </c>
      <c r="AV135" s="40">
        <v>76.142857142857139</v>
      </c>
      <c r="AW135" s="39">
        <f t="shared" si="8"/>
        <v>7</v>
      </c>
      <c r="AX135" s="27"/>
      <c r="AY135" s="77" t="str">
        <f>IF(D135&lt;&gt;"",IF(LEFT(IFERROR(VLOOKUP(D135,'LPA Lookup'!$A$100:$C$470,2,FALSE),"LPA not known to MCLHG"),3)&lt;&gt;"JSP",IFERROR(VLOOKUP(D135,'LPA Lookup'!$A$100:$C$470,2,FALSE),"LPA not known to MCLHG"),VLOOKUP(D135&amp;B135,$A$100:$B$470,3,FALSE)),"")</f>
        <v>E07000219</v>
      </c>
      <c r="AZ135" s="41" t="str">
        <f t="shared" si="9"/>
        <v>Jun 17</v>
      </c>
      <c r="BA135" s="41" t="str">
        <f t="shared" si="10"/>
        <v>Apr 19</v>
      </c>
    </row>
    <row r="136" spans="1:53" ht="14" x14ac:dyDescent="0.15">
      <c r="A136" s="35" t="s">
        <v>53</v>
      </c>
      <c r="B136" s="35">
        <v>1750</v>
      </c>
      <c r="C136" s="27" t="s">
        <v>54</v>
      </c>
      <c r="D136" s="27" t="s">
        <v>381</v>
      </c>
      <c r="E136" s="27" t="s">
        <v>382</v>
      </c>
      <c r="F136" s="27" t="s">
        <v>74</v>
      </c>
      <c r="G136" s="27">
        <v>2</v>
      </c>
      <c r="H136" s="28">
        <v>42436</v>
      </c>
      <c r="I136" s="27"/>
      <c r="J136" s="28">
        <v>42893</v>
      </c>
      <c r="K136" s="27"/>
      <c r="L136" s="27"/>
      <c r="M136" s="28">
        <v>42893</v>
      </c>
      <c r="N136" s="28"/>
      <c r="O136" s="28">
        <v>43024</v>
      </c>
      <c r="P136" s="27"/>
      <c r="Q136" s="28">
        <v>43026</v>
      </c>
      <c r="R136" s="27"/>
      <c r="S136" s="27"/>
      <c r="T136" s="27"/>
      <c r="U136" s="27"/>
      <c r="V136" s="27"/>
      <c r="W136" s="27"/>
      <c r="X136" s="27">
        <v>49.95</v>
      </c>
      <c r="Y136" s="27">
        <v>18.899999999999999</v>
      </c>
      <c r="Z136" s="27"/>
      <c r="AA136" s="27"/>
      <c r="AB136" s="27">
        <v>11.97</v>
      </c>
      <c r="AC136" s="27"/>
      <c r="AD136" s="27">
        <v>46.01</v>
      </c>
      <c r="AE136" s="37">
        <f>AllPlans[[#This Row],[Prep days*]]+AllPlans[[#This Row],[Hearing days*]]+AllPlans[[#This Row],[SV days*]]+AllPlans[[#This Row],[Travel days]]+AllPlans[[#This Row],[Reptg days*]]</f>
        <v>126.82999999999998</v>
      </c>
      <c r="AF136" s="27"/>
      <c r="AG136" s="28">
        <v>43329</v>
      </c>
      <c r="AH136" s="27"/>
      <c r="AI136" s="28">
        <v>43320</v>
      </c>
      <c r="AJ136" s="27"/>
      <c r="AK136" s="28">
        <v>43327</v>
      </c>
      <c r="AL136" s="27"/>
      <c r="AM136" s="28">
        <v>43327</v>
      </c>
      <c r="AN136" s="27"/>
      <c r="AO136" s="28">
        <v>43341</v>
      </c>
      <c r="AP136" s="27"/>
      <c r="AQ136" s="28">
        <v>43472</v>
      </c>
      <c r="AR136" s="27"/>
      <c r="AS136" s="28"/>
      <c r="AT136" s="27"/>
      <c r="AU136" s="27" t="s">
        <v>59</v>
      </c>
      <c r="AV136" s="40">
        <v>83.571428571428569</v>
      </c>
      <c r="AW136" s="39">
        <f t="shared" si="8"/>
        <v>45</v>
      </c>
      <c r="AX136" s="27"/>
      <c r="AY136" s="77" t="str">
        <f>IF(D136&lt;&gt;"",IF(LEFT(IFERROR(VLOOKUP(D136,'LPA Lookup'!$A$100:$C$470,2,FALSE),"LPA not known to MCLHG"),3)&lt;&gt;"JSP",IFERROR(VLOOKUP(D136,'LPA Lookup'!$A$100:$C$470,2,FALSE),"LPA not known to MCLHG"),VLOOKUP(D136&amp;B136,$A$100:$B$470,3,FALSE)),"")</f>
        <v>E08000030</v>
      </c>
      <c r="AZ136" s="41" t="str">
        <f t="shared" si="9"/>
        <v>Jun 17</v>
      </c>
      <c r="BA136" s="41" t="str">
        <f t="shared" si="10"/>
        <v>Aug 18</v>
      </c>
    </row>
    <row r="137" spans="1:53" ht="14" x14ac:dyDescent="0.15">
      <c r="A137" s="35" t="s">
        <v>53</v>
      </c>
      <c r="B137" s="35">
        <v>1749</v>
      </c>
      <c r="C137" s="27" t="s">
        <v>54</v>
      </c>
      <c r="D137" s="27" t="s">
        <v>381</v>
      </c>
      <c r="E137" s="27" t="s">
        <v>118</v>
      </c>
      <c r="F137" s="27" t="s">
        <v>107</v>
      </c>
      <c r="G137" s="27">
        <v>3</v>
      </c>
      <c r="H137" s="28">
        <v>42436</v>
      </c>
      <c r="I137" s="27"/>
      <c r="J137" s="28">
        <v>42893</v>
      </c>
      <c r="K137" s="27"/>
      <c r="L137" s="27"/>
      <c r="M137" s="28">
        <v>42893</v>
      </c>
      <c r="N137" s="28"/>
      <c r="O137" s="28">
        <v>42983</v>
      </c>
      <c r="P137" s="27"/>
      <c r="Q137" s="28">
        <v>42999</v>
      </c>
      <c r="R137" s="27"/>
      <c r="S137" s="27"/>
      <c r="T137" s="27"/>
      <c r="U137" s="27"/>
      <c r="V137" s="27"/>
      <c r="W137" s="27"/>
      <c r="X137" s="27">
        <v>14.63</v>
      </c>
      <c r="Y137" s="27">
        <v>1.25</v>
      </c>
      <c r="Z137" s="27"/>
      <c r="AA137" s="27">
        <v>2.4300000000000002</v>
      </c>
      <c r="AB137" s="27">
        <v>2.44</v>
      </c>
      <c r="AC137" s="27"/>
      <c r="AD137" s="27">
        <v>16.190000000000001</v>
      </c>
      <c r="AE137" s="37">
        <v>49.14</v>
      </c>
      <c r="AF137" s="27"/>
      <c r="AG137" s="28">
        <v>43392</v>
      </c>
      <c r="AH137" s="27"/>
      <c r="AI137" s="28">
        <v>43384</v>
      </c>
      <c r="AJ137" s="27"/>
      <c r="AK137" s="28">
        <v>43392</v>
      </c>
      <c r="AL137" s="27"/>
      <c r="AM137" s="28">
        <v>43392</v>
      </c>
      <c r="AN137" s="27"/>
      <c r="AO137" s="28">
        <v>43426</v>
      </c>
      <c r="AP137" s="27"/>
      <c r="AQ137" s="28">
        <v>43472</v>
      </c>
      <c r="AR137" s="27"/>
      <c r="AS137" s="28"/>
      <c r="AT137" s="27"/>
      <c r="AU137" s="27" t="s">
        <v>59</v>
      </c>
      <c r="AV137" s="40">
        <v>46.142857142857146</v>
      </c>
      <c r="AW137" s="39">
        <f t="shared" si="8"/>
        <v>61</v>
      </c>
      <c r="AX137" s="27"/>
      <c r="AY137" s="77" t="str">
        <f>IF(D137&lt;&gt;"",IF(LEFT(IFERROR(VLOOKUP(D137,'LPA Lookup'!$A$100:$C$470,2,FALSE),"LPA not known to MCLHG"),3)&lt;&gt;"JSP",IFERROR(VLOOKUP(D137,'LPA Lookup'!$A$100:$C$470,2,FALSE),"LPA not known to MCLHG"),VLOOKUP(D137&amp;B137,$A$100:$B$470,3,FALSE)),"")</f>
        <v>E08000030</v>
      </c>
      <c r="AZ137" s="41" t="str">
        <f t="shared" si="9"/>
        <v>Jun 17</v>
      </c>
      <c r="BA137" s="41" t="str">
        <f t="shared" si="10"/>
        <v>Nov 18</v>
      </c>
    </row>
    <row r="138" spans="1:53" ht="14" x14ac:dyDescent="0.15">
      <c r="A138" s="35" t="s">
        <v>53</v>
      </c>
      <c r="B138" s="35">
        <v>1792</v>
      </c>
      <c r="C138" s="27" t="s">
        <v>71</v>
      </c>
      <c r="D138" s="82" t="s">
        <v>383</v>
      </c>
      <c r="E138" s="27" t="s">
        <v>56</v>
      </c>
      <c r="F138" s="27" t="s">
        <v>57</v>
      </c>
      <c r="G138" s="27">
        <v>3</v>
      </c>
      <c r="H138" s="28">
        <v>42662</v>
      </c>
      <c r="I138" s="27"/>
      <c r="J138" s="28">
        <v>42895</v>
      </c>
      <c r="K138" s="27"/>
      <c r="L138" s="27"/>
      <c r="M138" s="28">
        <v>42895</v>
      </c>
      <c r="N138" s="28"/>
      <c r="O138" s="28">
        <v>43052</v>
      </c>
      <c r="P138" s="27" t="s">
        <v>384</v>
      </c>
      <c r="Q138" s="28">
        <v>44229</v>
      </c>
      <c r="R138" s="27"/>
      <c r="S138" s="27"/>
      <c r="T138" s="27"/>
      <c r="U138" s="27"/>
      <c r="V138" s="27"/>
      <c r="W138" s="27"/>
      <c r="X138" s="27">
        <v>98.13</v>
      </c>
      <c r="Y138" s="27">
        <v>39.22</v>
      </c>
      <c r="Z138" s="27"/>
      <c r="AA138" s="27">
        <v>5.33</v>
      </c>
      <c r="AB138" s="27">
        <v>8.5</v>
      </c>
      <c r="AC138" s="27"/>
      <c r="AD138" s="27">
        <v>117.15</v>
      </c>
      <c r="AE138" s="37">
        <v>270.2</v>
      </c>
      <c r="AF138" s="27"/>
      <c r="AG138" s="28">
        <v>44768</v>
      </c>
      <c r="AH138" s="27"/>
      <c r="AI138" s="28">
        <v>44684</v>
      </c>
      <c r="AJ138" s="27"/>
      <c r="AK138" s="28">
        <v>44713</v>
      </c>
      <c r="AL138" s="27"/>
      <c r="AM138" s="28">
        <v>44726</v>
      </c>
      <c r="AN138" s="27"/>
      <c r="AO138" s="28">
        <v>44812</v>
      </c>
      <c r="AP138" s="27"/>
      <c r="AQ138" s="28">
        <v>44873</v>
      </c>
      <c r="AR138" s="27"/>
      <c r="AS138" s="28"/>
      <c r="AT138" s="27"/>
      <c r="AU138" s="27" t="s">
        <v>59</v>
      </c>
      <c r="AV138" s="40">
        <v>47.571428571428569</v>
      </c>
      <c r="AW138" s="39">
        <f t="shared" si="8"/>
        <v>83.285714285714292</v>
      </c>
      <c r="AX138" s="27"/>
      <c r="AY138" s="77" t="str">
        <f>IF(D138&lt;&gt;"",IF(LEFT(IFERROR(VLOOKUP(D138,'LPA Lookup'!$A$100:$C$470,2,FALSE),"LPA not known to MCLHG"),3)&lt;&gt;"JSP",IFERROR(VLOOKUP(D138,'LPA Lookup'!$A$100:$C$470,2,FALSE),"LPA not known to MCLHG"),VLOOKUP(D138&amp;B138,$A$100:$B$470,3,FALSE)),"")</f>
        <v>E07000099</v>
      </c>
      <c r="AZ138" s="41" t="str">
        <f t="shared" si="9"/>
        <v>Jun 17</v>
      </c>
      <c r="BA138" s="41" t="str">
        <f t="shared" si="10"/>
        <v>Sep 22</v>
      </c>
    </row>
    <row r="139" spans="1:53" ht="14" x14ac:dyDescent="0.15">
      <c r="A139" s="35" t="s">
        <v>53</v>
      </c>
      <c r="B139" s="35">
        <v>1833</v>
      </c>
      <c r="C139" s="27" t="s">
        <v>104</v>
      </c>
      <c r="D139" s="27" t="s">
        <v>385</v>
      </c>
      <c r="E139" s="27" t="s">
        <v>56</v>
      </c>
      <c r="F139" s="27" t="s">
        <v>57</v>
      </c>
      <c r="G139" s="27">
        <v>3</v>
      </c>
      <c r="H139" s="28">
        <v>42835</v>
      </c>
      <c r="I139" s="27"/>
      <c r="J139" s="28">
        <v>42909</v>
      </c>
      <c r="K139" s="27"/>
      <c r="L139" s="27"/>
      <c r="M139" s="28">
        <v>42913</v>
      </c>
      <c r="N139" s="28"/>
      <c r="O139" s="28">
        <v>43018</v>
      </c>
      <c r="P139" s="27"/>
      <c r="Q139" s="28">
        <v>43216</v>
      </c>
      <c r="R139" s="27"/>
      <c r="S139" s="27"/>
      <c r="T139" s="27"/>
      <c r="U139" s="27"/>
      <c r="V139" s="27"/>
      <c r="W139" s="27"/>
      <c r="X139" s="27">
        <v>49.78</v>
      </c>
      <c r="Y139" s="27">
        <v>11.28</v>
      </c>
      <c r="Z139" s="27"/>
      <c r="AA139" s="27">
        <v>3.11</v>
      </c>
      <c r="AB139" s="27">
        <v>1.67</v>
      </c>
      <c r="AC139" s="27"/>
      <c r="AD139" s="27">
        <v>56.3</v>
      </c>
      <c r="AE139" s="37">
        <v>133.81</v>
      </c>
      <c r="AF139" s="27"/>
      <c r="AG139" s="28">
        <v>43488</v>
      </c>
      <c r="AH139" s="27"/>
      <c r="AI139" s="28">
        <v>43453</v>
      </c>
      <c r="AJ139" s="27"/>
      <c r="AK139" s="28">
        <v>43486</v>
      </c>
      <c r="AL139" s="27"/>
      <c r="AM139" s="28">
        <v>43488</v>
      </c>
      <c r="AN139" s="27"/>
      <c r="AO139" s="28">
        <v>43494</v>
      </c>
      <c r="AP139" s="27"/>
      <c r="AQ139" s="28">
        <v>43532</v>
      </c>
      <c r="AR139" s="27"/>
      <c r="AS139" s="28"/>
      <c r="AT139" s="27"/>
      <c r="AU139" s="27" t="s">
        <v>59</v>
      </c>
      <c r="AV139" s="40">
        <v>88.714285714285708</v>
      </c>
      <c r="AW139" s="39">
        <f t="shared" si="8"/>
        <v>39.714285714285715</v>
      </c>
      <c r="AX139" s="27"/>
      <c r="AY139" s="77" t="e">
        <f>IF(D139&lt;&gt;"",IF(LEFT(IFERROR(VLOOKUP(D139,'LPA Lookup'!$A$100:$C$470,2,FALSE),"LPA not known to MCLHG"),3)&lt;&gt;"JSP",IFERROR(VLOOKUP(D139,'LPA Lookup'!$A$100:$C$470,2,FALSE),"LPA not known to MCLHG"),VLOOKUP(D139&amp;B139,$A$100:$B$470,3,FALSE)),"")</f>
        <v>#N/A</v>
      </c>
      <c r="AZ139" s="41" t="str">
        <f t="shared" si="9"/>
        <v>Jun 17</v>
      </c>
      <c r="BA139" s="41" t="str">
        <f t="shared" si="10"/>
        <v>Jan 19</v>
      </c>
    </row>
    <row r="140" spans="1:53" ht="14" x14ac:dyDescent="0.15">
      <c r="A140" s="35" t="s">
        <v>53</v>
      </c>
      <c r="B140" s="35">
        <v>1818</v>
      </c>
      <c r="C140" s="27" t="s">
        <v>67</v>
      </c>
      <c r="D140" s="27" t="s">
        <v>386</v>
      </c>
      <c r="E140" s="27" t="s">
        <v>387</v>
      </c>
      <c r="F140" s="27" t="s">
        <v>107</v>
      </c>
      <c r="G140" s="27">
        <v>2</v>
      </c>
      <c r="H140" s="28">
        <v>42816</v>
      </c>
      <c r="I140" s="27"/>
      <c r="J140" s="28">
        <v>42914</v>
      </c>
      <c r="K140" s="27"/>
      <c r="L140" s="27"/>
      <c r="M140" s="28">
        <v>42914</v>
      </c>
      <c r="N140" s="28"/>
      <c r="O140" s="28">
        <v>43046</v>
      </c>
      <c r="P140" s="27"/>
      <c r="Q140" s="28">
        <v>43047</v>
      </c>
      <c r="R140" s="27"/>
      <c r="S140" s="27"/>
      <c r="T140" s="27"/>
      <c r="U140" s="27"/>
      <c r="V140" s="27"/>
      <c r="W140" s="27"/>
      <c r="X140" s="27">
        <v>27</v>
      </c>
      <c r="Y140" s="27">
        <v>14</v>
      </c>
      <c r="Z140" s="27"/>
      <c r="AA140" s="27">
        <v>3</v>
      </c>
      <c r="AB140" s="27">
        <v>4</v>
      </c>
      <c r="AC140" s="27"/>
      <c r="AD140" s="27">
        <v>26</v>
      </c>
      <c r="AE140" s="37">
        <f>AllPlans[[#This Row],[Prep days*]]+AllPlans[[#This Row],[Hearing days*]]+AllPlans[[#This Row],[SV days*]]+AllPlans[[#This Row],[Travel days]]+AllPlans[[#This Row],[Reptg days*]]</f>
        <v>74</v>
      </c>
      <c r="AF140" s="27"/>
      <c r="AG140" s="28">
        <v>43234</v>
      </c>
      <c r="AH140" s="27"/>
      <c r="AI140" s="28">
        <v>43222</v>
      </c>
      <c r="AJ140" s="27"/>
      <c r="AK140" s="28">
        <v>43224</v>
      </c>
      <c r="AL140" s="27"/>
      <c r="AM140" s="28">
        <v>43224</v>
      </c>
      <c r="AN140" s="27"/>
      <c r="AO140" s="28">
        <v>43237</v>
      </c>
      <c r="AP140" s="27"/>
      <c r="AQ140" s="28">
        <v>43307</v>
      </c>
      <c r="AR140" s="27"/>
      <c r="AS140" s="28"/>
      <c r="AT140" s="27"/>
      <c r="AU140" s="27" t="s">
        <v>59</v>
      </c>
      <c r="AV140" s="40">
        <v>50.571428571428569</v>
      </c>
      <c r="AW140" s="39">
        <f t="shared" si="8"/>
        <v>27.142857142857142</v>
      </c>
      <c r="AX140" s="27"/>
      <c r="AY140" s="77" t="str">
        <f>IF(D140&lt;&gt;"",IF(LEFT(IFERROR(VLOOKUP(D140,'LPA Lookup'!$A$100:$C$470,2,FALSE),"LPA not known to MCLHG"),3)&lt;&gt;"JSP",IFERROR(VLOOKUP(D140,'LPA Lookup'!$A$100:$C$470,2,FALSE),"LPA not known to MCLHG"),VLOOKUP(D140&amp;B140,$A$100:$B$470,3,FALSE)),"")</f>
        <v>E07000040</v>
      </c>
      <c r="AZ140" s="41" t="str">
        <f t="shared" si="9"/>
        <v>Jun 17</v>
      </c>
      <c r="BA140" s="41" t="str">
        <f t="shared" si="10"/>
        <v>May 18</v>
      </c>
    </row>
    <row r="141" spans="1:53" ht="14" x14ac:dyDescent="0.15">
      <c r="A141" s="35" t="s">
        <v>53</v>
      </c>
      <c r="B141" s="35">
        <v>1773</v>
      </c>
      <c r="C141" s="27" t="s">
        <v>67</v>
      </c>
      <c r="D141" s="27" t="s">
        <v>388</v>
      </c>
      <c r="E141" s="27" t="s">
        <v>56</v>
      </c>
      <c r="F141" s="27" t="s">
        <v>57</v>
      </c>
      <c r="G141" s="27">
        <v>3</v>
      </c>
      <c r="H141" s="28">
        <v>42548</v>
      </c>
      <c r="I141" s="27"/>
      <c r="J141" s="28">
        <v>42923</v>
      </c>
      <c r="K141" s="27"/>
      <c r="L141" s="27"/>
      <c r="M141" s="28">
        <v>42923</v>
      </c>
      <c r="N141" s="28"/>
      <c r="O141" s="28">
        <v>43018</v>
      </c>
      <c r="P141" s="27"/>
      <c r="Q141" s="28">
        <v>43061</v>
      </c>
      <c r="R141" s="27"/>
      <c r="S141" s="27"/>
      <c r="T141" s="27"/>
      <c r="U141" s="27"/>
      <c r="V141" s="27"/>
      <c r="W141" s="27"/>
      <c r="X141" s="29">
        <v>43</v>
      </c>
      <c r="Y141" s="29">
        <v>5</v>
      </c>
      <c r="Z141" s="29"/>
      <c r="AA141" s="29">
        <v>0.5</v>
      </c>
      <c r="AB141" s="29">
        <v>3.5</v>
      </c>
      <c r="AC141" s="29"/>
      <c r="AD141" s="29">
        <v>26</v>
      </c>
      <c r="AE141" s="37">
        <v>83.31</v>
      </c>
      <c r="AF141" s="27"/>
      <c r="AG141" s="28">
        <v>43242</v>
      </c>
      <c r="AH141" s="27"/>
      <c r="AI141" s="28">
        <v>43222</v>
      </c>
      <c r="AJ141" s="27"/>
      <c r="AK141" s="28">
        <v>43234</v>
      </c>
      <c r="AL141" s="27"/>
      <c r="AM141" s="28">
        <v>43235</v>
      </c>
      <c r="AN141" s="27"/>
      <c r="AO141" s="28">
        <v>43256</v>
      </c>
      <c r="AP141" s="27"/>
      <c r="AQ141" s="28">
        <v>43315</v>
      </c>
      <c r="AR141" s="27"/>
      <c r="AS141" s="28"/>
      <c r="AT141" s="27"/>
      <c r="AU141" s="27" t="s">
        <v>59</v>
      </c>
      <c r="AV141" s="83">
        <v>110.57142857142857</v>
      </c>
      <c r="AW141" s="39">
        <f t="shared" si="8"/>
        <v>27.857142857142858</v>
      </c>
      <c r="AX141" s="27"/>
      <c r="AY141" s="77" t="str">
        <f>IF(D141&lt;&gt;"",IF(LEFT(IFERROR(VLOOKUP(D141,'LPA Lookup'!$A$100:$C$470,2,FALSE),"LPA not known to MCLHG"),3)&lt;&gt;"JSP",IFERROR(VLOOKUP(D141,'LPA Lookup'!$A$100:$C$470,2,FALSE),"LPA not known to MCLHG"),VLOOKUP(D141&amp;B141,$A$100:$B$470,3,FALSE)),"")</f>
        <v>LPA not known to MCLHG</v>
      </c>
      <c r="AZ141" s="41" t="str">
        <f t="shared" si="9"/>
        <v>Jul 17</v>
      </c>
      <c r="BA141" s="41" t="str">
        <f t="shared" si="10"/>
        <v>Jun 18</v>
      </c>
    </row>
    <row r="142" spans="1:53" ht="14" x14ac:dyDescent="0.15">
      <c r="A142" s="35" t="s">
        <v>53</v>
      </c>
      <c r="B142" s="35">
        <v>1745</v>
      </c>
      <c r="C142" s="27" t="s">
        <v>54</v>
      </c>
      <c r="D142" s="27" t="s">
        <v>389</v>
      </c>
      <c r="E142" s="27" t="s">
        <v>56</v>
      </c>
      <c r="F142" s="27" t="s">
        <v>57</v>
      </c>
      <c r="G142" s="27">
        <v>3</v>
      </c>
      <c r="H142" s="28">
        <v>42639</v>
      </c>
      <c r="I142" s="27"/>
      <c r="J142" s="28">
        <v>42930</v>
      </c>
      <c r="K142" s="27"/>
      <c r="L142" s="27"/>
      <c r="M142" s="28">
        <v>42930</v>
      </c>
      <c r="N142" s="28"/>
      <c r="O142" s="28">
        <v>43123</v>
      </c>
      <c r="P142" s="27"/>
      <c r="Q142" s="28">
        <v>43216</v>
      </c>
      <c r="R142" s="27"/>
      <c r="S142" s="27"/>
      <c r="T142" s="27"/>
      <c r="U142" s="27"/>
      <c r="V142" s="27"/>
      <c r="W142" s="27"/>
      <c r="X142" s="27">
        <v>55.34</v>
      </c>
      <c r="Y142" s="27">
        <v>12.99</v>
      </c>
      <c r="Z142" s="27"/>
      <c r="AA142" s="27">
        <v>3.08</v>
      </c>
      <c r="AB142" s="27">
        <v>11.09</v>
      </c>
      <c r="AC142" s="27"/>
      <c r="AD142" s="27">
        <v>66.92</v>
      </c>
      <c r="AE142" s="37">
        <f>AllPlans[[#This Row],[Prep days*]]+AllPlans[[#This Row],[Hearing days*]]+AllPlans[[#This Row],[SV days*]]+AllPlans[[#This Row],[Travel days]]+AllPlans[[#This Row],[Reptg days*]]</f>
        <v>149.42000000000002</v>
      </c>
      <c r="AF142" s="27"/>
      <c r="AG142" s="28">
        <v>43530</v>
      </c>
      <c r="AH142" s="27"/>
      <c r="AI142" s="28">
        <v>43523</v>
      </c>
      <c r="AJ142" s="27"/>
      <c r="AK142" s="28">
        <v>43529</v>
      </c>
      <c r="AL142" s="27"/>
      <c r="AM142" s="28">
        <v>43530</v>
      </c>
      <c r="AN142" s="27"/>
      <c r="AO142" s="28">
        <v>43551</v>
      </c>
      <c r="AP142" s="27"/>
      <c r="AQ142" s="28">
        <v>43620</v>
      </c>
      <c r="AR142" s="27"/>
      <c r="AS142" s="28"/>
      <c r="AT142" s="27"/>
      <c r="AU142" s="27" t="s">
        <v>59</v>
      </c>
      <c r="AV142" s="40">
        <v>85</v>
      </c>
      <c r="AW142" s="39">
        <f t="shared" si="8"/>
        <v>47.857142857142854</v>
      </c>
      <c r="AX142" s="27"/>
      <c r="AY142" s="77" t="str">
        <f>IF(D142&lt;&gt;"",IF(LEFT(IFERROR(VLOOKUP(D142,'LPA Lookup'!$A$100:$C$470,2,FALSE),"LPA not known to MCLHG"),3)&lt;&gt;"JSP",IFERROR(VLOOKUP(D142,'LPA Lookup'!$A$100:$C$470,2,FALSE),"LPA not known to MCLHG"),VLOOKUP(D142&amp;B142,$A$100:$B$470,3,FALSE)),"")</f>
        <v>E07000220</v>
      </c>
      <c r="AZ142" s="41" t="str">
        <f t="shared" si="9"/>
        <v>Jul 17</v>
      </c>
      <c r="BA142" s="41" t="str">
        <f t="shared" si="10"/>
        <v>Mar 19</v>
      </c>
    </row>
    <row r="143" spans="1:53" ht="14" x14ac:dyDescent="0.15">
      <c r="A143" s="35" t="s">
        <v>53</v>
      </c>
      <c r="B143" s="35">
        <v>1822</v>
      </c>
      <c r="C143" s="27" t="s">
        <v>83</v>
      </c>
      <c r="D143" s="27" t="s">
        <v>390</v>
      </c>
      <c r="E143" s="27" t="s">
        <v>56</v>
      </c>
      <c r="F143" s="27" t="s">
        <v>57</v>
      </c>
      <c r="G143" s="27">
        <v>3</v>
      </c>
      <c r="H143" s="28">
        <v>42837</v>
      </c>
      <c r="I143" s="27"/>
      <c r="J143" s="28">
        <v>42936</v>
      </c>
      <c r="K143" s="27"/>
      <c r="L143" s="27"/>
      <c r="M143" s="28">
        <v>42936</v>
      </c>
      <c r="N143" s="28"/>
      <c r="O143" s="28">
        <v>43046</v>
      </c>
      <c r="P143" s="27"/>
      <c r="Q143" s="28">
        <v>43075</v>
      </c>
      <c r="R143" s="27"/>
      <c r="S143" s="27"/>
      <c r="T143" s="27"/>
      <c r="U143" s="27"/>
      <c r="V143" s="27"/>
      <c r="W143" s="27"/>
      <c r="X143" s="27">
        <v>43.07</v>
      </c>
      <c r="Y143" s="27">
        <v>8.83</v>
      </c>
      <c r="Z143" s="27"/>
      <c r="AA143" s="27">
        <v>0.97</v>
      </c>
      <c r="AB143" s="27">
        <v>8.56</v>
      </c>
      <c r="AC143" s="27"/>
      <c r="AD143" s="27">
        <v>20.8</v>
      </c>
      <c r="AE143" s="37">
        <f>AllPlans[[#This Row],[Prep days*]]+AllPlans[[#This Row],[Hearing days*]]+AllPlans[[#This Row],[SV days*]]+AllPlans[[#This Row],[Travel days]]+AllPlans[[#This Row],[Reptg days*]]</f>
        <v>82.23</v>
      </c>
      <c r="AF143" s="27"/>
      <c r="AG143" s="28">
        <v>43280</v>
      </c>
      <c r="AH143" s="27"/>
      <c r="AI143" s="28">
        <v>43265</v>
      </c>
      <c r="AJ143" s="27"/>
      <c r="AK143" s="28">
        <v>43278</v>
      </c>
      <c r="AL143" s="27"/>
      <c r="AM143" s="28">
        <v>43280</v>
      </c>
      <c r="AN143" s="27"/>
      <c r="AO143" s="28">
        <v>43290</v>
      </c>
      <c r="AP143" s="27"/>
      <c r="AQ143" s="28">
        <v>43312</v>
      </c>
      <c r="AR143" s="27"/>
      <c r="AS143" s="28"/>
      <c r="AT143" s="27"/>
      <c r="AU143" s="27" t="s">
        <v>59</v>
      </c>
      <c r="AV143" s="40">
        <v>75.285714285714292</v>
      </c>
      <c r="AW143" s="39">
        <f t="shared" si="8"/>
        <v>30.714285714285715</v>
      </c>
      <c r="AX143" s="27"/>
      <c r="AY143" s="77" t="str">
        <f>IF(D143&lt;&gt;"",IF(LEFT(IFERROR(VLOOKUP(D143,'LPA Lookup'!$A$100:$C$470,2,FALSE),"LPA not known to MCLHG"),3)&lt;&gt;"JSP",IFERROR(VLOOKUP(D143,'LPA Lookup'!$A$100:$C$470,2,FALSE),"LPA not known to MCLHG"),VLOOKUP(D143&amp;B143,$A$100:$B$470,3,FALSE)),"")</f>
        <v>LPA not known to MCLHG</v>
      </c>
      <c r="AZ143" s="41" t="str">
        <f t="shared" si="9"/>
        <v>Jul 17</v>
      </c>
      <c r="BA143" s="41" t="str">
        <f t="shared" si="10"/>
        <v>Jul 18</v>
      </c>
    </row>
    <row r="144" spans="1:53" ht="28" x14ac:dyDescent="0.15">
      <c r="A144" s="35" t="s">
        <v>53</v>
      </c>
      <c r="B144" s="46">
        <v>1834</v>
      </c>
      <c r="C144" s="27" t="s">
        <v>83</v>
      </c>
      <c r="D144" s="29" t="s">
        <v>391</v>
      </c>
      <c r="E144" s="29" t="s">
        <v>392</v>
      </c>
      <c r="F144" s="29" t="s">
        <v>107</v>
      </c>
      <c r="G144" s="29">
        <v>2</v>
      </c>
      <c r="H144" s="30">
        <v>42853</v>
      </c>
      <c r="I144" s="29"/>
      <c r="J144" s="30">
        <v>42944</v>
      </c>
      <c r="K144" s="29"/>
      <c r="L144" s="29"/>
      <c r="M144" s="30">
        <v>42944</v>
      </c>
      <c r="N144" s="30"/>
      <c r="O144" s="30">
        <v>43430</v>
      </c>
      <c r="P144" s="29"/>
      <c r="Q144" s="30">
        <v>43489</v>
      </c>
      <c r="R144" s="29"/>
      <c r="S144" s="29"/>
      <c r="T144" s="29"/>
      <c r="U144" s="29"/>
      <c r="V144" s="29"/>
      <c r="W144" s="29"/>
      <c r="X144" s="27">
        <v>22.21</v>
      </c>
      <c r="Y144" s="27">
        <v>5.14</v>
      </c>
      <c r="Z144" s="27"/>
      <c r="AA144" s="27">
        <v>4.1100000000000003</v>
      </c>
      <c r="AB144" s="27">
        <v>6.52</v>
      </c>
      <c r="AC144" s="27"/>
      <c r="AD144" s="27">
        <v>33.770000000000003</v>
      </c>
      <c r="AE144" s="37">
        <v>79</v>
      </c>
      <c r="AF144" s="29"/>
      <c r="AG144" s="30">
        <v>43714</v>
      </c>
      <c r="AH144" s="29"/>
      <c r="AI144" s="30">
        <v>43711</v>
      </c>
      <c r="AJ144" s="29"/>
      <c r="AK144" s="30">
        <v>43712</v>
      </c>
      <c r="AL144" s="29"/>
      <c r="AM144" s="30">
        <v>43712</v>
      </c>
      <c r="AN144" s="29"/>
      <c r="AO144" s="30">
        <v>43718</v>
      </c>
      <c r="AP144" s="29"/>
      <c r="AQ144" s="30">
        <v>43753</v>
      </c>
      <c r="AR144" s="29"/>
      <c r="AS144" s="30"/>
      <c r="AT144" s="29"/>
      <c r="AU144" s="29" t="s">
        <v>59</v>
      </c>
      <c r="AV144" s="38">
        <v>69.571428571428569</v>
      </c>
      <c r="AW144" s="49">
        <f t="shared" si="8"/>
        <v>32.714285714285715</v>
      </c>
      <c r="AX144" s="29"/>
      <c r="AY144" s="77" t="str">
        <f>IF(D144&lt;&gt;"",IF(LEFT(IFERROR(VLOOKUP(D144,'LPA Lookup'!$A$100:$C$470,2,FALSE),"LPA not known to MCLHG"),3)&lt;&gt;"JSP",IFERROR(VLOOKUP(D144,'LPA Lookup'!$A$100:$C$470,2,FALSE),"LPA not known to MCLHG"),VLOOKUP(D144&amp;B144,$A$100:$B$470,3,FALSE)),"")</f>
        <v>E07000124</v>
      </c>
      <c r="AZ144" s="41" t="str">
        <f t="shared" si="9"/>
        <v>Jul 17</v>
      </c>
      <c r="BA144" s="41" t="str">
        <f t="shared" si="10"/>
        <v>Sep 19</v>
      </c>
    </row>
    <row r="145" spans="1:53" ht="14" x14ac:dyDescent="0.15">
      <c r="A145" s="35" t="s">
        <v>53</v>
      </c>
      <c r="B145" s="35">
        <v>1819</v>
      </c>
      <c r="C145" s="27" t="s">
        <v>67</v>
      </c>
      <c r="D145" s="27" t="s">
        <v>393</v>
      </c>
      <c r="E145" s="27" t="s">
        <v>394</v>
      </c>
      <c r="F145" s="27" t="s">
        <v>57</v>
      </c>
      <c r="G145" s="27">
        <v>3</v>
      </c>
      <c r="H145" s="28">
        <v>42809</v>
      </c>
      <c r="I145" s="27"/>
      <c r="J145" s="28">
        <v>42947</v>
      </c>
      <c r="K145" s="27"/>
      <c r="L145" s="27"/>
      <c r="M145" s="28">
        <v>42947</v>
      </c>
      <c r="N145" s="28"/>
      <c r="O145" s="28">
        <v>43130</v>
      </c>
      <c r="P145" s="27"/>
      <c r="Q145" s="28">
        <v>43180</v>
      </c>
      <c r="R145" s="27"/>
      <c r="S145" s="27"/>
      <c r="T145" s="27"/>
      <c r="U145" s="27"/>
      <c r="V145" s="27"/>
      <c r="W145" s="27"/>
      <c r="X145" s="27">
        <v>21.89</v>
      </c>
      <c r="Y145" s="27">
        <v>7.64</v>
      </c>
      <c r="Z145" s="27"/>
      <c r="AA145" s="27"/>
      <c r="AB145" s="27">
        <v>2.4300000000000002</v>
      </c>
      <c r="AC145" s="27"/>
      <c r="AD145" s="27">
        <v>10.34</v>
      </c>
      <c r="AE145" s="37">
        <v>157.16999999999999</v>
      </c>
      <c r="AF145" s="27"/>
      <c r="AG145" s="28">
        <v>43542</v>
      </c>
      <c r="AH145" s="27"/>
      <c r="AI145" s="28">
        <v>43537</v>
      </c>
      <c r="AJ145" s="27"/>
      <c r="AK145" s="28">
        <v>43542</v>
      </c>
      <c r="AL145" s="27"/>
      <c r="AM145" s="28">
        <v>43542</v>
      </c>
      <c r="AN145" s="27"/>
      <c r="AO145" s="28">
        <v>43542</v>
      </c>
      <c r="AP145" s="27"/>
      <c r="AQ145" s="28">
        <v>43550</v>
      </c>
      <c r="AR145" s="27"/>
      <c r="AS145" s="28"/>
      <c r="AT145" s="27"/>
      <c r="AU145" s="27" t="s">
        <v>59</v>
      </c>
      <c r="AV145" s="40">
        <v>33.571428571428569</v>
      </c>
      <c r="AW145" s="39">
        <f t="shared" si="8"/>
        <v>51.714285714285715</v>
      </c>
      <c r="AX145" s="27"/>
      <c r="AY145" s="77" t="e">
        <f>IF(D145&lt;&gt;"",IF(LEFT(IFERROR(VLOOKUP(D145,'LPA Lookup'!$A$100:$C$470,2,FALSE),"LPA not known to MCLHG"),3)&lt;&gt;"JSP",IFERROR(VLOOKUP(D145,'LPA Lookup'!$A$100:$C$470,2,FALSE),"LPA not known to MCLHG"),VLOOKUP(D145&amp;B145,$A$100:$B$470,3,FALSE)),"")</f>
        <v>#N/A</v>
      </c>
      <c r="AZ145" s="41" t="str">
        <f t="shared" si="9"/>
        <v>Jul 17</v>
      </c>
      <c r="BA145" s="41" t="str">
        <f t="shared" si="10"/>
        <v>Mar 19</v>
      </c>
    </row>
    <row r="146" spans="1:53" ht="14" x14ac:dyDescent="0.15">
      <c r="A146" s="35" t="s">
        <v>53</v>
      </c>
      <c r="B146" s="35">
        <v>1811</v>
      </c>
      <c r="C146" s="27" t="s">
        <v>67</v>
      </c>
      <c r="D146" s="27" t="s">
        <v>395</v>
      </c>
      <c r="E146" s="27" t="s">
        <v>56</v>
      </c>
      <c r="F146" s="27" t="s">
        <v>57</v>
      </c>
      <c r="G146" s="27">
        <v>3</v>
      </c>
      <c r="H146" s="28">
        <v>42765</v>
      </c>
      <c r="I146" s="27"/>
      <c r="J146" s="28">
        <v>42948</v>
      </c>
      <c r="K146" s="27"/>
      <c r="L146" s="27"/>
      <c r="M146" s="28">
        <v>42948</v>
      </c>
      <c r="N146" s="28"/>
      <c r="O146" s="28">
        <v>43081</v>
      </c>
      <c r="P146" s="27"/>
      <c r="Q146" s="28">
        <v>43181</v>
      </c>
      <c r="R146" s="27"/>
      <c r="S146" s="27"/>
      <c r="T146" s="27"/>
      <c r="U146" s="27"/>
      <c r="V146" s="27"/>
      <c r="W146" s="27"/>
      <c r="X146" s="27">
        <v>19.29</v>
      </c>
      <c r="Y146" s="27">
        <v>1.62</v>
      </c>
      <c r="Z146" s="27"/>
      <c r="AA146" s="27"/>
      <c r="AB146" s="27">
        <v>1.62</v>
      </c>
      <c r="AC146" s="27"/>
      <c r="AD146" s="27">
        <v>29.27</v>
      </c>
      <c r="AE146" s="37">
        <v>88.78</v>
      </c>
      <c r="AF146" s="27"/>
      <c r="AG146" s="28">
        <v>43453</v>
      </c>
      <c r="AH146" s="27"/>
      <c r="AI146" s="28">
        <v>43440</v>
      </c>
      <c r="AJ146" s="27"/>
      <c r="AK146" s="28">
        <v>43448</v>
      </c>
      <c r="AL146" s="27"/>
      <c r="AM146" s="28">
        <v>43451</v>
      </c>
      <c r="AN146" s="27"/>
      <c r="AO146" s="28">
        <v>43475</v>
      </c>
      <c r="AP146" s="27"/>
      <c r="AQ146" s="28">
        <v>43516</v>
      </c>
      <c r="AR146" s="27"/>
      <c r="AS146" s="28"/>
      <c r="AT146" s="27"/>
      <c r="AU146" s="27" t="s">
        <v>59</v>
      </c>
      <c r="AV146" s="40">
        <v>73.428571428571431</v>
      </c>
      <c r="AW146" s="39">
        <f t="shared" si="8"/>
        <v>42</v>
      </c>
      <c r="AX146" s="27"/>
      <c r="AY146" s="77" t="str">
        <f>IF(D146&lt;&gt;"",IF(LEFT(IFERROR(VLOOKUP(D146,'LPA Lookup'!$A$100:$C$470,2,FALSE),"LPA not known to MCLHG"),3)&lt;&gt;"JSP",IFERROR(VLOOKUP(D146,'LPA Lookup'!$A$100:$C$470,2,FALSE),"LPA not known to MCLHG"),VLOOKUP(D146&amp;B146,$A$100:$B$470,3,FALSE)),"")</f>
        <v>E07000188</v>
      </c>
      <c r="AZ146" s="41" t="str">
        <f t="shared" si="9"/>
        <v>Aug 17</v>
      </c>
      <c r="BA146" s="41" t="str">
        <f t="shared" si="10"/>
        <v>Jan 19</v>
      </c>
    </row>
    <row r="147" spans="1:53" ht="14" x14ac:dyDescent="0.15">
      <c r="A147" s="35" t="s">
        <v>53</v>
      </c>
      <c r="B147" s="35">
        <v>1798</v>
      </c>
      <c r="C147" s="27" t="s">
        <v>90</v>
      </c>
      <c r="D147" s="27" t="s">
        <v>396</v>
      </c>
      <c r="E147" s="27" t="s">
        <v>56</v>
      </c>
      <c r="F147" s="27" t="s">
        <v>57</v>
      </c>
      <c r="G147" s="27">
        <v>3</v>
      </c>
      <c r="H147" s="28">
        <v>42688</v>
      </c>
      <c r="I147" s="27"/>
      <c r="J147" s="28">
        <v>42958</v>
      </c>
      <c r="K147" s="27"/>
      <c r="L147" s="27"/>
      <c r="M147" s="28">
        <v>42958</v>
      </c>
      <c r="N147" s="28"/>
      <c r="O147" s="28">
        <v>43073</v>
      </c>
      <c r="P147" s="27"/>
      <c r="Q147" s="28">
        <v>43083</v>
      </c>
      <c r="R147" s="27"/>
      <c r="S147" s="27"/>
      <c r="T147" s="27"/>
      <c r="U147" s="27"/>
      <c r="V147" s="27"/>
      <c r="W147" s="27"/>
      <c r="X147" s="27">
        <v>27.9</v>
      </c>
      <c r="Y147" s="27">
        <v>5.42</v>
      </c>
      <c r="Z147" s="27"/>
      <c r="AA147" s="27"/>
      <c r="AB147" s="27">
        <v>1.74</v>
      </c>
      <c r="AC147" s="27"/>
      <c r="AD147" s="27">
        <v>31.42</v>
      </c>
      <c r="AE147" s="37">
        <v>72.87</v>
      </c>
      <c r="AF147" s="27"/>
      <c r="AG147" s="28">
        <v>43434</v>
      </c>
      <c r="AH147" s="27"/>
      <c r="AI147" s="28">
        <v>43419</v>
      </c>
      <c r="AJ147" s="27"/>
      <c r="AK147" s="28">
        <v>43445</v>
      </c>
      <c r="AL147" s="27"/>
      <c r="AM147" s="28">
        <v>43430</v>
      </c>
      <c r="AN147" s="27"/>
      <c r="AO147" s="28">
        <v>43445</v>
      </c>
      <c r="AP147" s="27"/>
      <c r="AQ147" s="28">
        <v>43481</v>
      </c>
      <c r="AR147" s="27"/>
      <c r="AS147" s="28"/>
      <c r="AT147" s="27"/>
      <c r="AU147" s="27" t="s">
        <v>59</v>
      </c>
      <c r="AV147" s="40">
        <v>49.285714285714285</v>
      </c>
      <c r="AW147" s="39">
        <f t="shared" si="8"/>
        <v>51.714285714285715</v>
      </c>
      <c r="AX147" s="27"/>
      <c r="AY147" s="77" t="str">
        <f>IF(D147&lt;&gt;"",IF(LEFT(IFERROR(VLOOKUP(D147,'LPA Lookup'!$A$100:$C$470,2,FALSE),"LPA not known to MCLHG"),3)&lt;&gt;"JSP",IFERROR(VLOOKUP(D147,'LPA Lookup'!$A$100:$C$470,2,FALSE),"LPA not known to MCLHG"),VLOOKUP(D147&amp;B147,$A$100:$B$470,3,FALSE)),"")</f>
        <v>LPA not known to MCLHG</v>
      </c>
      <c r="AZ147" s="41" t="str">
        <f t="shared" si="9"/>
        <v>Aug 17</v>
      </c>
      <c r="BA147" s="41" t="str">
        <f t="shared" si="10"/>
        <v>Dec 18</v>
      </c>
    </row>
    <row r="148" spans="1:53" ht="14" x14ac:dyDescent="0.15">
      <c r="A148" s="35" t="s">
        <v>53</v>
      </c>
      <c r="B148" s="35">
        <v>1809</v>
      </c>
      <c r="C148" s="27" t="s">
        <v>54</v>
      </c>
      <c r="D148" s="27" t="s">
        <v>397</v>
      </c>
      <c r="E148" s="27" t="s">
        <v>118</v>
      </c>
      <c r="F148" s="27" t="s">
        <v>107</v>
      </c>
      <c r="G148" s="27">
        <v>2</v>
      </c>
      <c r="H148" s="28">
        <v>42751</v>
      </c>
      <c r="I148" s="27"/>
      <c r="J148" s="28">
        <v>42993</v>
      </c>
      <c r="K148" s="27"/>
      <c r="L148" s="27"/>
      <c r="M148" s="28">
        <v>42993</v>
      </c>
      <c r="N148" s="28"/>
      <c r="O148" s="28">
        <v>43067</v>
      </c>
      <c r="P148" s="27"/>
      <c r="Q148" s="28">
        <v>43077</v>
      </c>
      <c r="R148" s="27"/>
      <c r="S148" s="27"/>
      <c r="T148" s="27"/>
      <c r="U148" s="27"/>
      <c r="V148" s="27"/>
      <c r="W148" s="27"/>
      <c r="X148" s="29">
        <v>78.56</v>
      </c>
      <c r="Y148" s="29">
        <v>15.59</v>
      </c>
      <c r="Z148" s="29"/>
      <c r="AA148" s="29">
        <v>0.34</v>
      </c>
      <c r="AB148" s="29">
        <v>6.91</v>
      </c>
      <c r="AC148" s="29"/>
      <c r="AD148" s="29">
        <v>73.11</v>
      </c>
      <c r="AE148" s="37">
        <f>AllPlans[[#This Row],[Prep days*]]+AllPlans[[#This Row],[Hearing days*]]+AllPlans[[#This Row],[SV days*]]+AllPlans[[#This Row],[Travel days]]+AllPlans[[#This Row],[Reptg days*]]</f>
        <v>174.51</v>
      </c>
      <c r="AF148" s="27"/>
      <c r="AG148" s="28">
        <v>43221</v>
      </c>
      <c r="AH148" s="27"/>
      <c r="AI148" s="28">
        <v>43199</v>
      </c>
      <c r="AJ148" s="27"/>
      <c r="AK148" s="28">
        <v>43213</v>
      </c>
      <c r="AL148" s="27"/>
      <c r="AM148" s="28">
        <v>43214</v>
      </c>
      <c r="AN148" s="27"/>
      <c r="AO148" s="28">
        <v>43228</v>
      </c>
      <c r="AP148" s="27"/>
      <c r="AQ148" s="28">
        <v>43354</v>
      </c>
      <c r="AR148" s="27"/>
      <c r="AS148" s="28"/>
      <c r="AT148" s="27"/>
      <c r="AU148" s="27" t="s">
        <v>59</v>
      </c>
      <c r="AV148" s="38">
        <f>SUM(AO148-J148)/7</f>
        <v>33.571428571428569</v>
      </c>
      <c r="AW148" s="39">
        <f t="shared" si="8"/>
        <v>21.571428571428573</v>
      </c>
      <c r="AX148" s="27"/>
      <c r="AY148" s="77" t="str">
        <f>IF(D148&lt;&gt;"",IF(LEFT(IFERROR(VLOOKUP(D148,'LPA Lookup'!$A$100:$C$470,2,FALSE),"LPA not known to MCLHG"),3)&lt;&gt;"JSP",IFERROR(VLOOKUP(D148,'LPA Lookup'!$A$100:$C$470,2,FALSE),"LPA not known to MCLHG"),VLOOKUP(D148&amp;B148,$A$100:$B$470,3,FALSE)),"")</f>
        <v>E07000196</v>
      </c>
      <c r="AZ148" s="41" t="str">
        <f t="shared" si="9"/>
        <v>Sep 17</v>
      </c>
      <c r="BA148" s="41" t="str">
        <f t="shared" si="10"/>
        <v>May 18</v>
      </c>
    </row>
    <row r="149" spans="1:53" ht="14" x14ac:dyDescent="0.15">
      <c r="A149" s="35" t="s">
        <v>53</v>
      </c>
      <c r="B149" s="35">
        <v>1847</v>
      </c>
      <c r="C149" s="27" t="s">
        <v>104</v>
      </c>
      <c r="D149" s="27" t="s">
        <v>398</v>
      </c>
      <c r="E149" s="27" t="s">
        <v>399</v>
      </c>
      <c r="F149" s="27" t="s">
        <v>57</v>
      </c>
      <c r="G149" s="27">
        <v>3</v>
      </c>
      <c r="H149" s="28">
        <v>42933</v>
      </c>
      <c r="I149" s="27"/>
      <c r="J149" s="28">
        <v>43007</v>
      </c>
      <c r="K149" s="27"/>
      <c r="L149" s="27"/>
      <c r="M149" s="28">
        <v>43007</v>
      </c>
      <c r="N149" s="28"/>
      <c r="O149" s="28">
        <v>43132</v>
      </c>
      <c r="P149" s="27"/>
      <c r="Q149" s="28">
        <v>43133</v>
      </c>
      <c r="R149" s="27"/>
      <c r="S149" s="27"/>
      <c r="T149" s="27"/>
      <c r="U149" s="27"/>
      <c r="V149" s="27"/>
      <c r="W149" s="27"/>
      <c r="X149" s="27">
        <v>20.23</v>
      </c>
      <c r="Y149" s="27">
        <v>2.0299999999999998</v>
      </c>
      <c r="Z149" s="27"/>
      <c r="AA149" s="27">
        <v>0.61</v>
      </c>
      <c r="AB149" s="27">
        <v>0.8</v>
      </c>
      <c r="AC149" s="27"/>
      <c r="AD149" s="27">
        <v>13.05</v>
      </c>
      <c r="AE149" s="37">
        <v>51.75</v>
      </c>
      <c r="AF149" s="27"/>
      <c r="AG149" s="28">
        <v>43518</v>
      </c>
      <c r="AH149" s="27"/>
      <c r="AI149" s="28">
        <v>43511</v>
      </c>
      <c r="AJ149" s="27"/>
      <c r="AK149" s="28">
        <v>43517</v>
      </c>
      <c r="AL149" s="27"/>
      <c r="AM149" s="28">
        <v>43517</v>
      </c>
      <c r="AN149" s="27"/>
      <c r="AO149" s="28">
        <v>43521</v>
      </c>
      <c r="AP149" s="27"/>
      <c r="AQ149" s="28">
        <v>43531</v>
      </c>
      <c r="AR149" s="27"/>
      <c r="AS149" s="28"/>
      <c r="AT149" s="27"/>
      <c r="AU149" s="27" t="s">
        <v>59</v>
      </c>
      <c r="AV149" s="40">
        <v>46</v>
      </c>
      <c r="AW149" s="39">
        <f t="shared" si="8"/>
        <v>55.428571428571431</v>
      </c>
      <c r="AX149" s="27"/>
      <c r="AY149" s="77" t="str">
        <f>IF(D149&lt;&gt;"",IF(LEFT(IFERROR(VLOOKUP(D149,'LPA Lookup'!$A$100:$C$470,2,FALSE),"LPA not known to MCLHG"),3)&lt;&gt;"JSP",IFERROR(VLOOKUP(D149,'LPA Lookup'!$A$100:$C$470,2,FALSE),"LPA not known to MCLHG"),VLOOKUP(D149&amp;B149,$A$100:$B$470,3,FALSE)),"")</f>
        <v>E07000175</v>
      </c>
      <c r="AZ149" s="41" t="str">
        <f t="shared" si="9"/>
        <v>Sep 17</v>
      </c>
      <c r="BA149" s="41" t="str">
        <f t="shared" si="10"/>
        <v>Feb 19</v>
      </c>
    </row>
    <row r="150" spans="1:53" ht="14" x14ac:dyDescent="0.15">
      <c r="A150" s="35" t="s">
        <v>53</v>
      </c>
      <c r="B150" s="35">
        <v>1795</v>
      </c>
      <c r="C150" s="27" t="s">
        <v>104</v>
      </c>
      <c r="D150" s="27" t="s">
        <v>400</v>
      </c>
      <c r="E150" s="27" t="s">
        <v>56</v>
      </c>
      <c r="F150" s="27" t="s">
        <v>57</v>
      </c>
      <c r="G150" s="27">
        <v>3</v>
      </c>
      <c r="H150" s="28">
        <v>42682</v>
      </c>
      <c r="I150" s="27"/>
      <c r="J150" s="28">
        <v>43012</v>
      </c>
      <c r="K150" s="27"/>
      <c r="L150" s="27"/>
      <c r="M150" s="28">
        <v>43014</v>
      </c>
      <c r="N150" s="28"/>
      <c r="O150" s="28">
        <v>43130</v>
      </c>
      <c r="P150" s="27"/>
      <c r="Q150" s="28">
        <v>43139</v>
      </c>
      <c r="R150" s="27"/>
      <c r="S150" s="27"/>
      <c r="T150" s="27"/>
      <c r="U150" s="27"/>
      <c r="V150" s="27"/>
      <c r="W150" s="27"/>
      <c r="X150" s="27">
        <v>12.47</v>
      </c>
      <c r="Y150" s="27">
        <v>1.08</v>
      </c>
      <c r="Z150" s="27"/>
      <c r="AA150" s="27"/>
      <c r="AB150" s="27">
        <v>2.17</v>
      </c>
      <c r="AC150" s="27"/>
      <c r="AD150" s="27">
        <v>8.6999999999999993</v>
      </c>
      <c r="AE150" s="37">
        <v>66.47</v>
      </c>
      <c r="AF150" s="27"/>
      <c r="AG150" s="28">
        <v>43350</v>
      </c>
      <c r="AH150" s="27"/>
      <c r="AI150" s="28">
        <v>43332</v>
      </c>
      <c r="AJ150" s="27"/>
      <c r="AK150" s="28">
        <v>43343</v>
      </c>
      <c r="AL150" s="27"/>
      <c r="AM150" s="28">
        <v>43343</v>
      </c>
      <c r="AN150" s="27"/>
      <c r="AO150" s="28">
        <v>43357</v>
      </c>
      <c r="AP150" s="27"/>
      <c r="AQ150" s="28">
        <v>43383</v>
      </c>
      <c r="AR150" s="27"/>
      <c r="AS150" s="28"/>
      <c r="AT150" s="27"/>
      <c r="AU150" s="27" t="s">
        <v>59</v>
      </c>
      <c r="AV150" s="40">
        <v>37.714285714285715</v>
      </c>
      <c r="AW150" s="39">
        <f t="shared" si="8"/>
        <v>31.142857142857142</v>
      </c>
      <c r="AX150" s="27"/>
      <c r="AY150" s="77" t="str">
        <f>IF(D150&lt;&gt;"",IF(LEFT(IFERROR(VLOOKUP(D150,'LPA Lookup'!$A$100:$C$470,2,FALSE),"LPA not known to MCLHG"),3)&lt;&gt;"JSP",IFERROR(VLOOKUP(D150,'LPA Lookup'!$A$100:$C$470,2,FALSE),"LPA not known to MCLHG"),VLOOKUP(D150&amp;B150,$A$100:$B$470,3,FALSE)),"")</f>
        <v>E07000133</v>
      </c>
      <c r="AZ150" s="41" t="str">
        <f t="shared" si="9"/>
        <v>Oct 17</v>
      </c>
      <c r="BA150" s="41" t="str">
        <f t="shared" si="10"/>
        <v>Sep 18</v>
      </c>
    </row>
    <row r="151" spans="1:53" ht="126" x14ac:dyDescent="0.15">
      <c r="A151" s="35" t="s">
        <v>53</v>
      </c>
      <c r="B151" s="46">
        <v>1854</v>
      </c>
      <c r="C151" s="29" t="s">
        <v>71</v>
      </c>
      <c r="D151" s="29" t="s">
        <v>401</v>
      </c>
      <c r="E151" s="29" t="s">
        <v>402</v>
      </c>
      <c r="F151" s="29" t="s">
        <v>57</v>
      </c>
      <c r="G151" s="29">
        <v>3</v>
      </c>
      <c r="H151" s="30">
        <v>42902</v>
      </c>
      <c r="I151" s="29"/>
      <c r="J151" s="30">
        <v>43017</v>
      </c>
      <c r="K151" s="29"/>
      <c r="L151" s="29"/>
      <c r="M151" s="30">
        <v>43018</v>
      </c>
      <c r="N151" s="30"/>
      <c r="O151" s="30">
        <v>43116</v>
      </c>
      <c r="P151" s="29"/>
      <c r="Q151" s="30">
        <v>44082</v>
      </c>
      <c r="R151" s="29"/>
      <c r="S151" s="29"/>
      <c r="T151" s="29"/>
      <c r="U151" s="29"/>
      <c r="V151" s="29"/>
      <c r="W151" s="29"/>
      <c r="X151" s="27">
        <v>52.25</v>
      </c>
      <c r="Y151" s="27">
        <v>10.19</v>
      </c>
      <c r="Z151" s="27"/>
      <c r="AA151" s="27">
        <v>2.84</v>
      </c>
      <c r="AB151" s="27">
        <v>10.14</v>
      </c>
      <c r="AC151" s="27"/>
      <c r="AD151" s="27">
        <v>85.56</v>
      </c>
      <c r="AE151" s="37">
        <v>174.41</v>
      </c>
      <c r="AF151" s="29"/>
      <c r="AG151" s="30">
        <v>44174</v>
      </c>
      <c r="AH151" s="29"/>
      <c r="AI151" s="30">
        <v>44162</v>
      </c>
      <c r="AJ151" s="29"/>
      <c r="AK151" s="30">
        <v>44168</v>
      </c>
      <c r="AL151" s="29"/>
      <c r="AM151" s="30">
        <v>44173</v>
      </c>
      <c r="AN151" s="29"/>
      <c r="AO151" s="30">
        <v>44175</v>
      </c>
      <c r="AP151" s="29"/>
      <c r="AQ151" s="30">
        <v>44222</v>
      </c>
      <c r="AR151" s="29"/>
      <c r="AS151" s="30"/>
      <c r="AT151" s="29"/>
      <c r="AU151" s="29" t="s">
        <v>59</v>
      </c>
      <c r="AV151" s="38">
        <v>75.142857142857139</v>
      </c>
      <c r="AW151" s="49">
        <f t="shared" si="8"/>
        <v>13.285714285714286</v>
      </c>
      <c r="AX151" s="29" t="s">
        <v>403</v>
      </c>
      <c r="AY151" s="168" t="str">
        <f>IF(D151&lt;&gt;"",IF(LEFT(IFERROR(VLOOKUP(D151,#REF!,2,FALSE),"LPA not known to MCLHG"),3)&lt;&gt;"JSP",IFERROR(VLOOKUP(D151,#REF!,2,FALSE),"LPA not known to MCLHG"),VLOOKUP(D151&amp;B151,#REF!,3,FALSE)),"")</f>
        <v>LPA not known to MCLHG</v>
      </c>
      <c r="AZ151" s="41" t="str">
        <f t="shared" si="9"/>
        <v>Oct 17</v>
      </c>
      <c r="BA151" s="41" t="str">
        <f t="shared" si="10"/>
        <v>Dec 20</v>
      </c>
    </row>
    <row r="152" spans="1:53" s="87" customFormat="1" ht="15" x14ac:dyDescent="0.15">
      <c r="A152" s="35" t="s">
        <v>53</v>
      </c>
      <c r="B152" s="46">
        <v>1842</v>
      </c>
      <c r="C152" s="29" t="s">
        <v>71</v>
      </c>
      <c r="D152" s="29" t="s">
        <v>404</v>
      </c>
      <c r="E152" s="29" t="s">
        <v>405</v>
      </c>
      <c r="F152" s="29" t="s">
        <v>107</v>
      </c>
      <c r="G152" s="29">
        <v>3</v>
      </c>
      <c r="H152" s="30">
        <v>42902</v>
      </c>
      <c r="I152" s="27"/>
      <c r="J152" s="30">
        <v>43017</v>
      </c>
      <c r="K152" s="27"/>
      <c r="L152" s="56"/>
      <c r="M152" s="30">
        <v>44042</v>
      </c>
      <c r="N152" s="28"/>
      <c r="O152" s="30">
        <v>44250</v>
      </c>
      <c r="P152" s="29" t="s">
        <v>406</v>
      </c>
      <c r="Q152" s="30">
        <v>44259</v>
      </c>
      <c r="R152" s="27"/>
      <c r="S152" s="27"/>
      <c r="T152" s="27"/>
      <c r="U152" s="27"/>
      <c r="V152" s="27"/>
      <c r="W152" s="27"/>
      <c r="X152" s="29">
        <v>42.85</v>
      </c>
      <c r="Y152" s="29">
        <v>13.53</v>
      </c>
      <c r="Z152" s="29"/>
      <c r="AA152" s="29">
        <v>2.98</v>
      </c>
      <c r="AB152" s="29">
        <v>11.29</v>
      </c>
      <c r="AC152" s="29"/>
      <c r="AD152" s="29">
        <v>35.56</v>
      </c>
      <c r="AE152" s="48">
        <f>AllPlans[[#This Row],[Prep days*]]+AllPlans[[#This Row],[Hearing days*]]+AllPlans[[#This Row],[SV days*]]+AllPlans[[#This Row],[Travel days]]+AllPlans[[#This Row],[Reptg days*]]</f>
        <v>106.21000000000001</v>
      </c>
      <c r="AF152" s="29"/>
      <c r="AG152" s="30">
        <v>44518</v>
      </c>
      <c r="AH152" s="27"/>
      <c r="AI152" s="30">
        <v>44509</v>
      </c>
      <c r="AJ152" s="27"/>
      <c r="AK152" s="30">
        <v>44515</v>
      </c>
      <c r="AL152" s="27"/>
      <c r="AM152" s="30">
        <v>44518</v>
      </c>
      <c r="AN152" s="27"/>
      <c r="AO152" s="30">
        <v>44524</v>
      </c>
      <c r="AP152" s="27"/>
      <c r="AQ152" s="30">
        <v>44586</v>
      </c>
      <c r="AR152" s="27"/>
      <c r="AS152" s="30"/>
      <c r="AT152" s="27"/>
      <c r="AU152" s="29" t="s">
        <v>59</v>
      </c>
      <c r="AV152" s="50">
        <v>66.857142857142861</v>
      </c>
      <c r="AW152" s="49"/>
      <c r="AX152" s="29"/>
      <c r="AY152" s="298" t="s">
        <v>407</v>
      </c>
      <c r="AZ152" s="51" t="str">
        <f t="shared" si="9"/>
        <v>Oct 17</v>
      </c>
      <c r="BA152" s="51" t="str">
        <f t="shared" si="10"/>
        <v>Nov 21</v>
      </c>
    </row>
    <row r="153" spans="1:53" ht="15" x14ac:dyDescent="0.15">
      <c r="A153" s="35" t="s">
        <v>53</v>
      </c>
      <c r="B153" s="46">
        <v>1841</v>
      </c>
      <c r="C153" s="29" t="s">
        <v>71</v>
      </c>
      <c r="D153" s="29" t="s">
        <v>408</v>
      </c>
      <c r="E153" s="29" t="s">
        <v>405</v>
      </c>
      <c r="F153" s="29" t="s">
        <v>107</v>
      </c>
      <c r="G153" s="29">
        <v>3</v>
      </c>
      <c r="H153" s="30">
        <v>42902</v>
      </c>
      <c r="I153" s="29"/>
      <c r="J153" s="30">
        <v>43017</v>
      </c>
      <c r="K153" s="29"/>
      <c r="L153" s="56"/>
      <c r="M153" s="30">
        <v>44042</v>
      </c>
      <c r="N153" s="30"/>
      <c r="O153" s="30">
        <v>44306</v>
      </c>
      <c r="P153" s="29" t="s">
        <v>384</v>
      </c>
      <c r="Q153" s="30">
        <v>44315</v>
      </c>
      <c r="R153" s="29"/>
      <c r="S153" s="29"/>
      <c r="T153" s="29"/>
      <c r="U153" s="29"/>
      <c r="V153" s="29"/>
      <c r="W153" s="29"/>
      <c r="X153" s="29">
        <v>40.5</v>
      </c>
      <c r="Y153" s="29">
        <v>15</v>
      </c>
      <c r="Z153" s="29"/>
      <c r="AA153" s="29">
        <v>0</v>
      </c>
      <c r="AB153" s="29">
        <v>5.4</v>
      </c>
      <c r="AC153" s="29"/>
      <c r="AD153" s="29">
        <v>69.11</v>
      </c>
      <c r="AE153" s="48">
        <v>174.9</v>
      </c>
      <c r="AF153" s="29"/>
      <c r="AG153" s="30">
        <v>44692</v>
      </c>
      <c r="AH153" s="29"/>
      <c r="AI153" s="30">
        <v>44671</v>
      </c>
      <c r="AJ153" s="29"/>
      <c r="AK153" s="30">
        <v>44692</v>
      </c>
      <c r="AL153" s="29"/>
      <c r="AM153" s="30">
        <v>44692</v>
      </c>
      <c r="AN153" s="29"/>
      <c r="AO153" s="30">
        <v>44700</v>
      </c>
      <c r="AP153" s="29"/>
      <c r="AQ153" s="30">
        <v>44746</v>
      </c>
      <c r="AR153" s="29"/>
      <c r="AS153" s="30"/>
      <c r="AT153" s="29"/>
      <c r="AU153" s="29" t="s">
        <v>59</v>
      </c>
      <c r="AV153" s="83">
        <v>99.142857142857139</v>
      </c>
      <c r="AW153" s="49"/>
      <c r="AX153" s="29"/>
      <c r="AY153" s="298" t="s">
        <v>409</v>
      </c>
      <c r="AZ153" s="87" t="str">
        <f t="shared" si="9"/>
        <v>Oct 17</v>
      </c>
      <c r="BA153" s="87" t="str">
        <f t="shared" si="10"/>
        <v>May 22</v>
      </c>
    </row>
    <row r="154" spans="1:53" s="87" customFormat="1" ht="42" x14ac:dyDescent="0.15">
      <c r="A154" s="35" t="s">
        <v>53</v>
      </c>
      <c r="B154" s="84">
        <v>1840</v>
      </c>
      <c r="C154" s="31" t="s">
        <v>71</v>
      </c>
      <c r="D154" s="82" t="s">
        <v>410</v>
      </c>
      <c r="E154" s="31" t="s">
        <v>405</v>
      </c>
      <c r="F154" s="31" t="s">
        <v>107</v>
      </c>
      <c r="G154" s="31">
        <v>3</v>
      </c>
      <c r="H154" s="32">
        <v>42902</v>
      </c>
      <c r="I154" s="31"/>
      <c r="J154" s="32">
        <v>43017</v>
      </c>
      <c r="K154" s="31"/>
      <c r="L154" s="85"/>
      <c r="M154" s="32">
        <v>44042</v>
      </c>
      <c r="N154" s="32"/>
      <c r="O154" s="32">
        <v>44382</v>
      </c>
      <c r="P154" s="31" t="s">
        <v>406</v>
      </c>
      <c r="Q154" s="32">
        <v>44392</v>
      </c>
      <c r="R154" s="31"/>
      <c r="S154" s="31"/>
      <c r="T154" s="31"/>
      <c r="U154" s="31"/>
      <c r="V154" s="31"/>
      <c r="W154" s="31"/>
      <c r="X154" s="27">
        <v>16.05</v>
      </c>
      <c r="Y154" s="27">
        <v>8.15</v>
      </c>
      <c r="Z154" s="27"/>
      <c r="AA154" s="27"/>
      <c r="AB154" s="27">
        <v>6.63</v>
      </c>
      <c r="AC154" s="27"/>
      <c r="AD154" s="27">
        <v>18.93</v>
      </c>
      <c r="AE154" s="37">
        <v>96.97</v>
      </c>
      <c r="AF154" s="31"/>
      <c r="AG154" s="32">
        <v>44711</v>
      </c>
      <c r="AH154" s="31"/>
      <c r="AI154" s="32">
        <v>44687</v>
      </c>
      <c r="AJ154" s="31"/>
      <c r="AK154" s="32">
        <v>44705</v>
      </c>
      <c r="AL154" s="31"/>
      <c r="AM154" s="32">
        <v>44707</v>
      </c>
      <c r="AN154" s="31"/>
      <c r="AO154" s="32">
        <v>44726</v>
      </c>
      <c r="AP154" s="31"/>
      <c r="AQ154" s="32">
        <v>44767</v>
      </c>
      <c r="AR154" s="31"/>
      <c r="AS154" s="32"/>
      <c r="AT154" s="31"/>
      <c r="AU154" s="31" t="s">
        <v>59</v>
      </c>
      <c r="AV154" s="38">
        <v>47.714285714285715</v>
      </c>
      <c r="AW154" s="86"/>
      <c r="AX154" s="29" t="s">
        <v>411</v>
      </c>
      <c r="AY154" s="299" t="s">
        <v>412</v>
      </c>
      <c r="AZ154" s="87" t="str">
        <f t="shared" si="9"/>
        <v>Oct 17</v>
      </c>
      <c r="BA154" s="87" t="str">
        <f t="shared" si="10"/>
        <v>Jun 22</v>
      </c>
    </row>
    <row r="155" spans="1:53" ht="14" x14ac:dyDescent="0.15">
      <c r="A155" s="35" t="s">
        <v>53</v>
      </c>
      <c r="B155" s="35">
        <v>1817</v>
      </c>
      <c r="C155" s="27" t="s">
        <v>90</v>
      </c>
      <c r="D155" s="27" t="s">
        <v>91</v>
      </c>
      <c r="E155" s="27" t="s">
        <v>413</v>
      </c>
      <c r="F155" s="27" t="s">
        <v>107</v>
      </c>
      <c r="G155" s="27">
        <v>2</v>
      </c>
      <c r="H155" s="28">
        <v>42804</v>
      </c>
      <c r="I155" s="27"/>
      <c r="J155" s="28">
        <v>43021</v>
      </c>
      <c r="K155" s="27"/>
      <c r="L155" s="27"/>
      <c r="M155" s="28">
        <v>43021</v>
      </c>
      <c r="N155" s="28"/>
      <c r="O155" s="28">
        <v>43151</v>
      </c>
      <c r="P155" s="27"/>
      <c r="Q155" s="28">
        <v>43152</v>
      </c>
      <c r="R155" s="27"/>
      <c r="S155" s="27"/>
      <c r="T155" s="27"/>
      <c r="U155" s="27"/>
      <c r="V155" s="27"/>
      <c r="W155" s="27"/>
      <c r="X155" s="27">
        <v>23.95</v>
      </c>
      <c r="Y155" s="27">
        <v>9.58</v>
      </c>
      <c r="Z155" s="27"/>
      <c r="AA155" s="27">
        <v>0.95</v>
      </c>
      <c r="AB155" s="27">
        <v>1.7</v>
      </c>
      <c r="AC155" s="27"/>
      <c r="AD155" s="27">
        <v>24.47</v>
      </c>
      <c r="AE155" s="37">
        <f>AllPlans[[#This Row],[Prep days*]]+AllPlans[[#This Row],[Hearing days*]]+AllPlans[[#This Row],[SV days*]]+AllPlans[[#This Row],[Travel days]]+AllPlans[[#This Row],[Reptg days*]]</f>
        <v>60.650000000000006</v>
      </c>
      <c r="AF155" s="27"/>
      <c r="AG155" s="28">
        <v>43336</v>
      </c>
      <c r="AH155" s="27"/>
      <c r="AI155" s="28">
        <v>43320</v>
      </c>
      <c r="AJ155" s="27"/>
      <c r="AK155" s="28">
        <v>43334</v>
      </c>
      <c r="AL155" s="27"/>
      <c r="AM155" s="28">
        <v>43334</v>
      </c>
      <c r="AN155" s="27"/>
      <c r="AO155" s="28">
        <v>43343</v>
      </c>
      <c r="AP155" s="27"/>
      <c r="AQ155" s="28">
        <v>43439</v>
      </c>
      <c r="AR155" s="27"/>
      <c r="AS155" s="28"/>
      <c r="AT155" s="27"/>
      <c r="AU155" s="27" t="s">
        <v>59</v>
      </c>
      <c r="AV155" s="40">
        <v>51.571428571428569</v>
      </c>
      <c r="AW155" s="39">
        <f t="shared" ref="AW155:AW186" si="11">SUM(AO155-Q155)/7</f>
        <v>27.285714285714285</v>
      </c>
      <c r="AX155" s="27"/>
      <c r="AY155" s="77" t="str">
        <f>IF(D155&lt;&gt;"",IF(LEFT(IFERROR(VLOOKUP(D155,'LPA Lookup'!$A$100:$B$470,2,FALSE),"LPA not known to MCLHG"),3)&lt;&gt;"JSP",IFERROR(VLOOKUP(D155,'LPA Lookup'!$A$100:$B$470,2,FALSE),"LPA not known to MCLHG"),VLOOKUP(D155&amp;B155,'LPA Lookup'!$A$100:$B$470,3,FALSE)),"")</f>
        <v>E09000032</v>
      </c>
      <c r="AZ155" s="41" t="str">
        <f t="shared" si="9"/>
        <v>Oct 17</v>
      </c>
      <c r="BA155" s="41" t="str">
        <f t="shared" si="10"/>
        <v>Aug 18</v>
      </c>
    </row>
    <row r="156" spans="1:53" ht="14" x14ac:dyDescent="0.15">
      <c r="A156" s="35" t="s">
        <v>53</v>
      </c>
      <c r="B156" s="35">
        <v>1793</v>
      </c>
      <c r="C156" s="27" t="s">
        <v>67</v>
      </c>
      <c r="D156" s="27" t="s">
        <v>68</v>
      </c>
      <c r="E156" s="27" t="s">
        <v>414</v>
      </c>
      <c r="F156" s="27" t="s">
        <v>80</v>
      </c>
      <c r="G156" s="27">
        <v>2</v>
      </c>
      <c r="H156" s="28">
        <v>42898</v>
      </c>
      <c r="I156" s="27"/>
      <c r="J156" s="28">
        <v>43034</v>
      </c>
      <c r="K156" s="27"/>
      <c r="L156" s="27"/>
      <c r="M156" s="28">
        <v>43034</v>
      </c>
      <c r="N156" s="28"/>
      <c r="O156" s="28">
        <v>43110</v>
      </c>
      <c r="P156" s="27"/>
      <c r="Q156" s="28">
        <v>43110</v>
      </c>
      <c r="R156" s="27"/>
      <c r="S156" s="27"/>
      <c r="T156" s="27"/>
      <c r="U156" s="27"/>
      <c r="V156" s="27"/>
      <c r="W156" s="27"/>
      <c r="X156" s="27">
        <v>43.54</v>
      </c>
      <c r="Y156" s="27">
        <v>18.32</v>
      </c>
      <c r="Z156" s="27"/>
      <c r="AA156" s="27">
        <v>3.64</v>
      </c>
      <c r="AB156" s="27">
        <v>8.85</v>
      </c>
      <c r="AC156" s="27"/>
      <c r="AD156" s="27">
        <v>41.46</v>
      </c>
      <c r="AE156" s="37">
        <f>AllPlans[[#This Row],[Prep days*]]+AllPlans[[#This Row],[Hearing days*]]+AllPlans[[#This Row],[SV days*]]+AllPlans[[#This Row],[Travel days]]+AllPlans[[#This Row],[Reptg days*]]</f>
        <v>115.81</v>
      </c>
      <c r="AF156" s="27"/>
      <c r="AG156" s="28">
        <v>43290</v>
      </c>
      <c r="AH156" s="27"/>
      <c r="AI156" s="28">
        <v>43269</v>
      </c>
      <c r="AJ156" s="27"/>
      <c r="AK156" s="28">
        <v>43283</v>
      </c>
      <c r="AL156" s="27"/>
      <c r="AM156" s="28">
        <v>43283</v>
      </c>
      <c r="AN156" s="27"/>
      <c r="AO156" s="28">
        <v>43298</v>
      </c>
      <c r="AP156" s="27"/>
      <c r="AQ156" s="28">
        <v>43438</v>
      </c>
      <c r="AR156" s="27"/>
      <c r="AS156" s="28"/>
      <c r="AT156" s="27"/>
      <c r="AU156" s="27" t="s">
        <v>59</v>
      </c>
      <c r="AV156" s="40">
        <v>53.857142857142854</v>
      </c>
      <c r="AW156" s="39">
        <f t="shared" si="11"/>
        <v>26.857142857142858</v>
      </c>
      <c r="AX156" s="27"/>
      <c r="AY156" s="77" t="str">
        <f>IF(D156&lt;&gt;"",IF(LEFT(IFERROR(VLOOKUP(D156,'LPA Lookup'!$A$100:$B$470,2,FALSE),"LPA not known to MCLHG"),3)&lt;&gt;"JSP",IFERROR(VLOOKUP(D156,'LPA Lookup'!$A$100:$B$470,2,FALSE),"LPA not known to MCLHG"),VLOOKUP(D156&amp;B156,'LPA Lookup'!$A$100:$B$470,3,FALSE)),"")</f>
        <v>LPA not known to MCLHG</v>
      </c>
      <c r="AZ156" s="41" t="str">
        <f t="shared" si="9"/>
        <v>Oct 17</v>
      </c>
      <c r="BA156" s="41" t="str">
        <f t="shared" si="10"/>
        <v>Jul 18</v>
      </c>
    </row>
    <row r="157" spans="1:53" ht="14" x14ac:dyDescent="0.15">
      <c r="A157" s="35" t="s">
        <v>53</v>
      </c>
      <c r="B157" s="35">
        <v>1837</v>
      </c>
      <c r="C157" s="27" t="s">
        <v>67</v>
      </c>
      <c r="D157" s="27" t="s">
        <v>68</v>
      </c>
      <c r="E157" s="27" t="s">
        <v>118</v>
      </c>
      <c r="F157" s="27" t="s">
        <v>107</v>
      </c>
      <c r="G157" s="27">
        <v>2</v>
      </c>
      <c r="H157" s="28">
        <v>42898</v>
      </c>
      <c r="I157" s="27"/>
      <c r="J157" s="28">
        <v>43039</v>
      </c>
      <c r="K157" s="27"/>
      <c r="L157" s="27"/>
      <c r="M157" s="28">
        <v>43039</v>
      </c>
      <c r="N157" s="28"/>
      <c r="O157" s="28">
        <v>43158</v>
      </c>
      <c r="P157" s="27"/>
      <c r="Q157" s="28">
        <v>43200</v>
      </c>
      <c r="R157" s="27"/>
      <c r="S157" s="27"/>
      <c r="T157" s="27"/>
      <c r="U157" s="27"/>
      <c r="V157" s="27"/>
      <c r="W157" s="27"/>
      <c r="X157" s="27">
        <v>21.34</v>
      </c>
      <c r="Y157" s="27">
        <v>5.78</v>
      </c>
      <c r="Z157" s="27"/>
      <c r="AA157" s="27"/>
      <c r="AB157" s="27">
        <v>1.59</v>
      </c>
      <c r="AC157" s="27"/>
      <c r="AD157" s="27">
        <v>18.39</v>
      </c>
      <c r="AE157" s="37">
        <v>167.94</v>
      </c>
      <c r="AF157" s="27"/>
      <c r="AG157" s="28">
        <v>43551</v>
      </c>
      <c r="AH157" s="27"/>
      <c r="AI157" s="28">
        <v>43545</v>
      </c>
      <c r="AJ157" s="27"/>
      <c r="AK157" s="28">
        <v>43550</v>
      </c>
      <c r="AL157" s="27"/>
      <c r="AM157" s="28">
        <v>43551</v>
      </c>
      <c r="AN157" s="27"/>
      <c r="AO157" s="28">
        <v>43565</v>
      </c>
      <c r="AP157" s="27"/>
      <c r="AQ157" s="28">
        <v>43795</v>
      </c>
      <c r="AR157" s="27"/>
      <c r="AS157" s="28"/>
      <c r="AT157" s="27"/>
      <c r="AU157" s="27" t="s">
        <v>59</v>
      </c>
      <c r="AV157" s="40">
        <v>53.428571428571431</v>
      </c>
      <c r="AW157" s="39">
        <f t="shared" si="11"/>
        <v>52.142857142857146</v>
      </c>
      <c r="AX157" s="27"/>
      <c r="AY157" s="77" t="str">
        <f>IF(D157&lt;&gt;"",IF(LEFT(IFERROR(VLOOKUP(D157,'LPA Lookup'!$A$100:$B$470,2,FALSE),"LPA not known to MCLHG"),3)&lt;&gt;"JSP",IFERROR(VLOOKUP(D157,'LPA Lookup'!$A$100:$B$470,2,FALSE),"LPA not known to MCLHG"),VLOOKUP(D157&amp;B157,'LPA Lookup'!$A$100:$B$470,3,FALSE)),"")</f>
        <v>LPA not known to MCLHG</v>
      </c>
      <c r="AZ157" s="41" t="str">
        <f t="shared" si="9"/>
        <v>Oct 17</v>
      </c>
      <c r="BA157" s="41" t="str">
        <f t="shared" si="10"/>
        <v>Apr 19</v>
      </c>
    </row>
    <row r="158" spans="1:53" ht="14" x14ac:dyDescent="0.15">
      <c r="A158" s="35" t="s">
        <v>53</v>
      </c>
      <c r="B158" s="35">
        <v>1850</v>
      </c>
      <c r="C158" s="27" t="s">
        <v>67</v>
      </c>
      <c r="D158" s="27" t="s">
        <v>415</v>
      </c>
      <c r="E158" s="27" t="s">
        <v>56</v>
      </c>
      <c r="F158" s="27" t="s">
        <v>57</v>
      </c>
      <c r="G158" s="27">
        <v>3</v>
      </c>
      <c r="H158" s="28">
        <v>42947</v>
      </c>
      <c r="I158" s="27"/>
      <c r="J158" s="28">
        <v>43063</v>
      </c>
      <c r="K158" s="27"/>
      <c r="L158" s="27"/>
      <c r="M158" s="28">
        <v>43064</v>
      </c>
      <c r="N158" s="28"/>
      <c r="O158" s="28">
        <v>43158</v>
      </c>
      <c r="P158" s="27"/>
      <c r="Q158" s="28">
        <v>43187</v>
      </c>
      <c r="R158" s="27"/>
      <c r="S158" s="27"/>
      <c r="T158" s="27"/>
      <c r="U158" s="27"/>
      <c r="V158" s="27"/>
      <c r="W158" s="27"/>
      <c r="X158" s="27">
        <v>16.760000000000002</v>
      </c>
      <c r="Y158" s="27">
        <v>5.61</v>
      </c>
      <c r="Z158" s="27"/>
      <c r="AA158" s="27"/>
      <c r="AB158" s="27">
        <v>1.49</v>
      </c>
      <c r="AC158" s="27"/>
      <c r="AD158" s="27">
        <v>14.77</v>
      </c>
      <c r="AE158" s="37">
        <v>49.69</v>
      </c>
      <c r="AF158" s="27"/>
      <c r="AG158" s="28">
        <v>43385</v>
      </c>
      <c r="AH158" s="27"/>
      <c r="AI158" s="28">
        <v>43368</v>
      </c>
      <c r="AJ158" s="27"/>
      <c r="AK158" s="28">
        <v>43381</v>
      </c>
      <c r="AL158" s="27"/>
      <c r="AM158" s="28">
        <v>43381</v>
      </c>
      <c r="AN158" s="27"/>
      <c r="AO158" s="28">
        <v>43397</v>
      </c>
      <c r="AP158" s="27"/>
      <c r="AQ158" s="28">
        <v>43417</v>
      </c>
      <c r="AR158" s="27"/>
      <c r="AS158" s="28"/>
      <c r="AT158" s="27"/>
      <c r="AU158" s="27" t="s">
        <v>59</v>
      </c>
      <c r="AV158" s="40">
        <v>60</v>
      </c>
      <c r="AW158" s="39">
        <f t="shared" si="11"/>
        <v>30</v>
      </c>
      <c r="AX158" s="27"/>
      <c r="AY158" s="77" t="str">
        <f>IF(D158&lt;&gt;"",IF(LEFT(IFERROR(VLOOKUP(D158,'LPA Lookup'!$A$100:$B$470,2,FALSE),"LPA not known to MCLHG"),3)&lt;&gt;"JSP",IFERROR(VLOOKUP(D158,'LPA Lookup'!$A$100:$B$470,2,FALSE),"LPA not known to MCLHG"),VLOOKUP(D158&amp;B158,'LPA Lookup'!$A$100:$B$470,3,FALSE)),"")</f>
        <v>E06000029</v>
      </c>
      <c r="AZ158" s="41" t="str">
        <f t="shared" si="9"/>
        <v>Nov 17</v>
      </c>
      <c r="BA158" s="41" t="str">
        <f t="shared" si="10"/>
        <v>Oct 18</v>
      </c>
    </row>
    <row r="159" spans="1:53" ht="126" x14ac:dyDescent="0.15">
      <c r="A159" s="35" t="s">
        <v>53</v>
      </c>
      <c r="B159" s="35">
        <v>1155</v>
      </c>
      <c r="C159" s="27" t="s">
        <v>77</v>
      </c>
      <c r="D159" s="81" t="s">
        <v>416</v>
      </c>
      <c r="E159" s="27" t="s">
        <v>417</v>
      </c>
      <c r="F159" s="27" t="s">
        <v>80</v>
      </c>
      <c r="G159" s="27">
        <v>2</v>
      </c>
      <c r="H159" s="28">
        <v>42683</v>
      </c>
      <c r="I159" s="27"/>
      <c r="J159" s="28">
        <v>43067</v>
      </c>
      <c r="K159" s="27"/>
      <c r="L159" s="27"/>
      <c r="M159" s="28">
        <v>43067</v>
      </c>
      <c r="N159" s="28"/>
      <c r="O159" s="28">
        <v>43158</v>
      </c>
      <c r="P159" s="27"/>
      <c r="Q159" s="28">
        <v>43490</v>
      </c>
      <c r="R159" s="27"/>
      <c r="S159" s="27"/>
      <c r="T159" s="27"/>
      <c r="U159" s="27"/>
      <c r="V159" s="27"/>
      <c r="W159" s="27"/>
      <c r="X159" s="27">
        <v>12.31</v>
      </c>
      <c r="Y159" s="27">
        <v>2.91</v>
      </c>
      <c r="Z159" s="27"/>
      <c r="AA159" s="27"/>
      <c r="AB159" s="27">
        <v>2.64</v>
      </c>
      <c r="AC159" s="27"/>
      <c r="AD159" s="27">
        <v>21.18</v>
      </c>
      <c r="AE159" s="37">
        <v>73.31</v>
      </c>
      <c r="AF159" s="27"/>
      <c r="AG159" s="28">
        <v>44588</v>
      </c>
      <c r="AH159" s="27"/>
      <c r="AI159" s="28">
        <v>44568</v>
      </c>
      <c r="AJ159" s="27"/>
      <c r="AK159" s="28">
        <v>44581</v>
      </c>
      <c r="AL159" s="27"/>
      <c r="AM159" s="28">
        <v>44588</v>
      </c>
      <c r="AN159" s="27"/>
      <c r="AO159" s="28">
        <v>44596</v>
      </c>
      <c r="AP159" s="27"/>
      <c r="AQ159" s="28">
        <v>44608</v>
      </c>
      <c r="AR159" s="27"/>
      <c r="AS159" s="28"/>
      <c r="AT159" s="27"/>
      <c r="AU159" s="27" t="s">
        <v>59</v>
      </c>
      <c r="AV159" s="40">
        <v>42</v>
      </c>
      <c r="AW159" s="39">
        <f t="shared" si="11"/>
        <v>158</v>
      </c>
      <c r="AX159" s="27" t="s">
        <v>418</v>
      </c>
      <c r="AY159" s="77" t="str">
        <f>IF(D159&lt;&gt;"",IF(LEFT(IFERROR(VLOOKUP(D159,'LPA Lookup'!$A$100:$B$470,2,FALSE),"LPA not known to MCLHG"),3)&lt;&gt;"JSP",IFERROR(VLOOKUP(D159,'LPA Lookup'!$A$100:$B$470,2,FALSE),"LPA not known to MCLHG"),VLOOKUP(D159&amp;B159,'LPA Lookup'!$A$100:$B$470,3,FALSE)),"")</f>
        <v>LPA not known to MCLHG</v>
      </c>
      <c r="AZ159" s="41" t="str">
        <f t="shared" si="9"/>
        <v>Nov 17</v>
      </c>
      <c r="BA159" s="41" t="str">
        <f t="shared" si="10"/>
        <v>Feb 22</v>
      </c>
    </row>
    <row r="160" spans="1:53" ht="14" x14ac:dyDescent="0.15">
      <c r="A160" s="35" t="s">
        <v>53</v>
      </c>
      <c r="B160" s="46">
        <v>1836</v>
      </c>
      <c r="C160" s="29" t="s">
        <v>71</v>
      </c>
      <c r="D160" s="29" t="s">
        <v>419</v>
      </c>
      <c r="E160" s="29" t="s">
        <v>56</v>
      </c>
      <c r="F160" s="29" t="s">
        <v>57</v>
      </c>
      <c r="G160" s="29">
        <v>3</v>
      </c>
      <c r="H160" s="30">
        <v>42968</v>
      </c>
      <c r="I160" s="29"/>
      <c r="J160" s="30">
        <v>43069</v>
      </c>
      <c r="K160" s="29"/>
      <c r="L160" s="29"/>
      <c r="M160" s="30">
        <v>43069</v>
      </c>
      <c r="N160" s="30"/>
      <c r="O160" s="30">
        <v>43207</v>
      </c>
      <c r="P160" s="29"/>
      <c r="Q160" s="30">
        <v>43363</v>
      </c>
      <c r="R160" s="29"/>
      <c r="S160" s="29"/>
      <c r="T160" s="29"/>
      <c r="U160" s="29"/>
      <c r="V160" s="29"/>
      <c r="W160" s="29"/>
      <c r="X160" s="27">
        <v>25.96</v>
      </c>
      <c r="Y160" s="27">
        <v>5.6</v>
      </c>
      <c r="Z160" s="27"/>
      <c r="AA160" s="27"/>
      <c r="AB160" s="27">
        <v>3.52</v>
      </c>
      <c r="AC160" s="27"/>
      <c r="AD160" s="27">
        <v>31.13</v>
      </c>
      <c r="AE160" s="37">
        <v>101.6</v>
      </c>
      <c r="AF160" s="29"/>
      <c r="AG160" s="30"/>
      <c r="AH160" s="29"/>
      <c r="AI160" s="30">
        <v>43734</v>
      </c>
      <c r="AJ160" s="29"/>
      <c r="AK160" s="30">
        <v>43748</v>
      </c>
      <c r="AL160" s="29"/>
      <c r="AM160" s="30">
        <v>43753</v>
      </c>
      <c r="AN160" s="29"/>
      <c r="AO160" s="30">
        <v>43763</v>
      </c>
      <c r="AP160" s="29"/>
      <c r="AQ160" s="30">
        <v>43797</v>
      </c>
      <c r="AR160" s="29"/>
      <c r="AS160" s="30"/>
      <c r="AT160" s="29"/>
      <c r="AU160" s="29" t="s">
        <v>59</v>
      </c>
      <c r="AV160" s="38">
        <v>49.428571428571431</v>
      </c>
      <c r="AW160" s="49">
        <f t="shared" si="11"/>
        <v>57.142857142857146</v>
      </c>
      <c r="AX160" s="29"/>
      <c r="AY160" s="77" t="str">
        <f>IF(D160&lt;&gt;"",IF(LEFT(IFERROR(VLOOKUP(D160,'LPA Lookup'!$A$100:$B$470,2,FALSE),"LPA not known to MCLHG"),3)&lt;&gt;"JSP",IFERROR(VLOOKUP(D160,'LPA Lookup'!$A$100:$B$470,2,FALSE),"LPA not known to MCLHG"),VLOOKUP(D160&amp;B160,'LPA Lookup'!$A$100:$B$470,3,FALSE)),"")</f>
        <v>LPA not known to MCLHG</v>
      </c>
      <c r="AZ160" s="41" t="str">
        <f t="shared" si="9"/>
        <v>Nov 17</v>
      </c>
      <c r="BA160" s="41" t="str">
        <f t="shared" si="10"/>
        <v>Oct 19</v>
      </c>
    </row>
    <row r="161" spans="1:53" ht="14" x14ac:dyDescent="0.15">
      <c r="A161" s="35" t="s">
        <v>53</v>
      </c>
      <c r="B161" s="35">
        <v>1764</v>
      </c>
      <c r="C161" s="27" t="s">
        <v>61</v>
      </c>
      <c r="D161" s="27" t="s">
        <v>420</v>
      </c>
      <c r="E161" s="27" t="s">
        <v>56</v>
      </c>
      <c r="F161" s="27" t="s">
        <v>57</v>
      </c>
      <c r="G161" s="27">
        <v>3</v>
      </c>
      <c r="H161" s="28">
        <v>42527</v>
      </c>
      <c r="I161" s="27"/>
      <c r="J161" s="28">
        <v>43083</v>
      </c>
      <c r="K161" s="27"/>
      <c r="L161" s="27"/>
      <c r="M161" s="28">
        <v>43083</v>
      </c>
      <c r="N161" s="28"/>
      <c r="O161" s="28">
        <v>43256</v>
      </c>
      <c r="P161" s="27"/>
      <c r="Q161" s="28">
        <v>43509</v>
      </c>
      <c r="R161" s="27"/>
      <c r="S161" s="27"/>
      <c r="T161" s="27"/>
      <c r="U161" s="27"/>
      <c r="V161" s="27"/>
      <c r="W161" s="27"/>
      <c r="X161" s="27">
        <v>20.58</v>
      </c>
      <c r="Y161" s="27">
        <v>5.64</v>
      </c>
      <c r="Z161" s="27"/>
      <c r="AA161" s="27"/>
      <c r="AB161" s="27">
        <v>2.52</v>
      </c>
      <c r="AC161" s="27"/>
      <c r="AD161" s="27">
        <v>13.13</v>
      </c>
      <c r="AE161" s="37">
        <v>106.12</v>
      </c>
      <c r="AF161" s="27"/>
      <c r="AG161" s="28">
        <v>43544</v>
      </c>
      <c r="AH161" s="27"/>
      <c r="AI161" s="28">
        <v>43532</v>
      </c>
      <c r="AJ161" s="27"/>
      <c r="AK161" s="28">
        <v>43542</v>
      </c>
      <c r="AL161" s="27"/>
      <c r="AM161" s="28">
        <v>43543</v>
      </c>
      <c r="AN161" s="27"/>
      <c r="AO161" s="28">
        <v>43551</v>
      </c>
      <c r="AP161" s="27"/>
      <c r="AQ161" s="28">
        <v>43580</v>
      </c>
      <c r="AR161" s="27"/>
      <c r="AS161" s="28"/>
      <c r="AT161" s="27"/>
      <c r="AU161" s="27" t="s">
        <v>59</v>
      </c>
      <c r="AV161" s="40">
        <v>58.714285714285715</v>
      </c>
      <c r="AW161" s="39">
        <f t="shared" si="11"/>
        <v>6</v>
      </c>
      <c r="AX161" s="27"/>
      <c r="AY161" s="77" t="str">
        <f>IF(D161&lt;&gt;"",IF(LEFT(IFERROR(VLOOKUP(D161,'LPA Lookup'!$A$100:$B$470,2,FALSE),"LPA not known to MCLHG"),3)&lt;&gt;"JSP",IFERROR(VLOOKUP(D161,'LPA Lookup'!$A$100:$B$470,2,FALSE),"LPA not known to MCLHG"),VLOOKUP(D161&amp;B161,'LPA Lookup'!$A$100:$B$470,3,FALSE)),"")</f>
        <v>E07000209</v>
      </c>
      <c r="AZ161" s="41" t="str">
        <f t="shared" si="9"/>
        <v>Dec 17</v>
      </c>
      <c r="BA161" s="41" t="str">
        <f t="shared" si="10"/>
        <v>Mar 19</v>
      </c>
    </row>
    <row r="162" spans="1:53" ht="14" x14ac:dyDescent="0.15">
      <c r="A162" s="35" t="s">
        <v>53</v>
      </c>
      <c r="B162" s="35">
        <v>1856</v>
      </c>
      <c r="C162" s="27" t="s">
        <v>270</v>
      </c>
      <c r="D162" s="27" t="s">
        <v>421</v>
      </c>
      <c r="E162" s="27" t="s">
        <v>56</v>
      </c>
      <c r="F162" s="27" t="s">
        <v>57</v>
      </c>
      <c r="G162" s="27">
        <v>3</v>
      </c>
      <c r="H162" s="28">
        <v>43003</v>
      </c>
      <c r="I162" s="27"/>
      <c r="J162" s="28">
        <v>43090</v>
      </c>
      <c r="K162" s="27"/>
      <c r="L162" s="27"/>
      <c r="M162" s="28">
        <v>43102</v>
      </c>
      <c r="N162" s="28"/>
      <c r="O162" s="28">
        <v>43256</v>
      </c>
      <c r="P162" s="27"/>
      <c r="Q162" s="28">
        <v>43272</v>
      </c>
      <c r="R162" s="27"/>
      <c r="S162" s="27"/>
      <c r="T162" s="27"/>
      <c r="U162" s="27"/>
      <c r="V162" s="27"/>
      <c r="W162" s="27"/>
      <c r="X162" s="27">
        <v>23.04</v>
      </c>
      <c r="Y162" s="27">
        <v>2.4900000000000002</v>
      </c>
      <c r="Z162" s="27"/>
      <c r="AA162" s="27"/>
      <c r="AB162" s="27">
        <v>1.08</v>
      </c>
      <c r="AC162" s="27"/>
      <c r="AD162" s="27">
        <v>29.49</v>
      </c>
      <c r="AE162" s="37">
        <v>61.14</v>
      </c>
      <c r="AF162" s="27"/>
      <c r="AG162" s="28">
        <v>43441</v>
      </c>
      <c r="AH162" s="27"/>
      <c r="AI162" s="28">
        <v>43426</v>
      </c>
      <c r="AJ162" s="27"/>
      <c r="AK162" s="28">
        <v>43437</v>
      </c>
      <c r="AL162" s="27"/>
      <c r="AM162" s="28">
        <v>43437</v>
      </c>
      <c r="AN162" s="27"/>
      <c r="AO162" s="28">
        <v>43451</v>
      </c>
      <c r="AP162" s="27"/>
      <c r="AQ162" s="28">
        <v>43495</v>
      </c>
      <c r="AR162" s="27"/>
      <c r="AS162" s="28"/>
      <c r="AT162" s="27"/>
      <c r="AU162" s="27" t="s">
        <v>59</v>
      </c>
      <c r="AV162" s="40">
        <v>61.285714285714285</v>
      </c>
      <c r="AW162" s="39">
        <f t="shared" si="11"/>
        <v>25.571428571428573</v>
      </c>
      <c r="AX162" s="27"/>
      <c r="AY162" s="77" t="str">
        <f>IF(D162&lt;&gt;"",IF(LEFT(IFERROR(VLOOKUP(D162,'LPA Lookup'!$A$100:$B$470,2,FALSE),"LPA not known to MCLHG"),3)&lt;&gt;"JSP",IFERROR(VLOOKUP(D162,'LPA Lookup'!$A$100:$B$470,2,FALSE),"LPA not known to MCLHG"),VLOOKUP(D162&amp;B162,'LPA Lookup'!$A$100:$B$470,3,FALSE)),"")</f>
        <v>E06000004</v>
      </c>
      <c r="AZ162" s="41" t="str">
        <f t="shared" si="9"/>
        <v>Dec 17</v>
      </c>
      <c r="BA162" s="41" t="str">
        <f t="shared" si="10"/>
        <v>Dec 18</v>
      </c>
    </row>
    <row r="163" spans="1:53" ht="14" x14ac:dyDescent="0.15">
      <c r="A163" s="35" t="s">
        <v>53</v>
      </c>
      <c r="B163" s="35">
        <v>1344</v>
      </c>
      <c r="C163" s="27" t="s">
        <v>61</v>
      </c>
      <c r="D163" s="27" t="s">
        <v>422</v>
      </c>
      <c r="E163" s="27" t="s">
        <v>56</v>
      </c>
      <c r="F163" s="27" t="s">
        <v>57</v>
      </c>
      <c r="G163" s="27">
        <v>3</v>
      </c>
      <c r="H163" s="28">
        <v>42536</v>
      </c>
      <c r="I163" s="27"/>
      <c r="J163" s="28">
        <v>43090</v>
      </c>
      <c r="K163" s="27"/>
      <c r="L163" s="27"/>
      <c r="M163" s="28">
        <v>43102</v>
      </c>
      <c r="N163" s="28"/>
      <c r="O163" s="28">
        <v>43201</v>
      </c>
      <c r="P163" s="27"/>
      <c r="Q163" s="28">
        <v>43264</v>
      </c>
      <c r="R163" s="27"/>
      <c r="S163" s="27"/>
      <c r="T163" s="27"/>
      <c r="U163" s="27"/>
      <c r="V163" s="27"/>
      <c r="W163" s="27"/>
      <c r="X163" s="27">
        <v>0</v>
      </c>
      <c r="Y163" s="27">
        <v>0</v>
      </c>
      <c r="Z163" s="27"/>
      <c r="AA163" s="27">
        <v>0</v>
      </c>
      <c r="AB163" s="27">
        <v>0</v>
      </c>
      <c r="AC163" s="27"/>
      <c r="AD163" s="27">
        <v>0</v>
      </c>
      <c r="AE163" s="37">
        <v>106.27</v>
      </c>
      <c r="AF163" s="27"/>
      <c r="AG163" s="28">
        <v>43453</v>
      </c>
      <c r="AH163" s="27"/>
      <c r="AI163" s="28">
        <v>43434</v>
      </c>
      <c r="AJ163" s="27"/>
      <c r="AK163" s="28">
        <v>43448</v>
      </c>
      <c r="AL163" s="27"/>
      <c r="AM163" s="28">
        <v>43448</v>
      </c>
      <c r="AN163" s="27"/>
      <c r="AO163" s="28">
        <v>43467</v>
      </c>
      <c r="AP163" s="27"/>
      <c r="AQ163" s="28">
        <v>43517</v>
      </c>
      <c r="AR163" s="27"/>
      <c r="AS163" s="28"/>
      <c r="AT163" s="27"/>
      <c r="AU163" s="27" t="s">
        <v>59</v>
      </c>
      <c r="AV163" s="40">
        <f>SUM(AO163-J163)/7</f>
        <v>53.857142857142854</v>
      </c>
      <c r="AW163" s="39">
        <f t="shared" si="11"/>
        <v>29</v>
      </c>
      <c r="AX163" s="27"/>
      <c r="AY163" s="77" t="str">
        <f>IF(D163&lt;&gt;"",IF(LEFT(IFERROR(VLOOKUP(D163,'LPA Lookup'!$A$100:$B$470,2,FALSE),"LPA not known to MCLHG"),3)&lt;&gt;"JSP",IFERROR(VLOOKUP(D163,'LPA Lookup'!$A$100:$B$470,2,FALSE),"LPA not known to MCLHG"),VLOOKUP(D163&amp;B163,'LPA Lookup'!$A$100:$B$470,3,FALSE)),"")</f>
        <v>LPA not known to MCLHG</v>
      </c>
      <c r="AZ163" s="41" t="str">
        <f t="shared" si="9"/>
        <v>Dec 17</v>
      </c>
      <c r="BA163" s="41" t="str">
        <f t="shared" si="10"/>
        <v>Jan 19</v>
      </c>
    </row>
    <row r="164" spans="1:53" ht="14" x14ac:dyDescent="0.15">
      <c r="A164" s="35" t="s">
        <v>53</v>
      </c>
      <c r="B164" s="35">
        <v>1853</v>
      </c>
      <c r="C164" s="27" t="s">
        <v>83</v>
      </c>
      <c r="D164" s="27" t="s">
        <v>423</v>
      </c>
      <c r="E164" s="27" t="s">
        <v>56</v>
      </c>
      <c r="F164" s="27" t="s">
        <v>57</v>
      </c>
      <c r="G164" s="27">
        <v>3</v>
      </c>
      <c r="H164" s="28">
        <v>43000</v>
      </c>
      <c r="I164" s="27"/>
      <c r="J164" s="28">
        <v>43123</v>
      </c>
      <c r="K164" s="27"/>
      <c r="L164" s="27"/>
      <c r="M164" s="28">
        <v>43123</v>
      </c>
      <c r="N164" s="28"/>
      <c r="O164" s="28">
        <v>43235</v>
      </c>
      <c r="P164" s="27"/>
      <c r="Q164" s="28">
        <v>43256</v>
      </c>
      <c r="R164" s="27"/>
      <c r="S164" s="27"/>
      <c r="T164" s="27"/>
      <c r="U164" s="27"/>
      <c r="V164" s="27"/>
      <c r="W164" s="27"/>
      <c r="X164" s="27">
        <v>14.13</v>
      </c>
      <c r="Y164" s="27">
        <v>10</v>
      </c>
      <c r="Z164" s="27"/>
      <c r="AA164" s="27">
        <v>1.98</v>
      </c>
      <c r="AB164" s="27">
        <v>2.87</v>
      </c>
      <c r="AC164" s="27"/>
      <c r="AD164" s="27">
        <v>19.11</v>
      </c>
      <c r="AE164" s="37">
        <v>47.12</v>
      </c>
      <c r="AF164" s="27"/>
      <c r="AG164" s="28">
        <v>43483</v>
      </c>
      <c r="AH164" s="27"/>
      <c r="AI164" s="28">
        <v>43455</v>
      </c>
      <c r="AJ164" s="27"/>
      <c r="AK164" s="28">
        <v>43483</v>
      </c>
      <c r="AL164" s="27"/>
      <c r="AM164" s="28">
        <v>43483</v>
      </c>
      <c r="AN164" s="27"/>
      <c r="AO164" s="28">
        <v>43497</v>
      </c>
      <c r="AP164" s="27"/>
      <c r="AQ164" s="28">
        <v>43524</v>
      </c>
      <c r="AR164" s="27"/>
      <c r="AS164" s="28"/>
      <c r="AT164" s="27"/>
      <c r="AU164" s="27" t="s">
        <v>59</v>
      </c>
      <c r="AV164" s="40">
        <v>69.571428571428569</v>
      </c>
      <c r="AW164" s="39">
        <f t="shared" si="11"/>
        <v>34.428571428571431</v>
      </c>
      <c r="AX164" s="27"/>
      <c r="AY164" s="77" t="str">
        <f>IF(D164&lt;&gt;"",IF(LEFT(IFERROR(VLOOKUP(D164,'LPA Lookup'!$A$100:$B$470,2,FALSE),"LPA not known to MCLHG"),3)&lt;&gt;"JSP",IFERROR(VLOOKUP(D164,'LPA Lookup'!$A$100:$B$470,2,FALSE),"LPA not known to MCLHG"),VLOOKUP(D164&amp;B164,'LPA Lookup'!$A$100:$B$470,3,FALSE)),"")</f>
        <v>E07000128</v>
      </c>
      <c r="AZ164" s="41" t="str">
        <f t="shared" si="9"/>
        <v>Jan 18</v>
      </c>
      <c r="BA164" s="41" t="str">
        <f t="shared" si="10"/>
        <v>Feb 19</v>
      </c>
    </row>
    <row r="165" spans="1:53" ht="14" x14ac:dyDescent="0.15">
      <c r="A165" s="35" t="s">
        <v>53</v>
      </c>
      <c r="B165" s="35">
        <v>1867</v>
      </c>
      <c r="C165" s="27" t="s">
        <v>104</v>
      </c>
      <c r="D165" s="27" t="s">
        <v>424</v>
      </c>
      <c r="E165" s="27" t="s">
        <v>425</v>
      </c>
      <c r="F165" s="27" t="s">
        <v>57</v>
      </c>
      <c r="G165" s="27">
        <v>3</v>
      </c>
      <c r="H165" s="28">
        <v>43045</v>
      </c>
      <c r="I165" s="27"/>
      <c r="J165" s="28">
        <v>43129</v>
      </c>
      <c r="K165" s="27"/>
      <c r="L165" s="27"/>
      <c r="M165" s="28">
        <v>43130</v>
      </c>
      <c r="N165" s="28"/>
      <c r="O165" s="28">
        <v>43214</v>
      </c>
      <c r="P165" s="27"/>
      <c r="Q165" s="28">
        <v>43278</v>
      </c>
      <c r="R165" s="27"/>
      <c r="S165" s="27"/>
      <c r="T165" s="27"/>
      <c r="U165" s="27"/>
      <c r="V165" s="27"/>
      <c r="W165" s="27"/>
      <c r="X165" s="27">
        <v>7.72</v>
      </c>
      <c r="Y165" s="27">
        <v>1.1499999999999999</v>
      </c>
      <c r="Z165" s="27"/>
      <c r="AA165" s="27">
        <v>0.54</v>
      </c>
      <c r="AB165" s="27">
        <v>2.37</v>
      </c>
      <c r="AC165" s="27"/>
      <c r="AD165" s="27">
        <v>6.17</v>
      </c>
      <c r="AE165" s="37">
        <v>38.619999999999997</v>
      </c>
      <c r="AF165" s="27"/>
      <c r="AG165" s="28">
        <v>43530</v>
      </c>
      <c r="AH165" s="27"/>
      <c r="AI165" s="28">
        <v>43521</v>
      </c>
      <c r="AJ165" s="27"/>
      <c r="AK165" s="28">
        <v>43529</v>
      </c>
      <c r="AL165" s="27"/>
      <c r="AM165" s="28">
        <v>43530</v>
      </c>
      <c r="AN165" s="27"/>
      <c r="AO165" s="28">
        <v>43549</v>
      </c>
      <c r="AP165" s="27"/>
      <c r="AQ165" s="28">
        <v>43571</v>
      </c>
      <c r="AR165" s="27"/>
      <c r="AS165" s="28"/>
      <c r="AT165" s="27"/>
      <c r="AU165" s="27" t="s">
        <v>59</v>
      </c>
      <c r="AV165" s="40">
        <v>68.857142857142861</v>
      </c>
      <c r="AW165" s="39">
        <f t="shared" si="11"/>
        <v>38.714285714285715</v>
      </c>
      <c r="AX165" s="27"/>
      <c r="AY165" s="77" t="str">
        <f>IF(D165&lt;&gt;"",IF(LEFT(IFERROR(VLOOKUP(D165,'LPA Lookup'!$A$100:$B$470,2,FALSE),"LPA not known to MCLHG"),3)&lt;&gt;"JSP",IFERROR(VLOOKUP(D165,'LPA Lookup'!$A$100:$B$470,2,FALSE),"LPA not known to MCLHG"),VLOOKUP(D165&amp;B165,'LPA Lookup'!$A$100:$B$470,3,FALSE)),"")</f>
        <v>E07000135</v>
      </c>
      <c r="AZ165" s="41" t="str">
        <f t="shared" si="9"/>
        <v>Jan 18</v>
      </c>
      <c r="BA165" s="41" t="str">
        <f t="shared" si="10"/>
        <v>Mar 19</v>
      </c>
    </row>
    <row r="166" spans="1:53" ht="14" x14ac:dyDescent="0.15">
      <c r="A166" s="35" t="s">
        <v>53</v>
      </c>
      <c r="B166" s="35">
        <v>1553</v>
      </c>
      <c r="C166" s="27" t="s">
        <v>104</v>
      </c>
      <c r="D166" s="27" t="s">
        <v>426</v>
      </c>
      <c r="E166" s="27" t="s">
        <v>427</v>
      </c>
      <c r="F166" s="27" t="s">
        <v>107</v>
      </c>
      <c r="G166" s="27">
        <v>2</v>
      </c>
      <c r="H166" s="28">
        <v>42998</v>
      </c>
      <c r="I166" s="27"/>
      <c r="J166" s="28">
        <v>43130</v>
      </c>
      <c r="K166" s="27"/>
      <c r="L166" s="27"/>
      <c r="M166" s="28">
        <v>43130</v>
      </c>
      <c r="N166" s="28"/>
      <c r="O166" s="28">
        <v>43200</v>
      </c>
      <c r="P166" s="27"/>
      <c r="Q166" s="28">
        <v>43215</v>
      </c>
      <c r="R166" s="27"/>
      <c r="S166" s="27"/>
      <c r="T166" s="27"/>
      <c r="U166" s="27"/>
      <c r="V166" s="27"/>
      <c r="W166" s="27"/>
      <c r="X166" s="27">
        <v>23.49</v>
      </c>
      <c r="Y166" s="27">
        <v>3.19</v>
      </c>
      <c r="Z166" s="27"/>
      <c r="AA166" s="27"/>
      <c r="AB166" s="27">
        <v>5.63</v>
      </c>
      <c r="AC166" s="27"/>
      <c r="AD166" s="27">
        <v>26.27</v>
      </c>
      <c r="AE166" s="37">
        <f>AllPlans[[#This Row],[Prep days*]]+AllPlans[[#This Row],[Hearing days*]]+AllPlans[[#This Row],[SV days*]]+AllPlans[[#This Row],[Travel days]]+AllPlans[[#This Row],[Reptg days*]]</f>
        <v>58.58</v>
      </c>
      <c r="AF166" s="27"/>
      <c r="AG166" s="28">
        <v>43424</v>
      </c>
      <c r="AH166" s="27"/>
      <c r="AI166" s="28">
        <v>43362</v>
      </c>
      <c r="AJ166" s="27"/>
      <c r="AK166" s="28">
        <v>43409</v>
      </c>
      <c r="AL166" s="27"/>
      <c r="AM166" s="28">
        <v>43410</v>
      </c>
      <c r="AN166" s="27"/>
      <c r="AO166" s="28">
        <v>43424</v>
      </c>
      <c r="AP166" s="27"/>
      <c r="AQ166" s="28">
        <v>43522</v>
      </c>
      <c r="AR166" s="27"/>
      <c r="AS166" s="28"/>
      <c r="AT166" s="27"/>
      <c r="AU166" s="27" t="s">
        <v>59</v>
      </c>
      <c r="AV166" s="40">
        <v>38.714285714285715</v>
      </c>
      <c r="AW166" s="39">
        <f t="shared" si="11"/>
        <v>29.857142857142858</v>
      </c>
      <c r="AX166" s="27"/>
      <c r="AY166" s="77" t="str">
        <f>IF(D166&lt;&gt;"",IF(LEFT(IFERROR(VLOOKUP(D166,'LPA Lookup'!$A$100:$B$470,2,FALSE),"LPA not known to MCLHG"),3)&lt;&gt;"JSP",IFERROR(VLOOKUP(D166,'LPA Lookup'!$A$100:$B$470,2,FALSE),"LPA not known to MCLHG"),VLOOKUP(D166&amp;B166,'LPA Lookup'!$A$100:$B$470,3,FALSE)),"")</f>
        <v>E07000156</v>
      </c>
      <c r="AZ166" s="41" t="str">
        <f t="shared" si="9"/>
        <v>Jan 18</v>
      </c>
      <c r="BA166" s="41" t="str">
        <f t="shared" si="10"/>
        <v>Nov 18</v>
      </c>
    </row>
    <row r="167" spans="1:53" ht="14" x14ac:dyDescent="0.15">
      <c r="A167" s="35" t="s">
        <v>53</v>
      </c>
      <c r="B167" s="35">
        <v>1844</v>
      </c>
      <c r="C167" s="27" t="s">
        <v>61</v>
      </c>
      <c r="D167" s="81" t="s">
        <v>428</v>
      </c>
      <c r="E167" s="27" t="s">
        <v>429</v>
      </c>
      <c r="F167" s="27" t="s">
        <v>57</v>
      </c>
      <c r="G167" s="27">
        <v>3</v>
      </c>
      <c r="H167" s="28">
        <v>42916</v>
      </c>
      <c r="I167" s="27"/>
      <c r="J167" s="28">
        <v>43131</v>
      </c>
      <c r="K167" s="27"/>
      <c r="L167" s="27"/>
      <c r="M167" s="28">
        <v>43132</v>
      </c>
      <c r="N167" s="28"/>
      <c r="O167" s="28">
        <v>43277</v>
      </c>
      <c r="P167" s="27" t="s">
        <v>384</v>
      </c>
      <c r="Q167" s="28">
        <v>44196</v>
      </c>
      <c r="R167" s="27"/>
      <c r="S167" s="27"/>
      <c r="T167" s="27"/>
      <c r="U167" s="27"/>
      <c r="V167" s="27"/>
      <c r="W167" s="27"/>
      <c r="X167" s="27">
        <v>44.99</v>
      </c>
      <c r="Y167" s="27">
        <v>15.01</v>
      </c>
      <c r="Z167" s="27"/>
      <c r="AA167" s="27">
        <v>1.81</v>
      </c>
      <c r="AB167" s="27">
        <v>1.08</v>
      </c>
      <c r="AC167" s="27"/>
      <c r="AD167" s="27">
        <v>28.94</v>
      </c>
      <c r="AE167" s="37">
        <v>173.49</v>
      </c>
      <c r="AF167" s="27"/>
      <c r="AG167" s="28">
        <v>44565</v>
      </c>
      <c r="AH167" s="27"/>
      <c r="AI167" s="28">
        <v>44510</v>
      </c>
      <c r="AJ167" s="27"/>
      <c r="AK167" s="28">
        <v>44551</v>
      </c>
      <c r="AL167" s="27"/>
      <c r="AM167" s="28">
        <v>44553</v>
      </c>
      <c r="AN167" s="27"/>
      <c r="AO167" s="28">
        <v>44587</v>
      </c>
      <c r="AP167" s="27"/>
      <c r="AQ167" s="28">
        <v>44600</v>
      </c>
      <c r="AR167" s="27"/>
      <c r="AS167" s="28"/>
      <c r="AT167" s="27"/>
      <c r="AU167" s="27" t="s">
        <v>59</v>
      </c>
      <c r="AV167" s="40">
        <v>48</v>
      </c>
      <c r="AW167" s="39">
        <f t="shared" si="11"/>
        <v>55.857142857142854</v>
      </c>
      <c r="AX167" s="27"/>
      <c r="AY167" s="77" t="str">
        <f>IF(D167&lt;&gt;"",IF(LEFT(IFERROR(VLOOKUP(D167,'LPA Lookup'!$A$100:$B$470,2,FALSE),"LPA not known to MCLHG"),3)&lt;&gt;"JSP",IFERROR(VLOOKUP(D167,'LPA Lookup'!$A$100:$B$470,2,FALSE),"LPA not known to MCLHG"),VLOOKUP(D167&amp;B167,'LPA Lookup'!$A$100:$B$470,3,FALSE)),"")</f>
        <v>E06000040</v>
      </c>
      <c r="AZ167" s="41" t="str">
        <f t="shared" si="9"/>
        <v>Jan 18</v>
      </c>
      <c r="BA167" s="41" t="str">
        <f t="shared" si="10"/>
        <v>Jan 22</v>
      </c>
    </row>
    <row r="168" spans="1:53" ht="14" x14ac:dyDescent="0.15">
      <c r="A168" s="35" t="s">
        <v>53</v>
      </c>
      <c r="B168" s="35">
        <v>1839</v>
      </c>
      <c r="C168" s="27" t="s">
        <v>61</v>
      </c>
      <c r="D168" s="27" t="s">
        <v>430</v>
      </c>
      <c r="E168" s="27" t="s">
        <v>56</v>
      </c>
      <c r="F168" s="27" t="s">
        <v>57</v>
      </c>
      <c r="G168" s="27">
        <v>3</v>
      </c>
      <c r="H168" s="28">
        <v>42895</v>
      </c>
      <c r="I168" s="27"/>
      <c r="J168" s="28">
        <v>43133</v>
      </c>
      <c r="K168" s="27"/>
      <c r="L168" s="27"/>
      <c r="M168" s="28">
        <v>43137</v>
      </c>
      <c r="N168" s="28"/>
      <c r="O168" s="28">
        <v>43229</v>
      </c>
      <c r="P168" s="27"/>
      <c r="Q168" s="28">
        <v>43238</v>
      </c>
      <c r="R168" s="27"/>
      <c r="S168" s="27"/>
      <c r="T168" s="27"/>
      <c r="U168" s="27"/>
      <c r="V168" s="27"/>
      <c r="W168" s="27"/>
      <c r="X168" s="27">
        <v>15.03</v>
      </c>
      <c r="Y168" s="27">
        <v>2.16</v>
      </c>
      <c r="Z168" s="27"/>
      <c r="AA168" s="27"/>
      <c r="AB168" s="27">
        <v>0.54</v>
      </c>
      <c r="AC168" s="27"/>
      <c r="AD168" s="27">
        <v>7.76</v>
      </c>
      <c r="AE168" s="37">
        <v>66.180000000000007</v>
      </c>
      <c r="AF168" s="27"/>
      <c r="AG168" s="28">
        <v>43455</v>
      </c>
      <c r="AH168" s="27"/>
      <c r="AI168" s="28">
        <v>43445</v>
      </c>
      <c r="AJ168" s="27"/>
      <c r="AK168" s="28">
        <v>43454</v>
      </c>
      <c r="AL168" s="27"/>
      <c r="AM168" s="28">
        <v>43454</v>
      </c>
      <c r="AN168" s="27"/>
      <c r="AO168" s="28">
        <v>43479</v>
      </c>
      <c r="AP168" s="27"/>
      <c r="AQ168" s="28">
        <v>43517</v>
      </c>
      <c r="AR168" s="27"/>
      <c r="AS168" s="28"/>
      <c r="AT168" s="27"/>
      <c r="AU168" s="27" t="s">
        <v>59</v>
      </c>
      <c r="AV168" s="40">
        <v>48</v>
      </c>
      <c r="AW168" s="39">
        <f t="shared" si="11"/>
        <v>34.428571428571431</v>
      </c>
      <c r="AX168" s="27"/>
      <c r="AY168" s="77" t="str">
        <f>IF(D168&lt;&gt;"",IF(LEFT(IFERROR(VLOOKUP(D168,'LPA Lookup'!$A$100:$B$470,2,FALSE),"LPA not known to MCLHG"),3)&lt;&gt;"JSP",IFERROR(VLOOKUP(D168,'LPA Lookup'!$A$100:$B$470,2,FALSE),"LPA not known to MCLHG"),VLOOKUP(D168&amp;B168,'LPA Lookup'!$A$100:$B$470,3,FALSE)),"")</f>
        <v>E07000092</v>
      </c>
      <c r="AZ168" s="41" t="str">
        <f t="shared" si="9"/>
        <v>Feb 18</v>
      </c>
      <c r="BA168" s="41" t="str">
        <f t="shared" si="10"/>
        <v>Jan 19</v>
      </c>
    </row>
    <row r="169" spans="1:53" ht="14" x14ac:dyDescent="0.15">
      <c r="A169" s="35" t="s">
        <v>53</v>
      </c>
      <c r="B169" s="35">
        <v>1781</v>
      </c>
      <c r="C169" s="27" t="s">
        <v>83</v>
      </c>
      <c r="D169" s="27" t="s">
        <v>431</v>
      </c>
      <c r="E169" s="27" t="s">
        <v>56</v>
      </c>
      <c r="F169" s="27" t="s">
        <v>57</v>
      </c>
      <c r="G169" s="27">
        <v>3</v>
      </c>
      <c r="H169" s="28">
        <v>43077</v>
      </c>
      <c r="I169" s="27"/>
      <c r="J169" s="28">
        <v>43133</v>
      </c>
      <c r="K169" s="27"/>
      <c r="L169" s="27"/>
      <c r="M169" s="28">
        <v>43133</v>
      </c>
      <c r="N169" s="28"/>
      <c r="O169" s="28">
        <v>43256</v>
      </c>
      <c r="P169" s="27"/>
      <c r="Q169" s="28">
        <v>43277</v>
      </c>
      <c r="R169" s="27"/>
      <c r="S169" s="27"/>
      <c r="T169" s="27"/>
      <c r="U169" s="27"/>
      <c r="V169" s="27"/>
      <c r="W169" s="27"/>
      <c r="X169" s="29">
        <v>36.17</v>
      </c>
      <c r="Y169" s="29">
        <v>9.82</v>
      </c>
      <c r="Z169" s="29"/>
      <c r="AA169" s="29">
        <v>1.46</v>
      </c>
      <c r="AB169" s="29">
        <v>5.65</v>
      </c>
      <c r="AC169" s="29"/>
      <c r="AD169" s="29">
        <v>34.32</v>
      </c>
      <c r="AE169" s="37">
        <f>AllPlans[[#This Row],[Prep days*]]+AllPlans[[#This Row],[Hearing days*]]+AllPlans[[#This Row],[SV days*]]+AllPlans[[#This Row],[Travel days]]+AllPlans[[#This Row],[Reptg days*]]</f>
        <v>87.42</v>
      </c>
      <c r="AF169" s="27"/>
      <c r="AG169" s="28">
        <v>43521</v>
      </c>
      <c r="AH169" s="27"/>
      <c r="AI169" s="28">
        <v>43516</v>
      </c>
      <c r="AJ169" s="27"/>
      <c r="AK169" s="28">
        <v>43521</v>
      </c>
      <c r="AL169" s="27"/>
      <c r="AM169" s="28">
        <v>43521</v>
      </c>
      <c r="AN169" s="27"/>
      <c r="AO169" s="28">
        <v>43544</v>
      </c>
      <c r="AP169" s="27"/>
      <c r="AQ169" s="28">
        <v>43620</v>
      </c>
      <c r="AR169" s="27"/>
      <c r="AS169" s="28"/>
      <c r="AT169" s="27"/>
      <c r="AU169" s="27" t="s">
        <v>59</v>
      </c>
      <c r="AV169" s="83">
        <v>81.285714285714292</v>
      </c>
      <c r="AW169" s="39">
        <f t="shared" si="11"/>
        <v>38.142857142857146</v>
      </c>
      <c r="AX169" s="27"/>
      <c r="AY169" s="77" t="str">
        <f>IF(D169&lt;&gt;"",IF(LEFT(IFERROR(VLOOKUP(D169,'LPA Lookup'!$A$100:$B$470,2,FALSE),"LPA not known to MCLHG"),3)&lt;&gt;"JSP",IFERROR(VLOOKUP(D169,'LPA Lookup'!$A$100:$B$470,2,FALSE),"LPA not known to MCLHG"),VLOOKUP(D169&amp;B169,'LPA Lookup'!$A$100:$B$470,3,FALSE)),"")</f>
        <v>LPA not known to MCLHG</v>
      </c>
      <c r="AZ169" s="41" t="str">
        <f t="shared" si="9"/>
        <v>Feb 18</v>
      </c>
      <c r="BA169" s="41" t="str">
        <f t="shared" si="10"/>
        <v>Mar 19</v>
      </c>
    </row>
    <row r="170" spans="1:53" ht="14" x14ac:dyDescent="0.15">
      <c r="A170" s="35" t="s">
        <v>53</v>
      </c>
      <c r="B170" s="35">
        <v>1870</v>
      </c>
      <c r="C170" s="27" t="s">
        <v>71</v>
      </c>
      <c r="D170" s="27" t="s">
        <v>432</v>
      </c>
      <c r="E170" s="27" t="s">
        <v>56</v>
      </c>
      <c r="F170" s="27" t="s">
        <v>57</v>
      </c>
      <c r="G170" s="27">
        <v>3</v>
      </c>
      <c r="H170" s="28">
        <v>43047</v>
      </c>
      <c r="I170" s="27"/>
      <c r="J170" s="28">
        <v>43147</v>
      </c>
      <c r="K170" s="27"/>
      <c r="L170" s="27"/>
      <c r="M170" s="28">
        <v>43147</v>
      </c>
      <c r="N170" s="28"/>
      <c r="O170" s="28">
        <v>43270</v>
      </c>
      <c r="P170" s="27"/>
      <c r="Q170" s="28"/>
      <c r="R170" s="27"/>
      <c r="S170" s="27"/>
      <c r="T170" s="27"/>
      <c r="U170" s="27"/>
      <c r="V170" s="27"/>
      <c r="W170" s="27"/>
      <c r="X170" s="27">
        <v>0</v>
      </c>
      <c r="Y170" s="27">
        <v>0</v>
      </c>
      <c r="Z170" s="27"/>
      <c r="AA170" s="27">
        <v>0</v>
      </c>
      <c r="AB170" s="27">
        <v>0</v>
      </c>
      <c r="AC170" s="27"/>
      <c r="AD170" s="27">
        <v>0</v>
      </c>
      <c r="AE170" s="37">
        <v>78.58</v>
      </c>
      <c r="AF170" s="27"/>
      <c r="AG170" s="28"/>
      <c r="AH170" s="27"/>
      <c r="AI170" s="28"/>
      <c r="AJ170" s="27"/>
      <c r="AK170" s="28"/>
      <c r="AL170" s="27"/>
      <c r="AM170" s="28"/>
      <c r="AN170" s="27"/>
      <c r="AO170" s="28"/>
      <c r="AP170" s="27"/>
      <c r="AQ170" s="28"/>
      <c r="AR170" s="27"/>
      <c r="AS170" s="28">
        <v>43518</v>
      </c>
      <c r="AT170" s="27"/>
      <c r="AU170" s="27" t="s">
        <v>278</v>
      </c>
      <c r="AV170" s="38" t="e">
        <f>DATEDIF(J170,AO170, "d")/7</f>
        <v>#NUM!</v>
      </c>
      <c r="AW170" s="39">
        <f t="shared" si="11"/>
        <v>0</v>
      </c>
      <c r="AX170" s="27"/>
      <c r="AY170" s="77" t="str">
        <f>IF(D170&lt;&gt;"",IF(LEFT(IFERROR(VLOOKUP(D170,'LPA Lookup'!$A$100:$B$470,2,FALSE),"LPA not known to MCLHG"),3)&lt;&gt;"JSP",IFERROR(VLOOKUP(D170,'LPA Lookup'!$A$100:$B$470,2,FALSE),"LPA not known to MCLHG"),VLOOKUP(D170&amp;B170,'LPA Lookup'!$A$100:$B$470,3,FALSE)),"")</f>
        <v>E07000009</v>
      </c>
      <c r="AZ170" s="41" t="str">
        <f t="shared" si="9"/>
        <v>Feb 18</v>
      </c>
      <c r="BA170" s="41" t="str">
        <f t="shared" si="10"/>
        <v>Jan 00</v>
      </c>
    </row>
    <row r="171" spans="1:53" ht="28" x14ac:dyDescent="0.15">
      <c r="A171" s="35" t="s">
        <v>53</v>
      </c>
      <c r="B171" s="35">
        <v>1362</v>
      </c>
      <c r="C171" s="27" t="s">
        <v>104</v>
      </c>
      <c r="D171" s="27" t="s">
        <v>433</v>
      </c>
      <c r="E171" s="27" t="s">
        <v>434</v>
      </c>
      <c r="F171" s="27" t="s">
        <v>136</v>
      </c>
      <c r="G171" s="27">
        <v>2</v>
      </c>
      <c r="H171" s="28">
        <v>42692</v>
      </c>
      <c r="I171" s="27"/>
      <c r="J171" s="28">
        <v>43150</v>
      </c>
      <c r="K171" s="27"/>
      <c r="L171" s="27"/>
      <c r="M171" s="28">
        <v>43150</v>
      </c>
      <c r="N171" s="28"/>
      <c r="O171" s="28">
        <v>43242</v>
      </c>
      <c r="P171" s="27"/>
      <c r="Q171" s="28">
        <v>43244</v>
      </c>
      <c r="R171" s="27"/>
      <c r="S171" s="27"/>
      <c r="T171" s="27"/>
      <c r="U171" s="27"/>
      <c r="V171" s="27"/>
      <c r="W171" s="27"/>
      <c r="X171" s="29">
        <v>21.46</v>
      </c>
      <c r="Y171" s="29">
        <v>7.08</v>
      </c>
      <c r="Z171" s="29"/>
      <c r="AA171" s="29">
        <v>0</v>
      </c>
      <c r="AB171" s="29">
        <v>5.41</v>
      </c>
      <c r="AC171" s="29"/>
      <c r="AD171" s="29">
        <v>47.98</v>
      </c>
      <c r="AE171" s="37">
        <f>AllPlans[[#This Row],[Prep days*]]+AllPlans[[#This Row],[Hearing days*]]+AllPlans[[#This Row],[SV days*]]+AllPlans[[#This Row],[Travel days]]+AllPlans[[#This Row],[Reptg days*]]</f>
        <v>81.93</v>
      </c>
      <c r="AF171" s="27"/>
      <c r="AG171" s="28">
        <v>43532</v>
      </c>
      <c r="AH171" s="27"/>
      <c r="AI171" s="28">
        <v>43545</v>
      </c>
      <c r="AJ171" s="27"/>
      <c r="AK171" s="28">
        <v>43557</v>
      </c>
      <c r="AL171" s="27"/>
      <c r="AM171" s="28">
        <v>43558</v>
      </c>
      <c r="AN171" s="27"/>
      <c r="AO171" s="28">
        <v>43579</v>
      </c>
      <c r="AP171" s="27"/>
      <c r="AQ171" s="28">
        <v>43609</v>
      </c>
      <c r="AR171" s="27"/>
      <c r="AS171" s="28"/>
      <c r="AT171" s="27"/>
      <c r="AU171" s="27" t="s">
        <v>59</v>
      </c>
      <c r="AV171" s="83">
        <v>126.42857142857143</v>
      </c>
      <c r="AW171" s="39">
        <f t="shared" si="11"/>
        <v>47.857142857142854</v>
      </c>
      <c r="AX171" s="27"/>
      <c r="AY171" s="77" t="str">
        <f>IF(D171&lt;&gt;"",IF(LEFT(IFERROR(VLOOKUP(D171,'LPA Lookup'!$A$100:$B$470,2,FALSE),"LPA not known to MCLHG"),3)&lt;&gt;"JSP",IFERROR(VLOOKUP(D171,'LPA Lookup'!$A$100:$B$470,2,FALSE),"LPA not known to MCLHG"),VLOOKUP(D171&amp;B171,'LPA Lookup'!$A$100:$B$470,3,FALSE)),"")</f>
        <v>E26000006</v>
      </c>
      <c r="AZ171" s="41" t="str">
        <f t="shared" si="9"/>
        <v>Feb 18</v>
      </c>
      <c r="BA171" s="41" t="str">
        <f t="shared" si="10"/>
        <v>Apr 19</v>
      </c>
    </row>
    <row r="172" spans="1:53" ht="14" x14ac:dyDescent="0.15">
      <c r="A172" s="35" t="s">
        <v>53</v>
      </c>
      <c r="B172" s="35">
        <v>1860</v>
      </c>
      <c r="C172" s="27" t="s">
        <v>61</v>
      </c>
      <c r="D172" s="27" t="s">
        <v>94</v>
      </c>
      <c r="E172" s="27" t="s">
        <v>212</v>
      </c>
      <c r="F172" s="27" t="s">
        <v>107</v>
      </c>
      <c r="G172" s="27">
        <v>3</v>
      </c>
      <c r="H172" s="28">
        <v>43019</v>
      </c>
      <c r="I172" s="27"/>
      <c r="J172" s="28">
        <v>43154</v>
      </c>
      <c r="K172" s="27"/>
      <c r="L172" s="27"/>
      <c r="M172" s="28">
        <v>43158</v>
      </c>
      <c r="N172" s="28"/>
      <c r="O172" s="28">
        <v>43284</v>
      </c>
      <c r="P172" s="27"/>
      <c r="Q172" s="28">
        <v>43349</v>
      </c>
      <c r="R172" s="27"/>
      <c r="S172" s="27"/>
      <c r="T172" s="27"/>
      <c r="U172" s="27"/>
      <c r="V172" s="27"/>
      <c r="W172" s="27"/>
      <c r="X172" s="27">
        <v>20.18</v>
      </c>
      <c r="Y172" s="27">
        <v>8.08</v>
      </c>
      <c r="Z172" s="27"/>
      <c r="AA172" s="27"/>
      <c r="AB172" s="27">
        <v>2.7</v>
      </c>
      <c r="AC172" s="27"/>
      <c r="AD172" s="27">
        <v>22.02</v>
      </c>
      <c r="AE172" s="37">
        <f>AllPlans[[#This Row],[Prep days*]]+AllPlans[[#This Row],[Hearing days*]]+AllPlans[[#This Row],[SV days*]]+AllPlans[[#This Row],[Travel days]]+AllPlans[[#This Row],[Reptg days*]]</f>
        <v>52.98</v>
      </c>
      <c r="AF172" s="27"/>
      <c r="AG172" s="28">
        <v>43619</v>
      </c>
      <c r="AH172" s="27"/>
      <c r="AI172" s="28">
        <v>43606</v>
      </c>
      <c r="AJ172" s="27"/>
      <c r="AK172" s="28">
        <v>43619</v>
      </c>
      <c r="AL172" s="27"/>
      <c r="AM172" s="28">
        <v>43619</v>
      </c>
      <c r="AN172" s="27"/>
      <c r="AO172" s="28">
        <v>43641</v>
      </c>
      <c r="AP172" s="27"/>
      <c r="AQ172" s="28">
        <v>43747</v>
      </c>
      <c r="AR172" s="27"/>
      <c r="AS172" s="28"/>
      <c r="AT172" s="27"/>
      <c r="AU172" s="27" t="s">
        <v>59</v>
      </c>
      <c r="AV172" s="40">
        <v>66.571428571428569</v>
      </c>
      <c r="AW172" s="39">
        <f t="shared" si="11"/>
        <v>41.714285714285715</v>
      </c>
      <c r="AX172" s="27"/>
      <c r="AY172" s="77" t="str">
        <f>IF(D172&lt;&gt;"",IF(LEFT(IFERROR(VLOOKUP(D172,'LPA Lookup'!$A$100:$B$470,2,FALSE),"LPA not known to MCLHG"),3)&lt;&gt;"JSP",IFERROR(VLOOKUP(D172,'LPA Lookup'!$A$100:$B$470,2,FALSE),"LPA not known to MCLHG"),VLOOKUP(D172&amp;B172,'LPA Lookup'!$A$100:$B$470,3,FALSE)),"")</f>
        <v>E07000180</v>
      </c>
      <c r="AZ172" s="41" t="str">
        <f t="shared" si="9"/>
        <v>Feb 18</v>
      </c>
      <c r="BA172" s="41" t="str">
        <f t="shared" si="10"/>
        <v>Jun 19</v>
      </c>
    </row>
    <row r="173" spans="1:53" ht="14" x14ac:dyDescent="0.15">
      <c r="A173" s="35" t="s">
        <v>53</v>
      </c>
      <c r="B173" s="35">
        <v>1865</v>
      </c>
      <c r="C173" s="27" t="s">
        <v>54</v>
      </c>
      <c r="D173" s="27" t="s">
        <v>435</v>
      </c>
      <c r="E173" s="27" t="s">
        <v>436</v>
      </c>
      <c r="F173" s="27" t="s">
        <v>102</v>
      </c>
      <c r="G173" s="27">
        <v>2</v>
      </c>
      <c r="H173" s="28">
        <v>43045</v>
      </c>
      <c r="I173" s="27"/>
      <c r="J173" s="28">
        <v>43158</v>
      </c>
      <c r="K173" s="27"/>
      <c r="L173" s="27"/>
      <c r="M173" s="28">
        <v>43158</v>
      </c>
      <c r="N173" s="28"/>
      <c r="O173" s="28">
        <v>43242</v>
      </c>
      <c r="P173" s="27"/>
      <c r="Q173" s="28">
        <v>43542</v>
      </c>
      <c r="R173" s="27"/>
      <c r="S173" s="27"/>
      <c r="T173" s="27"/>
      <c r="U173" s="27"/>
      <c r="V173" s="27"/>
      <c r="W173" s="27"/>
      <c r="X173" s="29">
        <v>51.27</v>
      </c>
      <c r="Y173" s="29">
        <v>9.99</v>
      </c>
      <c r="Z173" s="29"/>
      <c r="AA173" s="29">
        <v>1.82</v>
      </c>
      <c r="AB173" s="29">
        <v>6.55</v>
      </c>
      <c r="AC173" s="29"/>
      <c r="AD173" s="29">
        <v>28.87</v>
      </c>
      <c r="AE173" s="37">
        <f>AllPlans[[#This Row],[Prep days*]]+AllPlans[[#This Row],[Hearing days*]]+AllPlans[[#This Row],[SV days*]]+AllPlans[[#This Row],[Travel days]]+AllPlans[[#This Row],[Reptg days*]]</f>
        <v>98.500000000000014</v>
      </c>
      <c r="AF173" s="27"/>
      <c r="AG173" s="28">
        <v>43637</v>
      </c>
      <c r="AH173" s="27"/>
      <c r="AI173" s="28">
        <v>43634</v>
      </c>
      <c r="AJ173" s="27"/>
      <c r="AK173" s="28">
        <v>43635</v>
      </c>
      <c r="AL173" s="27"/>
      <c r="AM173" s="28">
        <v>43637</v>
      </c>
      <c r="AN173" s="27"/>
      <c r="AO173" s="28">
        <v>43640</v>
      </c>
      <c r="AP173" s="27"/>
      <c r="AQ173" s="28">
        <v>43749</v>
      </c>
      <c r="AR173" s="27"/>
      <c r="AS173" s="28"/>
      <c r="AT173" s="27"/>
      <c r="AU173" s="27" t="s">
        <v>59</v>
      </c>
      <c r="AV173" s="83">
        <v>108.71428571428571</v>
      </c>
      <c r="AW173" s="39">
        <f t="shared" si="11"/>
        <v>14</v>
      </c>
      <c r="AX173" s="27"/>
      <c r="AY173" s="77" t="str">
        <f>IF(D173&lt;&gt;"",IF(LEFT(IFERROR(VLOOKUP(D173,'LPA Lookup'!$A$100:$B$470,2,FALSE),"LPA not known to MCLHG"),3)&lt;&gt;"JSP",IFERROR(VLOOKUP(D173,'LPA Lookup'!$A$100:$B$470,2,FALSE),"LPA not known to MCLHG"),VLOOKUP(D173&amp;B173,'LPA Lookup'!$A$100:$B$470,3,FALSE)),"")</f>
        <v>E06000019</v>
      </c>
      <c r="AZ173" s="41" t="str">
        <f t="shared" si="9"/>
        <v>Feb 18</v>
      </c>
      <c r="BA173" s="41" t="str">
        <f t="shared" si="10"/>
        <v>Jun 19</v>
      </c>
    </row>
    <row r="174" spans="1:53" ht="14" x14ac:dyDescent="0.15">
      <c r="A174" s="35" t="s">
        <v>53</v>
      </c>
      <c r="B174" s="35">
        <v>1876</v>
      </c>
      <c r="C174" s="27" t="s">
        <v>90</v>
      </c>
      <c r="D174" s="27" t="s">
        <v>165</v>
      </c>
      <c r="E174" s="27" t="s">
        <v>92</v>
      </c>
      <c r="F174" s="27" t="s">
        <v>57</v>
      </c>
      <c r="G174" s="27">
        <v>3</v>
      </c>
      <c r="H174" s="28">
        <v>43067</v>
      </c>
      <c r="I174" s="27"/>
      <c r="J174" s="28">
        <v>43159</v>
      </c>
      <c r="K174" s="27"/>
      <c r="L174" s="27"/>
      <c r="M174" s="28">
        <v>43159</v>
      </c>
      <c r="N174" s="28"/>
      <c r="O174" s="28">
        <v>43270</v>
      </c>
      <c r="P174" s="27"/>
      <c r="Q174" s="28">
        <v>43279</v>
      </c>
      <c r="R174" s="27"/>
      <c r="S174" s="27"/>
      <c r="T174" s="27"/>
      <c r="U174" s="27"/>
      <c r="V174" s="27"/>
      <c r="W174" s="27"/>
      <c r="X174" s="27">
        <v>38.03</v>
      </c>
      <c r="Y174" s="27">
        <v>5.68</v>
      </c>
      <c r="Z174" s="27"/>
      <c r="AA174" s="27">
        <v>2.23</v>
      </c>
      <c r="AB174" s="27">
        <v>3.35</v>
      </c>
      <c r="AC174" s="27"/>
      <c r="AD174" s="27">
        <v>13.92</v>
      </c>
      <c r="AE174" s="37">
        <f>AllPlans[[#This Row],[Prep days*]]+AllPlans[[#This Row],[Hearing days*]]+AllPlans[[#This Row],[SV days*]]+AllPlans[[#This Row],[Travel days]]+AllPlans[[#This Row],[Reptg days*]]</f>
        <v>63.21</v>
      </c>
      <c r="AF174" s="27"/>
      <c r="AG174" s="28">
        <v>43430</v>
      </c>
      <c r="AH174" s="27"/>
      <c r="AI174" s="28">
        <v>43419</v>
      </c>
      <c r="AJ174" s="27"/>
      <c r="AK174" s="28">
        <v>43427</v>
      </c>
      <c r="AL174" s="27"/>
      <c r="AM174" s="28">
        <v>43427</v>
      </c>
      <c r="AN174" s="27"/>
      <c r="AO174" s="28">
        <v>43430</v>
      </c>
      <c r="AP174" s="27"/>
      <c r="AQ174" s="28">
        <v>43444</v>
      </c>
      <c r="AR174" s="27"/>
      <c r="AS174" s="28"/>
      <c r="AT174" s="27"/>
      <c r="AU174" s="27" t="s">
        <v>59</v>
      </c>
      <c r="AV174" s="40">
        <v>55.142857142857146</v>
      </c>
      <c r="AW174" s="39">
        <f t="shared" si="11"/>
        <v>21.571428571428573</v>
      </c>
      <c r="AX174" s="27"/>
      <c r="AY174" s="77" t="str">
        <f>IF(D174&lt;&gt;"",IF(LEFT(IFERROR(VLOOKUP(D174,'LPA Lookup'!$A$100:$B$470,2,FALSE),"LPA not known to MCLHG"),3)&lt;&gt;"JSP",IFERROR(VLOOKUP(D174,'LPA Lookup'!$A$100:$B$470,2,FALSE),"LPA not known to MCLHG"),VLOOKUP(D174&amp;B174,'LPA Lookup'!$A$100:$B$470,3,FALSE)),"")</f>
        <v>E09000025</v>
      </c>
      <c r="AZ174" s="41" t="str">
        <f t="shared" si="9"/>
        <v>Feb 18</v>
      </c>
      <c r="BA174" s="41" t="str">
        <f t="shared" si="10"/>
        <v>Nov 18</v>
      </c>
    </row>
    <row r="175" spans="1:53" ht="14" x14ac:dyDescent="0.15">
      <c r="A175" s="35" t="s">
        <v>53</v>
      </c>
      <c r="B175" s="35">
        <v>1838</v>
      </c>
      <c r="C175" s="27" t="s">
        <v>83</v>
      </c>
      <c r="D175" s="27" t="s">
        <v>437</v>
      </c>
      <c r="E175" s="27" t="s">
        <v>438</v>
      </c>
      <c r="F175" s="27" t="s">
        <v>74</v>
      </c>
      <c r="G175" s="27">
        <v>2</v>
      </c>
      <c r="H175" s="28">
        <v>43041</v>
      </c>
      <c r="I175" s="27"/>
      <c r="J175" s="28">
        <v>43159</v>
      </c>
      <c r="K175" s="27"/>
      <c r="L175" s="27"/>
      <c r="M175" s="28">
        <v>43159</v>
      </c>
      <c r="N175" s="28"/>
      <c r="O175" s="28">
        <v>43270</v>
      </c>
      <c r="P175" s="27"/>
      <c r="Q175" s="28">
        <v>43272</v>
      </c>
      <c r="R175" s="27"/>
      <c r="S175" s="27"/>
      <c r="T175" s="27"/>
      <c r="U175" s="27"/>
      <c r="V175" s="27"/>
      <c r="W175" s="27"/>
      <c r="X175" s="27">
        <v>19.13</v>
      </c>
      <c r="Y175" s="27">
        <v>4.4000000000000004</v>
      </c>
      <c r="Z175" s="27"/>
      <c r="AA175" s="27">
        <v>1.52</v>
      </c>
      <c r="AB175" s="27">
        <v>1.98</v>
      </c>
      <c r="AC175" s="27"/>
      <c r="AD175" s="27">
        <v>16.899999999999999</v>
      </c>
      <c r="AE175" s="37">
        <f>AllPlans[[#This Row],[Prep days*]]+AllPlans[[#This Row],[Hearing days*]]+AllPlans[[#This Row],[SV days*]]+AllPlans[[#This Row],[Travel days]]+AllPlans[[#This Row],[Reptg days*]]</f>
        <v>43.93</v>
      </c>
      <c r="AF175" s="27"/>
      <c r="AG175" s="28">
        <v>43483</v>
      </c>
      <c r="AH175" s="27"/>
      <c r="AI175" s="28">
        <v>43472</v>
      </c>
      <c r="AJ175" s="27"/>
      <c r="AK175" s="28">
        <v>43483</v>
      </c>
      <c r="AL175" s="27"/>
      <c r="AM175" s="28">
        <v>43483</v>
      </c>
      <c r="AN175" s="27"/>
      <c r="AO175" s="28">
        <v>43495</v>
      </c>
      <c r="AP175" s="27"/>
      <c r="AQ175" s="28">
        <v>43552</v>
      </c>
      <c r="AR175" s="27"/>
      <c r="AS175" s="28"/>
      <c r="AT175" s="27"/>
      <c r="AU175" s="27" t="s">
        <v>59</v>
      </c>
      <c r="AV175" s="40">
        <v>55.857142857142854</v>
      </c>
      <c r="AW175" s="39">
        <f t="shared" si="11"/>
        <v>31.857142857142858</v>
      </c>
      <c r="AX175" s="27"/>
      <c r="AY175" s="77" t="str">
        <f>IF(D175&lt;&gt;"",IF(LEFT(IFERROR(VLOOKUP(D175,'LPA Lookup'!$A$100:$B$470,2,FALSE),"LPA not known to MCLHG"),3)&lt;&gt;"JSP",IFERROR(VLOOKUP(D175,'LPA Lookup'!$A$100:$B$470,2,FALSE),"LPA not known to MCLHG"),VLOOKUP(D175&amp;B175,'LPA Lookup'!$A$100:$B$470,3,FALSE)),"")</f>
        <v>LPA not known to MCLHG</v>
      </c>
      <c r="AZ175" s="41" t="str">
        <f t="shared" si="9"/>
        <v>Feb 18</v>
      </c>
      <c r="BA175" s="41" t="str">
        <f t="shared" si="10"/>
        <v>Jan 19</v>
      </c>
    </row>
    <row r="176" spans="1:53" ht="28" x14ac:dyDescent="0.15">
      <c r="A176" s="35" t="s">
        <v>53</v>
      </c>
      <c r="B176" s="35">
        <v>1903</v>
      </c>
      <c r="C176" s="27" t="s">
        <v>83</v>
      </c>
      <c r="D176" s="27" t="s">
        <v>439</v>
      </c>
      <c r="E176" s="27" t="s">
        <v>440</v>
      </c>
      <c r="F176" s="27" t="s">
        <v>136</v>
      </c>
      <c r="G176" s="27">
        <v>2</v>
      </c>
      <c r="H176" s="28">
        <v>43041</v>
      </c>
      <c r="I176" s="27"/>
      <c r="J176" s="28">
        <v>43159</v>
      </c>
      <c r="K176" s="27"/>
      <c r="L176" s="27"/>
      <c r="M176" s="28">
        <v>43159</v>
      </c>
      <c r="N176" s="28"/>
      <c r="O176" s="28">
        <v>43263</v>
      </c>
      <c r="P176" s="27"/>
      <c r="Q176" s="28">
        <v>43264</v>
      </c>
      <c r="R176" s="27"/>
      <c r="S176" s="27"/>
      <c r="T176" s="27"/>
      <c r="U176" s="27"/>
      <c r="V176" s="27"/>
      <c r="W176" s="27"/>
      <c r="X176" s="27">
        <v>22.83</v>
      </c>
      <c r="Y176" s="27">
        <v>5.82</v>
      </c>
      <c r="Z176" s="27"/>
      <c r="AA176" s="27"/>
      <c r="AB176" s="27">
        <v>1.22</v>
      </c>
      <c r="AC176" s="27"/>
      <c r="AD176" s="27">
        <v>11.8</v>
      </c>
      <c r="AE176" s="37">
        <f>AllPlans[[#This Row],[Prep days*]]+AllPlans[[#This Row],[Hearing days*]]+AllPlans[[#This Row],[SV days*]]+AllPlans[[#This Row],[Travel days]]+AllPlans[[#This Row],[Reptg days*]]</f>
        <v>41.67</v>
      </c>
      <c r="AF176" s="27"/>
      <c r="AG176" s="28">
        <v>43483</v>
      </c>
      <c r="AH176" s="27"/>
      <c r="AI176" s="28">
        <v>43472</v>
      </c>
      <c r="AJ176" s="27"/>
      <c r="AK176" s="28">
        <v>43483</v>
      </c>
      <c r="AL176" s="27"/>
      <c r="AM176" s="28">
        <v>43483</v>
      </c>
      <c r="AN176" s="27"/>
      <c r="AO176" s="28">
        <v>43495</v>
      </c>
      <c r="AP176" s="27"/>
      <c r="AQ176" s="28">
        <v>43552</v>
      </c>
      <c r="AR176" s="27"/>
      <c r="AS176" s="28"/>
      <c r="AT176" s="27"/>
      <c r="AU176" s="27" t="s">
        <v>59</v>
      </c>
      <c r="AV176" s="40">
        <v>39</v>
      </c>
      <c r="AW176" s="39">
        <f t="shared" si="11"/>
        <v>33</v>
      </c>
      <c r="AX176" s="27"/>
      <c r="AY176" s="77" t="str">
        <f>IF(D176&lt;&gt;"",IF(LEFT(IFERROR(VLOOKUP(D176,'LPA Lookup'!$A$100:$B$470,2,FALSE),"LPA not known to MCLHG"),3)&lt;&gt;"JSP",IFERROR(VLOOKUP(D176,'LPA Lookup'!$A$100:$B$470,2,FALSE),"LPA not known to MCLHG"),VLOOKUP(D176&amp;B176,'LPA Lookup'!$A$100:$B$470,3,FALSE)),"")</f>
        <v>E07000031</v>
      </c>
      <c r="AZ176" s="41" t="str">
        <f t="shared" si="9"/>
        <v>Feb 18</v>
      </c>
      <c r="BA176" s="41" t="str">
        <f t="shared" si="10"/>
        <v>Jan 19</v>
      </c>
    </row>
    <row r="177" spans="1:53" ht="14" x14ac:dyDescent="0.15">
      <c r="A177" s="35" t="s">
        <v>53</v>
      </c>
      <c r="B177" s="46">
        <v>1858</v>
      </c>
      <c r="C177" s="27" t="s">
        <v>90</v>
      </c>
      <c r="D177" s="29" t="s">
        <v>441</v>
      </c>
      <c r="E177" s="29" t="s">
        <v>56</v>
      </c>
      <c r="F177" s="29" t="s">
        <v>57</v>
      </c>
      <c r="G177" s="29">
        <v>3</v>
      </c>
      <c r="H177" s="30">
        <v>43010</v>
      </c>
      <c r="I177" s="29"/>
      <c r="J177" s="30">
        <v>43159</v>
      </c>
      <c r="K177" s="29"/>
      <c r="L177" s="29"/>
      <c r="M177" s="30">
        <v>43159</v>
      </c>
      <c r="N177" s="30"/>
      <c r="O177" s="30">
        <v>43353</v>
      </c>
      <c r="P177" s="29"/>
      <c r="Q177" s="30">
        <v>43385</v>
      </c>
      <c r="R177" s="29"/>
      <c r="S177" s="29"/>
      <c r="T177" s="29"/>
      <c r="U177" s="29"/>
      <c r="V177" s="29"/>
      <c r="W177" s="29"/>
      <c r="X177" s="27">
        <v>21.77</v>
      </c>
      <c r="Y177" s="27">
        <v>4.5</v>
      </c>
      <c r="Z177" s="27"/>
      <c r="AA177" s="27">
        <v>3.14</v>
      </c>
      <c r="AB177" s="27">
        <v>3.66</v>
      </c>
      <c r="AC177" s="27"/>
      <c r="AD177" s="27">
        <v>21.36</v>
      </c>
      <c r="AE177" s="37">
        <v>87.4</v>
      </c>
      <c r="AF177" s="29"/>
      <c r="AG177" s="30">
        <v>43700</v>
      </c>
      <c r="AH177" s="29"/>
      <c r="AI177" s="30">
        <v>43643</v>
      </c>
      <c r="AJ177" s="29"/>
      <c r="AK177" s="30">
        <v>43698</v>
      </c>
      <c r="AL177" s="29"/>
      <c r="AM177" s="30">
        <v>43700</v>
      </c>
      <c r="AN177" s="29"/>
      <c r="AO177" s="30">
        <v>43728</v>
      </c>
      <c r="AP177" s="29"/>
      <c r="AQ177" s="30">
        <v>43845</v>
      </c>
      <c r="AR177" s="29"/>
      <c r="AS177" s="30"/>
      <c r="AT177" s="29"/>
      <c r="AU177" s="29" t="s">
        <v>59</v>
      </c>
      <c r="AV177" s="38">
        <v>55.428571428571431</v>
      </c>
      <c r="AW177" s="49">
        <f t="shared" si="11"/>
        <v>49</v>
      </c>
      <c r="AX177" s="29"/>
      <c r="AY177" s="77" t="str">
        <f>IF(D177&lt;&gt;"",IF(LEFT(IFERROR(VLOOKUP(D177,'LPA Lookup'!$A$100:$B$470,2,FALSE),"LPA not known to MCLHG"),3)&lt;&gt;"JSP",IFERROR(VLOOKUP(D177,'LPA Lookup'!$A$100:$B$470,2,FALSE),"LPA not known to MCLHG"),VLOOKUP(D177&amp;B177,'LPA Lookup'!$A$100:$B$470,3,FALSE)),"")</f>
        <v>E09000030</v>
      </c>
      <c r="AZ177" s="41" t="str">
        <f t="shared" si="9"/>
        <v>Feb 18</v>
      </c>
      <c r="BA177" s="41" t="str">
        <f t="shared" si="10"/>
        <v>Sep 19</v>
      </c>
    </row>
    <row r="178" spans="1:53" ht="14" x14ac:dyDescent="0.15">
      <c r="A178" s="35" t="s">
        <v>53</v>
      </c>
      <c r="B178" s="84">
        <v>1863</v>
      </c>
      <c r="C178" s="27" t="s">
        <v>61</v>
      </c>
      <c r="D178" s="31" t="s">
        <v>442</v>
      </c>
      <c r="E178" s="31" t="s">
        <v>56</v>
      </c>
      <c r="F178" s="31" t="s">
        <v>57</v>
      </c>
      <c r="G178" s="31">
        <v>3</v>
      </c>
      <c r="H178" s="32">
        <v>43041</v>
      </c>
      <c r="I178" s="31"/>
      <c r="J178" s="32">
        <v>43159</v>
      </c>
      <c r="K178" s="31"/>
      <c r="L178" s="31"/>
      <c r="M178" s="32">
        <v>43159</v>
      </c>
      <c r="N178" s="32"/>
      <c r="O178" s="32">
        <v>43291</v>
      </c>
      <c r="P178" s="31" t="s">
        <v>443</v>
      </c>
      <c r="Q178" s="32">
        <v>44315</v>
      </c>
      <c r="R178" s="31"/>
      <c r="S178" s="31"/>
      <c r="T178" s="31"/>
      <c r="U178" s="31"/>
      <c r="V178" s="31"/>
      <c r="W178" s="31"/>
      <c r="X178" s="31">
        <v>15.38</v>
      </c>
      <c r="Y178" s="31">
        <v>5.95</v>
      </c>
      <c r="Z178" s="31"/>
      <c r="AA178" s="31"/>
      <c r="AB178" s="31">
        <v>0.82</v>
      </c>
      <c r="AC178" s="31"/>
      <c r="AD178" s="31">
        <v>25.97</v>
      </c>
      <c r="AE178" s="88">
        <v>172.14</v>
      </c>
      <c r="AF178" s="31"/>
      <c r="AG178" s="32">
        <v>44398</v>
      </c>
      <c r="AH178" s="31"/>
      <c r="AI178" s="32">
        <v>44354</v>
      </c>
      <c r="AJ178" s="31"/>
      <c r="AK178" s="32">
        <v>44393</v>
      </c>
      <c r="AL178" s="31"/>
      <c r="AM178" s="32">
        <v>44397</v>
      </c>
      <c r="AN178" s="31"/>
      <c r="AO178" s="32">
        <v>44427</v>
      </c>
      <c r="AP178" s="31"/>
      <c r="AQ178" s="32">
        <v>44454</v>
      </c>
      <c r="AR178" s="31"/>
      <c r="AS178" s="32"/>
      <c r="AT178" s="31"/>
      <c r="AU178" s="31" t="s">
        <v>59</v>
      </c>
      <c r="AV178" s="89">
        <v>60.571428571428569</v>
      </c>
      <c r="AW178" s="86">
        <f t="shared" si="11"/>
        <v>16</v>
      </c>
      <c r="AX178" s="31"/>
      <c r="AY178" s="77" t="str">
        <f>IF(D178&lt;&gt;"",IF(LEFT(IFERROR(VLOOKUP(D178,'LPA Lookup'!$A$100:$B$470,2,FALSE),"LPA not known to MCLHG"),3)&lt;&gt;"JSP",IFERROR(VLOOKUP(D178,'LPA Lookup'!$A$100:$B$470,2,FALSE),"LPA not known to MCLHG"),VLOOKUP(D178&amp;B178,'LPA Lookup'!$A$100:$B$470,3,FALSE)),"")</f>
        <v>LPA not known to MCLHG</v>
      </c>
      <c r="AZ178" s="41" t="str">
        <f t="shared" si="9"/>
        <v>Feb 18</v>
      </c>
      <c r="BA178" s="41" t="str">
        <f t="shared" si="10"/>
        <v>Aug 21</v>
      </c>
    </row>
    <row r="179" spans="1:53" ht="14" x14ac:dyDescent="0.15">
      <c r="A179" s="35" t="s">
        <v>53</v>
      </c>
      <c r="B179" s="35">
        <v>1864</v>
      </c>
      <c r="C179" s="27" t="s">
        <v>104</v>
      </c>
      <c r="D179" s="27" t="s">
        <v>444</v>
      </c>
      <c r="E179" s="27" t="s">
        <v>56</v>
      </c>
      <c r="F179" s="27" t="s">
        <v>57</v>
      </c>
      <c r="G179" s="27">
        <v>3</v>
      </c>
      <c r="H179" s="28">
        <v>43041</v>
      </c>
      <c r="I179" s="27"/>
      <c r="J179" s="28">
        <v>43161</v>
      </c>
      <c r="K179" s="27"/>
      <c r="L179" s="27"/>
      <c r="M179" s="28">
        <v>43165</v>
      </c>
      <c r="N179" s="28"/>
      <c r="O179" s="28">
        <v>43263</v>
      </c>
      <c r="P179" s="27"/>
      <c r="Q179" s="28"/>
      <c r="R179" s="27"/>
      <c r="S179" s="27"/>
      <c r="T179" s="27"/>
      <c r="U179" s="27"/>
      <c r="V179" s="27"/>
      <c r="W179" s="27"/>
      <c r="X179" s="29">
        <v>26.5</v>
      </c>
      <c r="Y179" s="29">
        <v>11.23</v>
      </c>
      <c r="Z179" s="29"/>
      <c r="AA179" s="29">
        <v>1.57</v>
      </c>
      <c r="AB179" s="29">
        <v>2.57</v>
      </c>
      <c r="AC179" s="29"/>
      <c r="AD179" s="29">
        <v>23.72</v>
      </c>
      <c r="AE179" s="37">
        <f>AllPlans[[#This Row],[Prep days*]]+AllPlans[[#This Row],[Hearing days*]]+AllPlans[[#This Row],[SV days*]]+AllPlans[[#This Row],[Travel days]]+AllPlans[[#This Row],[Reptg days*]]</f>
        <v>65.59</v>
      </c>
      <c r="AF179" s="27"/>
      <c r="AG179" s="28"/>
      <c r="AH179" s="27"/>
      <c r="AI179" s="28"/>
      <c r="AJ179" s="27"/>
      <c r="AK179" s="28"/>
      <c r="AL179" s="27"/>
      <c r="AM179" s="28"/>
      <c r="AN179" s="27"/>
      <c r="AO179" s="28"/>
      <c r="AP179" s="27"/>
      <c r="AQ179" s="28"/>
      <c r="AR179" s="27"/>
      <c r="AS179" s="28">
        <v>43609</v>
      </c>
      <c r="AT179" s="27"/>
      <c r="AU179" s="27" t="s">
        <v>278</v>
      </c>
      <c r="AV179" s="38" t="e">
        <f>DATEDIF(J179,AO179, "d")/7</f>
        <v>#NUM!</v>
      </c>
      <c r="AW179" s="39">
        <f t="shared" si="11"/>
        <v>0</v>
      </c>
      <c r="AX179" s="27"/>
      <c r="AY179" s="77" t="str">
        <f>IF(D179&lt;&gt;"",IF(LEFT(IFERROR(VLOOKUP(D179,'LPA Lookup'!$A$100:$B$470,2,FALSE),"LPA not known to MCLHG"),3)&lt;&gt;"JSP",IFERROR(VLOOKUP(D179,'LPA Lookup'!$A$100:$B$470,2,FALSE),"LPA not known to MCLHG"),VLOOKUP(D179&amp;B179,'LPA Lookup'!$A$100:$B$470,3,FALSE)),"")</f>
        <v>LPA not known to MCLHG</v>
      </c>
      <c r="AZ179" s="41" t="str">
        <f t="shared" si="9"/>
        <v>Mar 18</v>
      </c>
      <c r="BA179" s="41" t="str">
        <f t="shared" si="10"/>
        <v>Jan 00</v>
      </c>
    </row>
    <row r="180" spans="1:53" ht="14" x14ac:dyDescent="0.15">
      <c r="A180" s="35" t="s">
        <v>53</v>
      </c>
      <c r="B180" s="46">
        <v>1848</v>
      </c>
      <c r="C180" s="27" t="s">
        <v>61</v>
      </c>
      <c r="D180" s="29" t="s">
        <v>445</v>
      </c>
      <c r="E180" s="29" t="s">
        <v>446</v>
      </c>
      <c r="F180" s="29" t="s">
        <v>57</v>
      </c>
      <c r="G180" s="29">
        <v>3</v>
      </c>
      <c r="H180" s="30">
        <v>42933</v>
      </c>
      <c r="I180" s="29"/>
      <c r="J180" s="30">
        <v>43164</v>
      </c>
      <c r="K180" s="29"/>
      <c r="L180" s="29"/>
      <c r="M180" s="30">
        <v>43165</v>
      </c>
      <c r="N180" s="30"/>
      <c r="O180" s="30">
        <v>43371</v>
      </c>
      <c r="P180" s="29"/>
      <c r="Q180" s="30">
        <v>43509</v>
      </c>
      <c r="R180" s="29"/>
      <c r="S180" s="29"/>
      <c r="T180" s="29"/>
      <c r="U180" s="29"/>
      <c r="V180" s="29"/>
      <c r="W180" s="29"/>
      <c r="X180" s="27">
        <v>9.92</v>
      </c>
      <c r="Y180" s="27">
        <v>3.36</v>
      </c>
      <c r="Z180" s="27"/>
      <c r="AA180" s="27">
        <v>0</v>
      </c>
      <c r="AB180" s="27">
        <v>1.36</v>
      </c>
      <c r="AC180" s="27"/>
      <c r="AD180" s="27">
        <v>21.21</v>
      </c>
      <c r="AE180" s="37">
        <v>82.54</v>
      </c>
      <c r="AF180" s="29"/>
      <c r="AG180" s="30">
        <v>44020</v>
      </c>
      <c r="AH180" s="29"/>
      <c r="AI180" s="30">
        <v>44014</v>
      </c>
      <c r="AJ180" s="29"/>
      <c r="AK180" s="30">
        <v>44019</v>
      </c>
      <c r="AL180" s="29"/>
      <c r="AM180" s="30">
        <v>44020</v>
      </c>
      <c r="AN180" s="29"/>
      <c r="AO180" s="30">
        <v>44049</v>
      </c>
      <c r="AP180" s="29"/>
      <c r="AQ180" s="30">
        <v>44081</v>
      </c>
      <c r="AR180" s="29"/>
      <c r="AS180" s="30"/>
      <c r="AT180" s="29"/>
      <c r="AU180" s="29" t="s">
        <v>59</v>
      </c>
      <c r="AV180" s="38">
        <v>44.142857142857146</v>
      </c>
      <c r="AW180" s="49">
        <f t="shared" si="11"/>
        <v>77.142857142857139</v>
      </c>
      <c r="AX180" s="29"/>
      <c r="AY180" s="77" t="str">
        <f>IF(D180&lt;&gt;"",IF(LEFT(IFERROR(VLOOKUP(D180,'LPA Lookup'!$A$100:$B$470,2,FALSE),"LPA not known to MCLHG"),3)&lt;&gt;"JSP",IFERROR(VLOOKUP(D180,'LPA Lookup'!$A$100:$B$470,2,FALSE),"LPA not known to MCLHG"),VLOOKUP(D180&amp;B180,'LPA Lookup'!$A$100:$B$470,3,FALSE)),"")</f>
        <v>LPA not known to MCLHG</v>
      </c>
      <c r="AZ180" s="41" t="str">
        <f t="shared" si="9"/>
        <v>Mar 18</v>
      </c>
      <c r="BA180" s="41" t="str">
        <f t="shared" si="10"/>
        <v>Aug 20</v>
      </c>
    </row>
    <row r="181" spans="1:53" ht="28" x14ac:dyDescent="0.15">
      <c r="A181" s="35" t="s">
        <v>53</v>
      </c>
      <c r="B181" s="35">
        <v>1880</v>
      </c>
      <c r="C181" s="27" t="s">
        <v>83</v>
      </c>
      <c r="D181" s="27" t="s">
        <v>447</v>
      </c>
      <c r="E181" s="27" t="s">
        <v>448</v>
      </c>
      <c r="F181" s="27" t="s">
        <v>107</v>
      </c>
      <c r="G181" s="27">
        <v>2</v>
      </c>
      <c r="H181" s="28">
        <v>43080</v>
      </c>
      <c r="I181" s="27"/>
      <c r="J181" s="28">
        <v>43171</v>
      </c>
      <c r="K181" s="27"/>
      <c r="L181" s="27"/>
      <c r="M181" s="28">
        <v>43171</v>
      </c>
      <c r="N181" s="28"/>
      <c r="O181" s="28">
        <v>43360</v>
      </c>
      <c r="P181" s="27"/>
      <c r="Q181" s="28">
        <v>43371</v>
      </c>
      <c r="R181" s="27"/>
      <c r="S181" s="27"/>
      <c r="T181" s="27"/>
      <c r="U181" s="27"/>
      <c r="V181" s="27"/>
      <c r="W181" s="27"/>
      <c r="X181" s="27">
        <v>28.78</v>
      </c>
      <c r="Y181" s="27">
        <v>14.14</v>
      </c>
      <c r="Z181" s="27"/>
      <c r="AA181" s="27">
        <v>3</v>
      </c>
      <c r="AB181" s="27">
        <v>4.08</v>
      </c>
      <c r="AC181" s="27"/>
      <c r="AD181" s="27">
        <v>22</v>
      </c>
      <c r="AE181" s="37">
        <f>AllPlans[[#This Row],[Prep days*]]+AllPlans[[#This Row],[Hearing days*]]+AllPlans[[#This Row],[SV days*]]+AllPlans[[#This Row],[Travel days]]+AllPlans[[#This Row],[Reptg days*]]</f>
        <v>72</v>
      </c>
      <c r="AF181" s="27"/>
      <c r="AG181" s="28">
        <v>43626</v>
      </c>
      <c r="AH181" s="27"/>
      <c r="AI181" s="28">
        <v>43619</v>
      </c>
      <c r="AJ181" s="27"/>
      <c r="AK181" s="28">
        <v>43623</v>
      </c>
      <c r="AL181" s="27"/>
      <c r="AM181" s="28">
        <v>43623</v>
      </c>
      <c r="AN181" s="27"/>
      <c r="AO181" s="28">
        <v>43637</v>
      </c>
      <c r="AP181" s="27"/>
      <c r="AQ181" s="28">
        <v>43664</v>
      </c>
      <c r="AR181" s="27"/>
      <c r="AS181" s="28"/>
      <c r="AT181" s="27"/>
      <c r="AU181" s="27" t="s">
        <v>59</v>
      </c>
      <c r="AV181" s="40">
        <v>56.714285714285715</v>
      </c>
      <c r="AW181" s="39">
        <f t="shared" si="11"/>
        <v>38</v>
      </c>
      <c r="AX181" s="27"/>
      <c r="AY181" s="77" t="str">
        <f>IF(D181&lt;&gt;"",IF(LEFT(IFERROR(VLOOKUP(D181,'LPA Lookup'!$A$100:$B$470,2,FALSE),"LPA not known to MCLHG"),3)&lt;&gt;"JSP",IFERROR(VLOOKUP(D181,'LPA Lookup'!$A$100:$B$470,2,FALSE),"LPA not known to MCLHG"),VLOOKUP(D181&amp;B181,'LPA Lookup'!$A$100:$B$470,3,FALSE)),"")</f>
        <v>LPA not known to MCLHG</v>
      </c>
      <c r="AZ181" s="41" t="str">
        <f t="shared" si="9"/>
        <v>Mar 18</v>
      </c>
      <c r="BA181" s="41" t="str">
        <f t="shared" si="10"/>
        <v>Jun 19</v>
      </c>
    </row>
    <row r="182" spans="1:53" ht="14" x14ac:dyDescent="0.15">
      <c r="A182" s="35" t="s">
        <v>53</v>
      </c>
      <c r="B182" s="46">
        <v>1868</v>
      </c>
      <c r="C182" s="29" t="s">
        <v>71</v>
      </c>
      <c r="D182" s="29" t="s">
        <v>449</v>
      </c>
      <c r="E182" s="29" t="s">
        <v>56</v>
      </c>
      <c r="F182" s="29" t="s">
        <v>57</v>
      </c>
      <c r="G182" s="29">
        <v>3</v>
      </c>
      <c r="H182" s="30">
        <v>43048</v>
      </c>
      <c r="I182" s="29"/>
      <c r="J182" s="30">
        <v>43174</v>
      </c>
      <c r="K182" s="29"/>
      <c r="L182" s="29"/>
      <c r="M182" s="30">
        <v>43179</v>
      </c>
      <c r="N182" s="30"/>
      <c r="O182" s="30">
        <v>43354</v>
      </c>
      <c r="P182" s="29"/>
      <c r="Q182" s="30">
        <v>43627</v>
      </c>
      <c r="R182" s="29"/>
      <c r="S182" s="29"/>
      <c r="T182" s="29"/>
      <c r="U182" s="29"/>
      <c r="V182" s="29"/>
      <c r="W182" s="29"/>
      <c r="X182" s="27">
        <v>23.61</v>
      </c>
      <c r="Y182" s="27">
        <v>6.22</v>
      </c>
      <c r="Z182" s="27"/>
      <c r="AA182" s="27">
        <v>0</v>
      </c>
      <c r="AB182" s="27">
        <v>1.95</v>
      </c>
      <c r="AC182" s="27"/>
      <c r="AD182" s="27">
        <v>19.52</v>
      </c>
      <c r="AE182" s="37">
        <v>98.29</v>
      </c>
      <c r="AF182" s="29"/>
      <c r="AG182" s="30">
        <v>43922</v>
      </c>
      <c r="AH182" s="29"/>
      <c r="AI182" s="30">
        <v>43908</v>
      </c>
      <c r="AJ182" s="29"/>
      <c r="AK182" s="30">
        <v>43918</v>
      </c>
      <c r="AL182" s="29"/>
      <c r="AM182" s="30">
        <v>43921</v>
      </c>
      <c r="AN182" s="29"/>
      <c r="AO182" s="30">
        <v>43935</v>
      </c>
      <c r="AP182" s="29"/>
      <c r="AQ182" s="30">
        <v>44005</v>
      </c>
      <c r="AR182" s="29"/>
      <c r="AS182" s="30"/>
      <c r="AT182" s="29"/>
      <c r="AU182" s="29" t="s">
        <v>59</v>
      </c>
      <c r="AV182" s="38">
        <v>61.857142857142854</v>
      </c>
      <c r="AW182" s="49">
        <f t="shared" si="11"/>
        <v>44</v>
      </c>
      <c r="AX182" s="29"/>
      <c r="AY182" s="77" t="str">
        <f>IF(D182&lt;&gt;"",IF(LEFT(IFERROR(VLOOKUP(D182,'LPA Lookup'!$A$100:$B$470,2,FALSE),"LPA not known to MCLHG"),3)&lt;&gt;"JSP",IFERROR(VLOOKUP(D182,'LPA Lookup'!$A$100:$B$470,2,FALSE),"LPA not known to MCLHG"),VLOOKUP(D182&amp;B182,'LPA Lookup'!$A$100:$B$470,3,FALSE)),"")</f>
        <v>LPA not known to MCLHG</v>
      </c>
      <c r="AZ182" s="41" t="str">
        <f t="shared" si="9"/>
        <v>Mar 18</v>
      </c>
      <c r="BA182" s="41" t="str">
        <f t="shared" si="10"/>
        <v>Apr 20</v>
      </c>
    </row>
    <row r="183" spans="1:53" ht="14" x14ac:dyDescent="0.15">
      <c r="A183" s="35" t="s">
        <v>53</v>
      </c>
      <c r="B183" s="35">
        <v>1855</v>
      </c>
      <c r="C183" s="27" t="s">
        <v>104</v>
      </c>
      <c r="D183" s="27" t="s">
        <v>450</v>
      </c>
      <c r="E183" s="27" t="s">
        <v>56</v>
      </c>
      <c r="F183" s="27" t="s">
        <v>57</v>
      </c>
      <c r="G183" s="27">
        <v>3</v>
      </c>
      <c r="H183" s="28">
        <v>43000</v>
      </c>
      <c r="I183" s="27"/>
      <c r="J183" s="28">
        <v>43175</v>
      </c>
      <c r="K183" s="27"/>
      <c r="L183" s="27"/>
      <c r="M183" s="28">
        <v>43179</v>
      </c>
      <c r="N183" s="28"/>
      <c r="O183" s="28">
        <v>43375</v>
      </c>
      <c r="P183" s="27"/>
      <c r="Q183" s="28">
        <v>43749</v>
      </c>
      <c r="R183" s="27"/>
      <c r="S183" s="27"/>
      <c r="T183" s="27"/>
      <c r="U183" s="27"/>
      <c r="V183" s="27"/>
      <c r="W183" s="27"/>
      <c r="X183" s="27">
        <v>26.43</v>
      </c>
      <c r="Y183" s="27">
        <v>6.69</v>
      </c>
      <c r="Z183" s="27"/>
      <c r="AA183" s="27">
        <v>3.59</v>
      </c>
      <c r="AB183" s="27">
        <v>7.01</v>
      </c>
      <c r="AC183" s="27"/>
      <c r="AD183" s="27">
        <v>19.579999999999998</v>
      </c>
      <c r="AE183" s="37">
        <f>AllPlans[[#This Row],[Prep days*]]+AllPlans[[#This Row],[Hearing days*]]+AllPlans[[#This Row],[SV days*]]+AllPlans[[#This Row],[Travel days]]+AllPlans[[#This Row],[Reptg days*]]</f>
        <v>63.29999999999999</v>
      </c>
      <c r="AF183" s="27"/>
      <c r="AG183" s="28">
        <v>43550</v>
      </c>
      <c r="AH183" s="27"/>
      <c r="AI183" s="28">
        <v>43539</v>
      </c>
      <c r="AJ183" s="27"/>
      <c r="AK183" s="28">
        <v>43549</v>
      </c>
      <c r="AL183" s="27"/>
      <c r="AM183" s="28">
        <v>43550</v>
      </c>
      <c r="AN183" s="27"/>
      <c r="AO183" s="28">
        <v>43563</v>
      </c>
      <c r="AP183" s="27"/>
      <c r="AQ183" s="28">
        <v>43585</v>
      </c>
      <c r="AR183" s="27"/>
      <c r="AS183" s="28"/>
      <c r="AT183" s="27"/>
      <c r="AU183" s="27" t="s">
        <v>59</v>
      </c>
      <c r="AV183" s="40">
        <v>65.714285714285708</v>
      </c>
      <c r="AW183" s="39">
        <f t="shared" si="11"/>
        <v>-26.571428571428573</v>
      </c>
      <c r="AX183" s="27"/>
      <c r="AY183" s="77" t="str">
        <f>IF(D183&lt;&gt;"",IF(LEFT(IFERROR(VLOOKUP(D183,'LPA Lookup'!$A$100:$B$470,2,FALSE),"LPA not known to MCLHG"),3)&lt;&gt;"JSP",IFERROR(VLOOKUP(D183,'LPA Lookup'!$A$100:$B$470,2,FALSE),"LPA not known to MCLHG"),VLOOKUP(D183&amp;B183,'LPA Lookup'!$A$100:$B$470,3,FALSE)),"")</f>
        <v>E07000131</v>
      </c>
      <c r="AZ183" s="41" t="str">
        <f t="shared" si="9"/>
        <v>Mar 18</v>
      </c>
      <c r="BA183" s="41" t="str">
        <f t="shared" si="10"/>
        <v>Apr 19</v>
      </c>
    </row>
    <row r="184" spans="1:53" ht="14" x14ac:dyDescent="0.15">
      <c r="A184" s="35" t="s">
        <v>53</v>
      </c>
      <c r="B184" s="35">
        <v>1869</v>
      </c>
      <c r="C184" s="27" t="s">
        <v>71</v>
      </c>
      <c r="D184" s="27" t="s">
        <v>451</v>
      </c>
      <c r="E184" s="27" t="s">
        <v>56</v>
      </c>
      <c r="F184" s="27" t="s">
        <v>57</v>
      </c>
      <c r="G184" s="27">
        <v>3</v>
      </c>
      <c r="H184" s="28">
        <v>43048</v>
      </c>
      <c r="I184" s="27"/>
      <c r="J184" s="28">
        <v>43179</v>
      </c>
      <c r="K184" s="27"/>
      <c r="L184" s="27"/>
      <c r="M184" s="28">
        <v>43180</v>
      </c>
      <c r="N184" s="28"/>
      <c r="O184" s="28">
        <v>43283</v>
      </c>
      <c r="P184" s="27"/>
      <c r="Q184" s="28">
        <v>43354</v>
      </c>
      <c r="R184" s="27"/>
      <c r="S184" s="27"/>
      <c r="T184" s="27"/>
      <c r="U184" s="27"/>
      <c r="V184" s="27"/>
      <c r="W184" s="27"/>
      <c r="X184" s="27">
        <v>47.05</v>
      </c>
      <c r="Y184" s="27">
        <v>15.43</v>
      </c>
      <c r="Z184" s="27"/>
      <c r="AA184" s="27">
        <v>1.81</v>
      </c>
      <c r="AB184" s="27">
        <v>2.79</v>
      </c>
      <c r="AC184" s="27"/>
      <c r="AD184" s="27">
        <v>53.4</v>
      </c>
      <c r="AE184" s="37">
        <f>AllPlans[[#This Row],[Prep days*]]+AllPlans[[#This Row],[Hearing days*]]+AllPlans[[#This Row],[SV days*]]+AllPlans[[#This Row],[Travel days]]+AllPlans[[#This Row],[Reptg days*]]</f>
        <v>120.47999999999999</v>
      </c>
      <c r="AF184" s="27"/>
      <c r="AG184" s="28">
        <v>43564</v>
      </c>
      <c r="AH184" s="27"/>
      <c r="AI184" s="28">
        <v>43553</v>
      </c>
      <c r="AJ184" s="27"/>
      <c r="AK184" s="28">
        <v>43563</v>
      </c>
      <c r="AL184" s="27"/>
      <c r="AM184" s="28">
        <v>43564</v>
      </c>
      <c r="AN184" s="27"/>
      <c r="AO184" s="28">
        <v>43570</v>
      </c>
      <c r="AP184" s="27"/>
      <c r="AQ184" s="28">
        <v>43602</v>
      </c>
      <c r="AR184" s="27"/>
      <c r="AS184" s="28"/>
      <c r="AT184" s="27"/>
      <c r="AU184" s="27" t="s">
        <v>59</v>
      </c>
      <c r="AV184" s="40">
        <v>67</v>
      </c>
      <c r="AW184" s="39">
        <f t="shared" si="11"/>
        <v>30.857142857142858</v>
      </c>
      <c r="AX184" s="27"/>
      <c r="AY184" s="77" t="str">
        <f>IF(D184&lt;&gt;"",IF(LEFT(IFERROR(VLOOKUP(D184,'LPA Lookup'!$A$100:$B$470,2,FALSE),"LPA not known to MCLHG"),3)&lt;&gt;"JSP",IFERROR(VLOOKUP(D184,'LPA Lookup'!$A$100:$B$470,2,FALSE),"LPA not known to MCLHG"),VLOOKUP(D184&amp;B184,'LPA Lookup'!$A$100:$B$470,3,FALSE)),"")</f>
        <v>E26000007</v>
      </c>
      <c r="AZ184" s="41" t="str">
        <f t="shared" si="9"/>
        <v>Mar 18</v>
      </c>
      <c r="BA184" s="41" t="str">
        <f t="shared" si="10"/>
        <v>Apr 19</v>
      </c>
    </row>
    <row r="185" spans="1:53" ht="14" x14ac:dyDescent="0.15">
      <c r="A185" s="35" t="s">
        <v>53</v>
      </c>
      <c r="B185" s="35">
        <v>1875</v>
      </c>
      <c r="C185" s="27" t="s">
        <v>104</v>
      </c>
      <c r="D185" s="27" t="s">
        <v>452</v>
      </c>
      <c r="E185" s="27" t="s">
        <v>453</v>
      </c>
      <c r="F185" s="27" t="s">
        <v>107</v>
      </c>
      <c r="G185" s="27">
        <v>2</v>
      </c>
      <c r="H185" s="28">
        <v>43068</v>
      </c>
      <c r="I185" s="27"/>
      <c r="J185" s="28">
        <v>43182</v>
      </c>
      <c r="K185" s="27"/>
      <c r="L185" s="27"/>
      <c r="M185" s="28">
        <v>43187</v>
      </c>
      <c r="N185" s="28"/>
      <c r="O185" s="28">
        <v>43312</v>
      </c>
      <c r="P185" s="27"/>
      <c r="Q185" s="28">
        <v>43327</v>
      </c>
      <c r="R185" s="27"/>
      <c r="S185" s="27"/>
      <c r="T185" s="27"/>
      <c r="U185" s="27"/>
      <c r="V185" s="27"/>
      <c r="W185" s="27"/>
      <c r="X185" s="56">
        <v>27.74</v>
      </c>
      <c r="Y185" s="56">
        <v>7.4</v>
      </c>
      <c r="Z185" s="56"/>
      <c r="AA185" s="56">
        <v>0</v>
      </c>
      <c r="AB185" s="56">
        <v>2.16</v>
      </c>
      <c r="AC185" s="56"/>
      <c r="AD185" s="56">
        <v>29.09</v>
      </c>
      <c r="AE185" s="37">
        <f>AllPlans[[#This Row],[Prep days*]]+AllPlans[[#This Row],[Hearing days*]]+AllPlans[[#This Row],[SV days*]]+AllPlans[[#This Row],[Travel days]]+AllPlans[[#This Row],[Reptg days*]]</f>
        <v>66.39</v>
      </c>
      <c r="AF185" s="27"/>
      <c r="AG185" s="28">
        <v>43453</v>
      </c>
      <c r="AH185" s="27"/>
      <c r="AI185" s="28">
        <v>43441</v>
      </c>
      <c r="AJ185" s="27"/>
      <c r="AK185" s="28">
        <v>43452</v>
      </c>
      <c r="AL185" s="27"/>
      <c r="AM185" s="28">
        <v>43452</v>
      </c>
      <c r="AN185" s="27"/>
      <c r="AO185" s="28">
        <v>43455</v>
      </c>
      <c r="AP185" s="27"/>
      <c r="AQ185" s="28">
        <v>43500</v>
      </c>
      <c r="AR185" s="27"/>
      <c r="AS185" s="28"/>
      <c r="AT185" s="27"/>
      <c r="AU185" s="27" t="s">
        <v>59</v>
      </c>
      <c r="AV185" s="83">
        <v>77.714285714285708</v>
      </c>
      <c r="AW185" s="39">
        <f t="shared" si="11"/>
        <v>18.285714285714285</v>
      </c>
      <c r="AX185" s="27"/>
      <c r="AY185" s="77" t="str">
        <f>IF(D185&lt;&gt;"",IF(LEFT(IFERROR(VLOOKUP(D185,'LPA Lookup'!$A$100:$B$470,2,FALSE),"LPA not known to MCLHG"),3)&lt;&gt;"JSP",IFERROR(VLOOKUP(D185,'LPA Lookup'!$A$100:$B$470,2,FALSE),"LPA not known to MCLHG"),VLOOKUP(D185&amp;B185,'LPA Lookup'!$A$100:$B$470,3,FALSE)),"")</f>
        <v>LPA not known to MCLHG</v>
      </c>
      <c r="AZ185" s="41" t="str">
        <f t="shared" si="9"/>
        <v>Mar 18</v>
      </c>
      <c r="BA185" s="41" t="str">
        <f t="shared" si="10"/>
        <v>Dec 18</v>
      </c>
    </row>
    <row r="186" spans="1:53" ht="14" x14ac:dyDescent="0.15">
      <c r="A186" s="35" t="s">
        <v>53</v>
      </c>
      <c r="B186" s="35">
        <v>1775</v>
      </c>
      <c r="C186" s="27" t="s">
        <v>104</v>
      </c>
      <c r="D186" s="27" t="s">
        <v>454</v>
      </c>
      <c r="E186" s="27" t="s">
        <v>455</v>
      </c>
      <c r="F186" s="27" t="s">
        <v>80</v>
      </c>
      <c r="G186" s="27">
        <v>2</v>
      </c>
      <c r="H186" s="28">
        <v>43049</v>
      </c>
      <c r="I186" s="27"/>
      <c r="J186" s="28">
        <v>43182</v>
      </c>
      <c r="K186" s="27"/>
      <c r="L186" s="27"/>
      <c r="M186" s="28">
        <v>43196</v>
      </c>
      <c r="N186" s="28"/>
      <c r="O186" s="28">
        <v>43395</v>
      </c>
      <c r="P186" s="27"/>
      <c r="Q186" s="28">
        <v>43396</v>
      </c>
      <c r="R186" s="27"/>
      <c r="S186" s="27"/>
      <c r="T186" s="27"/>
      <c r="U186" s="27"/>
      <c r="V186" s="27"/>
      <c r="W186" s="27"/>
      <c r="X186" s="27">
        <v>34.130000000000003</v>
      </c>
      <c r="Y186" s="27">
        <v>10.34</v>
      </c>
      <c r="Z186" s="27"/>
      <c r="AA186" s="27">
        <v>1.42</v>
      </c>
      <c r="AB186" s="27">
        <v>3.35</v>
      </c>
      <c r="AC186" s="27"/>
      <c r="AD186" s="27">
        <v>35.090000000000003</v>
      </c>
      <c r="AE186" s="37">
        <f>AllPlans[[#This Row],[Prep days*]]+AllPlans[[#This Row],[Hearing days*]]+AllPlans[[#This Row],[SV days*]]+AllPlans[[#This Row],[Travel days]]+AllPlans[[#This Row],[Reptg days*]]</f>
        <v>84.330000000000013</v>
      </c>
      <c r="AF186" s="27"/>
      <c r="AG186" s="28">
        <v>43594</v>
      </c>
      <c r="AH186" s="27"/>
      <c r="AI186" s="28">
        <v>43578</v>
      </c>
      <c r="AJ186" s="27"/>
      <c r="AK186" s="28">
        <v>43592</v>
      </c>
      <c r="AL186" s="27"/>
      <c r="AM186" s="28">
        <v>43592</v>
      </c>
      <c r="AN186" s="27"/>
      <c r="AO186" s="28">
        <v>43606</v>
      </c>
      <c r="AP186" s="27"/>
      <c r="AQ186" s="28">
        <v>43733</v>
      </c>
      <c r="AR186" s="27"/>
      <c r="AS186" s="28"/>
      <c r="AT186" s="27"/>
      <c r="AU186" s="27" t="s">
        <v>59</v>
      </c>
      <c r="AV186" s="40">
        <v>45.714285714285715</v>
      </c>
      <c r="AW186" s="39">
        <f t="shared" si="11"/>
        <v>30</v>
      </c>
      <c r="AX186" s="27"/>
      <c r="AY186" s="77" t="str">
        <f>IF(D186&lt;&gt;"",IF(LEFT(IFERROR(VLOOKUP(D186,'LPA Lookup'!$A$100:$B$470,2,FALSE),"LPA not known to MCLHG"),3)&lt;&gt;"JSP",IFERROR(VLOOKUP(D186,'LPA Lookup'!$A$100:$B$470,2,FALSE),"LPA not known to MCLHG"),VLOOKUP(D186&amp;B186,'LPA Lookup'!$A$100:$B$470,3,FALSE)),"")</f>
        <v>E10000018</v>
      </c>
      <c r="AZ186" s="41" t="str">
        <f t="shared" si="9"/>
        <v>Mar 18</v>
      </c>
      <c r="BA186" s="41" t="str">
        <f t="shared" si="10"/>
        <v>May 19</v>
      </c>
    </row>
    <row r="187" spans="1:53" ht="14" x14ac:dyDescent="0.15">
      <c r="A187" s="35" t="s">
        <v>53</v>
      </c>
      <c r="B187" s="35">
        <v>1886</v>
      </c>
      <c r="C187" s="27" t="s">
        <v>71</v>
      </c>
      <c r="D187" s="27" t="s">
        <v>456</v>
      </c>
      <c r="E187" s="27" t="s">
        <v>56</v>
      </c>
      <c r="F187" s="27" t="s">
        <v>57</v>
      </c>
      <c r="G187" s="27">
        <v>3</v>
      </c>
      <c r="H187" s="28">
        <v>43108</v>
      </c>
      <c r="I187" s="27"/>
      <c r="J187" s="28">
        <v>43185</v>
      </c>
      <c r="K187" s="27"/>
      <c r="L187" s="27"/>
      <c r="M187" s="28">
        <v>43187</v>
      </c>
      <c r="N187" s="28"/>
      <c r="O187" s="28">
        <v>43319</v>
      </c>
      <c r="P187" s="27"/>
      <c r="Q187" s="28">
        <v>43425</v>
      </c>
      <c r="R187" s="27"/>
      <c r="S187" s="27"/>
      <c r="T187" s="27"/>
      <c r="U187" s="27"/>
      <c r="V187" s="27"/>
      <c r="W187" s="27"/>
      <c r="X187" s="27">
        <v>0</v>
      </c>
      <c r="Y187" s="27">
        <v>0</v>
      </c>
      <c r="Z187" s="27"/>
      <c r="AA187" s="27">
        <v>0</v>
      </c>
      <c r="AB187" s="27">
        <v>0</v>
      </c>
      <c r="AC187" s="27"/>
      <c r="AD187" s="27">
        <v>0</v>
      </c>
      <c r="AE187" s="37">
        <v>63.04</v>
      </c>
      <c r="AF187" s="27"/>
      <c r="AG187" s="28">
        <v>43564</v>
      </c>
      <c r="AH187" s="27"/>
      <c r="AI187" s="28">
        <v>43552</v>
      </c>
      <c r="AJ187" s="27"/>
      <c r="AK187" s="28">
        <v>43564</v>
      </c>
      <c r="AL187" s="27"/>
      <c r="AM187" s="28">
        <v>43564</v>
      </c>
      <c r="AN187" s="27"/>
      <c r="AO187" s="28">
        <v>43571</v>
      </c>
      <c r="AP187" s="27"/>
      <c r="AQ187" s="28">
        <v>43670</v>
      </c>
      <c r="AR187" s="27"/>
      <c r="AS187" s="28"/>
      <c r="AT187" s="27"/>
      <c r="AU187" s="27" t="s">
        <v>59</v>
      </c>
      <c r="AV187" s="40">
        <f>SUM(AO187-J187)/7</f>
        <v>55.142857142857146</v>
      </c>
      <c r="AW187" s="39">
        <f t="shared" ref="AW187:AW218" si="12">SUM(AO187-Q187)/7</f>
        <v>20.857142857142858</v>
      </c>
      <c r="AX187" s="27"/>
      <c r="AY187" s="77" t="str">
        <f>IF(D187&lt;&gt;"",IF(LEFT(IFERROR(VLOOKUP(D187,'LPA Lookup'!$A$100:$B$470,2,FALSE),"LPA not known to MCLHG"),3)&lt;&gt;"JSP",IFERROR(VLOOKUP(D187,'LPA Lookup'!$A$100:$B$470,2,FALSE),"LPA not known to MCLHG"),VLOOKUP(D187&amp;B187,'LPA Lookup'!$A$100:$B$470,3,FALSE)),"")</f>
        <v>E06000031</v>
      </c>
      <c r="AZ187" s="41" t="str">
        <f t="shared" si="9"/>
        <v>Mar 18</v>
      </c>
      <c r="BA187" s="41" t="str">
        <f t="shared" si="10"/>
        <v>Apr 19</v>
      </c>
    </row>
    <row r="188" spans="1:53" ht="14" x14ac:dyDescent="0.15">
      <c r="A188" s="35" t="s">
        <v>53</v>
      </c>
      <c r="B188" s="46">
        <v>1884</v>
      </c>
      <c r="C188" s="27" t="s">
        <v>77</v>
      </c>
      <c r="D188" s="29" t="s">
        <v>457</v>
      </c>
      <c r="E188" s="29" t="s">
        <v>56</v>
      </c>
      <c r="F188" s="29" t="s">
        <v>57</v>
      </c>
      <c r="G188" s="29">
        <v>3</v>
      </c>
      <c r="H188" s="30">
        <v>43102</v>
      </c>
      <c r="I188" s="29"/>
      <c r="J188" s="30">
        <v>43186</v>
      </c>
      <c r="K188" s="29"/>
      <c r="L188" s="29"/>
      <c r="M188" s="30">
        <v>43188</v>
      </c>
      <c r="N188" s="30"/>
      <c r="O188" s="30">
        <v>43382</v>
      </c>
      <c r="P188" s="29"/>
      <c r="Q188" s="30">
        <v>43404</v>
      </c>
      <c r="R188" s="29"/>
      <c r="S188" s="29"/>
      <c r="T188" s="29"/>
      <c r="U188" s="29"/>
      <c r="V188" s="29"/>
      <c r="W188" s="29"/>
      <c r="X188" s="27">
        <v>37.32</v>
      </c>
      <c r="Y188" s="27">
        <v>7.72</v>
      </c>
      <c r="Z188" s="27"/>
      <c r="AA188" s="27">
        <v>2.17</v>
      </c>
      <c r="AB188" s="27">
        <v>6.3</v>
      </c>
      <c r="AC188" s="27"/>
      <c r="AD188" s="27">
        <v>33.799999999999997</v>
      </c>
      <c r="AE188" s="37">
        <f>AllPlans[[#This Row],[Prep days*]]+AllPlans[[#This Row],[Hearing days*]]+AllPlans[[#This Row],[SV days*]]+AllPlans[[#This Row],[Travel days]]+AllPlans[[#This Row],[Reptg days*]]</f>
        <v>87.31</v>
      </c>
      <c r="AF188" s="29"/>
      <c r="AG188" s="30">
        <v>43720</v>
      </c>
      <c r="AH188" s="29"/>
      <c r="AI188" s="30">
        <v>43704</v>
      </c>
      <c r="AJ188" s="29"/>
      <c r="AK188" s="30">
        <v>43718</v>
      </c>
      <c r="AL188" s="29"/>
      <c r="AM188" s="30">
        <v>43719</v>
      </c>
      <c r="AN188" s="29"/>
      <c r="AO188" s="30">
        <v>43747</v>
      </c>
      <c r="AP188" s="29"/>
      <c r="AQ188" s="30">
        <v>43781</v>
      </c>
      <c r="AR188" s="29"/>
      <c r="AS188" s="30"/>
      <c r="AT188" s="29"/>
      <c r="AU188" s="29" t="s">
        <v>59</v>
      </c>
      <c r="AV188" s="38">
        <v>59.571428571428569</v>
      </c>
      <c r="AW188" s="49">
        <f t="shared" si="12"/>
        <v>49</v>
      </c>
      <c r="AX188" s="29"/>
      <c r="AY188" s="77" t="str">
        <f>IF(D188&lt;&gt;"",IF(LEFT(IFERROR(VLOOKUP(D188,'LPA Lookup'!$A$100:$B$470,2,FALSE),"LPA not known to MCLHG"),3)&lt;&gt;"JSP",IFERROR(VLOOKUP(D188,'LPA Lookup'!$A$100:$B$470,2,FALSE),"LPA not known to MCLHG"),VLOOKUP(D188&amp;B188,'LPA Lookup'!$A$100:$B$470,3,FALSE)),"")</f>
        <v>LPA not known to MCLHG</v>
      </c>
      <c r="AZ188" s="41" t="str">
        <f t="shared" si="9"/>
        <v>Mar 18</v>
      </c>
      <c r="BA188" s="41" t="str">
        <f t="shared" si="10"/>
        <v>Oct 19</v>
      </c>
    </row>
    <row r="189" spans="1:53" ht="14" x14ac:dyDescent="0.15">
      <c r="A189" s="35" t="s">
        <v>53</v>
      </c>
      <c r="B189" s="35">
        <v>1815</v>
      </c>
      <c r="C189" s="27" t="s">
        <v>54</v>
      </c>
      <c r="D189" s="27" t="s">
        <v>458</v>
      </c>
      <c r="E189" s="27" t="s">
        <v>56</v>
      </c>
      <c r="F189" s="27" t="s">
        <v>57</v>
      </c>
      <c r="G189" s="27">
        <v>3</v>
      </c>
      <c r="H189" s="28">
        <v>43049</v>
      </c>
      <c r="I189" s="27"/>
      <c r="J189" s="28">
        <v>43186</v>
      </c>
      <c r="K189" s="27"/>
      <c r="L189" s="27"/>
      <c r="M189" s="28">
        <v>43187</v>
      </c>
      <c r="N189" s="28"/>
      <c r="O189" s="28">
        <v>43368</v>
      </c>
      <c r="P189" s="27" t="s">
        <v>406</v>
      </c>
      <c r="Q189" s="28">
        <v>44182</v>
      </c>
      <c r="R189" s="27"/>
      <c r="S189" s="27"/>
      <c r="T189" s="27"/>
      <c r="U189" s="27"/>
      <c r="V189" s="27"/>
      <c r="W189" s="27"/>
      <c r="X189" s="27">
        <v>45.11</v>
      </c>
      <c r="Y189" s="27">
        <v>16.32</v>
      </c>
      <c r="Z189" s="27"/>
      <c r="AA189" s="27">
        <v>0</v>
      </c>
      <c r="AB189" s="27">
        <v>5.41</v>
      </c>
      <c r="AC189" s="27"/>
      <c r="AD189" s="27">
        <v>59.8</v>
      </c>
      <c r="AE189" s="37">
        <f>AllPlans[[#This Row],[Prep days*]]+AllPlans[[#This Row],[Hearing days*]]+AllPlans[[#This Row],[SV days*]]+AllPlans[[#This Row],[Travel days]]+AllPlans[[#This Row],[Reptg days*]]</f>
        <v>126.64</v>
      </c>
      <c r="AF189" s="27"/>
      <c r="AG189" s="28">
        <v>44383</v>
      </c>
      <c r="AH189" s="27"/>
      <c r="AI189" s="28">
        <v>44355</v>
      </c>
      <c r="AJ189" s="27"/>
      <c r="AK189" s="28">
        <v>44377</v>
      </c>
      <c r="AL189" s="27"/>
      <c r="AM189" s="28">
        <v>44383</v>
      </c>
      <c r="AN189" s="27"/>
      <c r="AO189" s="28">
        <v>44393</v>
      </c>
      <c r="AP189" s="27"/>
      <c r="AQ189" s="28">
        <v>44468</v>
      </c>
      <c r="AR189" s="27"/>
      <c r="AS189" s="28"/>
      <c r="AT189" s="27"/>
      <c r="AU189" s="27" t="s">
        <v>59</v>
      </c>
      <c r="AV189" s="38">
        <v>85.571428571428569</v>
      </c>
      <c r="AW189" s="39">
        <f t="shared" si="12"/>
        <v>30.142857142857142</v>
      </c>
      <c r="AX189" s="27"/>
      <c r="AY189" s="77" t="str">
        <f>IF(D189&lt;&gt;"",IF(LEFT(IFERROR(VLOOKUP(D189,'LPA Lookup'!$A$100:$B$470,2,FALSE),"LPA not known to MCLHG"),3)&lt;&gt;"JSP",IFERROR(VLOOKUP(D189,'LPA Lookup'!$A$100:$B$470,2,FALSE),"LPA not known to MCLHG"),VLOOKUP(D189&amp;B189,'LPA Lookup'!$A$100:$B$470,3,FALSE)),"")</f>
        <v>E07000218</v>
      </c>
      <c r="AZ189" s="41" t="str">
        <f t="shared" si="9"/>
        <v>Mar 18</v>
      </c>
      <c r="BA189" s="41" t="str">
        <f t="shared" si="10"/>
        <v>Jul 21</v>
      </c>
    </row>
    <row r="190" spans="1:53" ht="14" x14ac:dyDescent="0.15">
      <c r="A190" s="35" t="s">
        <v>53</v>
      </c>
      <c r="B190" s="35">
        <v>1851</v>
      </c>
      <c r="C190" s="27" t="s">
        <v>90</v>
      </c>
      <c r="D190" s="82" t="s">
        <v>459</v>
      </c>
      <c r="E190" s="27" t="s">
        <v>361</v>
      </c>
      <c r="F190" s="27" t="s">
        <v>57</v>
      </c>
      <c r="G190" s="27">
        <v>3</v>
      </c>
      <c r="H190" s="28">
        <v>42954</v>
      </c>
      <c r="I190" s="27"/>
      <c r="J190" s="28">
        <v>43186</v>
      </c>
      <c r="K190" s="27"/>
      <c r="L190" s="27"/>
      <c r="M190" s="28">
        <v>43187</v>
      </c>
      <c r="N190" s="28"/>
      <c r="O190" s="28">
        <v>43382</v>
      </c>
      <c r="P190" s="27"/>
      <c r="Q190" s="28">
        <v>43615</v>
      </c>
      <c r="R190" s="27"/>
      <c r="S190" s="27"/>
      <c r="T190" s="27"/>
      <c r="U190" s="27"/>
      <c r="V190" s="27"/>
      <c r="W190" s="27"/>
      <c r="X190" s="27">
        <v>22.26</v>
      </c>
      <c r="Y190" s="27">
        <v>3.78</v>
      </c>
      <c r="Z190" s="27"/>
      <c r="AA190" s="27">
        <v>0</v>
      </c>
      <c r="AB190" s="27">
        <v>1.08</v>
      </c>
      <c r="AC190" s="27"/>
      <c r="AD190" s="27">
        <v>24.67</v>
      </c>
      <c r="AE190" s="37">
        <v>107.76</v>
      </c>
      <c r="AF190" s="27"/>
      <c r="AG190" s="28">
        <v>44473</v>
      </c>
      <c r="AH190" s="27"/>
      <c r="AI190" s="28">
        <v>44453</v>
      </c>
      <c r="AJ190" s="27"/>
      <c r="AK190" s="28">
        <v>44466</v>
      </c>
      <c r="AL190" s="27"/>
      <c r="AM190" s="28">
        <v>44469</v>
      </c>
      <c r="AN190" s="27"/>
      <c r="AO190" s="28">
        <v>44483</v>
      </c>
      <c r="AP190" s="27"/>
      <c r="AQ190" s="28">
        <v>44517</v>
      </c>
      <c r="AR190" s="27"/>
      <c r="AS190" s="28"/>
      <c r="AT190" s="27"/>
      <c r="AU190" s="27" t="s">
        <v>59</v>
      </c>
      <c r="AV190" s="40">
        <v>67.714285714285708</v>
      </c>
      <c r="AW190" s="39">
        <f t="shared" si="12"/>
        <v>124</v>
      </c>
      <c r="AX190" s="27"/>
      <c r="AY190" s="77" t="str">
        <f>IF(D190&lt;&gt;"",IF(LEFT(IFERROR(VLOOKUP(D190,'LPA Lookup'!$A$100:$B$470,2,FALSE),"LPA not known to MCLHG"),3)&lt;&gt;"JSP",IFERROR(VLOOKUP(D190,'LPA Lookup'!$A$100:$B$470,2,FALSE),"LPA not known to MCLHG"),VLOOKUP(D190&amp;B190,'LPA Lookup'!$A$100:$B$470,3,FALSE)),"")</f>
        <v>E09000016</v>
      </c>
      <c r="AZ190" s="41" t="str">
        <f t="shared" si="9"/>
        <v>Mar 18</v>
      </c>
      <c r="BA190" s="41" t="str">
        <f t="shared" si="10"/>
        <v>Oct 21</v>
      </c>
    </row>
    <row r="191" spans="1:53" ht="14" x14ac:dyDescent="0.15">
      <c r="A191" s="35" t="s">
        <v>53</v>
      </c>
      <c r="B191" s="35">
        <v>1879</v>
      </c>
      <c r="C191" s="27" t="s">
        <v>67</v>
      </c>
      <c r="D191" s="27" t="s">
        <v>460</v>
      </c>
      <c r="E191" s="27" t="s">
        <v>461</v>
      </c>
      <c r="F191" s="27" t="s">
        <v>80</v>
      </c>
      <c r="G191" s="27">
        <v>2</v>
      </c>
      <c r="H191" s="28">
        <v>43070</v>
      </c>
      <c r="I191" s="27"/>
      <c r="J191" s="28">
        <v>43187</v>
      </c>
      <c r="K191" s="27"/>
      <c r="L191" s="27"/>
      <c r="M191" s="28">
        <v>43188</v>
      </c>
      <c r="N191" s="28"/>
      <c r="O191" s="28">
        <v>43277</v>
      </c>
      <c r="P191" s="27"/>
      <c r="Q191" s="28">
        <v>43280</v>
      </c>
      <c r="R191" s="27"/>
      <c r="S191" s="27"/>
      <c r="T191" s="27"/>
      <c r="U191" s="27"/>
      <c r="V191" s="27"/>
      <c r="W191" s="27"/>
      <c r="X191" s="29">
        <v>58.5</v>
      </c>
      <c r="Y191" s="29">
        <v>9</v>
      </c>
      <c r="Z191" s="29"/>
      <c r="AA191" s="29">
        <v>2</v>
      </c>
      <c r="AB191" s="29">
        <v>4.5</v>
      </c>
      <c r="AC191" s="29"/>
      <c r="AD191" s="29">
        <v>33</v>
      </c>
      <c r="AE191" s="37">
        <f>AllPlans[[#This Row],[Prep days*]]+AllPlans[[#This Row],[Hearing days*]]+AllPlans[[#This Row],[SV days*]]+AllPlans[[#This Row],[Travel days]]+AllPlans[[#This Row],[Reptg days*]]</f>
        <v>107</v>
      </c>
      <c r="AF191" s="27"/>
      <c r="AG191" s="28">
        <v>43481</v>
      </c>
      <c r="AH191" s="27"/>
      <c r="AI191" s="28">
        <v>43454</v>
      </c>
      <c r="AJ191" s="27"/>
      <c r="AK191" s="28">
        <v>43480</v>
      </c>
      <c r="AL191" s="27"/>
      <c r="AM191" s="28">
        <v>43481</v>
      </c>
      <c r="AN191" s="27"/>
      <c r="AO191" s="28">
        <v>43496</v>
      </c>
      <c r="AP191" s="27"/>
      <c r="AQ191" s="28">
        <v>43664</v>
      </c>
      <c r="AR191" s="27"/>
      <c r="AS191" s="28"/>
      <c r="AT191" s="27"/>
      <c r="AU191" s="27" t="s">
        <v>59</v>
      </c>
      <c r="AV191" s="83">
        <v>108.42857142857143</v>
      </c>
      <c r="AW191" s="39">
        <f t="shared" si="12"/>
        <v>30.857142857142858</v>
      </c>
      <c r="AX191" s="27"/>
      <c r="AY191" s="77" t="str">
        <f>IF(D191&lt;&gt;"",IF(LEFT(IFERROR(VLOOKUP(D191,'LPA Lookup'!$A$100:$B$470,2,FALSE),"LPA not known to MCLHG"),3)&lt;&gt;"JSP",IFERROR(VLOOKUP(D191,'LPA Lookup'!$A$100:$B$470,2,FALSE),"LPA not known to MCLHG"),VLOOKUP(D191&amp;B191,'LPA Lookup'!$A$100:$B$470,3,FALSE)),"")</f>
        <v>LPA not known to MCLHG</v>
      </c>
      <c r="AZ191" s="41" t="str">
        <f t="shared" si="9"/>
        <v>Mar 18</v>
      </c>
      <c r="BA191" s="41" t="str">
        <f t="shared" si="10"/>
        <v>Jan 19</v>
      </c>
    </row>
    <row r="192" spans="1:53" ht="14" x14ac:dyDescent="0.15">
      <c r="A192" s="35" t="s">
        <v>53</v>
      </c>
      <c r="B192" s="35">
        <v>1882</v>
      </c>
      <c r="C192" s="27" t="s">
        <v>71</v>
      </c>
      <c r="D192" s="27" t="s">
        <v>462</v>
      </c>
      <c r="E192" s="27" t="s">
        <v>56</v>
      </c>
      <c r="F192" s="27" t="s">
        <v>57</v>
      </c>
      <c r="G192" s="27">
        <v>3</v>
      </c>
      <c r="H192" s="28">
        <v>43087</v>
      </c>
      <c r="I192" s="27"/>
      <c r="J192" s="28">
        <v>43187</v>
      </c>
      <c r="K192" s="27"/>
      <c r="L192" s="27"/>
      <c r="M192" s="28">
        <v>43188</v>
      </c>
      <c r="N192" s="28"/>
      <c r="O192" s="28">
        <v>43298</v>
      </c>
      <c r="P192" s="27"/>
      <c r="Q192" s="28">
        <v>43370</v>
      </c>
      <c r="R192" s="27"/>
      <c r="S192" s="27"/>
      <c r="T192" s="27"/>
      <c r="U192" s="27"/>
      <c r="V192" s="27"/>
      <c r="W192" s="27"/>
      <c r="X192" s="27">
        <v>19.190000000000001</v>
      </c>
      <c r="Y192" s="27">
        <v>6.83</v>
      </c>
      <c r="Z192" s="27"/>
      <c r="AA192" s="27">
        <v>1.89</v>
      </c>
      <c r="AB192" s="27">
        <v>4.08</v>
      </c>
      <c r="AC192" s="27"/>
      <c r="AD192" s="27">
        <v>27.25</v>
      </c>
      <c r="AE192" s="37">
        <v>72</v>
      </c>
      <c r="AF192" s="27"/>
      <c r="AG192" s="28">
        <v>43578</v>
      </c>
      <c r="AH192" s="27"/>
      <c r="AI192" s="28">
        <v>43570</v>
      </c>
      <c r="AJ192" s="27"/>
      <c r="AK192" s="28">
        <v>43578</v>
      </c>
      <c r="AL192" s="27"/>
      <c r="AM192" s="28">
        <v>43578</v>
      </c>
      <c r="AN192" s="27"/>
      <c r="AO192" s="28">
        <v>43584</v>
      </c>
      <c r="AP192" s="27"/>
      <c r="AQ192" s="28">
        <v>43600</v>
      </c>
      <c r="AR192" s="27"/>
      <c r="AS192" s="28"/>
      <c r="AT192" s="27"/>
      <c r="AU192" s="27" t="s">
        <v>59</v>
      </c>
      <c r="AV192" s="40">
        <v>59.571428571428569</v>
      </c>
      <c r="AW192" s="39">
        <f t="shared" si="12"/>
        <v>30.571428571428573</v>
      </c>
      <c r="AX192" s="27"/>
      <c r="AY192" s="77" t="str">
        <f>IF(D192&lt;&gt;"",IF(LEFT(IFERROR(VLOOKUP(D192,'LPA Lookup'!$A$100:$B$470,2,FALSE),"LPA not known to MCLHG"),3)&lt;&gt;"JSP",IFERROR(VLOOKUP(D192,'LPA Lookup'!$A$100:$B$470,2,FALSE),"LPA not known to MCLHG"),VLOOKUP(D192&amp;B192,'LPA Lookup'!$A$100:$B$470,3,FALSE)),"")</f>
        <v>E07000011</v>
      </c>
      <c r="AZ192" s="41" t="str">
        <f t="shared" si="9"/>
        <v>Mar 18</v>
      </c>
      <c r="BA192" s="41" t="str">
        <f t="shared" si="10"/>
        <v>Apr 19</v>
      </c>
    </row>
    <row r="193" spans="1:53" ht="14" x14ac:dyDescent="0.15">
      <c r="A193" s="35" t="s">
        <v>53</v>
      </c>
      <c r="B193" s="35">
        <v>1871</v>
      </c>
      <c r="C193" s="27" t="s">
        <v>77</v>
      </c>
      <c r="D193" s="27" t="s">
        <v>463</v>
      </c>
      <c r="E193" s="27" t="s">
        <v>464</v>
      </c>
      <c r="F193" s="27" t="s">
        <v>107</v>
      </c>
      <c r="G193" s="27">
        <v>2</v>
      </c>
      <c r="H193" s="28">
        <v>43049</v>
      </c>
      <c r="I193" s="27"/>
      <c r="J193" s="28">
        <v>43187</v>
      </c>
      <c r="K193" s="27"/>
      <c r="L193" s="27"/>
      <c r="M193" s="28">
        <v>43188</v>
      </c>
      <c r="N193" s="28"/>
      <c r="O193" s="28">
        <v>43368</v>
      </c>
      <c r="P193" s="27"/>
      <c r="Q193" s="28">
        <v>43377</v>
      </c>
      <c r="R193" s="27"/>
      <c r="S193" s="27"/>
      <c r="T193" s="27"/>
      <c r="U193" s="27"/>
      <c r="V193" s="27"/>
      <c r="W193" s="27"/>
      <c r="X193" s="27">
        <v>28.87</v>
      </c>
      <c r="Y193" s="27">
        <v>8</v>
      </c>
      <c r="Z193" s="27"/>
      <c r="AA193" s="27">
        <v>0</v>
      </c>
      <c r="AB193" s="27">
        <v>2.5</v>
      </c>
      <c r="AC193" s="27"/>
      <c r="AD193" s="27">
        <v>33.97</v>
      </c>
      <c r="AE193" s="37">
        <f>AllPlans[[#This Row],[Prep days*]]+AllPlans[[#This Row],[Hearing days*]]+AllPlans[[#This Row],[SV days*]]+AllPlans[[#This Row],[Travel days]]+AllPlans[[#This Row],[Reptg days*]]</f>
        <v>73.34</v>
      </c>
      <c r="AF193" s="27"/>
      <c r="AG193" s="28">
        <v>43601</v>
      </c>
      <c r="AH193" s="27"/>
      <c r="AI193" s="28">
        <v>43585</v>
      </c>
      <c r="AJ193" s="27"/>
      <c r="AK193" s="28">
        <v>43601</v>
      </c>
      <c r="AL193" s="27"/>
      <c r="AM193" s="28">
        <v>43601</v>
      </c>
      <c r="AN193" s="27"/>
      <c r="AO193" s="28">
        <v>43620</v>
      </c>
      <c r="AP193" s="27"/>
      <c r="AQ193" s="28">
        <v>43643</v>
      </c>
      <c r="AR193" s="27"/>
      <c r="AS193" s="28"/>
      <c r="AT193" s="27"/>
      <c r="AU193" s="27" t="s">
        <v>59</v>
      </c>
      <c r="AV193" s="40">
        <v>62.285714285714285</v>
      </c>
      <c r="AW193" s="39">
        <f t="shared" si="12"/>
        <v>34.714285714285715</v>
      </c>
      <c r="AX193" s="27"/>
      <c r="AY193" s="77" t="str">
        <f>IF(D193&lt;&gt;"",IF(LEFT(IFERROR(VLOOKUP(D193,'LPA Lookup'!$A$100:$B$470,2,FALSE),"LPA not known to MCLHG"),3)&lt;&gt;"JSP",IFERROR(VLOOKUP(D193,'LPA Lookup'!$A$100:$B$470,2,FALSE),"LPA not known to MCLHG"),VLOOKUP(D193&amp;B193,'LPA Lookup'!$A$100:$B$470,3,FALSE)),"")</f>
        <v>E07000167</v>
      </c>
      <c r="AZ193" s="41" t="str">
        <f t="shared" si="9"/>
        <v>Mar 18</v>
      </c>
      <c r="BA193" s="41" t="str">
        <f t="shared" si="10"/>
        <v>Jun 19</v>
      </c>
    </row>
    <row r="194" spans="1:53" ht="14" x14ac:dyDescent="0.15">
      <c r="A194" s="35" t="s">
        <v>53</v>
      </c>
      <c r="B194" s="35">
        <v>1878</v>
      </c>
      <c r="C194" s="27" t="s">
        <v>67</v>
      </c>
      <c r="D194" s="27" t="s">
        <v>460</v>
      </c>
      <c r="E194" s="27" t="s">
        <v>465</v>
      </c>
      <c r="F194" s="27" t="s">
        <v>80</v>
      </c>
      <c r="G194" s="27">
        <v>2</v>
      </c>
      <c r="H194" s="28">
        <v>43070</v>
      </c>
      <c r="I194" s="27"/>
      <c r="J194" s="28">
        <v>43187</v>
      </c>
      <c r="K194" s="27"/>
      <c r="L194" s="27"/>
      <c r="M194" s="28">
        <v>43188</v>
      </c>
      <c r="N194" s="28"/>
      <c r="O194" s="28">
        <v>43368</v>
      </c>
      <c r="P194" s="27"/>
      <c r="Q194" s="28">
        <v>43386</v>
      </c>
      <c r="R194" s="27"/>
      <c r="S194" s="27"/>
      <c r="T194" s="27"/>
      <c r="U194" s="27"/>
      <c r="V194" s="27"/>
      <c r="W194" s="27"/>
      <c r="X194" s="29">
        <v>15</v>
      </c>
      <c r="Y194" s="29">
        <v>0</v>
      </c>
      <c r="Z194" s="29"/>
      <c r="AA194" s="29">
        <v>0</v>
      </c>
      <c r="AB194" s="29">
        <v>0</v>
      </c>
      <c r="AC194" s="29"/>
      <c r="AD194" s="29">
        <v>0</v>
      </c>
      <c r="AE194" s="37">
        <v>63.27</v>
      </c>
      <c r="AF194" s="27"/>
      <c r="AG194" s="28">
        <v>43670</v>
      </c>
      <c r="AH194" s="27"/>
      <c r="AI194" s="28">
        <v>43661</v>
      </c>
      <c r="AJ194" s="27"/>
      <c r="AK194" s="28">
        <v>43668</v>
      </c>
      <c r="AL194" s="27"/>
      <c r="AM194" s="28">
        <v>43668</v>
      </c>
      <c r="AN194" s="27"/>
      <c r="AO194" s="28">
        <v>43647</v>
      </c>
      <c r="AP194" s="27"/>
      <c r="AQ194" s="28">
        <v>43678</v>
      </c>
      <c r="AR194" s="27"/>
      <c r="AS194" s="28"/>
      <c r="AT194" s="27"/>
      <c r="AU194" s="27" t="s">
        <v>59</v>
      </c>
      <c r="AV194" s="83">
        <v>108.42857142857143</v>
      </c>
      <c r="AW194" s="39">
        <f t="shared" si="12"/>
        <v>37.285714285714285</v>
      </c>
      <c r="AX194" s="27"/>
      <c r="AY194" s="77" t="str">
        <f>IF(D194&lt;&gt;"",IF(LEFT(IFERROR(VLOOKUP(D194,'LPA Lookup'!$A$100:$B$470,2,FALSE),"LPA not known to MCLHG"),3)&lt;&gt;"JSP",IFERROR(VLOOKUP(D194,'LPA Lookup'!$A$100:$B$470,2,FALSE),"LPA not known to MCLHG"),VLOOKUP(D194&amp;B194,'LPA Lookup'!$A$100:$B$470,3,FALSE)),"")</f>
        <v>LPA not known to MCLHG</v>
      </c>
      <c r="AZ194" s="41" t="str">
        <f t="shared" ref="AZ194:AZ257" si="13">TEXT(J194,"MMM YY")</f>
        <v>Mar 18</v>
      </c>
      <c r="BA194" s="41" t="str">
        <f t="shared" ref="BA194:BA257" si="14">TEXT(AO194,"MMM YY")</f>
        <v>Jul 19</v>
      </c>
    </row>
    <row r="195" spans="1:53" ht="14" x14ac:dyDescent="0.15">
      <c r="A195" s="35" t="s">
        <v>53</v>
      </c>
      <c r="B195" s="35">
        <v>1539</v>
      </c>
      <c r="C195" s="27" t="s">
        <v>61</v>
      </c>
      <c r="D195" s="27" t="s">
        <v>466</v>
      </c>
      <c r="E195" s="27" t="s">
        <v>56</v>
      </c>
      <c r="F195" s="27" t="s">
        <v>57</v>
      </c>
      <c r="G195" s="27">
        <v>3</v>
      </c>
      <c r="H195" s="28">
        <v>43024</v>
      </c>
      <c r="I195" s="27"/>
      <c r="J195" s="28">
        <v>43187</v>
      </c>
      <c r="K195" s="27"/>
      <c r="L195" s="27"/>
      <c r="M195" s="28">
        <v>43188</v>
      </c>
      <c r="N195" s="28"/>
      <c r="O195" s="28">
        <v>43297</v>
      </c>
      <c r="P195" s="27"/>
      <c r="Q195" s="28">
        <v>43369</v>
      </c>
      <c r="R195" s="27"/>
      <c r="S195" s="27"/>
      <c r="T195" s="27"/>
      <c r="U195" s="27"/>
      <c r="V195" s="27"/>
      <c r="W195" s="27"/>
      <c r="X195" s="27">
        <v>7.17</v>
      </c>
      <c r="Y195" s="27">
        <v>2.16</v>
      </c>
      <c r="Z195" s="27"/>
      <c r="AA195" s="27">
        <v>0</v>
      </c>
      <c r="AB195" s="27">
        <v>1.69</v>
      </c>
      <c r="AC195" s="27"/>
      <c r="AD195" s="27">
        <v>5</v>
      </c>
      <c r="AE195" s="37">
        <v>139.38999999999999</v>
      </c>
      <c r="AF195" s="27"/>
      <c r="AG195" s="28">
        <v>43627</v>
      </c>
      <c r="AH195" s="27"/>
      <c r="AI195" s="28">
        <v>43608</v>
      </c>
      <c r="AJ195" s="27"/>
      <c r="AK195" s="28">
        <v>43634</v>
      </c>
      <c r="AL195" s="27"/>
      <c r="AM195" s="28">
        <v>43634</v>
      </c>
      <c r="AN195" s="27"/>
      <c r="AO195" s="28">
        <v>43656</v>
      </c>
      <c r="AP195" s="27"/>
      <c r="AQ195" s="28">
        <v>43696</v>
      </c>
      <c r="AR195" s="27"/>
      <c r="AS195" s="28"/>
      <c r="AT195" s="27"/>
      <c r="AU195" s="27" t="s">
        <v>59</v>
      </c>
      <c r="AV195" s="40">
        <v>37.714285714285715</v>
      </c>
      <c r="AW195" s="39">
        <f t="shared" si="12"/>
        <v>41</v>
      </c>
      <c r="AX195" s="27"/>
      <c r="AY195" s="77" t="str">
        <f>IF(D195&lt;&gt;"",IF(LEFT(IFERROR(VLOOKUP(D195,'LPA Lookup'!$A$100:$B$470,2,FALSE),"LPA not known to MCLHG"),3)&lt;&gt;"JSP",IFERROR(VLOOKUP(D195,'LPA Lookup'!$A$100:$B$470,2,FALSE),"LPA not known to MCLHG"),VLOOKUP(D195&amp;B195,'LPA Lookup'!$A$100:$B$470,3,FALSE)),"")</f>
        <v>E07000007</v>
      </c>
      <c r="AZ195" s="41" t="str">
        <f t="shared" si="13"/>
        <v>Mar 18</v>
      </c>
      <c r="BA195" s="41" t="str">
        <f t="shared" si="14"/>
        <v>Jul 19</v>
      </c>
    </row>
    <row r="196" spans="1:53" ht="14" x14ac:dyDescent="0.15">
      <c r="A196" s="35" t="s">
        <v>53</v>
      </c>
      <c r="B196" s="35">
        <v>1874</v>
      </c>
      <c r="C196" s="27" t="s">
        <v>61</v>
      </c>
      <c r="D196" s="27" t="s">
        <v>217</v>
      </c>
      <c r="E196" s="27" t="s">
        <v>467</v>
      </c>
      <c r="F196" s="27" t="s">
        <v>57</v>
      </c>
      <c r="G196" s="27">
        <v>3</v>
      </c>
      <c r="H196" s="28">
        <v>43047</v>
      </c>
      <c r="I196" s="27"/>
      <c r="J196" s="28">
        <v>43188</v>
      </c>
      <c r="K196" s="27"/>
      <c r="L196" s="27"/>
      <c r="M196" s="28">
        <v>43188</v>
      </c>
      <c r="N196" s="28"/>
      <c r="O196" s="28">
        <v>43291</v>
      </c>
      <c r="P196" s="27"/>
      <c r="Q196" s="28">
        <v>43342</v>
      </c>
      <c r="R196" s="27"/>
      <c r="S196" s="27"/>
      <c r="T196" s="27"/>
      <c r="U196" s="27"/>
      <c r="V196" s="27"/>
      <c r="W196" s="27"/>
      <c r="X196" s="29">
        <v>17.23</v>
      </c>
      <c r="Y196" s="29">
        <v>4.25</v>
      </c>
      <c r="Z196" s="29"/>
      <c r="AA196" s="29">
        <v>0</v>
      </c>
      <c r="AB196" s="29">
        <v>1.21</v>
      </c>
      <c r="AC196" s="29"/>
      <c r="AD196" s="29">
        <v>51.2</v>
      </c>
      <c r="AE196" s="37">
        <v>84.42</v>
      </c>
      <c r="AF196" s="27"/>
      <c r="AG196" s="28">
        <v>43503</v>
      </c>
      <c r="AH196" s="27"/>
      <c r="AI196" s="28">
        <v>43489</v>
      </c>
      <c r="AJ196" s="27"/>
      <c r="AK196" s="28">
        <v>43502</v>
      </c>
      <c r="AL196" s="27"/>
      <c r="AM196" s="28">
        <v>43502</v>
      </c>
      <c r="AN196" s="27"/>
      <c r="AO196" s="28">
        <v>43508</v>
      </c>
      <c r="AP196" s="27"/>
      <c r="AQ196" s="28">
        <v>43544</v>
      </c>
      <c r="AR196" s="27"/>
      <c r="AS196" s="28"/>
      <c r="AT196" s="27"/>
      <c r="AU196" s="27" t="s">
        <v>59</v>
      </c>
      <c r="AV196" s="83">
        <v>74.142857142857139</v>
      </c>
      <c r="AW196" s="39">
        <f t="shared" si="12"/>
        <v>23.714285714285715</v>
      </c>
      <c r="AX196" s="27"/>
      <c r="AY196" s="77" t="str">
        <f>IF(D196&lt;&gt;"",IF(LEFT(IFERROR(VLOOKUP(D196,'LPA Lookup'!$A$100:$B$470,2,FALSE),"LPA not known to MCLHG"),3)&lt;&gt;"JSP",IFERROR(VLOOKUP(D196,'LPA Lookup'!$A$100:$B$470,2,FALSE),"LPA not known to MCLHG"),VLOOKUP(D196&amp;B196,'LPA Lookup'!$A$100:$B$470,3,FALSE)),"")</f>
        <v>E06000042</v>
      </c>
      <c r="AZ196" s="41" t="str">
        <f t="shared" si="13"/>
        <v>Mar 18</v>
      </c>
      <c r="BA196" s="41" t="str">
        <f t="shared" si="14"/>
        <v>Feb 19</v>
      </c>
    </row>
    <row r="197" spans="1:53" ht="14" x14ac:dyDescent="0.15">
      <c r="A197" s="35" t="s">
        <v>53</v>
      </c>
      <c r="B197" s="90">
        <v>1877</v>
      </c>
      <c r="C197" s="27" t="s">
        <v>61</v>
      </c>
      <c r="D197" s="33" t="s">
        <v>468</v>
      </c>
      <c r="E197" s="33" t="s">
        <v>56</v>
      </c>
      <c r="F197" s="33" t="s">
        <v>57</v>
      </c>
      <c r="G197" s="33">
        <v>3</v>
      </c>
      <c r="H197" s="34">
        <v>43069</v>
      </c>
      <c r="I197" s="33"/>
      <c r="J197" s="34">
        <v>43188</v>
      </c>
      <c r="K197" s="33"/>
      <c r="L197" s="33"/>
      <c r="M197" s="34">
        <v>43188</v>
      </c>
      <c r="N197" s="34"/>
      <c r="O197" s="34">
        <v>43368</v>
      </c>
      <c r="P197" s="33"/>
      <c r="Q197" s="34">
        <v>43743</v>
      </c>
      <c r="R197" s="33"/>
      <c r="S197" s="33"/>
      <c r="T197" s="33"/>
      <c r="U197" s="33"/>
      <c r="V197" s="33"/>
      <c r="W197" s="33"/>
      <c r="X197" s="27">
        <v>12.13</v>
      </c>
      <c r="Y197" s="27">
        <v>2.2999999999999998</v>
      </c>
      <c r="Z197" s="27"/>
      <c r="AA197" s="27">
        <v>0</v>
      </c>
      <c r="AB197" s="27">
        <v>1.69</v>
      </c>
      <c r="AC197" s="27"/>
      <c r="AD197" s="27">
        <v>12</v>
      </c>
      <c r="AE197" s="37">
        <v>66.319999999999993</v>
      </c>
      <c r="AF197" s="33"/>
      <c r="AG197" s="34">
        <v>43726</v>
      </c>
      <c r="AH197" s="33"/>
      <c r="AI197" s="34">
        <v>43713</v>
      </c>
      <c r="AJ197" s="33"/>
      <c r="AK197" s="34">
        <v>43721</v>
      </c>
      <c r="AL197" s="33"/>
      <c r="AM197" s="34">
        <v>43725</v>
      </c>
      <c r="AN197" s="33"/>
      <c r="AO197" s="34">
        <v>43732</v>
      </c>
      <c r="AP197" s="33"/>
      <c r="AQ197" s="34">
        <v>43773</v>
      </c>
      <c r="AR197" s="33"/>
      <c r="AS197" s="34"/>
      <c r="AT197" s="33"/>
      <c r="AU197" s="33" t="s">
        <v>59</v>
      </c>
      <c r="AV197" s="38">
        <v>61</v>
      </c>
      <c r="AW197" s="49">
        <f t="shared" si="12"/>
        <v>-1.5714285714285714</v>
      </c>
      <c r="AX197" s="33"/>
      <c r="AY197" s="77" t="str">
        <f>IF(D197&lt;&gt;"",IF(LEFT(IFERROR(VLOOKUP(D197,'LPA Lookup'!$A$100:$B$470,2,FALSE),"LPA not known to MCLHG"),3)&lt;&gt;"JSP",IFERROR(VLOOKUP(D197,'LPA Lookup'!$A$100:$B$470,2,FALSE),"LPA not known to MCLHG"),VLOOKUP(D197&amp;B197,'LPA Lookup'!$A$100:$B$470,3,FALSE)),"")</f>
        <v>E06000038</v>
      </c>
      <c r="AZ197" s="41" t="str">
        <f t="shared" si="13"/>
        <v>Mar 18</v>
      </c>
      <c r="BA197" s="41" t="str">
        <f t="shared" si="14"/>
        <v>Sep 19</v>
      </c>
    </row>
    <row r="198" spans="1:53" ht="14" x14ac:dyDescent="0.15">
      <c r="A198" s="35" t="s">
        <v>53</v>
      </c>
      <c r="B198" s="35">
        <v>1873</v>
      </c>
      <c r="C198" s="27" t="s">
        <v>67</v>
      </c>
      <c r="D198" s="27" t="s">
        <v>469</v>
      </c>
      <c r="E198" s="27" t="s">
        <v>470</v>
      </c>
      <c r="F198" s="27" t="s">
        <v>57</v>
      </c>
      <c r="G198" s="27">
        <v>3</v>
      </c>
      <c r="H198" s="28">
        <v>43061</v>
      </c>
      <c r="I198" s="27"/>
      <c r="J198" s="28">
        <v>43203</v>
      </c>
      <c r="K198" s="27"/>
      <c r="L198" s="27"/>
      <c r="M198" s="28">
        <v>43203</v>
      </c>
      <c r="N198" s="28"/>
      <c r="O198" s="28">
        <v>43648</v>
      </c>
      <c r="P198" s="27"/>
      <c r="Q198" s="28"/>
      <c r="R198" s="27"/>
      <c r="S198" s="27"/>
      <c r="T198" s="27"/>
      <c r="U198" s="27"/>
      <c r="V198" s="27"/>
      <c r="W198" s="27"/>
      <c r="X198" s="27">
        <v>14.96</v>
      </c>
      <c r="Y198" s="27">
        <v>5.54</v>
      </c>
      <c r="Z198" s="27"/>
      <c r="AA198" s="27">
        <v>0</v>
      </c>
      <c r="AB198" s="27">
        <v>3.25</v>
      </c>
      <c r="AC198" s="27"/>
      <c r="AD198" s="27">
        <v>24.12</v>
      </c>
      <c r="AE198" s="37">
        <v>107.47</v>
      </c>
      <c r="AF198" s="27"/>
      <c r="AG198" s="28"/>
      <c r="AH198" s="27"/>
      <c r="AI198" s="28"/>
      <c r="AJ198" s="27"/>
      <c r="AK198" s="28"/>
      <c r="AL198" s="27"/>
      <c r="AM198" s="28"/>
      <c r="AN198" s="27"/>
      <c r="AO198" s="28"/>
      <c r="AP198" s="27"/>
      <c r="AQ198" s="28"/>
      <c r="AR198" s="27"/>
      <c r="AS198" s="28">
        <v>43928</v>
      </c>
      <c r="AT198" s="27"/>
      <c r="AU198" s="27" t="s">
        <v>278</v>
      </c>
      <c r="AV198" s="38" t="e">
        <f>DATEDIF(J198,AO198, "d")/7</f>
        <v>#NUM!</v>
      </c>
      <c r="AW198" s="39">
        <f t="shared" si="12"/>
        <v>0</v>
      </c>
      <c r="AX198" s="27"/>
      <c r="AY198" s="77" t="e">
        <f>IF(D198&lt;&gt;"",IF(LEFT(IFERROR(VLOOKUP(D198,'LPA Lookup'!$A$100:$B$470,2,FALSE),"LPA not known to MCLHG"),3)&lt;&gt;"JSP",IFERROR(VLOOKUP(D198,'LPA Lookup'!$A$100:$B$470,2,FALSE),"LPA not known to MCLHG"),VLOOKUP(D198&amp;B198,'LPA Lookup'!$A$100:$B$470,3,FALSE)),"")</f>
        <v>#N/A</v>
      </c>
      <c r="AZ198" s="41" t="str">
        <f t="shared" si="13"/>
        <v>Apr 18</v>
      </c>
      <c r="BA198" s="41" t="str">
        <f t="shared" si="14"/>
        <v>Jan 00</v>
      </c>
    </row>
    <row r="199" spans="1:53" ht="14" x14ac:dyDescent="0.15">
      <c r="A199" s="35" t="s">
        <v>53</v>
      </c>
      <c r="B199" s="46">
        <v>1270</v>
      </c>
      <c r="C199" s="27" t="s">
        <v>104</v>
      </c>
      <c r="D199" s="29" t="s">
        <v>471</v>
      </c>
      <c r="E199" s="29" t="s">
        <v>212</v>
      </c>
      <c r="F199" s="29" t="s">
        <v>107</v>
      </c>
      <c r="G199" s="29">
        <v>2</v>
      </c>
      <c r="H199" s="30">
        <v>43007</v>
      </c>
      <c r="I199" s="29"/>
      <c r="J199" s="30">
        <v>43213</v>
      </c>
      <c r="K199" s="29"/>
      <c r="L199" s="29"/>
      <c r="M199" s="30">
        <v>43217</v>
      </c>
      <c r="N199" s="30"/>
      <c r="O199" s="30">
        <v>43424</v>
      </c>
      <c r="P199" s="29"/>
      <c r="Q199" s="30">
        <v>43438</v>
      </c>
      <c r="R199" s="29"/>
      <c r="S199" s="29"/>
      <c r="T199" s="29"/>
      <c r="U199" s="29"/>
      <c r="V199" s="29"/>
      <c r="W199" s="29"/>
      <c r="X199" s="27">
        <v>13</v>
      </c>
      <c r="Y199" s="27">
        <v>2</v>
      </c>
      <c r="Z199" s="27"/>
      <c r="AA199" s="27">
        <v>0</v>
      </c>
      <c r="AB199" s="27">
        <v>1.08</v>
      </c>
      <c r="AC199" s="27"/>
      <c r="AD199" s="27">
        <v>19.59</v>
      </c>
      <c r="AE199" s="37">
        <v>68.83</v>
      </c>
      <c r="AF199" s="29"/>
      <c r="AG199" s="30">
        <v>43769</v>
      </c>
      <c r="AH199" s="29"/>
      <c r="AI199" s="30">
        <v>43746</v>
      </c>
      <c r="AJ199" s="29"/>
      <c r="AK199" s="30">
        <v>43766</v>
      </c>
      <c r="AL199" s="29"/>
      <c r="AM199" s="30">
        <v>43768</v>
      </c>
      <c r="AN199" s="29"/>
      <c r="AO199" s="30">
        <v>43812</v>
      </c>
      <c r="AP199" s="29"/>
      <c r="AQ199" s="30">
        <v>43843</v>
      </c>
      <c r="AR199" s="29"/>
      <c r="AS199" s="30"/>
      <c r="AT199" s="29"/>
      <c r="AU199" s="29" t="s">
        <v>59</v>
      </c>
      <c r="AV199" s="38">
        <v>52.714285714285715</v>
      </c>
      <c r="AW199" s="49">
        <f t="shared" si="12"/>
        <v>53.428571428571431</v>
      </c>
      <c r="AX199" s="29"/>
      <c r="AY199" s="77" t="str">
        <f>IF(D199&lt;&gt;"",IF(LEFT(IFERROR(VLOOKUP(D199,'LPA Lookup'!$A$100:$B$470,2,FALSE),"LPA not known to MCLHG"),3)&lt;&gt;"JSP",IFERROR(VLOOKUP(D199,'LPA Lookup'!$A$100:$B$470,2,FALSE),"LPA not known to MCLHG"),VLOOKUP(D199&amp;B199,'LPA Lookup'!$A$100:$B$470,3,FALSE)),"")</f>
        <v>E06000018</v>
      </c>
      <c r="AZ199" s="41" t="str">
        <f t="shared" si="13"/>
        <v>Apr 18</v>
      </c>
      <c r="BA199" s="41" t="str">
        <f t="shared" si="14"/>
        <v>Dec 19</v>
      </c>
    </row>
    <row r="200" spans="1:53" ht="14" x14ac:dyDescent="0.15">
      <c r="A200" s="35" t="s">
        <v>53</v>
      </c>
      <c r="B200" s="35">
        <v>1857</v>
      </c>
      <c r="C200" s="27" t="s">
        <v>61</v>
      </c>
      <c r="D200" s="27" t="s">
        <v>472</v>
      </c>
      <c r="E200" s="27" t="s">
        <v>56</v>
      </c>
      <c r="F200" s="27" t="s">
        <v>57</v>
      </c>
      <c r="G200" s="27">
        <v>3</v>
      </c>
      <c r="H200" s="28">
        <v>43004</v>
      </c>
      <c r="I200" s="27"/>
      <c r="J200" s="28">
        <v>43217</v>
      </c>
      <c r="K200" s="27"/>
      <c r="L200" s="27"/>
      <c r="M200" s="28">
        <v>43224</v>
      </c>
      <c r="N200" s="28"/>
      <c r="O200" s="28">
        <v>43417</v>
      </c>
      <c r="P200" s="27"/>
      <c r="Q200" s="28">
        <v>43446</v>
      </c>
      <c r="R200" s="27"/>
      <c r="S200" s="27"/>
      <c r="T200" s="27"/>
      <c r="U200" s="27"/>
      <c r="V200" s="27"/>
      <c r="W200" s="27"/>
      <c r="X200" s="27">
        <v>13.01</v>
      </c>
      <c r="Y200" s="27">
        <v>9.17</v>
      </c>
      <c r="Z200" s="27"/>
      <c r="AA200" s="27">
        <v>0</v>
      </c>
      <c r="AB200" s="27">
        <v>5.98</v>
      </c>
      <c r="AC200" s="27"/>
      <c r="AD200" s="27">
        <v>20.85</v>
      </c>
      <c r="AE200" s="37">
        <v>87.21</v>
      </c>
      <c r="AF200" s="27"/>
      <c r="AG200" s="28">
        <v>43623</v>
      </c>
      <c r="AH200" s="27"/>
      <c r="AI200" s="28">
        <v>43613</v>
      </c>
      <c r="AJ200" s="27"/>
      <c r="AK200" s="28">
        <v>43623</v>
      </c>
      <c r="AL200" s="27"/>
      <c r="AM200" s="28">
        <v>43623</v>
      </c>
      <c r="AN200" s="27"/>
      <c r="AO200" s="28">
        <v>43634</v>
      </c>
      <c r="AP200" s="27"/>
      <c r="AQ200" s="28">
        <v>43648</v>
      </c>
      <c r="AR200" s="27"/>
      <c r="AS200" s="28"/>
      <c r="AT200" s="27"/>
      <c r="AU200" s="27" t="s">
        <v>59</v>
      </c>
      <c r="AV200" s="40">
        <v>36</v>
      </c>
      <c r="AW200" s="39">
        <f t="shared" si="12"/>
        <v>26.857142857142858</v>
      </c>
      <c r="AX200" s="27"/>
      <c r="AY200" s="77" t="str">
        <f>IF(D200&lt;&gt;"",IF(LEFT(IFERROR(VLOOKUP(D200,'LPA Lookup'!$A$100:$B$470,2,FALSE),"LPA not known to MCLHG"),3)&lt;&gt;"JSP",IFERROR(VLOOKUP(D200,'LPA Lookup'!$A$100:$B$470,2,FALSE),"LPA not known to MCLHG"),VLOOKUP(D200&amp;B200,'LPA Lookup'!$A$100:$B$470,3,FALSE)),"")</f>
        <v>E26000010</v>
      </c>
      <c r="AZ200" s="41" t="str">
        <f t="shared" si="13"/>
        <v>Apr 18</v>
      </c>
      <c r="BA200" s="41" t="str">
        <f t="shared" si="14"/>
        <v>Jun 19</v>
      </c>
    </row>
    <row r="201" spans="1:53" ht="14" x14ac:dyDescent="0.15">
      <c r="A201" s="35" t="s">
        <v>53</v>
      </c>
      <c r="B201" s="46">
        <v>1820</v>
      </c>
      <c r="C201" s="29" t="s">
        <v>90</v>
      </c>
      <c r="D201" s="29" t="s">
        <v>473</v>
      </c>
      <c r="E201" s="29" t="s">
        <v>474</v>
      </c>
      <c r="F201" s="29" t="s">
        <v>74</v>
      </c>
      <c r="G201" s="29">
        <v>2</v>
      </c>
      <c r="H201" s="30">
        <v>42809</v>
      </c>
      <c r="I201" s="29"/>
      <c r="J201" s="30">
        <v>43217</v>
      </c>
      <c r="K201" s="29"/>
      <c r="L201" s="29"/>
      <c r="M201" s="30">
        <v>43221</v>
      </c>
      <c r="N201" s="30"/>
      <c r="O201" s="30">
        <v>43382</v>
      </c>
      <c r="P201" s="29"/>
      <c r="Q201" s="30">
        <v>43384</v>
      </c>
      <c r="R201" s="29"/>
      <c r="S201" s="29"/>
      <c r="T201" s="29"/>
      <c r="U201" s="29"/>
      <c r="V201" s="29"/>
      <c r="W201" s="29"/>
      <c r="X201" s="29">
        <v>32.5</v>
      </c>
      <c r="Y201" s="29">
        <v>8.6</v>
      </c>
      <c r="Z201" s="29"/>
      <c r="AA201" s="29">
        <v>0</v>
      </c>
      <c r="AB201" s="29">
        <v>1.4</v>
      </c>
      <c r="AC201" s="29"/>
      <c r="AD201" s="29">
        <v>36.5</v>
      </c>
      <c r="AE201" s="48">
        <f>AllPlans[[#This Row],[Prep days*]]+AllPlans[[#This Row],[Hearing days*]]+AllPlans[[#This Row],[SV days*]]+AllPlans[[#This Row],[Travel days]]+AllPlans[[#This Row],[Reptg days*]]</f>
        <v>79</v>
      </c>
      <c r="AF201" s="29"/>
      <c r="AG201" s="30">
        <v>43677</v>
      </c>
      <c r="AH201" s="29"/>
      <c r="AI201" s="30">
        <v>43664</v>
      </c>
      <c r="AJ201" s="29"/>
      <c r="AK201" s="30">
        <v>43672</v>
      </c>
      <c r="AL201" s="29"/>
      <c r="AM201" s="30">
        <v>43675</v>
      </c>
      <c r="AN201" s="29"/>
      <c r="AO201" s="30">
        <v>43691</v>
      </c>
      <c r="AP201" s="29"/>
      <c r="AQ201" s="30">
        <v>43859</v>
      </c>
      <c r="AR201" s="29"/>
      <c r="AS201" s="30"/>
      <c r="AT201" s="29"/>
      <c r="AU201" s="29" t="s">
        <v>59</v>
      </c>
      <c r="AV201" s="83">
        <v>86</v>
      </c>
      <c r="AW201" s="49">
        <f t="shared" si="12"/>
        <v>43.857142857142854</v>
      </c>
      <c r="AX201" s="29"/>
      <c r="AY201" s="77" t="str">
        <f>IF(D201&lt;&gt;"",IF(LEFT(IFERROR(VLOOKUP(D201,'LPA Lookup'!$A$100:$B$470,2,FALSE),"LPA not known to MCLHG"),3)&lt;&gt;"JSP",IFERROR(VLOOKUP(D201,'LPA Lookup'!$A$100:$B$470,2,FALSE),"LPA not known to MCLHG"),VLOOKUP(D201&amp;B201,'LPA Lookup'!$A$100:$B$470,3,FALSE)),"")</f>
        <v>E09000010</v>
      </c>
      <c r="AZ201" s="51" t="str">
        <f t="shared" si="13"/>
        <v>Apr 18</v>
      </c>
      <c r="BA201" s="51" t="str">
        <f t="shared" si="14"/>
        <v>Aug 19</v>
      </c>
    </row>
    <row r="202" spans="1:53" ht="14" x14ac:dyDescent="0.15">
      <c r="A202" s="35" t="s">
        <v>53</v>
      </c>
      <c r="B202" s="46">
        <v>1887</v>
      </c>
      <c r="C202" s="29" t="s">
        <v>71</v>
      </c>
      <c r="D202" s="29" t="s">
        <v>475</v>
      </c>
      <c r="E202" s="29" t="s">
        <v>56</v>
      </c>
      <c r="F202" s="29" t="s">
        <v>57</v>
      </c>
      <c r="G202" s="29">
        <v>3</v>
      </c>
      <c r="H202" s="30">
        <v>43111</v>
      </c>
      <c r="I202" s="29"/>
      <c r="J202" s="30">
        <v>43220</v>
      </c>
      <c r="K202" s="29"/>
      <c r="L202" s="29"/>
      <c r="M202" s="30">
        <v>43228</v>
      </c>
      <c r="N202" s="30"/>
      <c r="O202" s="30">
        <v>43606</v>
      </c>
      <c r="P202" s="29" t="s">
        <v>406</v>
      </c>
      <c r="Q202" s="30">
        <v>44183</v>
      </c>
      <c r="R202" s="29"/>
      <c r="S202" s="29"/>
      <c r="T202" s="29"/>
      <c r="U202" s="29"/>
      <c r="V202" s="29"/>
      <c r="W202" s="29"/>
      <c r="X202" s="29">
        <v>27.12</v>
      </c>
      <c r="Y202" s="29">
        <v>7.68</v>
      </c>
      <c r="Z202" s="29"/>
      <c r="AA202" s="29">
        <v>1.69</v>
      </c>
      <c r="AB202" s="29">
        <v>4.1900000000000004</v>
      </c>
      <c r="AC202" s="29"/>
      <c r="AD202" s="29">
        <v>72.680000000000007</v>
      </c>
      <c r="AE202" s="37">
        <v>267.35000000000002</v>
      </c>
      <c r="AF202" s="29"/>
      <c r="AG202" s="30">
        <v>44391</v>
      </c>
      <c r="AH202" s="29"/>
      <c r="AI202" s="30">
        <v>44369</v>
      </c>
      <c r="AJ202" s="29"/>
      <c r="AK202" s="30">
        <v>44386</v>
      </c>
      <c r="AL202" s="29"/>
      <c r="AM202" s="30">
        <v>44390</v>
      </c>
      <c r="AN202" s="29"/>
      <c r="AO202" s="30">
        <v>44392</v>
      </c>
      <c r="AP202" s="29"/>
      <c r="AQ202" s="30">
        <v>44399</v>
      </c>
      <c r="AR202" s="29"/>
      <c r="AS202" s="30"/>
      <c r="AT202" s="29"/>
      <c r="AU202" s="29" t="s">
        <v>59</v>
      </c>
      <c r="AV202" s="83">
        <v>86.571428571428569</v>
      </c>
      <c r="AW202" s="49">
        <f t="shared" si="12"/>
        <v>29.857142857142858</v>
      </c>
      <c r="AX202" s="29"/>
      <c r="AY202" s="77" t="str">
        <f>IF(D202&lt;&gt;"",IF(LEFT(IFERROR(VLOOKUP(D202,'LPA Lookup'!$A$100:$B$470,2,FALSE),"LPA not known to MCLHG"),3)&lt;&gt;"JSP",IFERROR(VLOOKUP(D202,'LPA Lookup'!$A$100:$B$470,2,FALSE),"LPA not known to MCLHG"),VLOOKUP(D202&amp;B202,'LPA Lookup'!$A$100:$B$470,3,FALSE)),"")</f>
        <v>LPA not known to MCLHG</v>
      </c>
      <c r="AZ202" s="41" t="str">
        <f t="shared" si="13"/>
        <v>Apr 18</v>
      </c>
      <c r="BA202" s="41" t="str">
        <f t="shared" si="14"/>
        <v>Jul 21</v>
      </c>
    </row>
    <row r="203" spans="1:53" ht="14" x14ac:dyDescent="0.15">
      <c r="A203" s="35" t="s">
        <v>53</v>
      </c>
      <c r="B203" s="35">
        <v>1890</v>
      </c>
      <c r="C203" s="27" t="s">
        <v>61</v>
      </c>
      <c r="D203" s="27" t="s">
        <v>211</v>
      </c>
      <c r="E203" s="27" t="s">
        <v>476</v>
      </c>
      <c r="F203" s="27" t="s">
        <v>102</v>
      </c>
      <c r="G203" s="27">
        <v>2</v>
      </c>
      <c r="H203" s="28">
        <v>43115</v>
      </c>
      <c r="I203" s="27"/>
      <c r="J203" s="28">
        <v>43229</v>
      </c>
      <c r="K203" s="27"/>
      <c r="L203" s="27"/>
      <c r="M203" s="28">
        <v>43230</v>
      </c>
      <c r="N203" s="28"/>
      <c r="O203" s="28">
        <v>43346</v>
      </c>
      <c r="P203" s="27"/>
      <c r="Q203" s="28">
        <v>43347</v>
      </c>
      <c r="R203" s="27"/>
      <c r="S203" s="27"/>
      <c r="T203" s="27"/>
      <c r="U203" s="27"/>
      <c r="V203" s="27"/>
      <c r="W203" s="27"/>
      <c r="X203" s="29">
        <v>25.1</v>
      </c>
      <c r="Y203" s="29">
        <v>6.47</v>
      </c>
      <c r="Z203" s="29"/>
      <c r="AA203" s="29">
        <v>1.91</v>
      </c>
      <c r="AB203" s="29">
        <v>2.7</v>
      </c>
      <c r="AC203" s="29"/>
      <c r="AD203" s="29">
        <v>30.41</v>
      </c>
      <c r="AE203" s="37">
        <f>AllPlans[[#This Row],[Prep days*]]+AllPlans[[#This Row],[Hearing days*]]+AllPlans[[#This Row],[SV days*]]+AllPlans[[#This Row],[Travel days]]+AllPlans[[#This Row],[Reptg days*]]</f>
        <v>66.59</v>
      </c>
      <c r="AF203" s="27"/>
      <c r="AG203" s="28">
        <v>43489</v>
      </c>
      <c r="AH203" s="27"/>
      <c r="AI203" s="28">
        <v>43473</v>
      </c>
      <c r="AJ203" s="27"/>
      <c r="AK203" s="28">
        <v>43488</v>
      </c>
      <c r="AL203" s="27"/>
      <c r="AM203" s="28">
        <v>43488</v>
      </c>
      <c r="AN203" s="27"/>
      <c r="AO203" s="28">
        <v>43493</v>
      </c>
      <c r="AP203" s="27"/>
      <c r="AQ203" s="28">
        <v>43524</v>
      </c>
      <c r="AR203" s="27"/>
      <c r="AS203" s="28"/>
      <c r="AT203" s="27"/>
      <c r="AU203" s="27" t="s">
        <v>59</v>
      </c>
      <c r="AV203" s="83">
        <v>102.85714285714286</v>
      </c>
      <c r="AW203" s="39">
        <f t="shared" si="12"/>
        <v>20.857142857142858</v>
      </c>
      <c r="AX203" s="27"/>
      <c r="AY203" s="77" t="str">
        <f>IF(D203&lt;&gt;"",IF(LEFT(IFERROR(VLOOKUP(D203,'LPA Lookup'!$A$100:$B$470,2,FALSE),"LPA not known to MCLHG"),3)&lt;&gt;"JSP",IFERROR(VLOOKUP(D203,'LPA Lookup'!$A$100:$B$470,2,FALSE),"LPA not known to MCLHG"),VLOOKUP(D203&amp;B203,'LPA Lookup'!$A$100:$B$470,3,FALSE)),"")</f>
        <v>E07000094</v>
      </c>
      <c r="AZ203" s="41" t="str">
        <f t="shared" si="13"/>
        <v>May 18</v>
      </c>
      <c r="BA203" s="41" t="str">
        <f t="shared" si="14"/>
        <v>Jan 19</v>
      </c>
    </row>
    <row r="204" spans="1:53" ht="14" x14ac:dyDescent="0.15">
      <c r="A204" s="35" t="s">
        <v>53</v>
      </c>
      <c r="B204" s="35">
        <v>1891</v>
      </c>
      <c r="C204" s="27" t="s">
        <v>61</v>
      </c>
      <c r="D204" s="27" t="s">
        <v>477</v>
      </c>
      <c r="E204" s="27" t="s">
        <v>56</v>
      </c>
      <c r="F204" s="27" t="s">
        <v>57</v>
      </c>
      <c r="G204" s="27">
        <v>3</v>
      </c>
      <c r="H204" s="28">
        <v>43117</v>
      </c>
      <c r="I204" s="27"/>
      <c r="J204" s="28">
        <v>43234</v>
      </c>
      <c r="K204" s="27"/>
      <c r="L204" s="27"/>
      <c r="M204" s="28">
        <v>43236</v>
      </c>
      <c r="N204" s="28"/>
      <c r="O204" s="28">
        <v>43410</v>
      </c>
      <c r="P204" s="27"/>
      <c r="Q204" s="28">
        <v>43545</v>
      </c>
      <c r="R204" s="27"/>
      <c r="S204" s="27"/>
      <c r="T204" s="27"/>
      <c r="U204" s="27"/>
      <c r="V204" s="27"/>
      <c r="W204" s="27"/>
      <c r="X204" s="27">
        <v>9.09</v>
      </c>
      <c r="Y204" s="27">
        <v>1.95</v>
      </c>
      <c r="Z204" s="27"/>
      <c r="AA204" s="27">
        <v>0</v>
      </c>
      <c r="AB204" s="27">
        <v>0.4</v>
      </c>
      <c r="AC204" s="27"/>
      <c r="AD204" s="27">
        <v>13.17</v>
      </c>
      <c r="AE204" s="37">
        <v>86.37</v>
      </c>
      <c r="AF204" s="27"/>
      <c r="AG204" s="28">
        <v>43662</v>
      </c>
      <c r="AH204" s="27"/>
      <c r="AI204" s="28">
        <v>43647</v>
      </c>
      <c r="AJ204" s="27"/>
      <c r="AK204" s="28">
        <v>43656</v>
      </c>
      <c r="AL204" s="27"/>
      <c r="AM204" s="28">
        <v>43661</v>
      </c>
      <c r="AN204" s="27"/>
      <c r="AO204" s="28">
        <v>43670</v>
      </c>
      <c r="AP204" s="27"/>
      <c r="AQ204" s="28">
        <v>43706</v>
      </c>
      <c r="AR204" s="27"/>
      <c r="AS204" s="28"/>
      <c r="AT204" s="27"/>
      <c r="AU204" s="27" t="s">
        <v>59</v>
      </c>
      <c r="AV204" s="40">
        <v>51.571428571428569</v>
      </c>
      <c r="AW204" s="39">
        <f t="shared" si="12"/>
        <v>17.857142857142858</v>
      </c>
      <c r="AX204" s="27"/>
      <c r="AY204" s="77" t="str">
        <f>IF(D204&lt;&gt;"",IF(LEFT(IFERROR(VLOOKUP(D204,'LPA Lookup'!$A$100:$B$470,2,FALSE),"LPA not known to MCLHG"),3)&lt;&gt;"JSP",IFERROR(VLOOKUP(D204,'LPA Lookup'!$A$100:$B$470,2,FALSE),"LPA not known to MCLHG"),VLOOKUP(D204&amp;B204,'LPA Lookup'!$A$100:$B$470,3,FALSE)),"")</f>
        <v>E26000009</v>
      </c>
      <c r="AZ204" s="41" t="str">
        <f t="shared" si="13"/>
        <v>May 18</v>
      </c>
      <c r="BA204" s="41" t="str">
        <f t="shared" si="14"/>
        <v>Jul 19</v>
      </c>
    </row>
    <row r="205" spans="1:53" ht="28" x14ac:dyDescent="0.15">
      <c r="A205" s="35" t="s">
        <v>53</v>
      </c>
      <c r="B205" s="46">
        <v>1906</v>
      </c>
      <c r="C205" s="27" t="s">
        <v>83</v>
      </c>
      <c r="D205" s="29" t="s">
        <v>478</v>
      </c>
      <c r="E205" s="29" t="s">
        <v>479</v>
      </c>
      <c r="F205" s="29" t="s">
        <v>57</v>
      </c>
      <c r="G205" s="29">
        <v>3</v>
      </c>
      <c r="H205" s="30">
        <v>43140</v>
      </c>
      <c r="I205" s="29"/>
      <c r="J205" s="30">
        <v>43235</v>
      </c>
      <c r="K205" s="29"/>
      <c r="L205" s="29"/>
      <c r="M205" s="30">
        <v>43235</v>
      </c>
      <c r="N205" s="30"/>
      <c r="O205" s="30">
        <v>43556</v>
      </c>
      <c r="P205" s="29"/>
      <c r="Q205" s="30">
        <v>43606</v>
      </c>
      <c r="R205" s="29"/>
      <c r="S205" s="29"/>
      <c r="T205" s="29"/>
      <c r="U205" s="29"/>
      <c r="V205" s="29"/>
      <c r="W205" s="29"/>
      <c r="X205" s="29">
        <v>9.26</v>
      </c>
      <c r="Y205" s="29">
        <v>7.27</v>
      </c>
      <c r="Z205" s="29"/>
      <c r="AA205" s="29">
        <v>1.49</v>
      </c>
      <c r="AB205" s="29">
        <v>3.1</v>
      </c>
      <c r="AC205" s="29"/>
      <c r="AD205" s="29">
        <v>32.76</v>
      </c>
      <c r="AE205" s="37">
        <v>92</v>
      </c>
      <c r="AF205" s="29"/>
      <c r="AG205" s="30">
        <v>43984</v>
      </c>
      <c r="AH205" s="29"/>
      <c r="AI205" s="30">
        <v>43944</v>
      </c>
      <c r="AJ205" s="29"/>
      <c r="AK205" s="30">
        <v>43979</v>
      </c>
      <c r="AL205" s="29"/>
      <c r="AM205" s="30">
        <v>43983</v>
      </c>
      <c r="AN205" s="29"/>
      <c r="AO205" s="30">
        <v>43994</v>
      </c>
      <c r="AP205" s="29"/>
      <c r="AQ205" s="30">
        <v>44042</v>
      </c>
      <c r="AR205" s="29"/>
      <c r="AS205" s="30"/>
      <c r="AT205" s="29"/>
      <c r="AU205" s="29" t="s">
        <v>59</v>
      </c>
      <c r="AV205" s="50">
        <v>77.285714285714292</v>
      </c>
      <c r="AW205" s="49">
        <f t="shared" si="12"/>
        <v>55.428571428571431</v>
      </c>
      <c r="AX205" s="29"/>
      <c r="AY205" s="77" t="str">
        <f>IF(D205&lt;&gt;"",IF(LEFT(IFERROR(VLOOKUP(D205,'LPA Lookup'!$A$100:$B$470,2,FALSE),"LPA not known to MCLHG"),3)&lt;&gt;"JSP",IFERROR(VLOOKUP(D205,'LPA Lookup'!$A$100:$B$470,2,FALSE),"LPA not known to MCLHG"),VLOOKUP(D205&amp;B205,'LPA Lookup'!$A$100:$B$470,3,FALSE)),"")</f>
        <v>E07000121</v>
      </c>
      <c r="AZ205" s="41" t="str">
        <f t="shared" si="13"/>
        <v>May 18</v>
      </c>
      <c r="BA205" s="41" t="str">
        <f t="shared" si="14"/>
        <v>Jun 20</v>
      </c>
    </row>
    <row r="206" spans="1:53" ht="14" x14ac:dyDescent="0.15">
      <c r="A206" s="35" t="s">
        <v>53</v>
      </c>
      <c r="B206" s="46">
        <v>1907</v>
      </c>
      <c r="C206" s="27" t="s">
        <v>83</v>
      </c>
      <c r="D206" s="29" t="s">
        <v>478</v>
      </c>
      <c r="E206" s="29" t="s">
        <v>480</v>
      </c>
      <c r="F206" s="29" t="s">
        <v>136</v>
      </c>
      <c r="G206" s="29">
        <v>2</v>
      </c>
      <c r="H206" s="30">
        <v>43140</v>
      </c>
      <c r="I206" s="29"/>
      <c r="J206" s="30">
        <v>43235</v>
      </c>
      <c r="K206" s="29"/>
      <c r="L206" s="29"/>
      <c r="M206" s="30">
        <v>43235</v>
      </c>
      <c r="N206" s="30"/>
      <c r="O206" s="30">
        <v>43556</v>
      </c>
      <c r="P206" s="29"/>
      <c r="Q206" s="30">
        <v>43606</v>
      </c>
      <c r="R206" s="29"/>
      <c r="S206" s="29"/>
      <c r="T206" s="29"/>
      <c r="U206" s="29"/>
      <c r="V206" s="29"/>
      <c r="W206" s="29"/>
      <c r="X206" s="29">
        <v>55.12</v>
      </c>
      <c r="Y206" s="29">
        <v>9.18</v>
      </c>
      <c r="Z206" s="29"/>
      <c r="AA206" s="29">
        <v>0</v>
      </c>
      <c r="AB206" s="29">
        <v>5.4</v>
      </c>
      <c r="AC206" s="29"/>
      <c r="AD206" s="29">
        <v>25.61</v>
      </c>
      <c r="AE206" s="37">
        <f>AllPlans[[#This Row],[Prep days*]]+AllPlans[[#This Row],[Hearing days*]]+AllPlans[[#This Row],[SV days*]]+AllPlans[[#This Row],[Travel days]]+AllPlans[[#This Row],[Reptg days*]]</f>
        <v>95.31</v>
      </c>
      <c r="AF206" s="29">
        <v>1906</v>
      </c>
      <c r="AG206" s="30">
        <v>43984</v>
      </c>
      <c r="AH206" s="29"/>
      <c r="AI206" s="30">
        <v>43944</v>
      </c>
      <c r="AJ206" s="29"/>
      <c r="AK206" s="30">
        <v>43979</v>
      </c>
      <c r="AL206" s="29"/>
      <c r="AM206" s="30">
        <v>43983</v>
      </c>
      <c r="AN206" s="29"/>
      <c r="AO206" s="30">
        <v>43994</v>
      </c>
      <c r="AP206" s="29"/>
      <c r="AQ206" s="30">
        <v>44042</v>
      </c>
      <c r="AR206" s="29"/>
      <c r="AS206" s="30"/>
      <c r="AT206" s="29"/>
      <c r="AU206" s="29" t="s">
        <v>59</v>
      </c>
      <c r="AV206" s="50">
        <v>95.285714285714292</v>
      </c>
      <c r="AW206" s="49">
        <f t="shared" si="12"/>
        <v>55.428571428571431</v>
      </c>
      <c r="AX206" s="29"/>
      <c r="AY206" s="77" t="str">
        <f>IF(D206&lt;&gt;"",IF(LEFT(IFERROR(VLOOKUP(D206,'LPA Lookup'!$A$100:$B$470,2,FALSE),"LPA not known to MCLHG"),3)&lt;&gt;"JSP",IFERROR(VLOOKUP(D206,'LPA Lookup'!$A$100:$B$470,2,FALSE),"LPA not known to MCLHG"),VLOOKUP(D206&amp;B206,'LPA Lookup'!$A$100:$B$470,3,FALSE)),"")</f>
        <v>E07000121</v>
      </c>
      <c r="AZ206" s="41" t="str">
        <f t="shared" si="13"/>
        <v>May 18</v>
      </c>
      <c r="BA206" s="41" t="str">
        <f t="shared" si="14"/>
        <v>Jun 20</v>
      </c>
    </row>
    <row r="207" spans="1:53" ht="14" x14ac:dyDescent="0.15">
      <c r="A207" s="35" t="s">
        <v>53</v>
      </c>
      <c r="B207" s="35">
        <v>1888</v>
      </c>
      <c r="C207" s="27" t="s">
        <v>61</v>
      </c>
      <c r="D207" s="27" t="s">
        <v>481</v>
      </c>
      <c r="E207" s="27" t="s">
        <v>323</v>
      </c>
      <c r="F207" s="27" t="s">
        <v>136</v>
      </c>
      <c r="G207" s="27">
        <v>2</v>
      </c>
      <c r="H207" s="28">
        <v>43110</v>
      </c>
      <c r="I207" s="27"/>
      <c r="J207" s="28">
        <v>43238</v>
      </c>
      <c r="K207" s="27"/>
      <c r="L207" s="27"/>
      <c r="M207" s="28">
        <v>43243</v>
      </c>
      <c r="N207" s="28"/>
      <c r="O207" s="28">
        <v>43403</v>
      </c>
      <c r="P207" s="27"/>
      <c r="Q207" s="28">
        <v>43777</v>
      </c>
      <c r="R207" s="27"/>
      <c r="S207" s="27"/>
      <c r="T207" s="27"/>
      <c r="U207" s="27"/>
      <c r="V207" s="27"/>
      <c r="W207" s="27"/>
      <c r="X207" s="29">
        <v>16.149999999999999</v>
      </c>
      <c r="Y207" s="29">
        <v>6.41</v>
      </c>
      <c r="Z207" s="29"/>
      <c r="AA207" s="29">
        <v>0</v>
      </c>
      <c r="AB207" s="29">
        <v>2.2999999999999998</v>
      </c>
      <c r="AC207" s="29"/>
      <c r="AD207" s="29">
        <v>27.44</v>
      </c>
      <c r="AE207" s="37">
        <v>59.18</v>
      </c>
      <c r="AF207" s="27"/>
      <c r="AG207" s="28">
        <v>43642</v>
      </c>
      <c r="AH207" s="27"/>
      <c r="AI207" s="28">
        <v>43626</v>
      </c>
      <c r="AJ207" s="27"/>
      <c r="AK207" s="28">
        <v>43641</v>
      </c>
      <c r="AL207" s="27"/>
      <c r="AM207" s="28">
        <v>43641</v>
      </c>
      <c r="AN207" s="27"/>
      <c r="AO207" s="28">
        <v>43655</v>
      </c>
      <c r="AP207" s="27"/>
      <c r="AQ207" s="28">
        <v>43734</v>
      </c>
      <c r="AR207" s="27"/>
      <c r="AS207" s="28"/>
      <c r="AT207" s="27"/>
      <c r="AU207" s="27" t="s">
        <v>59</v>
      </c>
      <c r="AV207" s="83">
        <v>61.428571428571431</v>
      </c>
      <c r="AW207" s="39">
        <f t="shared" si="12"/>
        <v>-17.428571428571427</v>
      </c>
      <c r="AX207" s="27"/>
      <c r="AY207" s="77" t="str">
        <f>IF(D207&lt;&gt;"",IF(LEFT(IFERROR(VLOOKUP(D207,'LPA Lookup'!$A$100:$B$470,2,FALSE),"LPA not known to MCLHG"),3)&lt;&gt;"JSP",IFERROR(VLOOKUP(D207,'LPA Lookup'!$A$100:$B$470,2,FALSE),"LPA not known to MCLHG"),VLOOKUP(D207&amp;B207,'LPA Lookup'!$A$100:$B$470,3,FALSE)),"")</f>
        <v>E07000211</v>
      </c>
      <c r="AZ207" s="41" t="str">
        <f t="shared" si="13"/>
        <v>May 18</v>
      </c>
      <c r="BA207" s="41" t="str">
        <f t="shared" si="14"/>
        <v>Jul 19</v>
      </c>
    </row>
    <row r="208" spans="1:53" ht="14" x14ac:dyDescent="0.15">
      <c r="A208" s="35" t="s">
        <v>53</v>
      </c>
      <c r="B208" s="46">
        <v>1893</v>
      </c>
      <c r="C208" s="27" t="s">
        <v>83</v>
      </c>
      <c r="D208" s="29" t="s">
        <v>482</v>
      </c>
      <c r="E208" s="29" t="s">
        <v>56</v>
      </c>
      <c r="F208" s="29" t="s">
        <v>57</v>
      </c>
      <c r="G208" s="29">
        <v>3</v>
      </c>
      <c r="H208" s="30">
        <v>43126</v>
      </c>
      <c r="I208" s="27"/>
      <c r="J208" s="30">
        <v>43238</v>
      </c>
      <c r="K208" s="27"/>
      <c r="L208" s="29"/>
      <c r="M208" s="30">
        <v>43243</v>
      </c>
      <c r="N208" s="28"/>
      <c r="O208" s="30">
        <v>44117</v>
      </c>
      <c r="P208" s="29" t="s">
        <v>406</v>
      </c>
      <c r="Q208" s="30">
        <v>44127</v>
      </c>
      <c r="R208" s="29"/>
      <c r="S208" s="29"/>
      <c r="T208" s="29"/>
      <c r="U208" s="29"/>
      <c r="V208" s="29"/>
      <c r="W208" s="29"/>
      <c r="X208" s="29">
        <v>71.53</v>
      </c>
      <c r="Y208" s="29">
        <v>7.48</v>
      </c>
      <c r="Z208" s="29"/>
      <c r="AA208" s="29">
        <v>1.75</v>
      </c>
      <c r="AB208" s="29">
        <v>1.35</v>
      </c>
      <c r="AC208" s="29"/>
      <c r="AD208" s="29">
        <v>29.52</v>
      </c>
      <c r="AE208" s="48">
        <v>112.5</v>
      </c>
      <c r="AF208" s="29"/>
      <c r="AG208" s="30">
        <v>44460</v>
      </c>
      <c r="AH208" s="27"/>
      <c r="AI208" s="30">
        <v>44447</v>
      </c>
      <c r="AJ208" s="27"/>
      <c r="AK208" s="30">
        <v>44454</v>
      </c>
      <c r="AL208" s="27"/>
      <c r="AM208" s="30">
        <v>44459</v>
      </c>
      <c r="AN208" s="27"/>
      <c r="AO208" s="30">
        <v>44489</v>
      </c>
      <c r="AP208" s="27"/>
      <c r="AQ208" s="30">
        <v>44587</v>
      </c>
      <c r="AR208" s="27"/>
      <c r="AS208" s="30"/>
      <c r="AT208" s="27"/>
      <c r="AU208" s="29" t="s">
        <v>59</v>
      </c>
      <c r="AV208" s="83">
        <v>54.714285714285715</v>
      </c>
      <c r="AW208" s="49">
        <f t="shared" si="12"/>
        <v>51.714285714285715</v>
      </c>
      <c r="AX208" s="29"/>
      <c r="AY208" s="77" t="str">
        <f>IF(D208&lt;&gt;"",IF(LEFT(IFERROR(VLOOKUP(D208,'LPA Lookup'!$A$100:$B$470,2,FALSE),"LPA not known to MCLHG"),3)&lt;&gt;"JSP",IFERROR(VLOOKUP(D208,'LPA Lookup'!$A$100:$B$470,2,FALSE),"LPA not known to MCLHG"),VLOOKUP(D208&amp;B208,'LPA Lookup'!$A$100:$B$470,3,FALSE)),"")</f>
        <v>E08000012</v>
      </c>
      <c r="AZ208" s="51" t="str">
        <f t="shared" si="13"/>
        <v>May 18</v>
      </c>
      <c r="BA208" s="51" t="str">
        <f t="shared" si="14"/>
        <v>Oct 21</v>
      </c>
    </row>
    <row r="209" spans="1:53" ht="14" x14ac:dyDescent="0.15">
      <c r="A209" s="35" t="s">
        <v>53</v>
      </c>
      <c r="B209" s="46">
        <v>2052</v>
      </c>
      <c r="C209" s="27" t="s">
        <v>90</v>
      </c>
      <c r="D209" s="29" t="s">
        <v>483</v>
      </c>
      <c r="E209" s="29" t="s">
        <v>484</v>
      </c>
      <c r="F209" s="29" t="s">
        <v>107</v>
      </c>
      <c r="G209" s="29">
        <v>3</v>
      </c>
      <c r="H209" s="30">
        <v>41904</v>
      </c>
      <c r="I209" s="29"/>
      <c r="J209" s="30">
        <v>43241</v>
      </c>
      <c r="K209" s="29"/>
      <c r="L209" s="29"/>
      <c r="M209" s="30">
        <v>43241</v>
      </c>
      <c r="N209" s="30"/>
      <c r="O209" s="30">
        <v>43319</v>
      </c>
      <c r="P209" s="29"/>
      <c r="Q209" s="30">
        <v>43686</v>
      </c>
      <c r="R209" s="29"/>
      <c r="S209" s="29"/>
      <c r="T209" s="29"/>
      <c r="U209" s="29"/>
      <c r="V209" s="29"/>
      <c r="W209" s="29"/>
      <c r="X209" s="29">
        <v>21.31</v>
      </c>
      <c r="Y209" s="29">
        <v>10.55</v>
      </c>
      <c r="Z209" s="29"/>
      <c r="AA209" s="29">
        <v>2.02</v>
      </c>
      <c r="AB209" s="29">
        <v>2.7</v>
      </c>
      <c r="AC209" s="29"/>
      <c r="AD209" s="29">
        <v>27.27</v>
      </c>
      <c r="AE209" s="91">
        <v>73.88</v>
      </c>
      <c r="AF209" s="29"/>
      <c r="AG209" s="30">
        <v>43742</v>
      </c>
      <c r="AH209" s="29"/>
      <c r="AI209" s="30">
        <v>43734</v>
      </c>
      <c r="AJ209" s="29"/>
      <c r="AK209" s="30">
        <v>43741</v>
      </c>
      <c r="AL209" s="29"/>
      <c r="AM209" s="30">
        <v>43741</v>
      </c>
      <c r="AN209" s="29"/>
      <c r="AO209" s="30">
        <v>43760</v>
      </c>
      <c r="AP209" s="29"/>
      <c r="AQ209" s="30">
        <v>43846</v>
      </c>
      <c r="AR209" s="29"/>
      <c r="AS209" s="30"/>
      <c r="AT209" s="29"/>
      <c r="AU209" s="29" t="s">
        <v>59</v>
      </c>
      <c r="AV209" s="50">
        <v>58</v>
      </c>
      <c r="AW209" s="49">
        <f t="shared" si="12"/>
        <v>10.571428571428571</v>
      </c>
      <c r="AX209" s="27"/>
      <c r="AY209" s="77" t="str">
        <f>IF(D209&lt;&gt;"",IF(LEFT(IFERROR(VLOOKUP(D209,'LPA Lookup'!$A$100:$B$470,2,FALSE),"LPA not known to MCLHG"),3)&lt;&gt;"JSP",IFERROR(VLOOKUP(D209,'LPA Lookup'!$A$100:$B$470,2,FALSE),"LPA not known to MCLHG"),VLOOKUP(D209&amp;B209,'LPA Lookup'!$A$100:$B$470,3,FALSE)),"")</f>
        <v>E09000017</v>
      </c>
      <c r="AZ209" s="41" t="str">
        <f t="shared" si="13"/>
        <v>May 18</v>
      </c>
      <c r="BA209" s="41" t="str">
        <f t="shared" si="14"/>
        <v>Oct 19</v>
      </c>
    </row>
    <row r="210" spans="1:53" ht="14" x14ac:dyDescent="0.15">
      <c r="A210" s="35" t="s">
        <v>53</v>
      </c>
      <c r="B210" s="35">
        <v>1905</v>
      </c>
      <c r="C210" s="27" t="s">
        <v>104</v>
      </c>
      <c r="D210" s="27" t="s">
        <v>485</v>
      </c>
      <c r="E210" s="27" t="s">
        <v>56</v>
      </c>
      <c r="F210" s="27" t="s">
        <v>57</v>
      </c>
      <c r="G210" s="27">
        <v>3</v>
      </c>
      <c r="H210" s="28">
        <v>43152</v>
      </c>
      <c r="I210" s="27"/>
      <c r="J210" s="28">
        <v>43244</v>
      </c>
      <c r="K210" s="27"/>
      <c r="L210" s="27"/>
      <c r="M210" s="28">
        <v>43245</v>
      </c>
      <c r="N210" s="28"/>
      <c r="O210" s="28">
        <v>43417</v>
      </c>
      <c r="P210" s="27"/>
      <c r="Q210" s="28">
        <v>43538</v>
      </c>
      <c r="R210" s="27"/>
      <c r="S210" s="27"/>
      <c r="T210" s="27"/>
      <c r="U210" s="27"/>
      <c r="V210" s="27"/>
      <c r="W210" s="27"/>
      <c r="X210" s="27">
        <v>25.93</v>
      </c>
      <c r="Y210" s="92">
        <v>10.3</v>
      </c>
      <c r="Z210" s="92"/>
      <c r="AA210" s="27">
        <v>0</v>
      </c>
      <c r="AB210" s="27">
        <v>2.44</v>
      </c>
      <c r="AC210" s="27"/>
      <c r="AD210" s="27">
        <v>33.85</v>
      </c>
      <c r="AE210" s="37">
        <f>AllPlans[[#This Row],[Prep days*]]+AllPlans[[#This Row],[Hearing days*]]+AllPlans[[#This Row],[SV days*]]+AllPlans[[#This Row],[Travel days]]+AllPlans[[#This Row],[Reptg days*]]</f>
        <v>72.52000000000001</v>
      </c>
      <c r="AF210" s="27"/>
      <c r="AG210" s="28">
        <v>44372</v>
      </c>
      <c r="AH210" s="27"/>
      <c r="AI210" s="28">
        <v>44344</v>
      </c>
      <c r="AJ210" s="27"/>
      <c r="AK210" s="28">
        <v>44368</v>
      </c>
      <c r="AL210" s="27"/>
      <c r="AM210" s="28">
        <v>44372</v>
      </c>
      <c r="AN210" s="27"/>
      <c r="AO210" s="28">
        <v>44396</v>
      </c>
      <c r="AP210" s="27"/>
      <c r="AQ210" s="28">
        <v>44529</v>
      </c>
      <c r="AR210" s="27"/>
      <c r="AS210" s="28"/>
      <c r="AT210" s="27"/>
      <c r="AU210" s="27" t="s">
        <v>59</v>
      </c>
      <c r="AV210" s="38">
        <v>71.714285714285708</v>
      </c>
      <c r="AW210" s="39">
        <f t="shared" si="12"/>
        <v>122.57142857142857</v>
      </c>
      <c r="AX210" s="27"/>
      <c r="AY210" s="77" t="str">
        <f>IF(D210&lt;&gt;"",IF(LEFT(IFERROR(VLOOKUP(D210,'LPA Lookup'!$A$100:$B$470,2,FALSE),"LPA not known to MCLHG"),3)&lt;&gt;"JSP",IFERROR(VLOOKUP(D210,'LPA Lookup'!$A$100:$B$470,2,FALSE),"LPA not known to MCLHG"),VLOOKUP(D210&amp;B210,'LPA Lookup'!$A$100:$B$470,3,FALSE)),"")</f>
        <v>E07000038</v>
      </c>
      <c r="AZ210" s="41" t="str">
        <f t="shared" si="13"/>
        <v>May 18</v>
      </c>
      <c r="BA210" s="41" t="str">
        <f t="shared" si="14"/>
        <v>Jul 21</v>
      </c>
    </row>
    <row r="211" spans="1:53" ht="14" x14ac:dyDescent="0.15">
      <c r="A211" s="35" t="s">
        <v>53</v>
      </c>
      <c r="B211" s="35">
        <v>1901</v>
      </c>
      <c r="C211" s="27" t="s">
        <v>77</v>
      </c>
      <c r="D211" s="36" t="s">
        <v>486</v>
      </c>
      <c r="E211" s="27" t="s">
        <v>56</v>
      </c>
      <c r="F211" s="27" t="s">
        <v>57</v>
      </c>
      <c r="G211" s="27">
        <v>3</v>
      </c>
      <c r="H211" s="28">
        <v>43152</v>
      </c>
      <c r="I211" s="27"/>
      <c r="J211" s="28">
        <v>43245</v>
      </c>
      <c r="K211" s="27"/>
      <c r="L211" s="27"/>
      <c r="M211" s="28">
        <v>43249</v>
      </c>
      <c r="N211" s="28"/>
      <c r="O211" s="28">
        <v>43808</v>
      </c>
      <c r="P211" s="27" t="s">
        <v>487</v>
      </c>
      <c r="Q211" s="28">
        <v>45357</v>
      </c>
      <c r="R211" s="27"/>
      <c r="S211" s="27"/>
      <c r="T211" s="27"/>
      <c r="U211" s="27"/>
      <c r="V211" s="27"/>
      <c r="W211" s="27"/>
      <c r="X211" s="27">
        <v>34.33</v>
      </c>
      <c r="Y211" s="27">
        <v>11.14</v>
      </c>
      <c r="Z211" s="27"/>
      <c r="AA211" s="27">
        <v>1</v>
      </c>
      <c r="AB211" s="27">
        <v>5.87</v>
      </c>
      <c r="AC211" s="27"/>
      <c r="AD211" s="27">
        <v>65.400000000000006</v>
      </c>
      <c r="AE211" s="37">
        <v>413.08</v>
      </c>
      <c r="AF211" s="27"/>
      <c r="AG211" s="28">
        <v>45688</v>
      </c>
      <c r="AH211" s="27"/>
      <c r="AI211" s="28"/>
      <c r="AJ211" s="27"/>
      <c r="AK211" s="28">
        <v>45673</v>
      </c>
      <c r="AL211" s="27"/>
      <c r="AM211" s="28">
        <v>45687</v>
      </c>
      <c r="AN211" s="27"/>
      <c r="AO211" s="28">
        <v>45702</v>
      </c>
      <c r="AP211" s="27"/>
      <c r="AQ211" s="28">
        <v>45715</v>
      </c>
      <c r="AR211" s="27"/>
      <c r="AS211" s="28"/>
      <c r="AT211" s="27"/>
      <c r="AU211" s="27" t="s">
        <v>59</v>
      </c>
      <c r="AV211" s="38">
        <f>DATEDIF(J211,AO211, "d")/7</f>
        <v>351</v>
      </c>
      <c r="AW211" s="39">
        <f t="shared" si="12"/>
        <v>49.285714285714285</v>
      </c>
      <c r="AX211" s="27"/>
      <c r="AY211" s="77" t="str">
        <f>IF(D211&lt;&gt;"",IF(LEFT(IFERROR(VLOOKUP(D211,'LPA Lookup'!$A$100:$B$470,2,FALSE),"LPA not known to MCLHG"),3)&lt;&gt;"JSP",IFERROR(VLOOKUP(D211,'LPA Lookup'!$A$100:$B$470,2,FALSE),"LPA not known to MCLHG"),VLOOKUP(D211&amp;B211,'LPA Lookup'!$A$100:$B$470,3,FALSE)),"")</f>
        <v>E06000014</v>
      </c>
      <c r="AZ211" s="41" t="str">
        <f t="shared" si="13"/>
        <v>May 18</v>
      </c>
      <c r="BA211" s="41" t="str">
        <f t="shared" si="14"/>
        <v>Feb 25</v>
      </c>
    </row>
    <row r="212" spans="1:53" ht="14" x14ac:dyDescent="0.15">
      <c r="A212" s="35" t="s">
        <v>53</v>
      </c>
      <c r="B212" s="35">
        <v>1872</v>
      </c>
      <c r="C212" s="27" t="s">
        <v>61</v>
      </c>
      <c r="D212" s="27" t="s">
        <v>488</v>
      </c>
      <c r="E212" s="27" t="s">
        <v>489</v>
      </c>
      <c r="F212" s="27" t="s">
        <v>74</v>
      </c>
      <c r="G212" s="27">
        <v>2</v>
      </c>
      <c r="H212" s="28">
        <v>43049</v>
      </c>
      <c r="I212" s="27"/>
      <c r="J212" s="28">
        <v>43250</v>
      </c>
      <c r="K212" s="27"/>
      <c r="L212" s="27"/>
      <c r="M212" s="28">
        <v>43256</v>
      </c>
      <c r="N212" s="28"/>
      <c r="O212" s="28">
        <v>43362</v>
      </c>
      <c r="P212" s="27"/>
      <c r="Q212" s="28">
        <v>43728</v>
      </c>
      <c r="R212" s="27"/>
      <c r="S212" s="27"/>
      <c r="T212" s="27"/>
      <c r="U212" s="27"/>
      <c r="V212" s="27"/>
      <c r="W212" s="27"/>
      <c r="X212" s="33">
        <v>25</v>
      </c>
      <c r="Y212" s="33">
        <v>4</v>
      </c>
      <c r="Z212" s="33"/>
      <c r="AA212" s="33">
        <v>0</v>
      </c>
      <c r="AB212" s="33">
        <v>2</v>
      </c>
      <c r="AC212" s="33"/>
      <c r="AD212" s="33">
        <v>26</v>
      </c>
      <c r="AE212" s="37">
        <f>AllPlans[[#This Row],[Prep days*]]+AllPlans[[#This Row],[Hearing days*]]+AllPlans[[#This Row],[SV days*]]+AllPlans[[#This Row],[Travel days]]+AllPlans[[#This Row],[Reptg days*]]</f>
        <v>57</v>
      </c>
      <c r="AF212" s="27"/>
      <c r="AG212" s="28">
        <v>43664</v>
      </c>
      <c r="AH212" s="27"/>
      <c r="AI212" s="28">
        <v>43657</v>
      </c>
      <c r="AJ212" s="27"/>
      <c r="AK212" s="28">
        <v>43662</v>
      </c>
      <c r="AL212" s="27"/>
      <c r="AM212" s="28">
        <v>43663</v>
      </c>
      <c r="AN212" s="27"/>
      <c r="AO212" s="28">
        <v>43677</v>
      </c>
      <c r="AP212" s="27"/>
      <c r="AQ212" s="28">
        <v>43769</v>
      </c>
      <c r="AR212" s="27"/>
      <c r="AS212" s="28"/>
      <c r="AT212" s="27"/>
      <c r="AU212" s="27" t="s">
        <v>59</v>
      </c>
      <c r="AV212" s="83">
        <v>91</v>
      </c>
      <c r="AW212" s="39">
        <f t="shared" si="12"/>
        <v>-7.2857142857142856</v>
      </c>
      <c r="AX212" s="27"/>
      <c r="AY212" s="77" t="str">
        <f>IF(D212&lt;&gt;"",IF(LEFT(IFERROR(VLOOKUP(D212,'LPA Lookup'!$A$100:$B$470,2,FALSE),"LPA not known to MCLHG"),3)&lt;&gt;"JSP",IFERROR(VLOOKUP(D212,'LPA Lookup'!$A$100:$B$470,2,FALSE),"LPA not known to MCLHG"),VLOOKUP(D212&amp;B212,'LPA Lookup'!$A$100:$B$470,3,FALSE)),"")</f>
        <v>LPA not known to MCLHG</v>
      </c>
      <c r="AZ212" s="41" t="str">
        <f t="shared" si="13"/>
        <v>May 18</v>
      </c>
      <c r="BA212" s="41" t="str">
        <f t="shared" si="14"/>
        <v>Jul 19</v>
      </c>
    </row>
    <row r="213" spans="1:53" ht="14" x14ac:dyDescent="0.15">
      <c r="A213" s="35" t="s">
        <v>53</v>
      </c>
      <c r="B213" s="35">
        <v>1821</v>
      </c>
      <c r="C213" s="27" t="s">
        <v>54</v>
      </c>
      <c r="D213" s="27" t="s">
        <v>490</v>
      </c>
      <c r="E213" s="27" t="s">
        <v>491</v>
      </c>
      <c r="F213" s="27" t="s">
        <v>107</v>
      </c>
      <c r="G213" s="27">
        <v>2</v>
      </c>
      <c r="H213" s="28">
        <v>42814</v>
      </c>
      <c r="I213" s="27"/>
      <c r="J213" s="28">
        <v>43251</v>
      </c>
      <c r="K213" s="27"/>
      <c r="L213" s="27"/>
      <c r="M213" s="28">
        <v>43256</v>
      </c>
      <c r="N213" s="28"/>
      <c r="O213" s="28">
        <v>43347</v>
      </c>
      <c r="P213" s="27"/>
      <c r="Q213" s="28">
        <v>43721</v>
      </c>
      <c r="R213" s="27"/>
      <c r="S213" s="27"/>
      <c r="T213" s="27"/>
      <c r="U213" s="27"/>
      <c r="V213" s="27"/>
      <c r="W213" s="27"/>
      <c r="X213" s="29">
        <v>25.15</v>
      </c>
      <c r="Y213" s="29">
        <v>4.5</v>
      </c>
      <c r="Z213" s="29"/>
      <c r="AA213" s="29">
        <v>1.45</v>
      </c>
      <c r="AB213" s="29">
        <v>2.0499999999999998</v>
      </c>
      <c r="AC213" s="29"/>
      <c r="AD213" s="29">
        <v>38.25</v>
      </c>
      <c r="AE213" s="37">
        <f>AllPlans[[#This Row],[Prep days*]]+AllPlans[[#This Row],[Hearing days*]]+AllPlans[[#This Row],[SV days*]]+AllPlans[[#This Row],[Travel days]]+AllPlans[[#This Row],[Reptg days*]]</f>
        <v>71.400000000000006</v>
      </c>
      <c r="AF213" s="27"/>
      <c r="AG213" s="28">
        <v>43544</v>
      </c>
      <c r="AH213" s="27"/>
      <c r="AI213" s="28">
        <v>43532</v>
      </c>
      <c r="AJ213" s="27"/>
      <c r="AK213" s="28">
        <v>43543</v>
      </c>
      <c r="AL213" s="27"/>
      <c r="AM213" s="28">
        <v>43544</v>
      </c>
      <c r="AN213" s="27"/>
      <c r="AO213" s="28">
        <v>43580</v>
      </c>
      <c r="AP213" s="27"/>
      <c r="AQ213" s="28">
        <v>43662</v>
      </c>
      <c r="AR213" s="27"/>
      <c r="AS213" s="28"/>
      <c r="AT213" s="27"/>
      <c r="AU213" s="27" t="s">
        <v>59</v>
      </c>
      <c r="AV213" s="83">
        <v>75.857142857142861</v>
      </c>
      <c r="AW213" s="39">
        <f t="shared" si="12"/>
        <v>-20.142857142857142</v>
      </c>
      <c r="AX213" s="27"/>
      <c r="AY213" s="77" t="str">
        <f>IF(D213&lt;&gt;"",IF(LEFT(IFERROR(VLOOKUP(D213,'LPA Lookup'!$A$100:$B$470,2,FALSE),"LPA not known to MCLHG"),3)&lt;&gt;"JSP",IFERROR(VLOOKUP(D213,'LPA Lookup'!$A$100:$B$470,2,FALSE),"LPA not known to MCLHG"),VLOOKUP(D213&amp;B213,'LPA Lookup'!$A$100:$B$470,3,FALSE)),"")</f>
        <v>E07000194</v>
      </c>
      <c r="AZ213" s="41" t="str">
        <f t="shared" si="13"/>
        <v>May 18</v>
      </c>
      <c r="BA213" s="41" t="str">
        <f t="shared" si="14"/>
        <v>Apr 19</v>
      </c>
    </row>
    <row r="214" spans="1:53" ht="14" x14ac:dyDescent="0.15">
      <c r="A214" s="35" t="s">
        <v>53</v>
      </c>
      <c r="B214" s="35">
        <v>1912</v>
      </c>
      <c r="C214" s="27" t="s">
        <v>61</v>
      </c>
      <c r="D214" s="27" t="s">
        <v>492</v>
      </c>
      <c r="E214" s="27" t="s">
        <v>493</v>
      </c>
      <c r="F214" s="27" t="s">
        <v>80</v>
      </c>
      <c r="G214" s="27">
        <v>2</v>
      </c>
      <c r="H214" s="28">
        <v>43162</v>
      </c>
      <c r="I214" s="27"/>
      <c r="J214" s="28">
        <v>43252</v>
      </c>
      <c r="K214" s="27"/>
      <c r="L214" s="27"/>
      <c r="M214" s="28">
        <v>43264</v>
      </c>
      <c r="N214" s="28"/>
      <c r="O214" s="28">
        <v>43367</v>
      </c>
      <c r="P214" s="27"/>
      <c r="Q214" s="28">
        <v>43368</v>
      </c>
      <c r="R214" s="27"/>
      <c r="S214" s="27"/>
      <c r="T214" s="27"/>
      <c r="U214" s="27"/>
      <c r="V214" s="27"/>
      <c r="W214" s="27"/>
      <c r="X214" s="27">
        <v>9.9</v>
      </c>
      <c r="Y214" s="27">
        <v>5</v>
      </c>
      <c r="Z214" s="27"/>
      <c r="AA214" s="27">
        <v>0.54</v>
      </c>
      <c r="AB214" s="27">
        <v>1.08</v>
      </c>
      <c r="AC214" s="27"/>
      <c r="AD214" s="27">
        <v>21.14</v>
      </c>
      <c r="AE214" s="37">
        <f>AllPlans[[#This Row],[Prep days*]]+AllPlans[[#This Row],[Hearing days*]]+AllPlans[[#This Row],[SV days*]]+AllPlans[[#This Row],[Travel days]]+AllPlans[[#This Row],[Reptg days*]]</f>
        <v>37.660000000000004</v>
      </c>
      <c r="AF214" s="27"/>
      <c r="AG214" s="28">
        <v>43606</v>
      </c>
      <c r="AH214" s="27"/>
      <c r="AI214" s="28">
        <v>43586</v>
      </c>
      <c r="AJ214" s="27"/>
      <c r="AK214" s="28">
        <v>43606</v>
      </c>
      <c r="AL214" s="27"/>
      <c r="AM214" s="28">
        <v>43606</v>
      </c>
      <c r="AN214" s="27"/>
      <c r="AO214" s="28">
        <v>43621</v>
      </c>
      <c r="AP214" s="27"/>
      <c r="AQ214" s="28">
        <v>43671</v>
      </c>
      <c r="AR214" s="27"/>
      <c r="AS214" s="28"/>
      <c r="AT214" s="27"/>
      <c r="AU214" s="27" t="s">
        <v>59</v>
      </c>
      <c r="AV214" s="40">
        <v>106.85714285714286</v>
      </c>
      <c r="AW214" s="39">
        <f t="shared" si="12"/>
        <v>36.142857142857146</v>
      </c>
      <c r="AX214" s="27"/>
      <c r="AY214" s="77" t="str">
        <f>IF(D214&lt;&gt;"",IF(LEFT(IFERROR(VLOOKUP(D214,'LPA Lookup'!$A$100:$B$470,2,FALSE),"LPA not known to MCLHG"),3)&lt;&gt;"JSP",IFERROR(VLOOKUP(D214,'LPA Lookup'!$A$100:$B$470,2,FALSE),"LPA not known to MCLHG"),VLOOKUP(D214&amp;B214,'LPA Lookup'!$A$100:$B$470,3,FALSE)),"")</f>
        <v>LPA not known to MCLHG</v>
      </c>
      <c r="AZ214" s="41" t="str">
        <f t="shared" si="13"/>
        <v>Jun 18</v>
      </c>
      <c r="BA214" s="41" t="str">
        <f t="shared" si="14"/>
        <v>Jun 19</v>
      </c>
    </row>
    <row r="215" spans="1:53" ht="30" customHeight="1" x14ac:dyDescent="0.15">
      <c r="A215" s="35" t="s">
        <v>53</v>
      </c>
      <c r="B215" s="46">
        <v>1904</v>
      </c>
      <c r="C215" s="27" t="s">
        <v>61</v>
      </c>
      <c r="D215" s="29" t="s">
        <v>494</v>
      </c>
      <c r="E215" s="29" t="s">
        <v>56</v>
      </c>
      <c r="F215" s="29" t="s">
        <v>57</v>
      </c>
      <c r="G215" s="29">
        <v>3</v>
      </c>
      <c r="H215" s="30">
        <v>43140</v>
      </c>
      <c r="I215" s="29"/>
      <c r="J215" s="30">
        <v>43269</v>
      </c>
      <c r="K215" s="29"/>
      <c r="L215" s="29"/>
      <c r="M215" s="30">
        <v>43270</v>
      </c>
      <c r="N215" s="30"/>
      <c r="O215" s="30">
        <v>43424</v>
      </c>
      <c r="P215" s="29"/>
      <c r="Q215" s="30">
        <v>43452</v>
      </c>
      <c r="R215" s="29"/>
      <c r="S215" s="29"/>
      <c r="T215" s="29"/>
      <c r="U215" s="29"/>
      <c r="V215" s="29"/>
      <c r="W215" s="29"/>
      <c r="X215" s="27">
        <v>38.97</v>
      </c>
      <c r="Y215" s="27">
        <v>14.58</v>
      </c>
      <c r="Z215" s="27"/>
      <c r="AA215" s="27">
        <v>2.27</v>
      </c>
      <c r="AB215" s="27">
        <v>9.34</v>
      </c>
      <c r="AC215" s="27"/>
      <c r="AD215" s="27">
        <v>36.31</v>
      </c>
      <c r="AE215" s="37">
        <f>AllPlans[[#This Row],[Prep days*]]+AllPlans[[#This Row],[Hearing days*]]+AllPlans[[#This Row],[SV days*]]+AllPlans[[#This Row],[Travel days]]+AllPlans[[#This Row],[Reptg days*]]</f>
        <v>101.47</v>
      </c>
      <c r="AF215" s="29"/>
      <c r="AG215" s="30">
        <v>43853</v>
      </c>
      <c r="AH215" s="29"/>
      <c r="AI215" s="30">
        <v>43839</v>
      </c>
      <c r="AJ215" s="29"/>
      <c r="AK215" s="30">
        <v>43852</v>
      </c>
      <c r="AL215" s="29"/>
      <c r="AM215" s="30">
        <v>43853</v>
      </c>
      <c r="AN215" s="29"/>
      <c r="AO215" s="30">
        <v>43871</v>
      </c>
      <c r="AP215" s="29"/>
      <c r="AQ215" s="30">
        <v>43951</v>
      </c>
      <c r="AR215" s="29"/>
      <c r="AS215" s="30"/>
      <c r="AT215" s="29"/>
      <c r="AU215" s="29" t="s">
        <v>59</v>
      </c>
      <c r="AV215" s="38">
        <v>72.571428571428569</v>
      </c>
      <c r="AW215" s="49">
        <f t="shared" si="12"/>
        <v>59.857142857142854</v>
      </c>
      <c r="AX215" s="29"/>
      <c r="AY215" s="77" t="str">
        <f>IF(D215&lt;&gt;"",IF(LEFT(IFERROR(VLOOKUP(D215,'LPA Lookup'!$A$100:$B$470,2,FALSE),"LPA not known to MCLHG"),3)&lt;&gt;"JSP",IFERROR(VLOOKUP(D215,'LPA Lookup'!$A$100:$B$470,2,FALSE),"LPA not known to MCLHG"),VLOOKUP(D215&amp;B215,'LPA Lookup'!$A$100:$B$470,3,FALSE)),"")</f>
        <v>E07000089</v>
      </c>
      <c r="AZ215" s="41" t="str">
        <f t="shared" si="13"/>
        <v>Jun 18</v>
      </c>
      <c r="BA215" s="41" t="str">
        <f t="shared" si="14"/>
        <v>Feb 20</v>
      </c>
    </row>
    <row r="216" spans="1:53" ht="14" x14ac:dyDescent="0.15">
      <c r="A216" s="35" t="s">
        <v>53</v>
      </c>
      <c r="B216" s="35">
        <v>1908</v>
      </c>
      <c r="C216" s="27" t="s">
        <v>71</v>
      </c>
      <c r="D216" s="27" t="s">
        <v>495</v>
      </c>
      <c r="E216" s="27" t="s">
        <v>56</v>
      </c>
      <c r="F216" s="27" t="s">
        <v>57</v>
      </c>
      <c r="G216" s="27">
        <v>3</v>
      </c>
      <c r="H216" s="28">
        <v>43188</v>
      </c>
      <c r="I216" s="27"/>
      <c r="J216" s="28">
        <v>43273</v>
      </c>
      <c r="K216" s="27"/>
      <c r="L216" s="27"/>
      <c r="M216" s="28">
        <v>43273</v>
      </c>
      <c r="N216" s="28"/>
      <c r="O216" s="28">
        <v>43382</v>
      </c>
      <c r="P216" s="27"/>
      <c r="Q216" s="28">
        <v>43404</v>
      </c>
      <c r="R216" s="27"/>
      <c r="S216" s="27"/>
      <c r="T216" s="27"/>
      <c r="U216" s="27"/>
      <c r="V216" s="27"/>
      <c r="W216" s="27"/>
      <c r="X216" s="29">
        <v>43</v>
      </c>
      <c r="Y216" s="29">
        <v>19.5</v>
      </c>
      <c r="Z216" s="29"/>
      <c r="AA216" s="29">
        <v>2</v>
      </c>
      <c r="AB216" s="29">
        <v>9</v>
      </c>
      <c r="AC216" s="29"/>
      <c r="AD216" s="29">
        <v>49.5</v>
      </c>
      <c r="AE216" s="37">
        <f>AllPlans[[#This Row],[Prep days*]]+AllPlans[[#This Row],[Hearing days*]]+AllPlans[[#This Row],[SV days*]]+AllPlans[[#This Row],[Travel days]]+AllPlans[[#This Row],[Reptg days*]]</f>
        <v>123</v>
      </c>
      <c r="AF216" s="27"/>
      <c r="AG216" s="28">
        <v>43521</v>
      </c>
      <c r="AH216" s="27"/>
      <c r="AI216" s="28">
        <v>43504</v>
      </c>
      <c r="AJ216" s="27"/>
      <c r="AK216" s="28">
        <v>43521</v>
      </c>
      <c r="AL216" s="27"/>
      <c r="AM216" s="28">
        <v>43521</v>
      </c>
      <c r="AN216" s="27"/>
      <c r="AO216" s="28">
        <v>43525</v>
      </c>
      <c r="AP216" s="27"/>
      <c r="AQ216" s="28">
        <v>43544</v>
      </c>
      <c r="AR216" s="27"/>
      <c r="AS216" s="28"/>
      <c r="AT216" s="27"/>
      <c r="AU216" s="27" t="s">
        <v>59</v>
      </c>
      <c r="AV216" s="83">
        <v>72.857142857142861</v>
      </c>
      <c r="AW216" s="39">
        <f t="shared" si="12"/>
        <v>17.285714285714285</v>
      </c>
      <c r="AX216" s="27"/>
      <c r="AY216" s="77" t="str">
        <f>IF(D216&lt;&gt;"",IF(LEFT(IFERROR(VLOOKUP(D216,'LPA Lookup'!$A$100:$B$470,2,FALSE),"LPA not known to MCLHG"),3)&lt;&gt;"JSP",IFERROR(VLOOKUP(D216,'LPA Lookup'!$A$100:$B$470,2,FALSE),"LPA not known to MCLHG"),VLOOKUP(D216&amp;B216,'LPA Lookup'!$A$100:$B$470,3,FALSE)),"")</f>
        <v>E07000206</v>
      </c>
      <c r="AZ216" s="41" t="str">
        <f t="shared" si="13"/>
        <v>Jun 18</v>
      </c>
      <c r="BA216" s="41" t="str">
        <f t="shared" si="14"/>
        <v>Mar 19</v>
      </c>
    </row>
    <row r="217" spans="1:53" ht="14" x14ac:dyDescent="0.15">
      <c r="A217" s="35" t="s">
        <v>53</v>
      </c>
      <c r="B217" s="46">
        <v>1896</v>
      </c>
      <c r="C217" s="29" t="s">
        <v>71</v>
      </c>
      <c r="D217" s="29" t="s">
        <v>496</v>
      </c>
      <c r="E217" s="29" t="s">
        <v>56</v>
      </c>
      <c r="F217" s="29" t="s">
        <v>57</v>
      </c>
      <c r="G217" s="29">
        <v>3</v>
      </c>
      <c r="H217" s="30">
        <v>43131</v>
      </c>
      <c r="I217" s="29"/>
      <c r="J217" s="30">
        <v>43280</v>
      </c>
      <c r="K217" s="29"/>
      <c r="L217" s="29"/>
      <c r="M217" s="30">
        <v>43287</v>
      </c>
      <c r="N217" s="30"/>
      <c r="O217" s="30">
        <v>43424</v>
      </c>
      <c r="P217" s="29"/>
      <c r="Q217" s="30">
        <v>43447</v>
      </c>
      <c r="R217" s="29"/>
      <c r="S217" s="29"/>
      <c r="T217" s="29"/>
      <c r="U217" s="29"/>
      <c r="V217" s="29"/>
      <c r="W217" s="29"/>
      <c r="X217" s="29">
        <v>13.26</v>
      </c>
      <c r="Y217" s="29">
        <v>1</v>
      </c>
      <c r="Z217" s="29"/>
      <c r="AA217" s="29">
        <v>0</v>
      </c>
      <c r="AB217" s="29">
        <v>0.47</v>
      </c>
      <c r="AC217" s="29"/>
      <c r="AD217" s="29">
        <v>4.09</v>
      </c>
      <c r="AE217" s="37">
        <v>87</v>
      </c>
      <c r="AF217" s="29"/>
      <c r="AG217" s="30">
        <v>43874</v>
      </c>
      <c r="AH217" s="29"/>
      <c r="AI217" s="30">
        <v>43864</v>
      </c>
      <c r="AJ217" s="29"/>
      <c r="AK217" s="30">
        <v>43872</v>
      </c>
      <c r="AL217" s="29"/>
      <c r="AM217" s="30">
        <v>43873</v>
      </c>
      <c r="AN217" s="29"/>
      <c r="AO217" s="30">
        <v>43886</v>
      </c>
      <c r="AP217" s="29"/>
      <c r="AQ217" s="30">
        <v>43978</v>
      </c>
      <c r="AR217" s="29"/>
      <c r="AS217" s="30"/>
      <c r="AT217" s="29"/>
      <c r="AU217" s="29" t="s">
        <v>59</v>
      </c>
      <c r="AV217" s="50">
        <v>40.571428571428569</v>
      </c>
      <c r="AW217" s="49">
        <f t="shared" si="12"/>
        <v>62.714285714285715</v>
      </c>
      <c r="AX217" s="29"/>
      <c r="AY217" s="77" t="str">
        <f>IF(D217&lt;&gt;"",IF(LEFT(IFERROR(VLOOKUP(D217,'LPA Lookup'!$A$100:$B$470,2,FALSE),"LPA not known to MCLHG"),3)&lt;&gt;"JSP",IFERROR(VLOOKUP(D217,'LPA Lookup'!$A$100:$B$470,2,FALSE),"LPA not known to MCLHG"),VLOOKUP(D217&amp;B217,'LPA Lookup'!$A$100:$B$470,3,FALSE)),"")</f>
        <v>LPA not known to MCLHG</v>
      </c>
      <c r="AZ217" s="41" t="str">
        <f t="shared" si="13"/>
        <v>Jun 18</v>
      </c>
      <c r="BA217" s="41" t="str">
        <f t="shared" si="14"/>
        <v>Feb 20</v>
      </c>
    </row>
    <row r="218" spans="1:53" ht="14" x14ac:dyDescent="0.15">
      <c r="A218" s="35" t="s">
        <v>53</v>
      </c>
      <c r="B218" s="46">
        <v>1902</v>
      </c>
      <c r="C218" s="27" t="s">
        <v>54</v>
      </c>
      <c r="D218" s="29" t="s">
        <v>497</v>
      </c>
      <c r="E218" s="29" t="s">
        <v>56</v>
      </c>
      <c r="F218" s="29" t="s">
        <v>57</v>
      </c>
      <c r="G218" s="29">
        <v>3</v>
      </c>
      <c r="H218" s="30">
        <v>43158</v>
      </c>
      <c r="I218" s="29"/>
      <c r="J218" s="30">
        <v>43280</v>
      </c>
      <c r="K218" s="29"/>
      <c r="L218" s="29"/>
      <c r="M218" s="30">
        <v>43283</v>
      </c>
      <c r="N218" s="30"/>
      <c r="O218" s="30">
        <v>43382</v>
      </c>
      <c r="P218" s="29"/>
      <c r="Q218" s="30">
        <v>43866</v>
      </c>
      <c r="R218" s="29"/>
      <c r="S218" s="29"/>
      <c r="T218" s="29"/>
      <c r="U218" s="29"/>
      <c r="V218" s="29"/>
      <c r="W218" s="29"/>
      <c r="X218" s="29">
        <v>45.17</v>
      </c>
      <c r="Y218" s="29">
        <v>12.34</v>
      </c>
      <c r="Z218" s="29"/>
      <c r="AA218" s="29">
        <v>1.83</v>
      </c>
      <c r="AB218" s="29">
        <v>6.38</v>
      </c>
      <c r="AC218" s="29"/>
      <c r="AD218" s="29">
        <v>36.65</v>
      </c>
      <c r="AE218" s="37">
        <f>AllPlans[[#This Row],[Prep days*]]+AllPlans[[#This Row],[Hearing days*]]+AllPlans[[#This Row],[SV days*]]+AllPlans[[#This Row],[Travel days]]+AllPlans[[#This Row],[Reptg days*]]</f>
        <v>102.37</v>
      </c>
      <c r="AF218" s="29"/>
      <c r="AG218" s="30">
        <v>43985</v>
      </c>
      <c r="AH218" s="29"/>
      <c r="AI218" s="30">
        <v>43963</v>
      </c>
      <c r="AJ218" s="29"/>
      <c r="AK218" s="30">
        <v>43980</v>
      </c>
      <c r="AL218" s="29"/>
      <c r="AM218" s="30">
        <v>43984</v>
      </c>
      <c r="AN218" s="29"/>
      <c r="AO218" s="30">
        <v>44000</v>
      </c>
      <c r="AP218" s="29"/>
      <c r="AQ218" s="30">
        <v>44083</v>
      </c>
      <c r="AR218" s="29"/>
      <c r="AS218" s="30"/>
      <c r="AT218" s="29"/>
      <c r="AU218" s="29" t="s">
        <v>59</v>
      </c>
      <c r="AV218" s="50">
        <v>53</v>
      </c>
      <c r="AW218" s="49">
        <f t="shared" si="12"/>
        <v>19.142857142857142</v>
      </c>
      <c r="AX218" s="29"/>
      <c r="AY218" s="77" t="str">
        <f>IF(D218&lt;&gt;"",IF(LEFT(IFERROR(VLOOKUP(D218,'LPA Lookup'!$A$100:$B$470,2,FALSE),"LPA not known to MCLHG"),3)&lt;&gt;"JSP",IFERROR(VLOOKUP(D218,'LPA Lookup'!$A$100:$B$470,2,FALSE),"LPA not known to MCLHG"),VLOOKUP(D218&amp;B218,'LPA Lookup'!$A$100:$B$470,3,FALSE)),"")</f>
        <v>E07000198</v>
      </c>
      <c r="AZ218" s="41" t="str">
        <f t="shared" si="13"/>
        <v>Jun 18</v>
      </c>
      <c r="BA218" s="41" t="str">
        <f t="shared" si="14"/>
        <v>Jun 20</v>
      </c>
    </row>
    <row r="219" spans="1:53" ht="14" x14ac:dyDescent="0.15">
      <c r="A219" s="35" t="s">
        <v>53</v>
      </c>
      <c r="B219" s="35">
        <v>1909</v>
      </c>
      <c r="C219" s="27" t="s">
        <v>77</v>
      </c>
      <c r="D219" s="27" t="s">
        <v>498</v>
      </c>
      <c r="E219" s="27" t="s">
        <v>499</v>
      </c>
      <c r="F219" s="27" t="s">
        <v>80</v>
      </c>
      <c r="G219" s="27">
        <v>2</v>
      </c>
      <c r="H219" s="28">
        <v>43143</v>
      </c>
      <c r="I219" s="27"/>
      <c r="J219" s="28">
        <v>43304</v>
      </c>
      <c r="K219" s="27"/>
      <c r="L219" s="27"/>
      <c r="M219" s="28">
        <v>43321</v>
      </c>
      <c r="N219" s="28"/>
      <c r="O219" s="28">
        <v>43473</v>
      </c>
      <c r="P219" s="27"/>
      <c r="Q219" s="28">
        <v>43474</v>
      </c>
      <c r="R219" s="27"/>
      <c r="S219" s="27"/>
      <c r="T219" s="27"/>
      <c r="U219" s="27"/>
      <c r="V219" s="27"/>
      <c r="W219" s="27"/>
      <c r="X219" s="29">
        <v>30.02</v>
      </c>
      <c r="Y219" s="29">
        <v>6</v>
      </c>
      <c r="Z219" s="29"/>
      <c r="AA219" s="29">
        <v>2.63</v>
      </c>
      <c r="AB219" s="29">
        <v>2.5</v>
      </c>
      <c r="AC219" s="29"/>
      <c r="AD219" s="29">
        <v>33.49</v>
      </c>
      <c r="AE219" s="37">
        <f>AllPlans[[#This Row],[Prep days*]]+AllPlans[[#This Row],[Hearing days*]]+AllPlans[[#This Row],[SV days*]]+AllPlans[[#This Row],[Travel days]]+AllPlans[[#This Row],[Reptg days*]]</f>
        <v>74.64</v>
      </c>
      <c r="AF219" s="27"/>
      <c r="AG219" s="28">
        <v>43649</v>
      </c>
      <c r="AH219" s="27"/>
      <c r="AI219" s="28">
        <v>43637</v>
      </c>
      <c r="AJ219" s="27"/>
      <c r="AK219" s="28">
        <v>43644</v>
      </c>
      <c r="AL219" s="27"/>
      <c r="AM219" s="28">
        <v>43649</v>
      </c>
      <c r="AN219" s="27"/>
      <c r="AO219" s="28">
        <v>43665</v>
      </c>
      <c r="AP219" s="27"/>
      <c r="AQ219" s="28">
        <v>43790</v>
      </c>
      <c r="AR219" s="27"/>
      <c r="AS219" s="28"/>
      <c r="AT219" s="27"/>
      <c r="AU219" s="27" t="s">
        <v>59</v>
      </c>
      <c r="AV219" s="83">
        <v>55.285714285714285</v>
      </c>
      <c r="AW219" s="39">
        <f t="shared" ref="AW219:AW250" si="15">SUM(AO219-Q219)/7</f>
        <v>27.285714285714285</v>
      </c>
      <c r="AX219" s="27"/>
      <c r="AY219" s="77" t="str">
        <f>IF(D219&lt;&gt;"",IF(LEFT(IFERROR(VLOOKUP(D219,'LPA Lookup'!$A$100:$B$470,2,FALSE),"LPA not known to MCLHG"),3)&lt;&gt;"JSP",IFERROR(VLOOKUP(D219,'LPA Lookup'!$A$100:$B$470,2,FALSE),"LPA not known to MCLHG"),VLOOKUP(D219&amp;B219,'LPA Lookup'!$A$100:$B$470,3,FALSE)),"")</f>
        <v>LPA not known to MCLHG</v>
      </c>
      <c r="AZ219" s="41" t="str">
        <f t="shared" si="13"/>
        <v>Jul 18</v>
      </c>
      <c r="BA219" s="41" t="str">
        <f t="shared" si="14"/>
        <v>Jul 19</v>
      </c>
    </row>
    <row r="220" spans="1:53" ht="14" x14ac:dyDescent="0.15">
      <c r="A220" s="35" t="s">
        <v>53</v>
      </c>
      <c r="B220" s="46">
        <v>1846</v>
      </c>
      <c r="C220" s="29" t="s">
        <v>67</v>
      </c>
      <c r="D220" s="29" t="s">
        <v>143</v>
      </c>
      <c r="E220" s="29" t="s">
        <v>332</v>
      </c>
      <c r="F220" s="29" t="s">
        <v>107</v>
      </c>
      <c r="G220" s="29">
        <v>2</v>
      </c>
      <c r="H220" s="30">
        <v>42915</v>
      </c>
      <c r="I220" s="29"/>
      <c r="J220" s="30">
        <v>43312</v>
      </c>
      <c r="K220" s="29"/>
      <c r="L220" s="29"/>
      <c r="M220" s="30">
        <v>43333</v>
      </c>
      <c r="N220" s="30"/>
      <c r="O220" s="30">
        <v>43557</v>
      </c>
      <c r="P220" s="29"/>
      <c r="Q220" s="30">
        <v>43571</v>
      </c>
      <c r="R220" s="29"/>
      <c r="S220" s="29"/>
      <c r="T220" s="29"/>
      <c r="U220" s="29"/>
      <c r="V220" s="29"/>
      <c r="W220" s="29"/>
      <c r="X220" s="29">
        <v>19.239999999999998</v>
      </c>
      <c r="Y220" s="29">
        <v>6.01</v>
      </c>
      <c r="Z220" s="29"/>
      <c r="AA220" s="29">
        <v>1.62</v>
      </c>
      <c r="AB220" s="29">
        <v>5.89</v>
      </c>
      <c r="AC220" s="29"/>
      <c r="AD220" s="29">
        <v>11.56</v>
      </c>
      <c r="AE220" s="37">
        <v>74.55</v>
      </c>
      <c r="AF220" s="29"/>
      <c r="AG220" s="30">
        <v>43817</v>
      </c>
      <c r="AH220" s="29"/>
      <c r="AI220" s="30">
        <v>43795</v>
      </c>
      <c r="AJ220" s="29"/>
      <c r="AK220" s="30">
        <v>43815</v>
      </c>
      <c r="AL220" s="29"/>
      <c r="AM220" s="30">
        <v>43817</v>
      </c>
      <c r="AN220" s="29"/>
      <c r="AO220" s="30">
        <v>43853</v>
      </c>
      <c r="AP220" s="29"/>
      <c r="AQ220" s="30">
        <v>43886</v>
      </c>
      <c r="AR220" s="29"/>
      <c r="AS220" s="30"/>
      <c r="AT220" s="29"/>
      <c r="AU220" s="29" t="s">
        <v>59</v>
      </c>
      <c r="AV220" s="50">
        <v>52</v>
      </c>
      <c r="AW220" s="49">
        <f t="shared" si="15"/>
        <v>40.285714285714285</v>
      </c>
      <c r="AX220" s="29"/>
      <c r="AY220" s="77" t="str">
        <f>IF(D220&lt;&gt;"",IF(LEFT(IFERROR(VLOOKUP(D220,'LPA Lookup'!$A$100:$B$470,2,FALSE),"LPA not known to MCLHG"),3)&lt;&gt;"JSP",IFERROR(VLOOKUP(D220,'LPA Lookup'!$A$100:$B$470,2,FALSE),"LPA not known to MCLHG"),VLOOKUP(D220&amp;B220,'LPA Lookup'!$A$100:$B$470,3,FALSE)),"")</f>
        <v>E06000054</v>
      </c>
      <c r="AZ220" s="41" t="str">
        <f t="shared" si="13"/>
        <v>Jul 18</v>
      </c>
      <c r="BA220" s="41" t="str">
        <f t="shared" si="14"/>
        <v>Jan 20</v>
      </c>
    </row>
    <row r="221" spans="1:53" ht="14" x14ac:dyDescent="0.15">
      <c r="A221" s="35" t="s">
        <v>53</v>
      </c>
      <c r="B221" s="46">
        <v>1889</v>
      </c>
      <c r="C221" s="27" t="s">
        <v>61</v>
      </c>
      <c r="D221" s="29" t="s">
        <v>500</v>
      </c>
      <c r="E221" s="29" t="s">
        <v>56</v>
      </c>
      <c r="F221" s="29" t="s">
        <v>57</v>
      </c>
      <c r="G221" s="29">
        <v>3</v>
      </c>
      <c r="H221" s="30">
        <v>43238</v>
      </c>
      <c r="I221" s="29"/>
      <c r="J221" s="30">
        <v>43312</v>
      </c>
      <c r="K221" s="29"/>
      <c r="L221" s="29"/>
      <c r="M221" s="30">
        <v>43333</v>
      </c>
      <c r="N221" s="30"/>
      <c r="O221" s="30">
        <v>43431</v>
      </c>
      <c r="P221" s="29"/>
      <c r="Q221" s="30">
        <v>43783</v>
      </c>
      <c r="R221" s="29"/>
      <c r="S221" s="29"/>
      <c r="T221" s="29"/>
      <c r="U221" s="29"/>
      <c r="V221" s="29"/>
      <c r="W221" s="29"/>
      <c r="X221" s="29">
        <v>18.16</v>
      </c>
      <c r="Y221" s="29">
        <v>2</v>
      </c>
      <c r="Z221" s="29"/>
      <c r="AA221" s="29">
        <v>0</v>
      </c>
      <c r="AB221" s="29">
        <v>0.47</v>
      </c>
      <c r="AC221" s="29"/>
      <c r="AD221" s="29">
        <v>18.45</v>
      </c>
      <c r="AE221" s="37">
        <v>95.31</v>
      </c>
      <c r="AF221" s="29"/>
      <c r="AG221" s="30">
        <v>43955</v>
      </c>
      <c r="AH221" s="29"/>
      <c r="AI221" s="30">
        <v>43941</v>
      </c>
      <c r="AJ221" s="29"/>
      <c r="AK221" s="30">
        <v>43952</v>
      </c>
      <c r="AL221" s="29"/>
      <c r="AM221" s="30">
        <v>43952</v>
      </c>
      <c r="AN221" s="29"/>
      <c r="AO221" s="30">
        <v>43979</v>
      </c>
      <c r="AP221" s="29"/>
      <c r="AQ221" s="30">
        <v>44028</v>
      </c>
      <c r="AR221" s="29"/>
      <c r="AS221" s="30"/>
      <c r="AT221" s="29"/>
      <c r="AU221" s="29" t="s">
        <v>59</v>
      </c>
      <c r="AV221" s="50">
        <v>52.285714285714285</v>
      </c>
      <c r="AW221" s="49">
        <f t="shared" si="15"/>
        <v>28</v>
      </c>
      <c r="AX221" s="29"/>
      <c r="AY221" s="77" t="str">
        <f>IF(D221&lt;&gt;"",IF(LEFT(IFERROR(VLOOKUP(D221,'LPA Lookup'!$A$100:$B$470,2,FALSE),"LPA not known to MCLHG"),3)&lt;&gt;"JSP",IFERROR(VLOOKUP(D221,'LPA Lookup'!$A$100:$B$470,2,FALSE),"LPA not known to MCLHG"),VLOOKUP(D221&amp;B221,'LPA Lookup'!$A$100:$B$470,3,FALSE)),"")</f>
        <v>E07000212</v>
      </c>
      <c r="AZ221" s="41" t="str">
        <f t="shared" si="13"/>
        <v>Jul 18</v>
      </c>
      <c r="BA221" s="41" t="str">
        <f t="shared" si="14"/>
        <v>May 20</v>
      </c>
    </row>
    <row r="222" spans="1:53" ht="14" x14ac:dyDescent="0.15">
      <c r="A222" s="35" t="s">
        <v>53</v>
      </c>
      <c r="B222" s="46">
        <v>1146</v>
      </c>
      <c r="C222" s="27" t="s">
        <v>104</v>
      </c>
      <c r="D222" s="29" t="s">
        <v>501</v>
      </c>
      <c r="E222" s="29" t="s">
        <v>427</v>
      </c>
      <c r="F222" s="29" t="s">
        <v>107</v>
      </c>
      <c r="G222" s="29">
        <v>2</v>
      </c>
      <c r="H222" s="30">
        <v>42996</v>
      </c>
      <c r="I222" s="29"/>
      <c r="J222" s="30">
        <v>43315</v>
      </c>
      <c r="K222" s="29"/>
      <c r="L222" s="29"/>
      <c r="M222" s="30">
        <v>43320</v>
      </c>
      <c r="N222" s="30"/>
      <c r="O222" s="30">
        <v>43438</v>
      </c>
      <c r="P222" s="29"/>
      <c r="Q222" s="30">
        <v>43447</v>
      </c>
      <c r="R222" s="29"/>
      <c r="S222" s="29"/>
      <c r="T222" s="29"/>
      <c r="U222" s="29"/>
      <c r="V222" s="29"/>
      <c r="W222" s="29"/>
      <c r="X222" s="29">
        <v>17.420000000000002</v>
      </c>
      <c r="Y222" s="29">
        <v>5.73</v>
      </c>
      <c r="Z222" s="29"/>
      <c r="AA222" s="29">
        <v>2.36</v>
      </c>
      <c r="AB222" s="29">
        <v>4.62</v>
      </c>
      <c r="AC222" s="29"/>
      <c r="AD222" s="29">
        <v>18.71</v>
      </c>
      <c r="AE222" s="37">
        <v>52.29</v>
      </c>
      <c r="AF222" s="29"/>
      <c r="AG222" s="30">
        <v>43741</v>
      </c>
      <c r="AH222" s="29"/>
      <c r="AI222" s="30">
        <v>43704</v>
      </c>
      <c r="AJ222" s="29"/>
      <c r="AK222" s="30">
        <v>43721</v>
      </c>
      <c r="AL222" s="29"/>
      <c r="AM222" s="30">
        <v>43741</v>
      </c>
      <c r="AN222" s="29"/>
      <c r="AO222" s="30">
        <v>43745</v>
      </c>
      <c r="AP222" s="29"/>
      <c r="AQ222" s="30">
        <v>43754</v>
      </c>
      <c r="AR222" s="29"/>
      <c r="AS222" s="30"/>
      <c r="AT222" s="29"/>
      <c r="AU222" s="29" t="s">
        <v>59</v>
      </c>
      <c r="AV222" s="50">
        <v>54.571428571428569</v>
      </c>
      <c r="AW222" s="49">
        <f t="shared" si="15"/>
        <v>42.571428571428569</v>
      </c>
      <c r="AX222" s="29"/>
      <c r="AY222" s="77" t="str">
        <f>IF(D222&lt;&gt;"",IF(LEFT(IFERROR(VLOOKUP(D222,'LPA Lookup'!$A$100:$B$470,2,FALSE),"LPA not known to MCLHG"),3)&lt;&gt;"JSP",IFERROR(VLOOKUP(D222,'LPA Lookup'!$A$100:$B$470,2,FALSE),"LPA not known to MCLHG"),VLOOKUP(D222&amp;B222,'LPA Lookup'!$A$100:$B$470,3,FALSE)),"")</f>
        <v>LPA not known to MCLHG</v>
      </c>
      <c r="AZ222" s="41" t="str">
        <f t="shared" si="13"/>
        <v>Aug 18</v>
      </c>
      <c r="BA222" s="41" t="str">
        <f t="shared" si="14"/>
        <v>Oct 19</v>
      </c>
    </row>
    <row r="223" spans="1:53" ht="14" x14ac:dyDescent="0.15">
      <c r="A223" s="35" t="s">
        <v>53</v>
      </c>
      <c r="B223" s="46">
        <v>1899</v>
      </c>
      <c r="C223" s="29" t="s">
        <v>77</v>
      </c>
      <c r="D223" s="29" t="s">
        <v>78</v>
      </c>
      <c r="E223" s="29" t="s">
        <v>502</v>
      </c>
      <c r="F223" s="29" t="s">
        <v>162</v>
      </c>
      <c r="G223" s="29">
        <v>2</v>
      </c>
      <c r="H223" s="30">
        <v>43140</v>
      </c>
      <c r="I223" s="29"/>
      <c r="J223" s="30">
        <v>43321</v>
      </c>
      <c r="K223" s="29"/>
      <c r="L223" s="29"/>
      <c r="M223" s="30">
        <v>43334</v>
      </c>
      <c r="N223" s="30"/>
      <c r="O223" s="30">
        <v>43501</v>
      </c>
      <c r="P223" s="29"/>
      <c r="Q223" s="30">
        <v>43503</v>
      </c>
      <c r="R223" s="29"/>
      <c r="S223" s="29"/>
      <c r="T223" s="29"/>
      <c r="U223" s="29"/>
      <c r="V223" s="29"/>
      <c r="W223" s="29"/>
      <c r="X223" s="29">
        <v>18.350000000000001</v>
      </c>
      <c r="Y223" s="29">
        <v>2.4700000000000002</v>
      </c>
      <c r="Z223" s="29"/>
      <c r="AA223" s="29">
        <v>0</v>
      </c>
      <c r="AB223" s="29">
        <v>1.08</v>
      </c>
      <c r="AC223" s="29"/>
      <c r="AD223" s="29">
        <v>15.59</v>
      </c>
      <c r="AE223" s="37">
        <f>AllPlans[[#This Row],[Prep days*]]+AllPlans[[#This Row],[Hearing days*]]+AllPlans[[#This Row],[SV days*]]+AllPlans[[#This Row],[Travel days]]+AllPlans[[#This Row],[Reptg days*]]</f>
        <v>37.489999999999995</v>
      </c>
      <c r="AF223" s="29"/>
      <c r="AG223" s="30">
        <v>43698</v>
      </c>
      <c r="AH223" s="30"/>
      <c r="AI223" s="30">
        <v>43690</v>
      </c>
      <c r="AJ223" s="29"/>
      <c r="AK223" s="30">
        <v>43696</v>
      </c>
      <c r="AL223" s="29"/>
      <c r="AM223" s="30">
        <v>43698</v>
      </c>
      <c r="AN223" s="29"/>
      <c r="AO223" s="30">
        <v>43704</v>
      </c>
      <c r="AP223" s="29"/>
      <c r="AQ223" s="30">
        <v>43719</v>
      </c>
      <c r="AR223" s="29"/>
      <c r="AS223" s="30"/>
      <c r="AT223" s="29"/>
      <c r="AU223" s="29" t="s">
        <v>59</v>
      </c>
      <c r="AV223" s="50">
        <v>63.428571428571431</v>
      </c>
      <c r="AW223" s="49">
        <f t="shared" si="15"/>
        <v>28.714285714285715</v>
      </c>
      <c r="AX223" s="29"/>
      <c r="AY223" s="77" t="str">
        <f>IF(D223&lt;&gt;"",IF(LEFT(IFERROR(VLOOKUP(D223,'LPA Lookup'!$A$100:$B$470,2,FALSE),"LPA not known to MCLHG"),3)&lt;&gt;"JSP",IFERROR(VLOOKUP(D223,'LPA Lookup'!$A$100:$B$470,2,FALSE),"LPA not known to MCLHG"),VLOOKUP(D223&amp;B223,'LPA Lookup'!$A$100:$B$470,3,FALSE)),"")</f>
        <v>E08000035</v>
      </c>
      <c r="AZ223" s="41" t="str">
        <f t="shared" si="13"/>
        <v>Aug 18</v>
      </c>
      <c r="BA223" s="41" t="str">
        <f t="shared" si="14"/>
        <v>Aug 19</v>
      </c>
    </row>
    <row r="224" spans="1:53" ht="14" x14ac:dyDescent="0.15">
      <c r="A224" s="35" t="s">
        <v>53</v>
      </c>
      <c r="B224" s="46">
        <v>1916</v>
      </c>
      <c r="C224" s="27" t="s">
        <v>104</v>
      </c>
      <c r="D224" s="29" t="s">
        <v>503</v>
      </c>
      <c r="E224" s="29" t="s">
        <v>212</v>
      </c>
      <c r="F224" s="29" t="s">
        <v>107</v>
      </c>
      <c r="G224" s="29">
        <v>3</v>
      </c>
      <c r="H224" s="30">
        <v>43236</v>
      </c>
      <c r="I224" s="29"/>
      <c r="J224" s="30">
        <v>43322</v>
      </c>
      <c r="K224" s="29"/>
      <c r="L224" s="29"/>
      <c r="M224" s="30">
        <v>43325</v>
      </c>
      <c r="N224" s="30"/>
      <c r="O224" s="30">
        <v>43431</v>
      </c>
      <c r="P224" s="29"/>
      <c r="Q224" s="30">
        <v>43447</v>
      </c>
      <c r="R224" s="29"/>
      <c r="S224" s="29"/>
      <c r="T224" s="29"/>
      <c r="U224" s="29"/>
      <c r="V224" s="29"/>
      <c r="W224" s="29"/>
      <c r="X224" s="29">
        <v>20.190000000000001</v>
      </c>
      <c r="Y224" s="29">
        <v>5.27</v>
      </c>
      <c r="Z224" s="29"/>
      <c r="AA224" s="29">
        <v>0</v>
      </c>
      <c r="AB224" s="29">
        <v>0.81</v>
      </c>
      <c r="AC224" s="29"/>
      <c r="AD224" s="29">
        <v>18.78</v>
      </c>
      <c r="AE224" s="37">
        <v>63.87</v>
      </c>
      <c r="AF224" s="29"/>
      <c r="AG224" s="30">
        <v>43721</v>
      </c>
      <c r="AH224" s="29"/>
      <c r="AI224" s="30">
        <v>43691</v>
      </c>
      <c r="AJ224" s="29"/>
      <c r="AK224" s="30">
        <v>43718</v>
      </c>
      <c r="AL224" s="29"/>
      <c r="AM224" s="30">
        <v>43720</v>
      </c>
      <c r="AN224" s="29"/>
      <c r="AO224" s="30">
        <v>43728</v>
      </c>
      <c r="AP224" s="29"/>
      <c r="AQ224" s="30">
        <v>43746</v>
      </c>
      <c r="AR224" s="29"/>
      <c r="AS224" s="30"/>
      <c r="AT224" s="29"/>
      <c r="AU224" s="29" t="s">
        <v>59</v>
      </c>
      <c r="AV224" s="50">
        <v>66.571428571428569</v>
      </c>
      <c r="AW224" s="49">
        <f t="shared" si="15"/>
        <v>40.142857142857146</v>
      </c>
      <c r="AX224" s="29"/>
      <c r="AY224" s="77" t="str">
        <f>IF(D224&lt;&gt;"",IF(LEFT(IFERROR(VLOOKUP(D224,'LPA Lookup'!$A$100:$B$470,2,FALSE),"LPA not known to MCLHG"),3)&lt;&gt;"JSP",IFERROR(VLOOKUP(D224,'LPA Lookup'!$A$100:$B$470,2,FALSE),"LPA not known to MCLHG"),VLOOKUP(D224&amp;B224,'LPA Lookup'!$A$100:$B$470,3,FALSE)),"")</f>
        <v>E07000176</v>
      </c>
      <c r="AZ224" s="41" t="str">
        <f t="shared" si="13"/>
        <v>Aug 18</v>
      </c>
      <c r="BA224" s="41" t="str">
        <f t="shared" si="14"/>
        <v>Sep 19</v>
      </c>
    </row>
    <row r="225" spans="1:53" ht="14" x14ac:dyDescent="0.15">
      <c r="A225" s="35" t="s">
        <v>53</v>
      </c>
      <c r="B225" s="46">
        <v>1910</v>
      </c>
      <c r="C225" s="27" t="s">
        <v>104</v>
      </c>
      <c r="D225" s="29" t="s">
        <v>504</v>
      </c>
      <c r="E225" s="29" t="s">
        <v>56</v>
      </c>
      <c r="F225" s="29" t="s">
        <v>57</v>
      </c>
      <c r="G225" s="29">
        <v>3</v>
      </c>
      <c r="H225" s="30">
        <v>43222</v>
      </c>
      <c r="I225" s="29"/>
      <c r="J225" s="30">
        <v>43343</v>
      </c>
      <c r="K225" s="29"/>
      <c r="L225" s="29"/>
      <c r="M225" s="30">
        <v>43357</v>
      </c>
      <c r="N225" s="30"/>
      <c r="O225" s="30">
        <v>43487</v>
      </c>
      <c r="P225" s="29"/>
      <c r="Q225" s="30">
        <v>43536</v>
      </c>
      <c r="R225" s="29"/>
      <c r="S225" s="29"/>
      <c r="T225" s="29"/>
      <c r="U225" s="29"/>
      <c r="V225" s="29"/>
      <c r="W225" s="29"/>
      <c r="X225" s="29">
        <v>15.63</v>
      </c>
      <c r="Y225" s="29">
        <v>5.54</v>
      </c>
      <c r="Z225" s="29"/>
      <c r="AA225" s="29">
        <v>1.49</v>
      </c>
      <c r="AB225" s="29">
        <v>4.8099999999999996</v>
      </c>
      <c r="AC225" s="29"/>
      <c r="AD225" s="29">
        <v>18.850000000000001</v>
      </c>
      <c r="AE225" s="37">
        <v>62.28</v>
      </c>
      <c r="AF225" s="29"/>
      <c r="AG225" s="30">
        <v>43837</v>
      </c>
      <c r="AH225" s="29"/>
      <c r="AI225" s="30">
        <v>43816</v>
      </c>
      <c r="AJ225" s="29"/>
      <c r="AK225" s="30">
        <v>43822</v>
      </c>
      <c r="AL225" s="29"/>
      <c r="AM225" s="30">
        <v>43836</v>
      </c>
      <c r="AN225" s="29"/>
      <c r="AO225" s="30">
        <v>43845</v>
      </c>
      <c r="AP225" s="29"/>
      <c r="AQ225" s="30">
        <v>43894</v>
      </c>
      <c r="AR225" s="29"/>
      <c r="AS225" s="30"/>
      <c r="AT225" s="29"/>
      <c r="AU225" s="29" t="s">
        <v>59</v>
      </c>
      <c r="AV225" s="50">
        <v>41.571428571428569</v>
      </c>
      <c r="AW225" s="49">
        <f t="shared" si="15"/>
        <v>44.142857142857146</v>
      </c>
      <c r="AX225" s="29"/>
      <c r="AY225" s="77" t="str">
        <f>IF(D225&lt;&gt;"",IF(LEFT(IFERROR(VLOOKUP(D225,'LPA Lookup'!$A$100:$B$470,2,FALSE),"LPA not known to MCLHG"),3)&lt;&gt;"JSP",IFERROR(VLOOKUP(D225,'LPA Lookup'!$A$100:$B$470,2,FALSE),"LPA not known to MCLHG"),VLOOKUP(D225&amp;B225,'LPA Lookup'!$A$100:$B$470,3,FALSE)),"")</f>
        <v>LPA not known to MCLHG</v>
      </c>
      <c r="AZ225" s="41" t="str">
        <f t="shared" si="13"/>
        <v>Aug 18</v>
      </c>
      <c r="BA225" s="41" t="str">
        <f t="shared" si="14"/>
        <v>Jan 20</v>
      </c>
    </row>
    <row r="226" spans="1:53" ht="14" x14ac:dyDescent="0.15">
      <c r="A226" s="35" t="s">
        <v>53</v>
      </c>
      <c r="B226" s="46">
        <v>1892</v>
      </c>
      <c r="C226" s="29" t="s">
        <v>77</v>
      </c>
      <c r="D226" s="29" t="s">
        <v>505</v>
      </c>
      <c r="E226" s="29" t="s">
        <v>506</v>
      </c>
      <c r="F226" s="29" t="s">
        <v>57</v>
      </c>
      <c r="G226" s="29">
        <v>3</v>
      </c>
      <c r="H226" s="30">
        <v>43126</v>
      </c>
      <c r="I226" s="29"/>
      <c r="J226" s="30">
        <v>43343</v>
      </c>
      <c r="K226" s="29"/>
      <c r="L226" s="29"/>
      <c r="M226" s="30">
        <v>43357</v>
      </c>
      <c r="N226" s="30"/>
      <c r="O226" s="30">
        <v>43480</v>
      </c>
      <c r="P226" s="29"/>
      <c r="Q226" s="30">
        <v>43509</v>
      </c>
      <c r="R226" s="29"/>
      <c r="S226" s="29"/>
      <c r="T226" s="29"/>
      <c r="U226" s="29"/>
      <c r="V226" s="29"/>
      <c r="W226" s="29"/>
      <c r="X226" s="29">
        <v>33.340000000000003</v>
      </c>
      <c r="Y226" s="29">
        <v>8.5</v>
      </c>
      <c r="Z226" s="29"/>
      <c r="AA226" s="29">
        <v>1.01</v>
      </c>
      <c r="AB226" s="29">
        <v>2.87</v>
      </c>
      <c r="AC226" s="29"/>
      <c r="AD226" s="29">
        <v>29.94</v>
      </c>
      <c r="AE226" s="37">
        <f>AllPlans[[#This Row],[Prep days*]]+AllPlans[[#This Row],[Hearing days*]]+AllPlans[[#This Row],[SV days*]]+AllPlans[[#This Row],[Travel days]]+AllPlans[[#This Row],[Reptg days*]]</f>
        <v>75.66</v>
      </c>
      <c r="AF226" s="29"/>
      <c r="AG226" s="30">
        <v>43852</v>
      </c>
      <c r="AH226" s="29"/>
      <c r="AI226" s="30">
        <v>43754</v>
      </c>
      <c r="AJ226" s="29"/>
      <c r="AK226" s="30">
        <v>43767</v>
      </c>
      <c r="AL226" s="29"/>
      <c r="AM226" s="30">
        <v>43852</v>
      </c>
      <c r="AN226" s="29"/>
      <c r="AO226" s="30">
        <v>43860</v>
      </c>
      <c r="AP226" s="29"/>
      <c r="AQ226" s="30">
        <v>43894</v>
      </c>
      <c r="AR226" s="29"/>
      <c r="AS226" s="30"/>
      <c r="AT226" s="29"/>
      <c r="AU226" s="29" t="s">
        <v>59</v>
      </c>
      <c r="AV226" s="50">
        <v>51</v>
      </c>
      <c r="AW226" s="49">
        <f t="shared" si="15"/>
        <v>50.142857142857146</v>
      </c>
      <c r="AX226" s="29"/>
      <c r="AY226" s="77" t="str">
        <f>IF(D226&lt;&gt;"",IF(LEFT(IFERROR(VLOOKUP(D226,'LPA Lookup'!$A$100:$B$470,2,FALSE),"LPA not known to MCLHG"),3)&lt;&gt;"JSP",IFERROR(VLOOKUP(D226,'LPA Lookup'!$A$100:$B$470,2,FALSE),"LPA not known to MCLHG"),VLOOKUP(D226&amp;B226,'LPA Lookup'!$A$100:$B$470,3,FALSE)),"")</f>
        <v>E07000165</v>
      </c>
      <c r="AZ226" s="41" t="str">
        <f t="shared" si="13"/>
        <v>Aug 18</v>
      </c>
      <c r="BA226" s="41" t="str">
        <f t="shared" si="14"/>
        <v>Jan 20</v>
      </c>
    </row>
    <row r="227" spans="1:53" ht="14" x14ac:dyDescent="0.15">
      <c r="A227" s="35" t="s">
        <v>53</v>
      </c>
      <c r="B227" s="46">
        <v>1881</v>
      </c>
      <c r="C227" s="29" t="s">
        <v>71</v>
      </c>
      <c r="D227" s="29" t="s">
        <v>507</v>
      </c>
      <c r="E227" s="29" t="s">
        <v>508</v>
      </c>
      <c r="F227" s="29" t="s">
        <v>57</v>
      </c>
      <c r="G227" s="29">
        <v>3</v>
      </c>
      <c r="H227" s="30">
        <v>43087</v>
      </c>
      <c r="I227" s="29"/>
      <c r="J227" s="30">
        <v>43364</v>
      </c>
      <c r="K227" s="29"/>
      <c r="L227" s="29"/>
      <c r="M227" s="30">
        <v>43371</v>
      </c>
      <c r="N227" s="30"/>
      <c r="O227" s="30">
        <v>43508</v>
      </c>
      <c r="P227" s="29" t="s">
        <v>509</v>
      </c>
      <c r="Q227" s="30">
        <v>43644</v>
      </c>
      <c r="R227" s="27"/>
      <c r="S227" s="27"/>
      <c r="T227" s="27"/>
      <c r="U227" s="27"/>
      <c r="V227" s="27"/>
      <c r="W227" s="27"/>
      <c r="X227" s="29">
        <v>28.99</v>
      </c>
      <c r="Y227" s="29">
        <v>2.7</v>
      </c>
      <c r="Z227" s="29"/>
      <c r="AA227" s="29">
        <v>0</v>
      </c>
      <c r="AB227" s="29">
        <v>2.62</v>
      </c>
      <c r="AC227" s="29"/>
      <c r="AD227" s="29">
        <v>78.790000000000006</v>
      </c>
      <c r="AE227" s="48">
        <v>235.11</v>
      </c>
      <c r="AF227" s="29"/>
      <c r="AG227" s="30">
        <v>44946</v>
      </c>
      <c r="AH227" s="27"/>
      <c r="AI227" s="30">
        <v>44929</v>
      </c>
      <c r="AJ227" s="27"/>
      <c r="AK227" s="30">
        <v>44942</v>
      </c>
      <c r="AL227" s="27"/>
      <c r="AM227" s="30">
        <v>44956</v>
      </c>
      <c r="AN227" s="27"/>
      <c r="AO227" s="30">
        <v>44966</v>
      </c>
      <c r="AP227" s="27"/>
      <c r="AQ227" s="30">
        <v>44991</v>
      </c>
      <c r="AR227" s="29"/>
      <c r="AS227" s="30"/>
      <c r="AT227" s="27"/>
      <c r="AU227" s="29" t="s">
        <v>59</v>
      </c>
      <c r="AV227" s="83">
        <v>50.857142857142854</v>
      </c>
      <c r="AW227" s="49">
        <f t="shared" si="15"/>
        <v>188.85714285714286</v>
      </c>
      <c r="AX227" s="27"/>
      <c r="AY227" s="77" t="str">
        <f>IF(D227&lt;&gt;"",IF(LEFT(IFERROR(VLOOKUP(D227,'LPA Lookup'!$A$100:$B$470,2,FALSE),"LPA not known to MCLHG"),3)&lt;&gt;"JSP",IFERROR(VLOOKUP(D227,'LPA Lookup'!$A$100:$B$470,2,FALSE),"LPA not known to MCLHG"),VLOOKUP(D227&amp;B227,'LPA Lookup'!$A$100:$B$470,3,FALSE)),"")</f>
        <v>E07000072</v>
      </c>
      <c r="AZ227" s="51" t="str">
        <f t="shared" si="13"/>
        <v>Sep 18</v>
      </c>
      <c r="BA227" s="51" t="str">
        <f t="shared" si="14"/>
        <v>Feb 23</v>
      </c>
    </row>
    <row r="228" spans="1:53" ht="14" x14ac:dyDescent="0.15">
      <c r="A228" s="35" t="s">
        <v>53</v>
      </c>
      <c r="B228" s="46">
        <v>1898</v>
      </c>
      <c r="C228" s="27" t="s">
        <v>61</v>
      </c>
      <c r="D228" s="29" t="s">
        <v>510</v>
      </c>
      <c r="E228" s="29" t="s">
        <v>511</v>
      </c>
      <c r="F228" s="29" t="s">
        <v>107</v>
      </c>
      <c r="G228" s="29">
        <v>2</v>
      </c>
      <c r="H228" s="30">
        <v>43126</v>
      </c>
      <c r="I228" s="29"/>
      <c r="J228" s="30">
        <v>43371</v>
      </c>
      <c r="K228" s="29"/>
      <c r="L228" s="29"/>
      <c r="M228" s="30">
        <v>43371</v>
      </c>
      <c r="N228" s="30"/>
      <c r="O228" s="30">
        <v>43599</v>
      </c>
      <c r="P228" s="29"/>
      <c r="Q228" s="30">
        <v>43601</v>
      </c>
      <c r="R228" s="29"/>
      <c r="S228" s="29"/>
      <c r="T228" s="29"/>
      <c r="U228" s="29"/>
      <c r="V228" s="29"/>
      <c r="W228" s="29"/>
      <c r="X228" s="42"/>
      <c r="Y228" s="42"/>
      <c r="Z228" s="42"/>
      <c r="AA228" s="42"/>
      <c r="AB228" s="42"/>
      <c r="AC228" s="42"/>
      <c r="AD228" s="42"/>
      <c r="AE228" s="37">
        <v>58.78</v>
      </c>
      <c r="AF228" s="29"/>
      <c r="AG228" s="30">
        <v>44001</v>
      </c>
      <c r="AH228" s="29"/>
      <c r="AI228" s="30">
        <v>43984</v>
      </c>
      <c r="AJ228" s="29"/>
      <c r="AK228" s="30">
        <v>43997</v>
      </c>
      <c r="AL228" s="29"/>
      <c r="AM228" s="30">
        <v>44000</v>
      </c>
      <c r="AN228" s="29"/>
      <c r="AO228" s="30">
        <v>44008</v>
      </c>
      <c r="AP228" s="29"/>
      <c r="AQ228" s="30">
        <v>44090</v>
      </c>
      <c r="AR228" s="29"/>
      <c r="AS228" s="30"/>
      <c r="AT228" s="29"/>
      <c r="AU228" s="29" t="s">
        <v>59</v>
      </c>
      <c r="AV228" s="38">
        <f>SUM(AO228-J228)/7</f>
        <v>91</v>
      </c>
      <c r="AW228" s="49">
        <f t="shared" si="15"/>
        <v>58.142857142857146</v>
      </c>
      <c r="AX228" s="29"/>
      <c r="AY228" s="77" t="str">
        <f>IF(D228&lt;&gt;"",IF(LEFT(IFERROR(VLOOKUP(D228,'LPA Lookup'!$A$100:$B$470,2,FALSE),"LPA not known to MCLHG"),3)&lt;&gt;"JSP",IFERROR(VLOOKUP(D228,'LPA Lookup'!$A$100:$B$470,2,FALSE),"LPA not known to MCLHG"),VLOOKUP(D228&amp;B228,'LPA Lookup'!$A$100:$B$470,3,FALSE)),"")</f>
        <v>E07000112</v>
      </c>
      <c r="AZ228" s="41" t="str">
        <f t="shared" si="13"/>
        <v>Sep 18</v>
      </c>
      <c r="BA228" s="41" t="str">
        <f t="shared" si="14"/>
        <v>Jun 20</v>
      </c>
    </row>
    <row r="229" spans="1:53" ht="14" x14ac:dyDescent="0.15">
      <c r="A229" s="35" t="s">
        <v>53</v>
      </c>
      <c r="B229" s="46">
        <v>1900</v>
      </c>
      <c r="C229" s="29" t="s">
        <v>67</v>
      </c>
      <c r="D229" s="29" t="s">
        <v>512</v>
      </c>
      <c r="E229" s="29" t="s">
        <v>513</v>
      </c>
      <c r="F229" s="29" t="s">
        <v>107</v>
      </c>
      <c r="G229" s="29">
        <v>3</v>
      </c>
      <c r="H229" s="30">
        <v>43140</v>
      </c>
      <c r="I229" s="29"/>
      <c r="J229" s="30">
        <v>43376</v>
      </c>
      <c r="K229" s="29"/>
      <c r="L229" s="29"/>
      <c r="M229" s="30">
        <v>43388</v>
      </c>
      <c r="N229" s="30"/>
      <c r="O229" s="30">
        <v>43509</v>
      </c>
      <c r="P229" s="29"/>
      <c r="Q229" s="30">
        <v>43524</v>
      </c>
      <c r="R229" s="29"/>
      <c r="S229" s="29"/>
      <c r="T229" s="29"/>
      <c r="U229" s="29"/>
      <c r="V229" s="29"/>
      <c r="W229" s="29"/>
      <c r="X229" s="42">
        <v>0</v>
      </c>
      <c r="Y229" s="42">
        <v>0</v>
      </c>
      <c r="Z229" s="42"/>
      <c r="AA229" s="42">
        <v>0</v>
      </c>
      <c r="AB229" s="42">
        <v>0</v>
      </c>
      <c r="AC229" s="42"/>
      <c r="AD229" s="42">
        <v>0</v>
      </c>
      <c r="AE229" s="37">
        <v>71.5</v>
      </c>
      <c r="AF229" s="29"/>
      <c r="AG229" s="30">
        <v>43903</v>
      </c>
      <c r="AH229" s="29"/>
      <c r="AI229" s="30">
        <v>43888</v>
      </c>
      <c r="AJ229" s="29"/>
      <c r="AK229" s="30">
        <v>43901</v>
      </c>
      <c r="AL229" s="29"/>
      <c r="AM229" s="30">
        <v>43902</v>
      </c>
      <c r="AN229" s="29"/>
      <c r="AO229" s="30">
        <v>43907</v>
      </c>
      <c r="AP229" s="29"/>
      <c r="AQ229" s="30">
        <v>44032</v>
      </c>
      <c r="AR229" s="29"/>
      <c r="AS229" s="30"/>
      <c r="AT229" s="29"/>
      <c r="AU229" s="29" t="s">
        <v>59</v>
      </c>
      <c r="AV229" s="38">
        <f>SUM(AO229-J229)/7</f>
        <v>75.857142857142861</v>
      </c>
      <c r="AW229" s="49">
        <f t="shared" si="15"/>
        <v>54.714285714285715</v>
      </c>
      <c r="AX229" s="29"/>
      <c r="AY229" s="77" t="str">
        <f>IF(D229&lt;&gt;"",IF(LEFT(IFERROR(VLOOKUP(D229,'LPA Lookup'!$A$100:$B$470,2,FALSE),"LPA not known to MCLHG"),3)&lt;&gt;"JSP",IFERROR(VLOOKUP(D229,'LPA Lookup'!$A$100:$B$470,2,FALSE),"LPA not known to MCLHG"),VLOOKUP(D229&amp;B229,'LPA Lookup'!$A$100:$B$470,3,FALSE)),"")</f>
        <v>LPA not known to MCLHG</v>
      </c>
      <c r="AZ229" s="41" t="str">
        <f t="shared" si="13"/>
        <v>Oct 18</v>
      </c>
      <c r="BA229" s="41" t="str">
        <f t="shared" si="14"/>
        <v>Mar 20</v>
      </c>
    </row>
    <row r="230" spans="1:53" ht="28" x14ac:dyDescent="0.15">
      <c r="A230" s="35" t="s">
        <v>53</v>
      </c>
      <c r="B230" s="46">
        <v>1843</v>
      </c>
      <c r="C230" s="27" t="s">
        <v>90</v>
      </c>
      <c r="D230" s="29" t="s">
        <v>514</v>
      </c>
      <c r="E230" s="29" t="s">
        <v>56</v>
      </c>
      <c r="F230" s="29" t="s">
        <v>57</v>
      </c>
      <c r="G230" s="29">
        <v>3</v>
      </c>
      <c r="H230" s="30">
        <v>43265</v>
      </c>
      <c r="I230" s="29"/>
      <c r="J230" s="30">
        <v>43377</v>
      </c>
      <c r="K230" s="29"/>
      <c r="L230" s="29"/>
      <c r="M230" s="30">
        <v>43384</v>
      </c>
      <c r="N230" s="30"/>
      <c r="O230" s="30">
        <v>43557</v>
      </c>
      <c r="P230" s="29"/>
      <c r="Q230" s="30">
        <v>44573</v>
      </c>
      <c r="R230" s="29"/>
      <c r="S230" s="29"/>
      <c r="T230" s="29"/>
      <c r="U230" s="29"/>
      <c r="V230" s="29"/>
      <c r="W230" s="29"/>
      <c r="X230" s="29">
        <v>39.159999999999997</v>
      </c>
      <c r="Y230" s="29">
        <v>4.2300000000000004</v>
      </c>
      <c r="Z230" s="29"/>
      <c r="AA230" s="29">
        <v>1.01</v>
      </c>
      <c r="AB230" s="29">
        <v>4.0199999999999996</v>
      </c>
      <c r="AC230" s="29"/>
      <c r="AD230" s="29">
        <v>61.97</v>
      </c>
      <c r="AE230" s="48">
        <v>158.33000000000001</v>
      </c>
      <c r="AF230" s="29"/>
      <c r="AG230" s="30">
        <v>44648</v>
      </c>
      <c r="AH230" s="29"/>
      <c r="AI230" s="30">
        <v>44593</v>
      </c>
      <c r="AJ230" s="29"/>
      <c r="AK230" s="30">
        <v>44628</v>
      </c>
      <c r="AL230" s="29"/>
      <c r="AM230" s="30">
        <v>44631</v>
      </c>
      <c r="AN230" s="29"/>
      <c r="AO230" s="30">
        <v>44652</v>
      </c>
      <c r="AP230" s="29"/>
      <c r="AQ230" s="30">
        <v>44734</v>
      </c>
      <c r="AR230" s="29"/>
      <c r="AS230" s="30"/>
      <c r="AT230" s="29"/>
      <c r="AU230" s="29" t="s">
        <v>59</v>
      </c>
      <c r="AV230" s="83">
        <v>74</v>
      </c>
      <c r="AW230" s="49">
        <f t="shared" si="15"/>
        <v>11.285714285714286</v>
      </c>
      <c r="AX230" s="29"/>
      <c r="AY230" s="77" t="str">
        <f>IF(D230&lt;&gt;"",IF(LEFT(IFERROR(VLOOKUP(D230,'LPA Lookup'!$A$100:$B$470,2,FALSE),"LPA not known to MCLHG"),3)&lt;&gt;"JSP",IFERROR(VLOOKUP(D230,'LPA Lookup'!$A$100:$B$470,2,FALSE),"LPA not known to MCLHG"),VLOOKUP(D230&amp;B230,'LPA Lookup'!$A$100:$B$470,3,FALSE)),"")</f>
        <v>E51000002</v>
      </c>
      <c r="AZ230" s="51" t="str">
        <f t="shared" si="13"/>
        <v>Oct 18</v>
      </c>
      <c r="BA230" s="51" t="str">
        <f t="shared" si="14"/>
        <v>Apr 22</v>
      </c>
    </row>
    <row r="231" spans="1:53" ht="14" x14ac:dyDescent="0.15">
      <c r="A231" s="35" t="s">
        <v>53</v>
      </c>
      <c r="B231" s="35">
        <v>1915</v>
      </c>
      <c r="C231" s="27" t="s">
        <v>71</v>
      </c>
      <c r="D231" s="27" t="s">
        <v>515</v>
      </c>
      <c r="E231" s="27" t="s">
        <v>56</v>
      </c>
      <c r="F231" s="27" t="s">
        <v>57</v>
      </c>
      <c r="G231" s="27">
        <v>3</v>
      </c>
      <c r="H231" s="28">
        <v>43244</v>
      </c>
      <c r="I231" s="27"/>
      <c r="J231" s="28">
        <v>43392</v>
      </c>
      <c r="K231" s="27"/>
      <c r="L231" s="27"/>
      <c r="M231" s="28">
        <v>43411</v>
      </c>
      <c r="N231" s="28"/>
      <c r="O231" s="28">
        <v>43552</v>
      </c>
      <c r="P231" s="27"/>
      <c r="Q231" s="28">
        <v>43559</v>
      </c>
      <c r="R231" s="27"/>
      <c r="S231" s="27"/>
      <c r="T231" s="27"/>
      <c r="U231" s="27"/>
      <c r="V231" s="27"/>
      <c r="W231" s="27"/>
      <c r="X231" s="29">
        <v>24.44</v>
      </c>
      <c r="Y231" s="29">
        <v>3.61</v>
      </c>
      <c r="Z231" s="29"/>
      <c r="AA231" s="29">
        <v>0</v>
      </c>
      <c r="AB231" s="29">
        <v>1.76</v>
      </c>
      <c r="AC231" s="29"/>
      <c r="AD231" s="29">
        <v>42.98</v>
      </c>
      <c r="AE231" s="37">
        <f>AllPlans[[#This Row],[Prep days*]]+AllPlans[[#This Row],[Hearing days*]]+AllPlans[[#This Row],[SV days*]]+AllPlans[[#This Row],[Travel days]]+AllPlans[[#This Row],[Reptg days*]]</f>
        <v>72.789999999999992</v>
      </c>
      <c r="AF231" s="27"/>
      <c r="AG231" s="28">
        <v>44120</v>
      </c>
      <c r="AH231" s="27"/>
      <c r="AI231" s="28">
        <v>44106</v>
      </c>
      <c r="AJ231" s="27"/>
      <c r="AK231" s="28">
        <v>44117</v>
      </c>
      <c r="AL231" s="27"/>
      <c r="AM231" s="28">
        <v>44119</v>
      </c>
      <c r="AN231" s="27"/>
      <c r="AO231" s="28">
        <v>44140</v>
      </c>
      <c r="AP231" s="27"/>
      <c r="AQ231" s="28">
        <v>44175</v>
      </c>
      <c r="AR231" s="27"/>
      <c r="AS231" s="28"/>
      <c r="AT231" s="27"/>
      <c r="AU231" s="27" t="s">
        <v>59</v>
      </c>
      <c r="AV231" s="83">
        <v>72</v>
      </c>
      <c r="AW231" s="39">
        <f t="shared" si="15"/>
        <v>83</v>
      </c>
      <c r="AX231" s="27"/>
      <c r="AY231" s="77" t="str">
        <f>IF(D231&lt;&gt;"",IF(LEFT(IFERROR(VLOOKUP(D231,'LPA Lookup'!$A$100:$B$470,2,FALSE),"LPA not known to MCLHG"),3)&lt;&gt;"JSP",IFERROR(VLOOKUP(D231,'LPA Lookup'!$A$100:$B$470,2,FALSE),"LPA not known to MCLHG"),VLOOKUP(D231&amp;B231,'LPA Lookup'!$A$100:$B$470,3,FALSE)),"")</f>
        <v>E07000073</v>
      </c>
      <c r="AZ231" s="41" t="str">
        <f t="shared" si="13"/>
        <v>Oct 18</v>
      </c>
      <c r="BA231" s="41" t="str">
        <f t="shared" si="14"/>
        <v>Nov 20</v>
      </c>
    </row>
    <row r="232" spans="1:53" ht="30" customHeight="1" x14ac:dyDescent="0.15">
      <c r="A232" s="35" t="s">
        <v>53</v>
      </c>
      <c r="B232" s="35">
        <v>1969</v>
      </c>
      <c r="C232" s="27" t="s">
        <v>61</v>
      </c>
      <c r="D232" s="27" t="s">
        <v>516</v>
      </c>
      <c r="E232" s="27" t="s">
        <v>56</v>
      </c>
      <c r="F232" s="27" t="s">
        <v>57</v>
      </c>
      <c r="G232" s="27">
        <v>3</v>
      </c>
      <c r="H232" s="28">
        <v>43335</v>
      </c>
      <c r="I232" s="27"/>
      <c r="J232" s="28">
        <v>43404</v>
      </c>
      <c r="K232" s="27"/>
      <c r="L232" s="27"/>
      <c r="M232" s="28">
        <v>43411</v>
      </c>
      <c r="N232" s="28"/>
      <c r="O232" s="28">
        <v>43557</v>
      </c>
      <c r="P232" s="27"/>
      <c r="Q232" s="28">
        <v>43664</v>
      </c>
      <c r="R232" s="27"/>
      <c r="S232" s="27"/>
      <c r="T232" s="27"/>
      <c r="U232" s="27"/>
      <c r="V232" s="27"/>
      <c r="W232" s="27"/>
      <c r="X232" s="29">
        <v>24.55</v>
      </c>
      <c r="Y232" s="29">
        <v>5.04</v>
      </c>
      <c r="Z232" s="29"/>
      <c r="AA232" s="29">
        <v>0</v>
      </c>
      <c r="AB232" s="29">
        <v>3.66</v>
      </c>
      <c r="AC232" s="29"/>
      <c r="AD232" s="29">
        <v>21.46</v>
      </c>
      <c r="AE232" s="37">
        <v>129.52000000000001</v>
      </c>
      <c r="AF232" s="27"/>
      <c r="AG232" s="28">
        <v>43899</v>
      </c>
      <c r="AH232" s="27"/>
      <c r="AI232" s="28">
        <v>43878</v>
      </c>
      <c r="AJ232" s="27"/>
      <c r="AK232" s="28">
        <v>43892</v>
      </c>
      <c r="AL232" s="27"/>
      <c r="AM232" s="28">
        <v>43896</v>
      </c>
      <c r="AN232" s="27"/>
      <c r="AO232" s="28">
        <v>43912</v>
      </c>
      <c r="AP232" s="27"/>
      <c r="AQ232" s="28">
        <v>44021</v>
      </c>
      <c r="AR232" s="27"/>
      <c r="AS232" s="28"/>
      <c r="AT232" s="27"/>
      <c r="AU232" s="27" t="s">
        <v>59</v>
      </c>
      <c r="AV232" s="83">
        <v>51.714285714285715</v>
      </c>
      <c r="AW232" s="39">
        <f t="shared" si="15"/>
        <v>35.428571428571431</v>
      </c>
      <c r="AX232" s="27"/>
      <c r="AY232" s="77" t="str">
        <f>IF(D232&lt;&gt;"",IF(LEFT(IFERROR(VLOOKUP(D232,'LPA Lookup'!$A$100:$B$470,2,FALSE),"LPA not known to MCLHG"),3)&lt;&gt;"JSP",IFERROR(VLOOKUP(D232,'LPA Lookup'!$A$100:$B$470,2,FALSE),"LPA not known to MCLHG"),VLOOKUP(D232&amp;B232,'LPA Lookup'!$A$100:$B$470,3,FALSE)),"")</f>
        <v>E07000114</v>
      </c>
      <c r="AZ232" s="41" t="str">
        <f t="shared" si="13"/>
        <v>Oct 18</v>
      </c>
      <c r="BA232" s="41" t="str">
        <f t="shared" si="14"/>
        <v>Mar 20</v>
      </c>
    </row>
    <row r="233" spans="1:53" ht="70" x14ac:dyDescent="0.15">
      <c r="A233" s="35" t="s">
        <v>53</v>
      </c>
      <c r="B233" s="46">
        <v>1929</v>
      </c>
      <c r="C233" s="29" t="s">
        <v>61</v>
      </c>
      <c r="D233" s="29" t="s">
        <v>517</v>
      </c>
      <c r="E233" s="29" t="s">
        <v>56</v>
      </c>
      <c r="F233" s="29" t="s">
        <v>57</v>
      </c>
      <c r="G233" s="29">
        <v>3</v>
      </c>
      <c r="H233" s="30">
        <v>43276</v>
      </c>
      <c r="I233" s="27"/>
      <c r="J233" s="30">
        <v>43404</v>
      </c>
      <c r="K233" s="27"/>
      <c r="L233" s="29"/>
      <c r="M233" s="30">
        <v>43411</v>
      </c>
      <c r="N233" s="28"/>
      <c r="O233" s="30">
        <v>43774</v>
      </c>
      <c r="P233" s="29" t="s">
        <v>406</v>
      </c>
      <c r="Q233" s="30">
        <v>44201</v>
      </c>
      <c r="R233" s="27"/>
      <c r="S233" s="27"/>
      <c r="T233" s="27"/>
      <c r="U233" s="27"/>
      <c r="V233" s="27"/>
      <c r="W233" s="27"/>
      <c r="X233" s="29">
        <v>13.17</v>
      </c>
      <c r="Y233" s="29">
        <v>2.5</v>
      </c>
      <c r="Z233" s="29"/>
      <c r="AA233" s="29">
        <v>0</v>
      </c>
      <c r="AB233" s="29">
        <v>2.0299999999999998</v>
      </c>
      <c r="AC233" s="29"/>
      <c r="AD233" s="29">
        <v>32.729999999999997</v>
      </c>
      <c r="AE233" s="48">
        <v>138.44999999999999</v>
      </c>
      <c r="AF233" s="29"/>
      <c r="AG233" s="30">
        <v>44627</v>
      </c>
      <c r="AH233" s="27"/>
      <c r="AI233" s="30">
        <v>44600</v>
      </c>
      <c r="AJ233" s="27"/>
      <c r="AK233" s="30">
        <v>44623</v>
      </c>
      <c r="AL233" s="27"/>
      <c r="AM233" s="30">
        <v>44627</v>
      </c>
      <c r="AN233" s="27"/>
      <c r="AO233" s="30">
        <v>44634</v>
      </c>
      <c r="AP233" s="27"/>
      <c r="AQ233" s="30">
        <v>44676</v>
      </c>
      <c r="AR233" s="27"/>
      <c r="AS233" s="30"/>
      <c r="AT233" s="27"/>
      <c r="AU233" s="29" t="s">
        <v>59</v>
      </c>
      <c r="AV233" s="270">
        <v>59</v>
      </c>
      <c r="AW233" s="275">
        <f t="shared" si="15"/>
        <v>61.857142857142854</v>
      </c>
      <c r="AX233" s="29" t="s">
        <v>518</v>
      </c>
      <c r="AY233" s="77" t="str">
        <f>IF(D233&lt;&gt;"",IF(LEFT(IFERROR(VLOOKUP(D233,'LPA Lookup'!$A$100:$B$470,2,FALSE),"LPA not known to MCLHG"),3)&lt;&gt;"JSP",IFERROR(VLOOKUP(D233,'LPA Lookup'!$A$100:$B$470,2,FALSE),"LPA not known to MCLHG"),VLOOKUP(D233&amp;B233,'LPA Lookup'!$A$100:$B$470,3,FALSE)),"")</f>
        <v>E07000086</v>
      </c>
      <c r="AZ233" s="41" t="str">
        <f t="shared" si="13"/>
        <v>Oct 18</v>
      </c>
      <c r="BA233" s="41" t="str">
        <f t="shared" si="14"/>
        <v>Mar 22</v>
      </c>
    </row>
    <row r="234" spans="1:53" ht="14" x14ac:dyDescent="0.15">
      <c r="A234" s="35" t="s">
        <v>53</v>
      </c>
      <c r="B234" s="46">
        <v>1935</v>
      </c>
      <c r="C234" s="27" t="s">
        <v>61</v>
      </c>
      <c r="D234" s="29" t="s">
        <v>519</v>
      </c>
      <c r="E234" s="29" t="s">
        <v>56</v>
      </c>
      <c r="F234" s="29" t="s">
        <v>57</v>
      </c>
      <c r="G234" s="29">
        <v>3</v>
      </c>
      <c r="H234" s="30">
        <v>43280</v>
      </c>
      <c r="I234" s="29"/>
      <c r="J234" s="30">
        <v>43405</v>
      </c>
      <c r="K234" s="29"/>
      <c r="L234" s="29"/>
      <c r="M234" s="30">
        <v>43410</v>
      </c>
      <c r="N234" s="30"/>
      <c r="O234" s="30">
        <v>43545</v>
      </c>
      <c r="P234" s="29"/>
      <c r="Q234" s="30">
        <v>43664</v>
      </c>
      <c r="R234" s="29"/>
      <c r="S234" s="29"/>
      <c r="T234" s="29"/>
      <c r="U234" s="29"/>
      <c r="V234" s="29"/>
      <c r="W234" s="29"/>
      <c r="X234" s="29">
        <v>78.14</v>
      </c>
      <c r="Y234" s="29">
        <v>8.5</v>
      </c>
      <c r="Z234" s="29"/>
      <c r="AA234" s="29">
        <v>2.13</v>
      </c>
      <c r="AB234" s="29">
        <v>5.36</v>
      </c>
      <c r="AC234" s="29"/>
      <c r="AD234" s="29">
        <v>42</v>
      </c>
      <c r="AE234" s="37">
        <f>AllPlans[[#This Row],[Prep days*]]+AllPlans[[#This Row],[Hearing days*]]+AllPlans[[#This Row],[SV days*]]+AllPlans[[#This Row],[Travel days]]+AllPlans[[#This Row],[Reptg days*]]</f>
        <v>136.13</v>
      </c>
      <c r="AF234" s="29"/>
      <c r="AG234" s="30">
        <v>43908</v>
      </c>
      <c r="AH234" s="29"/>
      <c r="AI234" s="30">
        <v>43900</v>
      </c>
      <c r="AJ234" s="29"/>
      <c r="AK234" s="30">
        <v>43902</v>
      </c>
      <c r="AL234" s="29"/>
      <c r="AM234" s="30">
        <v>43907</v>
      </c>
      <c r="AN234" s="29"/>
      <c r="AO234" s="30">
        <v>43915</v>
      </c>
      <c r="AP234" s="29"/>
      <c r="AQ234" s="30">
        <v>44018</v>
      </c>
      <c r="AR234" s="29"/>
      <c r="AS234" s="30"/>
      <c r="AT234" s="29"/>
      <c r="AU234" s="29" t="s">
        <v>59</v>
      </c>
      <c r="AV234" s="50">
        <v>60</v>
      </c>
      <c r="AW234" s="49">
        <f t="shared" si="15"/>
        <v>35.857142857142854</v>
      </c>
      <c r="AX234" s="29"/>
      <c r="AY234" s="77" t="str">
        <f>IF(D234&lt;&gt;"",IF(LEFT(IFERROR(VLOOKUP(D234,'LPA Lookup'!$A$100:$B$470,2,FALSE),"LPA not known to MCLHG"),3)&lt;&gt;"JSP",IFERROR(VLOOKUP(D234,'LPA Lookup'!$A$100:$B$470,2,FALSE),"LPA not known to MCLHG"),VLOOKUP(D234&amp;B234,'LPA Lookup'!$A$100:$B$470,3,FALSE)),"")</f>
        <v>E07000091</v>
      </c>
      <c r="AZ234" s="41" t="str">
        <f t="shared" si="13"/>
        <v>Nov 18</v>
      </c>
      <c r="BA234" s="41" t="str">
        <f t="shared" si="14"/>
        <v>Mar 20</v>
      </c>
    </row>
    <row r="235" spans="1:53" ht="14" x14ac:dyDescent="0.15">
      <c r="A235" s="35" t="s">
        <v>53</v>
      </c>
      <c r="B235" s="46">
        <v>1816</v>
      </c>
      <c r="C235" s="27" t="s">
        <v>54</v>
      </c>
      <c r="D235" s="29" t="s">
        <v>520</v>
      </c>
      <c r="E235" s="29" t="s">
        <v>521</v>
      </c>
      <c r="F235" s="29" t="s">
        <v>74</v>
      </c>
      <c r="G235" s="29">
        <v>2</v>
      </c>
      <c r="H235" s="30">
        <v>42713</v>
      </c>
      <c r="I235" s="29"/>
      <c r="J235" s="30">
        <v>43413</v>
      </c>
      <c r="K235" s="29"/>
      <c r="L235" s="29"/>
      <c r="M235" s="30">
        <v>43433</v>
      </c>
      <c r="N235" s="30"/>
      <c r="O235" s="30">
        <v>43615</v>
      </c>
      <c r="P235" s="29"/>
      <c r="Q235" s="30">
        <v>43615</v>
      </c>
      <c r="R235" s="29"/>
      <c r="S235" s="29"/>
      <c r="T235" s="29"/>
      <c r="U235" s="29"/>
      <c r="V235" s="29"/>
      <c r="W235" s="29"/>
      <c r="X235" s="29">
        <v>40.64</v>
      </c>
      <c r="Y235" s="29">
        <v>13.76</v>
      </c>
      <c r="Z235" s="29"/>
      <c r="AA235" s="29">
        <v>0</v>
      </c>
      <c r="AB235" s="29">
        <v>2.96</v>
      </c>
      <c r="AC235" s="29"/>
      <c r="AD235" s="29">
        <v>51.48</v>
      </c>
      <c r="AE235" s="37">
        <f>AllPlans[[#This Row],[Prep days*]]+AllPlans[[#This Row],[Hearing days*]]+AllPlans[[#This Row],[SV days*]]+AllPlans[[#This Row],[Travel days]]+AllPlans[[#This Row],[Reptg days*]]</f>
        <v>108.84</v>
      </c>
      <c r="AF235" s="29"/>
      <c r="AG235" s="30">
        <v>43689</v>
      </c>
      <c r="AH235" s="29"/>
      <c r="AI235" s="30">
        <v>43684</v>
      </c>
      <c r="AJ235" s="29"/>
      <c r="AK235" s="30">
        <v>43686</v>
      </c>
      <c r="AL235" s="29"/>
      <c r="AM235" s="30">
        <v>43686</v>
      </c>
      <c r="AN235" s="29"/>
      <c r="AO235" s="30">
        <v>43697</v>
      </c>
      <c r="AP235" s="29"/>
      <c r="AQ235" s="30">
        <v>43844</v>
      </c>
      <c r="AR235" s="29"/>
      <c r="AS235" s="30"/>
      <c r="AT235" s="29"/>
      <c r="AU235" s="29" t="s">
        <v>59</v>
      </c>
      <c r="AV235" s="50">
        <v>75.571428571428569</v>
      </c>
      <c r="AW235" s="49">
        <f t="shared" si="15"/>
        <v>11.714285714285714</v>
      </c>
      <c r="AX235" s="29"/>
      <c r="AY235" s="77" t="str">
        <f>IF(D235&lt;&gt;"",IF(LEFT(IFERROR(VLOOKUP(D235,'LPA Lookup'!$A$100:$B$470,2,FALSE),"LPA not known to MCLHG"),3)&lt;&gt;"JSP",IFERROR(VLOOKUP(D235,'LPA Lookup'!$A$100:$B$470,2,FALSE),"LPA not known to MCLHG"),VLOOKUP(D235&amp;B235,'LPA Lookup'!$A$100:$B$470,3,FALSE)),"")</f>
        <v>LPA not known to MCLHG</v>
      </c>
      <c r="AZ235" s="41" t="str">
        <f t="shared" si="13"/>
        <v>Nov 18</v>
      </c>
      <c r="BA235" s="41" t="str">
        <f t="shared" si="14"/>
        <v>Aug 19</v>
      </c>
    </row>
    <row r="236" spans="1:53" ht="14" x14ac:dyDescent="0.15">
      <c r="A236" s="35" t="s">
        <v>53</v>
      </c>
      <c r="B236" s="46">
        <v>1897</v>
      </c>
      <c r="C236" s="29" t="s">
        <v>71</v>
      </c>
      <c r="D236" s="29" t="s">
        <v>522</v>
      </c>
      <c r="E236" s="29" t="s">
        <v>523</v>
      </c>
      <c r="F236" s="29" t="s">
        <v>57</v>
      </c>
      <c r="G236" s="29">
        <v>3</v>
      </c>
      <c r="H236" s="30">
        <v>43361</v>
      </c>
      <c r="I236" s="29"/>
      <c r="J236" s="30">
        <v>43448</v>
      </c>
      <c r="K236" s="29"/>
      <c r="L236" s="29"/>
      <c r="M236" s="30">
        <v>43451</v>
      </c>
      <c r="N236" s="30"/>
      <c r="O236" s="30">
        <v>43614</v>
      </c>
      <c r="P236" s="29"/>
      <c r="Q236" s="30">
        <v>43760</v>
      </c>
      <c r="R236" s="29"/>
      <c r="S236" s="29"/>
      <c r="T236" s="29"/>
      <c r="U236" s="29"/>
      <c r="V236" s="29"/>
      <c r="W236" s="29"/>
      <c r="X236" s="29">
        <v>44.32</v>
      </c>
      <c r="Y236" s="29">
        <v>16.68</v>
      </c>
      <c r="Z236" s="29"/>
      <c r="AA236" s="29">
        <v>1.2</v>
      </c>
      <c r="AB236" s="29">
        <v>1.28</v>
      </c>
      <c r="AC236" s="29"/>
      <c r="AD236" s="29">
        <v>47.96</v>
      </c>
      <c r="AE236" s="37">
        <v>116</v>
      </c>
      <c r="AF236" s="29"/>
      <c r="AG236" s="30">
        <v>43810</v>
      </c>
      <c r="AH236" s="29"/>
      <c r="AI236" s="30">
        <v>43780</v>
      </c>
      <c r="AJ236" s="29"/>
      <c r="AK236" s="30">
        <v>43818</v>
      </c>
      <c r="AL236" s="29"/>
      <c r="AM236" s="30">
        <v>43810</v>
      </c>
      <c r="AN236" s="29"/>
      <c r="AO236" s="30">
        <v>43819</v>
      </c>
      <c r="AP236" s="29"/>
      <c r="AQ236" s="30">
        <v>43845</v>
      </c>
      <c r="AR236" s="29"/>
      <c r="AS236" s="30"/>
      <c r="AT236" s="29"/>
      <c r="AU236" s="29" t="s">
        <v>59</v>
      </c>
      <c r="AV236" s="50">
        <v>87</v>
      </c>
      <c r="AW236" s="49">
        <f t="shared" si="15"/>
        <v>8.4285714285714288</v>
      </c>
      <c r="AX236" s="29"/>
      <c r="AY236" s="77" t="str">
        <f>IF(D236&lt;&gt;"",IF(LEFT(IFERROR(VLOOKUP(D236,'LPA Lookup'!$A$100:$B$470,2,FALSE),"LPA not known to MCLHG"),3)&lt;&gt;"JSP",IFERROR(VLOOKUP(D236,'LPA Lookup'!$A$100:$B$470,2,FALSE),"LPA not known to MCLHG"),VLOOKUP(D236&amp;B236,'LPA Lookup'!$A$100:$B$470,3,FALSE)),"")</f>
        <v>LPA not known to MCLHG</v>
      </c>
      <c r="AZ236" s="41" t="str">
        <f t="shared" si="13"/>
        <v>Dec 18</v>
      </c>
      <c r="BA236" s="41" t="str">
        <f t="shared" si="14"/>
        <v>Dec 19</v>
      </c>
    </row>
    <row r="237" spans="1:53" ht="28" x14ac:dyDescent="0.15">
      <c r="A237" s="35" t="s">
        <v>53</v>
      </c>
      <c r="B237" s="46">
        <v>1934</v>
      </c>
      <c r="C237" s="27" t="s">
        <v>104</v>
      </c>
      <c r="D237" s="29" t="s">
        <v>524</v>
      </c>
      <c r="E237" s="29" t="s">
        <v>525</v>
      </c>
      <c r="F237" s="29" t="s">
        <v>107</v>
      </c>
      <c r="G237" s="29">
        <v>2</v>
      </c>
      <c r="H237" s="30">
        <v>43325</v>
      </c>
      <c r="I237" s="29"/>
      <c r="J237" s="30">
        <v>43453</v>
      </c>
      <c r="K237" s="29"/>
      <c r="L237" s="29"/>
      <c r="M237" s="30">
        <v>43476</v>
      </c>
      <c r="N237" s="30"/>
      <c r="O237" s="30">
        <v>43627</v>
      </c>
      <c r="P237" s="29"/>
      <c r="Q237" s="30">
        <v>43643</v>
      </c>
      <c r="R237" s="29"/>
      <c r="S237" s="29"/>
      <c r="T237" s="29"/>
      <c r="U237" s="29"/>
      <c r="V237" s="29"/>
      <c r="W237" s="29"/>
      <c r="X237" s="42">
        <v>39.17</v>
      </c>
      <c r="Y237" s="42">
        <v>3.66</v>
      </c>
      <c r="Z237" s="42"/>
      <c r="AA237" s="42">
        <v>1.08</v>
      </c>
      <c r="AB237" s="42">
        <v>2.2799999999999998</v>
      </c>
      <c r="AC237" s="42"/>
      <c r="AD237" s="42">
        <v>26.06</v>
      </c>
      <c r="AE237" s="37">
        <v>74.64</v>
      </c>
      <c r="AF237" s="29"/>
      <c r="AG237" s="30">
        <v>43822</v>
      </c>
      <c r="AH237" s="29"/>
      <c r="AI237" s="30">
        <v>43812</v>
      </c>
      <c r="AJ237" s="29"/>
      <c r="AK237" s="30">
        <v>43812</v>
      </c>
      <c r="AL237" s="29"/>
      <c r="AM237" s="30">
        <v>43822</v>
      </c>
      <c r="AN237" s="29"/>
      <c r="AO237" s="30">
        <v>43840</v>
      </c>
      <c r="AP237" s="29"/>
      <c r="AQ237" s="30">
        <v>43881</v>
      </c>
      <c r="AR237" s="29"/>
      <c r="AS237" s="30"/>
      <c r="AT237" s="29"/>
      <c r="AU237" s="29" t="s">
        <v>59</v>
      </c>
      <c r="AV237" s="38">
        <f>SUM(AO237-J237)/7</f>
        <v>55.285714285714285</v>
      </c>
      <c r="AW237" s="49">
        <f t="shared" si="15"/>
        <v>28.142857142857142</v>
      </c>
      <c r="AX237" s="29"/>
      <c r="AY237" s="77" t="str">
        <f>IF(D237&lt;&gt;"",IF(LEFT(IFERROR(VLOOKUP(D237,'LPA Lookup'!$A$100:$B$470,2,FALSE),"LPA not known to MCLHG"),3)&lt;&gt;"JSP",IFERROR(VLOOKUP(D237,'LPA Lookup'!$A$100:$B$470,2,FALSE),"LPA not known to MCLHG"),VLOOKUP(D237&amp;B237,'LPA Lookup'!$A$100:$B$470,3,FALSE)),"")</f>
        <v>LPA not known to MCLHG</v>
      </c>
      <c r="AZ237" s="41" t="str">
        <f t="shared" si="13"/>
        <v>Dec 18</v>
      </c>
      <c r="BA237" s="41" t="str">
        <f t="shared" si="14"/>
        <v>Jan 20</v>
      </c>
    </row>
    <row r="238" spans="1:53" ht="14" x14ac:dyDescent="0.15">
      <c r="A238" s="35" t="s">
        <v>53</v>
      </c>
      <c r="B238" s="46">
        <v>1914</v>
      </c>
      <c r="C238" s="27" t="s">
        <v>61</v>
      </c>
      <c r="D238" s="29" t="s">
        <v>526</v>
      </c>
      <c r="E238" s="29" t="s">
        <v>212</v>
      </c>
      <c r="F238" s="29" t="s">
        <v>107</v>
      </c>
      <c r="G238" s="29">
        <v>2</v>
      </c>
      <c r="H238" s="30">
        <v>43367</v>
      </c>
      <c r="I238" s="29"/>
      <c r="J238" s="30">
        <v>43455</v>
      </c>
      <c r="K238" s="29"/>
      <c r="L238" s="29"/>
      <c r="M238" s="30">
        <v>43473</v>
      </c>
      <c r="N238" s="30"/>
      <c r="O238" s="30">
        <v>43557</v>
      </c>
      <c r="P238" s="29"/>
      <c r="Q238" s="30">
        <v>43567</v>
      </c>
      <c r="R238" s="29"/>
      <c r="S238" s="29"/>
      <c r="T238" s="29"/>
      <c r="U238" s="29"/>
      <c r="V238" s="29"/>
      <c r="W238" s="29"/>
      <c r="X238" s="29">
        <v>7.97</v>
      </c>
      <c r="Y238" s="29">
        <v>1.21</v>
      </c>
      <c r="Z238" s="29"/>
      <c r="AA238" s="29">
        <v>0</v>
      </c>
      <c r="AB238" s="29">
        <v>0.68</v>
      </c>
      <c r="AC238" s="29"/>
      <c r="AD238" s="29">
        <v>7.93</v>
      </c>
      <c r="AE238" s="37">
        <v>44.25</v>
      </c>
      <c r="AF238" s="29"/>
      <c r="AG238" s="30">
        <v>43816</v>
      </c>
      <c r="AH238" s="29"/>
      <c r="AI238" s="30">
        <v>43740</v>
      </c>
      <c r="AJ238" s="29"/>
      <c r="AK238" s="30">
        <v>43776</v>
      </c>
      <c r="AL238" s="29"/>
      <c r="AM238" s="30">
        <v>43815</v>
      </c>
      <c r="AN238" s="29"/>
      <c r="AO238" s="30">
        <v>43819</v>
      </c>
      <c r="AP238" s="29"/>
      <c r="AQ238" s="30">
        <v>43885</v>
      </c>
      <c r="AR238" s="29"/>
      <c r="AS238" s="30"/>
      <c r="AT238" s="29"/>
      <c r="AU238" s="29" t="s">
        <v>59</v>
      </c>
      <c r="AV238" s="50">
        <v>50.857142857142854</v>
      </c>
      <c r="AW238" s="49">
        <f t="shared" si="15"/>
        <v>36</v>
      </c>
      <c r="AX238" s="29"/>
      <c r="AY238" s="77" t="str">
        <f>IF(D238&lt;&gt;"",IF(LEFT(IFERROR(VLOOKUP(D238,'LPA Lookup'!$A$100:$B$470,2,FALSE),"LPA not known to MCLHG"),3)&lt;&gt;"JSP",IFERROR(VLOOKUP(D238,'LPA Lookup'!$A$100:$B$470,2,FALSE),"LPA not known to MCLHG"),VLOOKUP(D238&amp;B238,'LPA Lookup'!$A$100:$B$470,3,FALSE)),"")</f>
        <v>E07000063</v>
      </c>
      <c r="AZ238" s="41" t="str">
        <f t="shared" si="13"/>
        <v>Dec 18</v>
      </c>
      <c r="BA238" s="41" t="str">
        <f t="shared" si="14"/>
        <v>Dec 19</v>
      </c>
    </row>
    <row r="239" spans="1:53" ht="14" x14ac:dyDescent="0.15">
      <c r="A239" s="35" t="s">
        <v>53</v>
      </c>
      <c r="B239" s="46">
        <v>2028</v>
      </c>
      <c r="C239" s="29" t="s">
        <v>67</v>
      </c>
      <c r="D239" s="29" t="s">
        <v>527</v>
      </c>
      <c r="E239" s="29" t="s">
        <v>528</v>
      </c>
      <c r="F239" s="29" t="s">
        <v>80</v>
      </c>
      <c r="G239" s="29">
        <v>2</v>
      </c>
      <c r="H239" s="30">
        <v>43251</v>
      </c>
      <c r="I239" s="29"/>
      <c r="J239" s="30">
        <v>43455</v>
      </c>
      <c r="K239" s="29"/>
      <c r="L239" s="29"/>
      <c r="M239" s="30">
        <v>43507</v>
      </c>
      <c r="N239" s="30"/>
      <c r="O239" s="30">
        <v>43627</v>
      </c>
      <c r="P239" s="29"/>
      <c r="Q239" s="30">
        <v>43628</v>
      </c>
      <c r="R239" s="29"/>
      <c r="S239" s="29"/>
      <c r="T239" s="29"/>
      <c r="U239" s="29"/>
      <c r="V239" s="29"/>
      <c r="W239" s="29"/>
      <c r="X239" s="29">
        <v>24.69</v>
      </c>
      <c r="Y239" s="29">
        <v>6.28</v>
      </c>
      <c r="Z239" s="29"/>
      <c r="AA239" s="29">
        <v>0.61</v>
      </c>
      <c r="AB239" s="29">
        <v>2.2999999999999998</v>
      </c>
      <c r="AC239" s="29"/>
      <c r="AD239" s="29">
        <v>20.16</v>
      </c>
      <c r="AE239" s="37">
        <f>AllPlans[[#This Row],[Prep days*]]+AllPlans[[#This Row],[Hearing days*]]+AllPlans[[#This Row],[SV days*]]+AllPlans[[#This Row],[Travel days]]+AllPlans[[#This Row],[Reptg days*]]</f>
        <v>54.040000000000006</v>
      </c>
      <c r="AF239" s="29"/>
      <c r="AG239" s="30">
        <v>43816</v>
      </c>
      <c r="AH239" s="29"/>
      <c r="AI239" s="30">
        <v>43780</v>
      </c>
      <c r="AJ239" s="29"/>
      <c r="AK239" s="30">
        <v>43788</v>
      </c>
      <c r="AL239" s="29"/>
      <c r="AM239" s="30">
        <v>43815</v>
      </c>
      <c r="AN239" s="29"/>
      <c r="AO239" s="30">
        <v>43821</v>
      </c>
      <c r="AP239" s="29"/>
      <c r="AQ239" s="30">
        <v>43910</v>
      </c>
      <c r="AR239" s="29"/>
      <c r="AS239" s="30"/>
      <c r="AT239" s="29"/>
      <c r="AU239" s="29" t="s">
        <v>59</v>
      </c>
      <c r="AV239" s="50">
        <v>56.428571428571431</v>
      </c>
      <c r="AW239" s="49">
        <f t="shared" si="15"/>
        <v>27.571428571428573</v>
      </c>
      <c r="AX239" s="29"/>
      <c r="AY239" s="77" t="str">
        <f>IF(D239&lt;&gt;"",IF(LEFT(IFERROR(VLOOKUP(D239,'LPA Lookup'!$A$100:$B$470,2,FALSE),"LPA not known to MCLHG"),3)&lt;&gt;"JSP",IFERROR(VLOOKUP(D239,'LPA Lookup'!$A$100:$B$470,2,FALSE),"LPA not known to MCLHG"),VLOOKUP(D239&amp;B239,'LPA Lookup'!$A$100:$B$470,3,FALSE)),"")</f>
        <v>LPA not known to MCLHG</v>
      </c>
      <c r="AZ239" s="41" t="str">
        <f t="shared" si="13"/>
        <v>Dec 18</v>
      </c>
      <c r="BA239" s="41" t="str">
        <f t="shared" si="14"/>
        <v>Dec 19</v>
      </c>
    </row>
    <row r="240" spans="1:53" ht="14" x14ac:dyDescent="0.15">
      <c r="A240" s="35" t="s">
        <v>53</v>
      </c>
      <c r="B240" s="46">
        <v>1943</v>
      </c>
      <c r="C240" s="29" t="s">
        <v>270</v>
      </c>
      <c r="D240" s="29" t="s">
        <v>329</v>
      </c>
      <c r="E240" s="29" t="s">
        <v>56</v>
      </c>
      <c r="F240" s="29" t="s">
        <v>57</v>
      </c>
      <c r="G240" s="29">
        <v>3</v>
      </c>
      <c r="H240" s="30">
        <v>43266</v>
      </c>
      <c r="I240" s="29"/>
      <c r="J240" s="30">
        <v>43455</v>
      </c>
      <c r="K240" s="29"/>
      <c r="L240" s="29"/>
      <c r="M240" s="30">
        <v>43455</v>
      </c>
      <c r="N240" s="30"/>
      <c r="O240" s="30">
        <v>43606</v>
      </c>
      <c r="P240" s="29"/>
      <c r="Q240" s="30">
        <v>43629</v>
      </c>
      <c r="R240" s="29"/>
      <c r="S240" s="29"/>
      <c r="T240" s="29"/>
      <c r="U240" s="29"/>
      <c r="V240" s="29"/>
      <c r="W240" s="29"/>
      <c r="X240" s="29">
        <v>33.770000000000003</v>
      </c>
      <c r="Y240" s="29">
        <v>6.22</v>
      </c>
      <c r="Z240" s="29"/>
      <c r="AA240" s="29">
        <v>0</v>
      </c>
      <c r="AB240" s="29">
        <v>2.68</v>
      </c>
      <c r="AC240" s="29"/>
      <c r="AD240" s="29">
        <v>43.29</v>
      </c>
      <c r="AE240" s="37">
        <f>AllPlans[[#This Row],[Prep days*]]+AllPlans[[#This Row],[Hearing days*]]+AllPlans[[#This Row],[SV days*]]+AllPlans[[#This Row],[Travel days]]+AllPlans[[#This Row],[Reptg days*]]</f>
        <v>85.960000000000008</v>
      </c>
      <c r="AF240" s="29"/>
      <c r="AG240" s="30">
        <v>43818</v>
      </c>
      <c r="AH240" s="29"/>
      <c r="AI240" s="30">
        <v>43804</v>
      </c>
      <c r="AJ240" s="29"/>
      <c r="AK240" s="30">
        <v>43816</v>
      </c>
      <c r="AL240" s="29"/>
      <c r="AM240" s="30">
        <v>43818</v>
      </c>
      <c r="AN240" s="29"/>
      <c r="AO240" s="30">
        <v>43837</v>
      </c>
      <c r="AP240" s="29"/>
      <c r="AQ240" s="30">
        <v>43860</v>
      </c>
      <c r="AR240" s="29"/>
      <c r="AS240" s="30"/>
      <c r="AT240" s="29"/>
      <c r="AU240" s="29" t="s">
        <v>59</v>
      </c>
      <c r="AV240" s="50">
        <v>81.571428571428569</v>
      </c>
      <c r="AW240" s="49">
        <f t="shared" si="15"/>
        <v>29.714285714285715</v>
      </c>
      <c r="AX240" s="29"/>
      <c r="AY240" s="77" t="str">
        <f>IF(D240&lt;&gt;"",IF(LEFT(IFERROR(VLOOKUP(D240,'LPA Lookup'!$A$100:$B$470,2,FALSE),"LPA not known to MCLHG"),3)&lt;&gt;"JSP",IFERROR(VLOOKUP(D240,'LPA Lookup'!$A$100:$B$470,2,FALSE),"LPA not known to MCLHG"),VLOOKUP(D240&amp;B240,'LPA Lookup'!$A$100:$B$470,3,FALSE)),"")</f>
        <v>E08000024</v>
      </c>
      <c r="AZ240" s="41" t="str">
        <f t="shared" si="13"/>
        <v>Dec 18</v>
      </c>
      <c r="BA240" s="41" t="str">
        <f t="shared" si="14"/>
        <v>Jan 20</v>
      </c>
    </row>
    <row r="241" spans="1:53" ht="14" x14ac:dyDescent="0.15">
      <c r="A241" s="35" t="s">
        <v>53</v>
      </c>
      <c r="B241" s="46">
        <v>2055</v>
      </c>
      <c r="C241" s="29" t="s">
        <v>71</v>
      </c>
      <c r="D241" s="29" t="s">
        <v>529</v>
      </c>
      <c r="E241" s="29" t="s">
        <v>530</v>
      </c>
      <c r="F241" s="29" t="s">
        <v>80</v>
      </c>
      <c r="G241" s="29">
        <v>2</v>
      </c>
      <c r="H241" s="30">
        <v>43276</v>
      </c>
      <c r="I241" s="29"/>
      <c r="J241" s="30">
        <v>43455</v>
      </c>
      <c r="K241" s="29"/>
      <c r="L241" s="29"/>
      <c r="M241" s="30">
        <v>43455</v>
      </c>
      <c r="N241" s="30"/>
      <c r="O241" s="30">
        <v>43635</v>
      </c>
      <c r="P241" s="29"/>
      <c r="Q241" s="30">
        <v>43642</v>
      </c>
      <c r="R241" s="29"/>
      <c r="S241" s="29"/>
      <c r="T241" s="29"/>
      <c r="U241" s="29"/>
      <c r="V241" s="29"/>
      <c r="W241" s="29"/>
      <c r="X241" s="44">
        <v>31.16</v>
      </c>
      <c r="Y241" s="44">
        <v>6.89</v>
      </c>
      <c r="Z241" s="44"/>
      <c r="AA241" s="44">
        <v>0</v>
      </c>
      <c r="AB241" s="44">
        <v>2.5099999999999998</v>
      </c>
      <c r="AC241" s="44"/>
      <c r="AD241" s="44">
        <v>9.2200000000000006</v>
      </c>
      <c r="AE241" s="37">
        <f>AllPlans[[#This Row],[Prep days*]]+AllPlans[[#This Row],[Hearing days*]]+AllPlans[[#This Row],[SV days*]]+AllPlans[[#This Row],[Travel days]]+AllPlans[[#This Row],[Reptg days*]]</f>
        <v>49.779999999999994</v>
      </c>
      <c r="AF241" s="29"/>
      <c r="AG241" s="30">
        <v>43882</v>
      </c>
      <c r="AH241" s="29"/>
      <c r="AI241" s="30">
        <v>43871</v>
      </c>
      <c r="AJ241" s="29"/>
      <c r="AK241" s="30">
        <v>43879</v>
      </c>
      <c r="AL241" s="29"/>
      <c r="AM241" s="30">
        <v>43881</v>
      </c>
      <c r="AN241" s="29"/>
      <c r="AO241" s="30">
        <v>43899</v>
      </c>
      <c r="AP241" s="29"/>
      <c r="AQ241" s="30">
        <v>44021</v>
      </c>
      <c r="AR241" s="29"/>
      <c r="AS241" s="30"/>
      <c r="AT241" s="29"/>
      <c r="AU241" s="29" t="s">
        <v>59</v>
      </c>
      <c r="AV241" s="93">
        <v>43.857142857142854</v>
      </c>
      <c r="AW241" s="49">
        <f t="shared" si="15"/>
        <v>36.714285714285715</v>
      </c>
      <c r="AX241" s="29"/>
      <c r="AY241" s="77" t="str">
        <f>IF(D241&lt;&gt;"",IF(LEFT(IFERROR(VLOOKUP(D241,'LPA Lookup'!$A$100:$B$470,2,FALSE),"LPA not known to MCLHG"),3)&lt;&gt;"JSP",IFERROR(VLOOKUP(D241,'LPA Lookup'!$A$100:$B$470,2,FALSE),"LPA not known to MCLHG"),VLOOKUP(D241&amp;B241,'LPA Lookup'!$A$100:$B$470,3,FALSE)),"")</f>
        <v>LPA not known to MCLHG</v>
      </c>
      <c r="AZ241" s="41" t="str">
        <f t="shared" si="13"/>
        <v>Dec 18</v>
      </c>
      <c r="BA241" s="41" t="str">
        <f t="shared" si="14"/>
        <v>Mar 20</v>
      </c>
    </row>
    <row r="242" spans="1:53" ht="14" x14ac:dyDescent="0.15">
      <c r="A242" s="35" t="s">
        <v>53</v>
      </c>
      <c r="B242" s="46">
        <v>1939</v>
      </c>
      <c r="C242" s="27" t="s">
        <v>104</v>
      </c>
      <c r="D242" s="29" t="s">
        <v>531</v>
      </c>
      <c r="E242" s="29" t="s">
        <v>56</v>
      </c>
      <c r="F242" s="29" t="s">
        <v>57</v>
      </c>
      <c r="G242" s="29">
        <v>3</v>
      </c>
      <c r="H242" s="30">
        <v>43363</v>
      </c>
      <c r="I242" s="29"/>
      <c r="J242" s="30">
        <v>43455</v>
      </c>
      <c r="K242" s="29"/>
      <c r="L242" s="29"/>
      <c r="M242" s="30">
        <v>43453</v>
      </c>
      <c r="N242" s="30"/>
      <c r="O242" s="30">
        <v>43599</v>
      </c>
      <c r="P242" s="29"/>
      <c r="Q242" s="30">
        <v>43975</v>
      </c>
      <c r="R242" s="29"/>
      <c r="S242" s="29"/>
      <c r="T242" s="29"/>
      <c r="U242" s="29"/>
      <c r="V242" s="29"/>
      <c r="W242" s="29"/>
      <c r="X242" s="29">
        <v>2.54</v>
      </c>
      <c r="Y242" s="29">
        <v>0</v>
      </c>
      <c r="Z242" s="29"/>
      <c r="AA242" s="29">
        <v>0</v>
      </c>
      <c r="AB242" s="29">
        <v>0</v>
      </c>
      <c r="AC242" s="29"/>
      <c r="AD242" s="29">
        <v>4.3600000000000003</v>
      </c>
      <c r="AE242" s="37">
        <v>45</v>
      </c>
      <c r="AF242" s="29"/>
      <c r="AG242" s="30">
        <v>43906</v>
      </c>
      <c r="AH242" s="29"/>
      <c r="AI242" s="30">
        <v>43888</v>
      </c>
      <c r="AJ242" s="29"/>
      <c r="AK242" s="30">
        <v>43901</v>
      </c>
      <c r="AL242" s="29"/>
      <c r="AM242" s="30">
        <v>43903</v>
      </c>
      <c r="AN242" s="29"/>
      <c r="AO242" s="30">
        <v>43921</v>
      </c>
      <c r="AP242" s="29"/>
      <c r="AQ242" s="30">
        <v>44082</v>
      </c>
      <c r="AR242" s="29"/>
      <c r="AS242" s="30"/>
      <c r="AT242" s="29"/>
      <c r="AU242" s="29" t="s">
        <v>59</v>
      </c>
      <c r="AV242" s="50">
        <v>39.571428571428569</v>
      </c>
      <c r="AW242" s="49">
        <f t="shared" si="15"/>
        <v>-7.7142857142857144</v>
      </c>
      <c r="AX242" s="29"/>
      <c r="AY242" s="77" t="str">
        <f>IF(D242&lt;&gt;"",IF(LEFT(IFERROR(VLOOKUP(D242,'LPA Lookup'!$A$100:$B$470,2,FALSE),"LPA not known to MCLHG"),3)&lt;&gt;"JSP",IFERROR(VLOOKUP(D242,'LPA Lookup'!$A$100:$B$470,2,FALSE),"LPA not known to MCLHG"),VLOOKUP(D242&amp;B242,'LPA Lookup'!$A$100:$B$470,3,FALSE)),"")</f>
        <v>E07000174</v>
      </c>
      <c r="AZ242" s="41" t="str">
        <f t="shared" si="13"/>
        <v>Dec 18</v>
      </c>
      <c r="BA242" s="41" t="str">
        <f t="shared" si="14"/>
        <v>Mar 20</v>
      </c>
    </row>
    <row r="243" spans="1:53" ht="14" x14ac:dyDescent="0.15">
      <c r="A243" s="35" t="s">
        <v>53</v>
      </c>
      <c r="B243" s="35">
        <v>2006</v>
      </c>
      <c r="C243" s="27" t="s">
        <v>77</v>
      </c>
      <c r="D243" s="81" t="s">
        <v>532</v>
      </c>
      <c r="E243" s="27" t="s">
        <v>56</v>
      </c>
      <c r="F243" s="27" t="s">
        <v>57</v>
      </c>
      <c r="G243" s="27">
        <v>3</v>
      </c>
      <c r="H243" s="28">
        <v>43322</v>
      </c>
      <c r="I243" s="27"/>
      <c r="J243" s="28">
        <v>43476</v>
      </c>
      <c r="K243" s="27"/>
      <c r="L243" s="27"/>
      <c r="M243" s="28">
        <v>43476</v>
      </c>
      <c r="N243" s="28"/>
      <c r="O243" s="28">
        <v>43642</v>
      </c>
      <c r="P243" s="27" t="s">
        <v>384</v>
      </c>
      <c r="Q243" s="28">
        <v>44589</v>
      </c>
      <c r="R243" s="27"/>
      <c r="S243" s="27"/>
      <c r="T243" s="27"/>
      <c r="U243" s="27"/>
      <c r="V243" s="27"/>
      <c r="W243" s="27"/>
      <c r="X243" s="27">
        <v>26.47</v>
      </c>
      <c r="Y243" s="27">
        <v>6.25</v>
      </c>
      <c r="Z243" s="27"/>
      <c r="AA243" s="27">
        <v>1.69</v>
      </c>
      <c r="AB243" s="27">
        <v>1.89</v>
      </c>
      <c r="AC243" s="27"/>
      <c r="AD243" s="27">
        <v>42.81</v>
      </c>
      <c r="AE243" s="37">
        <v>271.97000000000003</v>
      </c>
      <c r="AF243" s="27"/>
      <c r="AG243" s="28">
        <v>44937</v>
      </c>
      <c r="AH243" s="27"/>
      <c r="AI243" s="28">
        <v>44910</v>
      </c>
      <c r="AJ243" s="27"/>
      <c r="AK243" s="28">
        <v>44916</v>
      </c>
      <c r="AL243" s="27"/>
      <c r="AM243" s="28">
        <v>44936</v>
      </c>
      <c r="AN243" s="27"/>
      <c r="AO243" s="28">
        <v>44952</v>
      </c>
      <c r="AP243" s="27"/>
      <c r="AQ243" s="28">
        <v>45007</v>
      </c>
      <c r="AR243" s="27"/>
      <c r="AS243" s="28"/>
      <c r="AT243" s="27"/>
      <c r="AU243" s="27" t="s">
        <v>59</v>
      </c>
      <c r="AV243" s="38">
        <v>50.857142857142854</v>
      </c>
      <c r="AW243" s="39">
        <f t="shared" si="15"/>
        <v>51.857142857142854</v>
      </c>
      <c r="AX243" s="27"/>
      <c r="AY243" s="77" t="str">
        <f>IF(D243&lt;&gt;"",IF(LEFT(IFERROR(VLOOKUP(D243,'LPA Lookup'!$A$100:$B$470,2,FALSE),"LPA not known to MCLHG"),3)&lt;&gt;"JSP",IFERROR(VLOOKUP(D243,'LPA Lookup'!$A$100:$B$470,2,FALSE),"LPA not known to MCLHG"),VLOOKUP(D243&amp;B243,'LPA Lookup'!$A$100:$B$470,3,FALSE)),"")</f>
        <v>LPA not known to MCLHG</v>
      </c>
      <c r="AZ243" s="41" t="str">
        <f t="shared" si="13"/>
        <v>Jan 19</v>
      </c>
      <c r="BA243" s="41" t="str">
        <f t="shared" si="14"/>
        <v>Jan 23</v>
      </c>
    </row>
    <row r="244" spans="1:53" ht="14" x14ac:dyDescent="0.15">
      <c r="A244" s="35" t="s">
        <v>53</v>
      </c>
      <c r="B244" s="46">
        <v>1936</v>
      </c>
      <c r="C244" s="27" t="s">
        <v>104</v>
      </c>
      <c r="D244" s="29" t="s">
        <v>533</v>
      </c>
      <c r="E244" s="29" t="s">
        <v>56</v>
      </c>
      <c r="F244" s="29" t="s">
        <v>57</v>
      </c>
      <c r="G244" s="29">
        <v>3</v>
      </c>
      <c r="H244" s="30">
        <v>43262</v>
      </c>
      <c r="I244" s="29"/>
      <c r="J244" s="30">
        <v>43479</v>
      </c>
      <c r="K244" s="29"/>
      <c r="L244" s="29"/>
      <c r="M244" s="30">
        <v>43479</v>
      </c>
      <c r="N244" s="30"/>
      <c r="O244" s="30">
        <v>43593</v>
      </c>
      <c r="P244" s="29"/>
      <c r="Q244" s="30">
        <v>43616</v>
      </c>
      <c r="R244" s="29"/>
      <c r="S244" s="29"/>
      <c r="T244" s="29"/>
      <c r="U244" s="29"/>
      <c r="V244" s="29"/>
      <c r="W244" s="29"/>
      <c r="X244" s="29">
        <v>8.8000000000000007</v>
      </c>
      <c r="Y244" s="29">
        <v>0.41</v>
      </c>
      <c r="Z244" s="29"/>
      <c r="AA244" s="29">
        <v>0</v>
      </c>
      <c r="AB244" s="29">
        <v>0.82</v>
      </c>
      <c r="AC244" s="29"/>
      <c r="AD244" s="29">
        <v>3.84</v>
      </c>
      <c r="AE244" s="37">
        <v>75.739999999999995</v>
      </c>
      <c r="AF244" s="29"/>
      <c r="AG244" s="30">
        <v>43818</v>
      </c>
      <c r="AH244" s="29"/>
      <c r="AI244" s="30">
        <v>43774</v>
      </c>
      <c r="AJ244" s="29"/>
      <c r="AK244" s="30">
        <v>43812</v>
      </c>
      <c r="AL244" s="29"/>
      <c r="AM244" s="30">
        <v>43818</v>
      </c>
      <c r="AN244" s="29"/>
      <c r="AO244" s="30">
        <v>43836</v>
      </c>
      <c r="AP244" s="29"/>
      <c r="AQ244" s="30">
        <v>43860</v>
      </c>
      <c r="AR244" s="29"/>
      <c r="AS244" s="30"/>
      <c r="AT244" s="29"/>
      <c r="AU244" s="29" t="s">
        <v>59</v>
      </c>
      <c r="AV244" s="50">
        <v>57.428571428571431</v>
      </c>
      <c r="AW244" s="49">
        <f t="shared" si="15"/>
        <v>31.428571428571427</v>
      </c>
      <c r="AX244" s="29"/>
      <c r="AY244" s="77" t="str">
        <f>IF(D244&lt;&gt;"",IF(LEFT(IFERROR(VLOOKUP(D244,'LPA Lookup'!$A$100:$B$470,2,FALSE),"LPA not known to MCLHG"),3)&lt;&gt;"JSP",IFERROR(VLOOKUP(D244,'LPA Lookup'!$A$100:$B$470,2,FALSE),"LPA not known to MCLHG"),VLOOKUP(D244&amp;B244,'LPA Lookup'!$A$100:$B$470,3,FALSE)),"")</f>
        <v>E07000141</v>
      </c>
      <c r="AZ244" s="41" t="str">
        <f t="shared" si="13"/>
        <v>Jan 19</v>
      </c>
      <c r="BA244" s="41" t="str">
        <f t="shared" si="14"/>
        <v>Jan 20</v>
      </c>
    </row>
    <row r="245" spans="1:53" ht="14" x14ac:dyDescent="0.15">
      <c r="A245" s="35" t="s">
        <v>53</v>
      </c>
      <c r="B245" s="46">
        <v>1952</v>
      </c>
      <c r="C245" s="29" t="s">
        <v>61</v>
      </c>
      <c r="D245" s="29" t="s">
        <v>534</v>
      </c>
      <c r="E245" s="29" t="s">
        <v>535</v>
      </c>
      <c r="F245" s="29" t="s">
        <v>107</v>
      </c>
      <c r="G245" s="29">
        <v>2</v>
      </c>
      <c r="H245" s="30">
        <v>43399</v>
      </c>
      <c r="I245" s="29"/>
      <c r="J245" s="30">
        <v>43483</v>
      </c>
      <c r="K245" s="29"/>
      <c r="L245" s="29"/>
      <c r="M245" s="30">
        <v>43489</v>
      </c>
      <c r="N245" s="30"/>
      <c r="O245" s="30">
        <v>43593</v>
      </c>
      <c r="P245" s="29"/>
      <c r="Q245" s="30">
        <v>43601</v>
      </c>
      <c r="R245" s="29"/>
      <c r="S245" s="29"/>
      <c r="T245" s="29"/>
      <c r="U245" s="29"/>
      <c r="V245" s="29"/>
      <c r="W245" s="29"/>
      <c r="X245" s="29">
        <v>40.85</v>
      </c>
      <c r="Y245" s="29">
        <v>6</v>
      </c>
      <c r="Z245" s="29"/>
      <c r="AA245" s="29">
        <v>1.59</v>
      </c>
      <c r="AB245" s="29">
        <v>1.36</v>
      </c>
      <c r="AC245" s="29"/>
      <c r="AD245" s="29">
        <v>58.36</v>
      </c>
      <c r="AE245" s="37">
        <f>AllPlans[[#This Row],[Prep days*]]+AllPlans[[#This Row],[Hearing days*]]+AllPlans[[#This Row],[SV days*]]+AllPlans[[#This Row],[Travel days]]+AllPlans[[#This Row],[Reptg days*]]</f>
        <v>108.16</v>
      </c>
      <c r="AF245" s="29"/>
      <c r="AG245" s="30">
        <v>43770</v>
      </c>
      <c r="AH245" s="29"/>
      <c r="AI245" s="30">
        <v>43759</v>
      </c>
      <c r="AJ245" s="29"/>
      <c r="AK245" s="30">
        <v>43768</v>
      </c>
      <c r="AL245" s="29"/>
      <c r="AM245" s="30">
        <v>43769</v>
      </c>
      <c r="AN245" s="29"/>
      <c r="AO245" s="30">
        <v>43774</v>
      </c>
      <c r="AP245" s="29"/>
      <c r="AQ245" s="30">
        <v>43815</v>
      </c>
      <c r="AR245" s="29"/>
      <c r="AS245" s="30"/>
      <c r="AT245" s="29"/>
      <c r="AU245" s="29" t="s">
        <v>59</v>
      </c>
      <c r="AV245" s="50">
        <v>84.571428571428569</v>
      </c>
      <c r="AW245" s="49">
        <f t="shared" si="15"/>
        <v>24.714285714285715</v>
      </c>
      <c r="AX245" s="29"/>
      <c r="AY245" s="77" t="str">
        <f>IF(D245&lt;&gt;"",IF(LEFT(IFERROR(VLOOKUP(D245,'LPA Lookup'!$A$100:$B$470,2,FALSE),"LPA not known to MCLHG"),3)&lt;&gt;"JSP",IFERROR(VLOOKUP(D245,'LPA Lookup'!$A$100:$B$470,2,FALSE),"LPA not known to MCLHG"),VLOOKUP(D245&amp;B245,'LPA Lookup'!$A$100:$B$470,3,FALSE)),"")</f>
        <v>E07000064</v>
      </c>
      <c r="AZ245" s="41" t="str">
        <f t="shared" si="13"/>
        <v>Jan 19</v>
      </c>
      <c r="BA245" s="41" t="str">
        <f t="shared" si="14"/>
        <v>Nov 19</v>
      </c>
    </row>
    <row r="246" spans="1:53" ht="14" x14ac:dyDescent="0.15">
      <c r="A246" s="35" t="s">
        <v>53</v>
      </c>
      <c r="B246" s="46">
        <v>1998</v>
      </c>
      <c r="C246" s="27" t="s">
        <v>83</v>
      </c>
      <c r="D246" s="29" t="s">
        <v>536</v>
      </c>
      <c r="E246" s="29" t="s">
        <v>537</v>
      </c>
      <c r="F246" s="29" t="s">
        <v>107</v>
      </c>
      <c r="G246" s="29">
        <v>2</v>
      </c>
      <c r="H246" s="30">
        <v>43378</v>
      </c>
      <c r="I246" s="29"/>
      <c r="J246" s="30">
        <v>43483</v>
      </c>
      <c r="K246" s="29"/>
      <c r="L246" s="29"/>
      <c r="M246" s="30">
        <v>43483</v>
      </c>
      <c r="N246" s="30"/>
      <c r="O246" s="30">
        <v>43599</v>
      </c>
      <c r="P246" s="29"/>
      <c r="Q246" s="30">
        <v>43607</v>
      </c>
      <c r="R246" s="29"/>
      <c r="S246" s="29"/>
      <c r="T246" s="29"/>
      <c r="U246" s="29"/>
      <c r="V246" s="29"/>
      <c r="W246" s="29"/>
      <c r="X246" s="29">
        <v>15</v>
      </c>
      <c r="Y246" s="29">
        <v>2</v>
      </c>
      <c r="Z246" s="29"/>
      <c r="AA246" s="29">
        <v>0.59</v>
      </c>
      <c r="AB246" s="29">
        <v>1.41</v>
      </c>
      <c r="AC246" s="29"/>
      <c r="AD246" s="29">
        <v>7</v>
      </c>
      <c r="AE246" s="37">
        <v>56.56</v>
      </c>
      <c r="AF246" s="29"/>
      <c r="AG246" s="30">
        <v>43818</v>
      </c>
      <c r="AH246" s="29"/>
      <c r="AI246" s="30">
        <v>43782</v>
      </c>
      <c r="AJ246" s="29"/>
      <c r="AK246" s="30"/>
      <c r="AL246" s="29"/>
      <c r="AM246" s="30">
        <v>43818</v>
      </c>
      <c r="AN246" s="29"/>
      <c r="AO246" s="30">
        <v>43839</v>
      </c>
      <c r="AP246" s="29"/>
      <c r="AQ246" s="30">
        <v>44034</v>
      </c>
      <c r="AR246" s="29"/>
      <c r="AS246" s="30"/>
      <c r="AT246" s="29"/>
      <c r="AU246" s="29" t="s">
        <v>59</v>
      </c>
      <c r="AV246" s="50">
        <v>45.428571428571431</v>
      </c>
      <c r="AW246" s="49">
        <f t="shared" si="15"/>
        <v>33.142857142857146</v>
      </c>
      <c r="AX246" s="29"/>
      <c r="AY246" s="77" t="str">
        <f>IF(D246&lt;&gt;"",IF(LEFT(IFERROR(VLOOKUP(D246,'LPA Lookup'!$A$100:$B$470,2,FALSE),"LPA not known to MCLHG"),3)&lt;&gt;"JSP",IFERROR(VLOOKUP(D246,'LPA Lookup'!$A$100:$B$470,2,FALSE),"LPA not known to MCLHG"),VLOOKUP(D246&amp;B246,'LPA Lookup'!$A$100:$B$470,3,FALSE)),"")</f>
        <v>LPA not known to MCLHG</v>
      </c>
      <c r="AZ246" s="41" t="str">
        <f t="shared" si="13"/>
        <v>Jan 19</v>
      </c>
      <c r="BA246" s="41" t="str">
        <f t="shared" si="14"/>
        <v>Jan 20</v>
      </c>
    </row>
    <row r="247" spans="1:53" ht="14" x14ac:dyDescent="0.15">
      <c r="A247" s="35" t="s">
        <v>53</v>
      </c>
      <c r="B247" s="35">
        <v>1933</v>
      </c>
      <c r="C247" s="27" t="s">
        <v>61</v>
      </c>
      <c r="D247" s="36" t="s">
        <v>538</v>
      </c>
      <c r="E247" s="27" t="s">
        <v>56</v>
      </c>
      <c r="F247" s="27" t="s">
        <v>57</v>
      </c>
      <c r="G247" s="27">
        <v>3</v>
      </c>
      <c r="H247" s="28">
        <v>43311</v>
      </c>
      <c r="I247" s="27"/>
      <c r="J247" s="28">
        <v>43483</v>
      </c>
      <c r="K247" s="27"/>
      <c r="L247" s="27"/>
      <c r="M247" s="28">
        <v>43483</v>
      </c>
      <c r="N247" s="28"/>
      <c r="O247" s="28">
        <v>43746</v>
      </c>
      <c r="P247" s="27" t="s">
        <v>509</v>
      </c>
      <c r="Q247" s="28">
        <v>43797</v>
      </c>
      <c r="R247" s="27"/>
      <c r="S247" s="27"/>
      <c r="T247" s="27"/>
      <c r="U247" s="27"/>
      <c r="V247" s="27"/>
      <c r="W247" s="27"/>
      <c r="X247" s="27">
        <v>34.770000000000003</v>
      </c>
      <c r="Y247" s="27">
        <v>7.69</v>
      </c>
      <c r="Z247" s="27"/>
      <c r="AA247" s="27">
        <v>0.14000000000000001</v>
      </c>
      <c r="AB247" s="27">
        <v>4.99</v>
      </c>
      <c r="AC247" s="27"/>
      <c r="AD247" s="27">
        <v>41.58</v>
      </c>
      <c r="AE247" s="37">
        <f>AllPlans[[#This Row],[Prep days*]]+AllPlans[[#This Row],[Hearing days*]]+AllPlans[[#This Row],[SV days*]]+AllPlans[[#This Row],[Travel days]]+AllPlans[[#This Row],[Reptg days*]]</f>
        <v>89.17</v>
      </c>
      <c r="AF247" s="27"/>
      <c r="AG247" s="28">
        <v>45322</v>
      </c>
      <c r="AH247" s="27"/>
      <c r="AI247" s="28">
        <v>45279</v>
      </c>
      <c r="AJ247" s="27"/>
      <c r="AK247" s="28">
        <v>45316</v>
      </c>
      <c r="AL247" s="27"/>
      <c r="AM247" s="28">
        <v>45322</v>
      </c>
      <c r="AN247" s="27"/>
      <c r="AO247" s="28">
        <v>45336</v>
      </c>
      <c r="AP247" s="27"/>
      <c r="AQ247" s="28"/>
      <c r="AR247" s="27"/>
      <c r="AS247" s="28"/>
      <c r="AT247" s="27"/>
      <c r="AU247" s="27" t="s">
        <v>287</v>
      </c>
      <c r="AV247" s="38">
        <v>47.714285714285715</v>
      </c>
      <c r="AW247" s="39">
        <f t="shared" si="15"/>
        <v>219.85714285714286</v>
      </c>
      <c r="AX247" s="27"/>
      <c r="AY247" s="77" t="str">
        <f>IF(D247&lt;&gt;"",IF(LEFT(IFERROR(VLOOKUP(D247,'LPA Lookup'!$A$100:$B$470,2,FALSE),"LPA not known to MCLHG"),3)&lt;&gt;"JSP",IFERROR(VLOOKUP(D247,'LPA Lookup'!$A$100:$B$470,2,FALSE),"LPA not known to MCLHG"),VLOOKUP(D247&amp;B247,'LPA Lookup'!$A$100:$B$470,3,FALSE)),"")</f>
        <v>E07000215</v>
      </c>
      <c r="AZ247" s="41" t="str">
        <f t="shared" si="13"/>
        <v>Jan 19</v>
      </c>
      <c r="BA247" s="41" t="str">
        <f t="shared" si="14"/>
        <v>Feb 24</v>
      </c>
    </row>
    <row r="248" spans="1:53" ht="14" x14ac:dyDescent="0.15">
      <c r="A248" s="35" t="s">
        <v>53</v>
      </c>
      <c r="B248" s="94">
        <v>1924</v>
      </c>
      <c r="C248" s="42" t="s">
        <v>71</v>
      </c>
      <c r="D248" s="42" t="s">
        <v>539</v>
      </c>
      <c r="E248" s="42" t="s">
        <v>56</v>
      </c>
      <c r="F248" s="42" t="s">
        <v>57</v>
      </c>
      <c r="G248" s="42">
        <v>3</v>
      </c>
      <c r="H248" s="43">
        <v>43266</v>
      </c>
      <c r="I248" s="42"/>
      <c r="J248" s="43">
        <v>43483</v>
      </c>
      <c r="K248" s="42"/>
      <c r="L248" s="42"/>
      <c r="M248" s="43">
        <v>43489</v>
      </c>
      <c r="N248" s="43"/>
      <c r="O248" s="43">
        <v>43648</v>
      </c>
      <c r="P248" s="42"/>
      <c r="Q248" s="43"/>
      <c r="R248" s="42"/>
      <c r="S248" s="42"/>
      <c r="T248" s="42"/>
      <c r="U248" s="42"/>
      <c r="V248" s="42"/>
      <c r="W248" s="42"/>
      <c r="X248" s="56">
        <v>26</v>
      </c>
      <c r="Y248" s="56">
        <v>7.5</v>
      </c>
      <c r="Z248" s="56"/>
      <c r="AA248" s="56">
        <v>0</v>
      </c>
      <c r="AB248" s="56">
        <v>2</v>
      </c>
      <c r="AC248" s="56"/>
      <c r="AD248" s="56">
        <v>21.5</v>
      </c>
      <c r="AE248" s="37">
        <v>89.04</v>
      </c>
      <c r="AF248" s="42"/>
      <c r="AG248" s="43"/>
      <c r="AH248" s="42"/>
      <c r="AI248" s="43"/>
      <c r="AJ248" s="42"/>
      <c r="AK248" s="43"/>
      <c r="AL248" s="42"/>
      <c r="AM248" s="43"/>
      <c r="AN248" s="42"/>
      <c r="AO248" s="43"/>
      <c r="AP248" s="42"/>
      <c r="AQ248" s="43"/>
      <c r="AR248" s="42"/>
      <c r="AS248" s="43">
        <v>43956</v>
      </c>
      <c r="AT248" s="42"/>
      <c r="AU248" s="42" t="s">
        <v>278</v>
      </c>
      <c r="AV248" s="38" t="e">
        <f>DATEDIF(J248,AO248, "d")/7</f>
        <v>#NUM!</v>
      </c>
      <c r="AW248" s="95">
        <f t="shared" si="15"/>
        <v>0</v>
      </c>
      <c r="AX248" s="42"/>
      <c r="AY248" s="77" t="str">
        <f>IF(D248&lt;&gt;"",IF(LEFT(IFERROR(VLOOKUP(D248,'LPA Lookup'!$A$100:$B$470,2,FALSE),"LPA not known to MCLHG"),3)&lt;&gt;"JSP",IFERROR(VLOOKUP(D248,'LPA Lookup'!$A$100:$B$470,2,FALSE),"LPA not known to MCLHG"),VLOOKUP(D248&amp;B248,'LPA Lookup'!$A$100:$B$470,3,FALSE)),"")</f>
        <v>E07000077</v>
      </c>
      <c r="AZ248" s="41" t="str">
        <f t="shared" si="13"/>
        <v>Jan 19</v>
      </c>
      <c r="BA248" s="41" t="str">
        <f t="shared" si="14"/>
        <v>Jan 00</v>
      </c>
    </row>
    <row r="249" spans="1:53" ht="14" x14ac:dyDescent="0.15">
      <c r="A249" s="35" t="s">
        <v>53</v>
      </c>
      <c r="B249" s="94">
        <v>1948</v>
      </c>
      <c r="C249" s="42" t="s">
        <v>61</v>
      </c>
      <c r="D249" s="42" t="s">
        <v>100</v>
      </c>
      <c r="E249" s="42" t="s">
        <v>56</v>
      </c>
      <c r="F249" s="42" t="s">
        <v>57</v>
      </c>
      <c r="G249" s="42">
        <v>3</v>
      </c>
      <c r="H249" s="43">
        <v>43325</v>
      </c>
      <c r="I249" s="42"/>
      <c r="J249" s="43">
        <v>43483</v>
      </c>
      <c r="K249" s="42"/>
      <c r="L249" s="42"/>
      <c r="M249" s="43">
        <v>43489</v>
      </c>
      <c r="N249" s="43"/>
      <c r="O249" s="43">
        <v>43606</v>
      </c>
      <c r="P249" s="42"/>
      <c r="Q249" s="43"/>
      <c r="R249" s="42"/>
      <c r="S249" s="42"/>
      <c r="T249" s="42"/>
      <c r="U249" s="42"/>
      <c r="V249" s="42"/>
      <c r="W249" s="42"/>
      <c r="X249" s="29">
        <v>51.4</v>
      </c>
      <c r="Y249" s="29">
        <v>12.14</v>
      </c>
      <c r="Z249" s="29"/>
      <c r="AA249" s="29">
        <v>2.0299999999999998</v>
      </c>
      <c r="AB249" s="29">
        <v>5.05</v>
      </c>
      <c r="AC249" s="29"/>
      <c r="AD249" s="29">
        <v>32.520000000000003</v>
      </c>
      <c r="AE249" s="37">
        <f>AllPlans[[#This Row],[Prep days*]]+AllPlans[[#This Row],[Hearing days*]]+AllPlans[[#This Row],[SV days*]]+AllPlans[[#This Row],[Travel days]]+AllPlans[[#This Row],[Reptg days*]]</f>
        <v>103.13999999999999</v>
      </c>
      <c r="AF249" s="42"/>
      <c r="AG249" s="43"/>
      <c r="AH249" s="42"/>
      <c r="AI249" s="43"/>
      <c r="AJ249" s="42"/>
      <c r="AK249" s="43"/>
      <c r="AL249" s="42"/>
      <c r="AM249" s="43"/>
      <c r="AN249" s="42"/>
      <c r="AO249" s="43"/>
      <c r="AP249" s="42"/>
      <c r="AQ249" s="43"/>
      <c r="AR249" s="42"/>
      <c r="AS249" s="43">
        <v>43899</v>
      </c>
      <c r="AT249" s="42"/>
      <c r="AU249" s="42" t="s">
        <v>278</v>
      </c>
      <c r="AV249" s="38" t="e">
        <f>DATEDIF(J249,AO249, "d")/7</f>
        <v>#NUM!</v>
      </c>
      <c r="AW249" s="95">
        <f t="shared" si="15"/>
        <v>0</v>
      </c>
      <c r="AX249" s="42"/>
      <c r="AY249" s="77" t="str">
        <f>IF(D249&lt;&gt;"",IF(LEFT(IFERROR(VLOOKUP(D249,'LPA Lookup'!$A$100:$B$470,2,FALSE),"LPA not known to MCLHG"),3)&lt;&gt;"JSP",IFERROR(VLOOKUP(D249,'LPA Lookup'!$A$100:$B$470,2,FALSE),"LPA not known to MCLHG"),VLOOKUP(D249&amp;B249,'LPA Lookup'!$A$100:$B$470,3,FALSE)),"")</f>
        <v>E07000065</v>
      </c>
      <c r="AZ249" s="41" t="str">
        <f t="shared" si="13"/>
        <v>Jan 19</v>
      </c>
      <c r="BA249" s="41" t="str">
        <f t="shared" si="14"/>
        <v>Jan 00</v>
      </c>
    </row>
    <row r="250" spans="1:53" ht="14" x14ac:dyDescent="0.15">
      <c r="A250" s="35" t="s">
        <v>53</v>
      </c>
      <c r="B250" s="46">
        <v>1919</v>
      </c>
      <c r="C250" s="27" t="s">
        <v>104</v>
      </c>
      <c r="D250" s="29" t="s">
        <v>540</v>
      </c>
      <c r="E250" s="29" t="s">
        <v>212</v>
      </c>
      <c r="F250" s="29" t="s">
        <v>107</v>
      </c>
      <c r="G250" s="29">
        <v>2</v>
      </c>
      <c r="H250" s="30">
        <v>43377</v>
      </c>
      <c r="I250" s="29"/>
      <c r="J250" s="30">
        <v>43487</v>
      </c>
      <c r="K250" s="29"/>
      <c r="L250" s="29"/>
      <c r="M250" s="30">
        <v>43490</v>
      </c>
      <c r="N250" s="30"/>
      <c r="O250" s="30">
        <v>43627</v>
      </c>
      <c r="P250" s="29"/>
      <c r="Q250" s="30">
        <v>43636</v>
      </c>
      <c r="R250" s="29"/>
      <c r="S250" s="29"/>
      <c r="T250" s="29"/>
      <c r="U250" s="29"/>
      <c r="V250" s="29"/>
      <c r="W250" s="29"/>
      <c r="X250" s="42">
        <v>42.04</v>
      </c>
      <c r="Y250" s="42">
        <v>1.0900000000000001</v>
      </c>
      <c r="Z250" s="42"/>
      <c r="AA250" s="42">
        <v>0</v>
      </c>
      <c r="AB250" s="42">
        <v>1.22</v>
      </c>
      <c r="AC250" s="42"/>
      <c r="AD250" s="42">
        <v>5.5</v>
      </c>
      <c r="AE250" s="37">
        <v>76.58</v>
      </c>
      <c r="AF250" s="29"/>
      <c r="AG250" s="30">
        <v>43986</v>
      </c>
      <c r="AH250" s="29"/>
      <c r="AI250" s="30">
        <v>43944</v>
      </c>
      <c r="AJ250" s="29"/>
      <c r="AK250" s="30">
        <v>43984</v>
      </c>
      <c r="AL250" s="29"/>
      <c r="AM250" s="30">
        <v>43986</v>
      </c>
      <c r="AN250" s="29"/>
      <c r="AO250" s="30">
        <v>44005</v>
      </c>
      <c r="AP250" s="29"/>
      <c r="AQ250" s="30">
        <v>44034</v>
      </c>
      <c r="AR250" s="29"/>
      <c r="AS250" s="30"/>
      <c r="AT250" s="29"/>
      <c r="AU250" s="29" t="s">
        <v>59</v>
      </c>
      <c r="AV250" s="38">
        <f>SUM(AO250-J250)/7</f>
        <v>74</v>
      </c>
      <c r="AW250" s="49">
        <f t="shared" si="15"/>
        <v>52.714285714285715</v>
      </c>
      <c r="AX250" s="29"/>
      <c r="AY250" s="77" t="str">
        <f>IF(D250&lt;&gt;"",IF(LEFT(IFERROR(VLOOKUP(D250,'LPA Lookup'!$A$100:$B$470,2,FALSE),"LPA not known to MCLHG"),3)&lt;&gt;"JSP",IFERROR(VLOOKUP(D250,'LPA Lookup'!$A$100:$B$470,2,FALSE),"LPA not known to MCLHG"),VLOOKUP(D250&amp;B250,'LPA Lookup'!$A$100:$B$470,3,FALSE)),"")</f>
        <v>E07000155</v>
      </c>
      <c r="AZ250" s="41" t="str">
        <f t="shared" si="13"/>
        <v>Jan 19</v>
      </c>
      <c r="BA250" s="41" t="str">
        <f t="shared" si="14"/>
        <v>Jun 20</v>
      </c>
    </row>
    <row r="251" spans="1:53" ht="14" x14ac:dyDescent="0.15">
      <c r="A251" s="35" t="s">
        <v>53</v>
      </c>
      <c r="B251" s="46">
        <v>1999</v>
      </c>
      <c r="C251" s="27" t="s">
        <v>90</v>
      </c>
      <c r="D251" s="29" t="s">
        <v>541</v>
      </c>
      <c r="E251" s="29" t="s">
        <v>542</v>
      </c>
      <c r="F251" s="29" t="s">
        <v>57</v>
      </c>
      <c r="G251" s="29">
        <v>3</v>
      </c>
      <c r="H251" s="30">
        <v>43423</v>
      </c>
      <c r="I251" s="29"/>
      <c r="J251" s="30">
        <v>43488</v>
      </c>
      <c r="K251" s="29"/>
      <c r="L251" s="29"/>
      <c r="M251" s="30">
        <v>43510</v>
      </c>
      <c r="N251" s="30"/>
      <c r="O251" s="30">
        <v>43634</v>
      </c>
      <c r="P251" s="29"/>
      <c r="Q251" s="30">
        <v>44008</v>
      </c>
      <c r="R251" s="29"/>
      <c r="S251" s="29"/>
      <c r="T251" s="29"/>
      <c r="U251" s="29"/>
      <c r="V251" s="29"/>
      <c r="W251" s="29"/>
      <c r="X251" s="29">
        <v>58.82</v>
      </c>
      <c r="Y251" s="29">
        <v>11.66</v>
      </c>
      <c r="Z251" s="29"/>
      <c r="AA251" s="29">
        <v>0.54</v>
      </c>
      <c r="AB251" s="29">
        <v>0</v>
      </c>
      <c r="AC251" s="29"/>
      <c r="AD251" s="29">
        <v>32.130000000000003</v>
      </c>
      <c r="AE251" s="37">
        <f>AllPlans[[#This Row],[Prep days*]]+AllPlans[[#This Row],[Hearing days*]]+AllPlans[[#This Row],[SV days*]]+AllPlans[[#This Row],[Travel days]]+AllPlans[[#This Row],[Reptg days*]]</f>
        <v>103.15</v>
      </c>
      <c r="AF251" s="29"/>
      <c r="AG251" s="30">
        <v>43958</v>
      </c>
      <c r="AH251" s="29"/>
      <c r="AI251" s="30">
        <v>43949</v>
      </c>
      <c r="AJ251" s="29"/>
      <c r="AK251" s="30">
        <v>43956</v>
      </c>
      <c r="AL251" s="29"/>
      <c r="AM251" s="30">
        <v>43957</v>
      </c>
      <c r="AN251" s="29"/>
      <c r="AO251" s="30">
        <v>43992</v>
      </c>
      <c r="AP251" s="29"/>
      <c r="AQ251" s="30">
        <v>44034</v>
      </c>
      <c r="AR251" s="29"/>
      <c r="AS251" s="30"/>
      <c r="AT251" s="29"/>
      <c r="AU251" s="29" t="s">
        <v>59</v>
      </c>
      <c r="AV251" s="83">
        <v>69.428571428571431</v>
      </c>
      <c r="AW251" s="49">
        <f t="shared" ref="AW251:AW282" si="16">SUM(AO251-Q251)/7</f>
        <v>-2.2857142857142856</v>
      </c>
      <c r="AX251" s="29"/>
      <c r="AY251" s="77" t="str">
        <f>IF(D251&lt;&gt;"",IF(LEFT(IFERROR(VLOOKUP(D251,'LPA Lookup'!$A$100:$B$470,2,FALSE),"LPA not known to MCLHG"),3)&lt;&gt;"JSP",IFERROR(VLOOKUP(D251,'LPA Lookup'!$A$100:$B$470,2,FALSE),"LPA not known to MCLHG"),VLOOKUP(D251&amp;B251,'LPA Lookup'!$A$100:$B$470,3,FALSE)),"")</f>
        <v>E09000012</v>
      </c>
      <c r="AZ251" s="41" t="str">
        <f t="shared" si="13"/>
        <v>Jan 19</v>
      </c>
      <c r="BA251" s="41" t="str">
        <f t="shared" si="14"/>
        <v>Jun 20</v>
      </c>
    </row>
    <row r="252" spans="1:53" ht="14" x14ac:dyDescent="0.15">
      <c r="A252" s="35" t="s">
        <v>53</v>
      </c>
      <c r="B252" s="97">
        <v>1469</v>
      </c>
      <c r="C252" s="44" t="s">
        <v>61</v>
      </c>
      <c r="D252" s="44" t="s">
        <v>543</v>
      </c>
      <c r="E252" s="44" t="s">
        <v>56</v>
      </c>
      <c r="F252" s="44" t="s">
        <v>57</v>
      </c>
      <c r="G252" s="44">
        <v>3</v>
      </c>
      <c r="H252" s="45">
        <v>43378</v>
      </c>
      <c r="I252" s="44"/>
      <c r="J252" s="45">
        <v>43488</v>
      </c>
      <c r="K252" s="44"/>
      <c r="L252" s="44"/>
      <c r="M252" s="45">
        <v>43510</v>
      </c>
      <c r="N252" s="45"/>
      <c r="O252" s="45">
        <v>43970</v>
      </c>
      <c r="P252" s="44" t="s">
        <v>406</v>
      </c>
      <c r="Q252" s="45">
        <v>44112</v>
      </c>
      <c r="R252" s="44"/>
      <c r="S252" s="264"/>
      <c r="T252" s="264"/>
      <c r="U252" s="264"/>
      <c r="V252" s="264"/>
      <c r="W252" s="264"/>
      <c r="X252" s="265">
        <v>12.21</v>
      </c>
      <c r="Y252" s="265">
        <v>3.01</v>
      </c>
      <c r="Z252" s="265"/>
      <c r="AA252" s="265">
        <v>0</v>
      </c>
      <c r="AB252" s="265">
        <v>3.35</v>
      </c>
      <c r="AC252" s="265"/>
      <c r="AD252" s="265">
        <v>5.78</v>
      </c>
      <c r="AE252" s="37">
        <v>102.14</v>
      </c>
      <c r="AF252" s="44"/>
      <c r="AG252" s="45">
        <v>44337</v>
      </c>
      <c r="AH252" s="44"/>
      <c r="AI252" s="45">
        <v>44323</v>
      </c>
      <c r="AJ252" s="44"/>
      <c r="AK252" s="45">
        <v>44323</v>
      </c>
      <c r="AL252" s="44"/>
      <c r="AM252" s="45">
        <v>44323</v>
      </c>
      <c r="AN252" s="44"/>
      <c r="AO252" s="45">
        <v>44354</v>
      </c>
      <c r="AP252" s="44"/>
      <c r="AQ252" s="45"/>
      <c r="AR252" s="44"/>
      <c r="AS252" s="45">
        <v>44390</v>
      </c>
      <c r="AT252" s="44"/>
      <c r="AU252" s="44" t="s">
        <v>287</v>
      </c>
      <c r="AV252" s="271">
        <v>73.142857142857139</v>
      </c>
      <c r="AW252" s="98">
        <f t="shared" si="16"/>
        <v>34.571428571428569</v>
      </c>
      <c r="AX252" s="44"/>
      <c r="AY252" s="77" t="str">
        <f>IF(D252&lt;&gt;"",IF(LEFT(IFERROR(VLOOKUP(D252,'LPA Lookup'!$A$100:$B$470,2,FALSE),"LPA not known to MCLHG"),3)&lt;&gt;"JSP",IFERROR(VLOOKUP(D252,'LPA Lookup'!$A$100:$B$470,2,FALSE),"LPA not known to MCLHG"),VLOOKUP(D252&amp;B252,'LPA Lookup'!$A$100:$B$470,3,FALSE)),"")</f>
        <v>E07000115</v>
      </c>
      <c r="AZ252" s="41" t="str">
        <f t="shared" si="13"/>
        <v>Jan 19</v>
      </c>
      <c r="BA252" s="41" t="str">
        <f t="shared" si="14"/>
        <v>Jun 21</v>
      </c>
    </row>
    <row r="253" spans="1:53" ht="14" x14ac:dyDescent="0.15">
      <c r="A253" s="35" t="s">
        <v>53</v>
      </c>
      <c r="B253" s="35">
        <v>2060</v>
      </c>
      <c r="C253" s="29" t="s">
        <v>67</v>
      </c>
      <c r="D253" s="82" t="s">
        <v>544</v>
      </c>
      <c r="E253" s="27" t="s">
        <v>545</v>
      </c>
      <c r="F253" s="27" t="s">
        <v>107</v>
      </c>
      <c r="G253" s="27">
        <v>2</v>
      </c>
      <c r="H253" s="28">
        <v>43102</v>
      </c>
      <c r="I253" s="27"/>
      <c r="J253" s="28">
        <v>43488</v>
      </c>
      <c r="K253" s="27"/>
      <c r="L253" s="27"/>
      <c r="M253" s="28">
        <v>43494</v>
      </c>
      <c r="N253" s="28"/>
      <c r="O253" s="28">
        <v>43669</v>
      </c>
      <c r="P253" s="27" t="s">
        <v>406</v>
      </c>
      <c r="Q253" s="28">
        <v>44169</v>
      </c>
      <c r="R253" s="27"/>
      <c r="S253" s="52"/>
      <c r="T253" s="52"/>
      <c r="U253" s="52"/>
      <c r="V253" s="52"/>
      <c r="W253" s="52"/>
      <c r="X253" s="52">
        <v>12</v>
      </c>
      <c r="Y253" s="52">
        <v>0.73</v>
      </c>
      <c r="Z253" s="52"/>
      <c r="AA253" s="52">
        <v>0</v>
      </c>
      <c r="AB253" s="52">
        <v>0.27</v>
      </c>
      <c r="AC253" s="52"/>
      <c r="AD253" s="52">
        <v>42.43</v>
      </c>
      <c r="AE253" s="37">
        <v>170.33</v>
      </c>
      <c r="AF253" s="27"/>
      <c r="AG253" s="28">
        <v>44425</v>
      </c>
      <c r="AH253" s="27"/>
      <c r="AI253" s="28">
        <v>44321</v>
      </c>
      <c r="AJ253" s="27"/>
      <c r="AK253" s="28">
        <v>44420</v>
      </c>
      <c r="AL253" s="27"/>
      <c r="AM253" s="28">
        <v>44424</v>
      </c>
      <c r="AN253" s="27"/>
      <c r="AO253" s="28">
        <v>44440</v>
      </c>
      <c r="AP253" s="27"/>
      <c r="AQ253" s="28">
        <v>44550</v>
      </c>
      <c r="AR253" s="27"/>
      <c r="AS253" s="28"/>
      <c r="AT253" s="27"/>
      <c r="AU253" s="27" t="s">
        <v>59</v>
      </c>
      <c r="AV253" s="96">
        <v>37.285714285714285</v>
      </c>
      <c r="AW253" s="39">
        <f t="shared" si="16"/>
        <v>38.714285714285715</v>
      </c>
      <c r="AX253" s="27"/>
      <c r="AY253" s="77" t="str">
        <f>IF(D253&lt;&gt;"",IF(LEFT(IFERROR(VLOOKUP(D253,'LPA Lookup'!$A$100:$B$470,2,FALSE),"LPA not known to MCLHG"),3)&lt;&gt;"JSP",IFERROR(VLOOKUP(D253,'LPA Lookup'!$A$100:$B$470,2,FALSE),"LPA not known to MCLHG"),VLOOKUP(D253&amp;B253,'LPA Lookup'!$A$100:$B$470,3,FALSE)),"")</f>
        <v>E07000187</v>
      </c>
      <c r="AZ253" s="41" t="str">
        <f t="shared" si="13"/>
        <v>Jan 19</v>
      </c>
      <c r="BA253" s="41" t="str">
        <f t="shared" si="14"/>
        <v>Sep 21</v>
      </c>
    </row>
    <row r="254" spans="1:53" s="51" customFormat="1" ht="14" x14ac:dyDescent="0.15">
      <c r="A254" s="35" t="s">
        <v>53</v>
      </c>
      <c r="B254" s="46">
        <v>2016</v>
      </c>
      <c r="C254" s="29" t="s">
        <v>67</v>
      </c>
      <c r="D254" s="29" t="s">
        <v>546</v>
      </c>
      <c r="E254" s="29" t="s">
        <v>56</v>
      </c>
      <c r="F254" s="29" t="s">
        <v>57</v>
      </c>
      <c r="G254" s="29">
        <v>3</v>
      </c>
      <c r="H254" s="30">
        <v>43395</v>
      </c>
      <c r="I254" s="29"/>
      <c r="J254" s="30">
        <v>43493</v>
      </c>
      <c r="K254" s="29"/>
      <c r="L254" s="29"/>
      <c r="M254" s="30">
        <v>43494</v>
      </c>
      <c r="N254" s="30"/>
      <c r="O254" s="30">
        <v>43648</v>
      </c>
      <c r="P254" s="29" t="s">
        <v>547</v>
      </c>
      <c r="Q254" s="30">
        <v>44761</v>
      </c>
      <c r="R254" s="29"/>
      <c r="S254" s="47"/>
      <c r="T254" s="47"/>
      <c r="U254" s="47"/>
      <c r="V254" s="47"/>
      <c r="W254" s="47"/>
      <c r="X254" s="180"/>
      <c r="Y254" s="180"/>
      <c r="Z254" s="180"/>
      <c r="AA254" s="180"/>
      <c r="AB254" s="180"/>
      <c r="AC254" s="180"/>
      <c r="AD254" s="180"/>
      <c r="AE254" s="48">
        <v>245.8</v>
      </c>
      <c r="AF254" s="29"/>
      <c r="AG254" s="30"/>
      <c r="AH254" s="29"/>
      <c r="AI254" s="30">
        <v>45338</v>
      </c>
      <c r="AJ254" s="29"/>
      <c r="AK254" s="30">
        <v>45352</v>
      </c>
      <c r="AL254" s="29"/>
      <c r="AM254" s="30">
        <v>45358</v>
      </c>
      <c r="AN254" s="29"/>
      <c r="AO254" s="30">
        <v>45419</v>
      </c>
      <c r="AP254" s="29"/>
      <c r="AQ254" s="30">
        <v>45491</v>
      </c>
      <c r="AR254" s="29"/>
      <c r="AS254" s="30"/>
      <c r="AT254" s="29"/>
      <c r="AU254" s="29" t="s">
        <v>59</v>
      </c>
      <c r="AV254" s="40">
        <f>DATEDIF(J254,AO254, "d")/7</f>
        <v>275.14285714285717</v>
      </c>
      <c r="AW254" s="49">
        <f t="shared" si="16"/>
        <v>94</v>
      </c>
      <c r="AX254" s="29"/>
      <c r="AY254" s="77" t="str">
        <f>IF(D254&lt;&gt;"",IF(LEFT(IFERROR(VLOOKUP(D254,'LPA Lookup'!$A$100:$B$470,2,FALSE),"LPA not known to MCLHG"),3)&lt;&gt;"JSP",IFERROR(VLOOKUP(D254,'LPA Lookup'!$A$100:$B$470,2,FALSE),"LPA not known to MCLHG"),VLOOKUP(D254&amp;B254,'LPA Lookup'!$A$100:$B$470,3,FALSE)),"")</f>
        <v>E07000051</v>
      </c>
      <c r="AZ254" s="51" t="str">
        <f t="shared" si="13"/>
        <v>Jan 19</v>
      </c>
      <c r="BA254" s="51" t="str">
        <f t="shared" si="14"/>
        <v>May 24</v>
      </c>
    </row>
    <row r="255" spans="1:53" ht="14" x14ac:dyDescent="0.15">
      <c r="A255" s="35" t="s">
        <v>53</v>
      </c>
      <c r="B255" s="46">
        <v>2017</v>
      </c>
      <c r="C255" s="27" t="s">
        <v>90</v>
      </c>
      <c r="D255" s="29" t="s">
        <v>548</v>
      </c>
      <c r="E255" s="29" t="s">
        <v>56</v>
      </c>
      <c r="F255" s="29" t="s">
        <v>57</v>
      </c>
      <c r="G255" s="29">
        <v>3</v>
      </c>
      <c r="H255" s="30">
        <v>43409</v>
      </c>
      <c r="I255" s="29"/>
      <c r="J255" s="30">
        <v>43532</v>
      </c>
      <c r="K255" s="29"/>
      <c r="L255" s="29"/>
      <c r="M255" s="30">
        <v>43543</v>
      </c>
      <c r="N255" s="30"/>
      <c r="O255" s="30">
        <v>43724</v>
      </c>
      <c r="P255" s="29"/>
      <c r="Q255" s="30">
        <v>43809</v>
      </c>
      <c r="R255" s="29"/>
      <c r="S255" s="29"/>
      <c r="T255" s="29"/>
      <c r="U255" s="29"/>
      <c r="V255" s="29"/>
      <c r="W255" s="29"/>
      <c r="X255" s="61">
        <v>20.440000000000001</v>
      </c>
      <c r="Y255" s="61">
        <v>3.65</v>
      </c>
      <c r="Z255" s="61"/>
      <c r="AA255" s="61">
        <v>0</v>
      </c>
      <c r="AB255" s="61">
        <v>0</v>
      </c>
      <c r="AC255" s="61"/>
      <c r="AD255" s="61">
        <v>14.6</v>
      </c>
      <c r="AE255" s="37">
        <v>50.4</v>
      </c>
      <c r="AF255" s="29"/>
      <c r="AG255" s="30">
        <v>43938</v>
      </c>
      <c r="AH255" s="29"/>
      <c r="AI255" s="30">
        <v>43910</v>
      </c>
      <c r="AJ255" s="29"/>
      <c r="AK255" s="30">
        <v>43935</v>
      </c>
      <c r="AL255" s="29"/>
      <c r="AM255" s="30">
        <v>43937</v>
      </c>
      <c r="AN255" s="29"/>
      <c r="AO255" s="30">
        <v>43945</v>
      </c>
      <c r="AP255" s="29"/>
      <c r="AQ255" s="30">
        <v>44033</v>
      </c>
      <c r="AR255" s="29"/>
      <c r="AS255" s="30"/>
      <c r="AT255" s="29"/>
      <c r="AU255" s="29" t="s">
        <v>59</v>
      </c>
      <c r="AV255" s="83">
        <v>52.142857142857146</v>
      </c>
      <c r="AW255" s="49">
        <f t="shared" si="16"/>
        <v>19.428571428571427</v>
      </c>
      <c r="AX255" s="29"/>
      <c r="AY255" s="77" t="str">
        <f>IF(D255&lt;&gt;"",IF(LEFT(IFERROR(VLOOKUP(D255,'LPA Lookup'!$A$100:$B$470,2,FALSE),"LPA not known to MCLHG"),3)&lt;&gt;"JSP",IFERROR(VLOOKUP(D255,'LPA Lookup'!$A$100:$B$470,2,FALSE),"LPA not known to MCLHG"),VLOOKUP(D255&amp;B255,'LPA Lookup'!$A$100:$B$470,3,FALSE)),"")</f>
        <v>E51000001</v>
      </c>
      <c r="AZ255" s="41" t="str">
        <f t="shared" si="13"/>
        <v>Mar 19</v>
      </c>
      <c r="BA255" s="41" t="str">
        <f t="shared" si="14"/>
        <v>Apr 20</v>
      </c>
    </row>
    <row r="256" spans="1:53" ht="14" x14ac:dyDescent="0.15">
      <c r="A256" s="35" t="s">
        <v>53</v>
      </c>
      <c r="B256" s="46">
        <v>2059</v>
      </c>
      <c r="C256" s="29" t="s">
        <v>270</v>
      </c>
      <c r="D256" s="29" t="s">
        <v>549</v>
      </c>
      <c r="E256" s="29" t="s">
        <v>535</v>
      </c>
      <c r="F256" s="29" t="s">
        <v>107</v>
      </c>
      <c r="G256" s="29">
        <v>2</v>
      </c>
      <c r="H256" s="30">
        <v>43378</v>
      </c>
      <c r="I256" s="29"/>
      <c r="J256" s="30">
        <v>43537</v>
      </c>
      <c r="K256" s="29"/>
      <c r="L256" s="29"/>
      <c r="M256" s="30">
        <v>43538</v>
      </c>
      <c r="N256" s="30"/>
      <c r="O256" s="30">
        <v>43648</v>
      </c>
      <c r="P256" s="29"/>
      <c r="Q256" s="30">
        <v>43657</v>
      </c>
      <c r="R256" s="29"/>
      <c r="S256" s="29"/>
      <c r="T256" s="29"/>
      <c r="U256" s="29"/>
      <c r="V256" s="29"/>
      <c r="W256" s="29"/>
      <c r="X256" s="61">
        <v>18.88</v>
      </c>
      <c r="Y256" s="61">
        <v>2.54</v>
      </c>
      <c r="Z256" s="61"/>
      <c r="AA256" s="61">
        <v>0</v>
      </c>
      <c r="AB256" s="61">
        <v>0</v>
      </c>
      <c r="AC256" s="61"/>
      <c r="AD256" s="61">
        <v>15.38</v>
      </c>
      <c r="AE256" s="37">
        <v>58.11</v>
      </c>
      <c r="AF256" s="29"/>
      <c r="AG256" s="30">
        <v>43881</v>
      </c>
      <c r="AH256" s="29"/>
      <c r="AI256" s="30">
        <v>43867</v>
      </c>
      <c r="AJ256" s="29"/>
      <c r="AK256" s="30">
        <v>43875</v>
      </c>
      <c r="AL256" s="29"/>
      <c r="AM256" s="30">
        <v>43880</v>
      </c>
      <c r="AN256" s="29"/>
      <c r="AO256" s="30">
        <v>43899</v>
      </c>
      <c r="AP256" s="29"/>
      <c r="AQ256" s="30">
        <v>44006</v>
      </c>
      <c r="AR256" s="29"/>
      <c r="AS256" s="30"/>
      <c r="AT256" s="29"/>
      <c r="AU256" s="29" t="s">
        <v>59</v>
      </c>
      <c r="AV256" s="83">
        <v>52.428571428571431</v>
      </c>
      <c r="AW256" s="49">
        <f t="shared" si="16"/>
        <v>34.571428571428569</v>
      </c>
      <c r="AX256" s="29"/>
      <c r="AY256" s="77" t="str">
        <f>IF(D256&lt;&gt;"",IF(LEFT(IFERROR(VLOOKUP(D256,'LPA Lookup'!$A$100:$B$470,2,FALSE),"LPA not known to MCLHG"),3)&lt;&gt;"JSP",IFERROR(VLOOKUP(D256,'LPA Lookup'!$A$100:$B$470,2,FALSE),"LPA not known to MCLHG"),VLOOKUP(D256&amp;B256,'LPA Lookup'!$A$100:$B$470,3,FALSE)),"")</f>
        <v>LPA not known to MCLHG</v>
      </c>
      <c r="AZ256" s="41" t="str">
        <f t="shared" si="13"/>
        <v>Mar 19</v>
      </c>
      <c r="BA256" s="41" t="str">
        <f t="shared" si="14"/>
        <v>Mar 20</v>
      </c>
    </row>
    <row r="257" spans="1:53" ht="14" x14ac:dyDescent="0.15">
      <c r="A257" s="35" t="s">
        <v>53</v>
      </c>
      <c r="B257" s="46">
        <v>2003</v>
      </c>
      <c r="C257" s="29" t="s">
        <v>61</v>
      </c>
      <c r="D257" s="29" t="s">
        <v>550</v>
      </c>
      <c r="E257" s="29" t="s">
        <v>551</v>
      </c>
      <c r="F257" s="29" t="s">
        <v>57</v>
      </c>
      <c r="G257" s="29">
        <v>3</v>
      </c>
      <c r="H257" s="30">
        <v>43405</v>
      </c>
      <c r="I257" s="29"/>
      <c r="J257" s="30">
        <v>43546</v>
      </c>
      <c r="K257" s="29"/>
      <c r="L257" s="29"/>
      <c r="M257" s="30">
        <v>43551</v>
      </c>
      <c r="N257" s="30"/>
      <c r="O257" s="30">
        <v>43802</v>
      </c>
      <c r="P257" s="29" t="s">
        <v>552</v>
      </c>
      <c r="Q257" s="30">
        <v>43818</v>
      </c>
      <c r="R257" s="29"/>
      <c r="S257" s="47"/>
      <c r="T257" s="47"/>
      <c r="U257" s="47"/>
      <c r="V257" s="47"/>
      <c r="W257" s="47"/>
      <c r="X257" s="180">
        <v>20</v>
      </c>
      <c r="Y257" s="180">
        <v>3</v>
      </c>
      <c r="Z257" s="180"/>
      <c r="AA257" s="180">
        <v>1</v>
      </c>
      <c r="AB257" s="180">
        <v>1</v>
      </c>
      <c r="AC257" s="180"/>
      <c r="AD257" s="180">
        <v>7.22</v>
      </c>
      <c r="AE257" s="37">
        <v>188.31</v>
      </c>
      <c r="AF257" s="29"/>
      <c r="AG257" s="30">
        <v>43958</v>
      </c>
      <c r="AH257" s="29"/>
      <c r="AI257" s="30">
        <v>43948</v>
      </c>
      <c r="AJ257" s="29"/>
      <c r="AK257" s="30">
        <v>43955</v>
      </c>
      <c r="AL257" s="29"/>
      <c r="AM257" s="30">
        <v>43957</v>
      </c>
      <c r="AN257" s="29"/>
      <c r="AO257" s="30">
        <v>43966</v>
      </c>
      <c r="AP257" s="29"/>
      <c r="AQ257" s="30">
        <v>43990</v>
      </c>
      <c r="AR257" s="29"/>
      <c r="AS257" s="30"/>
      <c r="AT257" s="29"/>
      <c r="AU257" s="29" t="s">
        <v>59</v>
      </c>
      <c r="AV257" s="188">
        <v>41.857142857142854</v>
      </c>
      <c r="AW257" s="49">
        <f t="shared" si="16"/>
        <v>21.142857142857142</v>
      </c>
      <c r="AX257" s="29"/>
      <c r="AY257" s="77" t="str">
        <f>IF(D257&lt;&gt;"",IF(LEFT(IFERROR(VLOOKUP(D257,'LPA Lookup'!$A$100:$B$470,2,FALSE),"LPA not known to MCLHG"),3)&lt;&gt;"JSP",IFERROR(VLOOKUP(D257,'LPA Lookup'!$A$100:$B$470,2,FALSE),"LPA not known to MCLHG"),VLOOKUP(D257&amp;B257,'LPA Lookup'!$A$100:$B$470,3,FALSE)),"")</f>
        <v>E07000178</v>
      </c>
      <c r="AZ257" s="41" t="str">
        <f t="shared" si="13"/>
        <v>Mar 19</v>
      </c>
      <c r="BA257" s="41" t="str">
        <f t="shared" si="14"/>
        <v>May 20</v>
      </c>
    </row>
    <row r="258" spans="1:53" ht="14" x14ac:dyDescent="0.15">
      <c r="A258" s="35" t="s">
        <v>53</v>
      </c>
      <c r="B258" s="35">
        <v>2013</v>
      </c>
      <c r="C258" s="27" t="s">
        <v>83</v>
      </c>
      <c r="D258" s="81" t="s">
        <v>553</v>
      </c>
      <c r="E258" s="27" t="s">
        <v>56</v>
      </c>
      <c r="F258" s="27" t="s">
        <v>57</v>
      </c>
      <c r="G258" s="27">
        <v>3</v>
      </c>
      <c r="H258" s="28">
        <v>43335</v>
      </c>
      <c r="I258" s="27"/>
      <c r="J258" s="28">
        <v>43549</v>
      </c>
      <c r="K258" s="27"/>
      <c r="L258" s="27"/>
      <c r="M258" s="28">
        <v>43570</v>
      </c>
      <c r="N258" s="28"/>
      <c r="O258" s="28">
        <v>43732</v>
      </c>
      <c r="P258" s="27" t="s">
        <v>554</v>
      </c>
      <c r="Q258" s="28">
        <v>43748</v>
      </c>
      <c r="R258" s="27"/>
      <c r="S258" s="52"/>
      <c r="T258" s="52"/>
      <c r="U258" s="52"/>
      <c r="V258" s="52"/>
      <c r="W258" s="52"/>
      <c r="X258" s="52">
        <v>12.39</v>
      </c>
      <c r="Y258" s="52">
        <v>0.68</v>
      </c>
      <c r="Z258" s="52"/>
      <c r="AA258" s="52">
        <v>0.27</v>
      </c>
      <c r="AB258" s="52"/>
      <c r="AC258" s="52"/>
      <c r="AD258" s="52">
        <v>62.4</v>
      </c>
      <c r="AE258" s="37">
        <v>186.06</v>
      </c>
      <c r="AF258" s="27"/>
      <c r="AG258" s="28">
        <v>44516</v>
      </c>
      <c r="AH258" s="27"/>
      <c r="AI258" s="28">
        <v>44504</v>
      </c>
      <c r="AJ258" s="27"/>
      <c r="AK258" s="28">
        <v>44510</v>
      </c>
      <c r="AL258" s="27"/>
      <c r="AM258" s="28">
        <v>44515</v>
      </c>
      <c r="AN258" s="27"/>
      <c r="AO258" s="28">
        <v>44519</v>
      </c>
      <c r="AP258" s="27"/>
      <c r="AQ258" s="28">
        <v>44545</v>
      </c>
      <c r="AR258" s="27"/>
      <c r="AS258" s="28"/>
      <c r="AT258" s="27"/>
      <c r="AU258" s="27" t="s">
        <v>59</v>
      </c>
      <c r="AV258" s="99">
        <f>SUM(AO258-J258)/7</f>
        <v>138.57142857142858</v>
      </c>
      <c r="AW258" s="39">
        <f t="shared" si="16"/>
        <v>110.14285714285714</v>
      </c>
      <c r="AX258" s="27"/>
      <c r="AY258" s="77" t="str">
        <f>IF(D258&lt;&gt;"",IF(LEFT(IFERROR(VLOOKUP(D258,'LPA Lookup'!$A$100:$B$470,2,FALSE),"LPA not known to MCLHG"),3)&lt;&gt;"JSP",IFERROR(VLOOKUP(D258,'LPA Lookup'!$A$100:$B$470,2,FALSE),"LPA not known to MCLHG"),VLOOKUP(D258&amp;B258,'LPA Lookup'!$A$100:$B$470,3,FALSE)),"")</f>
        <v>E07000125</v>
      </c>
      <c r="AZ258" s="41" t="str">
        <f t="shared" ref="AZ258:AZ321" si="17">TEXT(J258,"MMM YY")</f>
        <v>Mar 19</v>
      </c>
      <c r="BA258" s="41" t="str">
        <f t="shared" ref="BA258:BA285" si="18">TEXT(AO258,"MMM YY")</f>
        <v>Nov 21</v>
      </c>
    </row>
    <row r="259" spans="1:53" ht="14" x14ac:dyDescent="0.15">
      <c r="A259" s="35" t="s">
        <v>53</v>
      </c>
      <c r="B259" s="94">
        <v>1917</v>
      </c>
      <c r="C259" s="42" t="s">
        <v>71</v>
      </c>
      <c r="D259" s="42" t="s">
        <v>555</v>
      </c>
      <c r="E259" s="42" t="s">
        <v>56</v>
      </c>
      <c r="F259" s="42" t="s">
        <v>57</v>
      </c>
      <c r="G259" s="42">
        <v>3</v>
      </c>
      <c r="H259" s="43">
        <v>43405</v>
      </c>
      <c r="I259" s="42"/>
      <c r="J259" s="43">
        <v>43552</v>
      </c>
      <c r="K259" s="42"/>
      <c r="L259" s="42"/>
      <c r="M259" s="43">
        <v>43556</v>
      </c>
      <c r="N259" s="43"/>
      <c r="O259" s="43"/>
      <c r="P259" s="42" t="s">
        <v>552</v>
      </c>
      <c r="Q259" s="43"/>
      <c r="R259" s="42"/>
      <c r="S259" s="42"/>
      <c r="T259" s="42"/>
      <c r="U259" s="42"/>
      <c r="V259" s="42"/>
      <c r="W259" s="42"/>
      <c r="X259" s="42">
        <v>26.5</v>
      </c>
      <c r="Y259" s="42"/>
      <c r="Z259" s="42"/>
      <c r="AA259" s="42"/>
      <c r="AB259" s="42"/>
      <c r="AC259" s="42"/>
      <c r="AD259" s="42"/>
      <c r="AE259" s="100">
        <f>AllPlans[[#This Row],[Prep days*]]+AllPlans[[#This Row],[Hearing days*]]+AllPlans[[#This Row],[SV days*]]+AllPlans[[#This Row],[Travel days]]+AllPlans[[#This Row],[Reptg days*]]</f>
        <v>26.5</v>
      </c>
      <c r="AF259" s="42"/>
      <c r="AG259" s="43"/>
      <c r="AH259" s="42"/>
      <c r="AI259" s="43"/>
      <c r="AJ259" s="42"/>
      <c r="AK259" s="43"/>
      <c r="AL259" s="42"/>
      <c r="AM259" s="43"/>
      <c r="AN259" s="42"/>
      <c r="AO259" s="43"/>
      <c r="AP259" s="42"/>
      <c r="AQ259" s="43"/>
      <c r="AR259" s="42"/>
      <c r="AS259" s="43">
        <v>44623</v>
      </c>
      <c r="AT259" s="42"/>
      <c r="AU259" s="42" t="s">
        <v>278</v>
      </c>
      <c r="AV259" s="38" t="e">
        <f>DATEDIF(J259,AO259, "d")/7</f>
        <v>#NUM!</v>
      </c>
      <c r="AW259" s="95">
        <f t="shared" si="16"/>
        <v>0</v>
      </c>
      <c r="AX259" s="42"/>
      <c r="AY259" s="77" t="str">
        <f>IF(D259&lt;&gt;"",IF(LEFT(IFERROR(VLOOKUP(D259,'LPA Lookup'!$A$100:$B$470,2,FALSE),"LPA not known to MCLHG"),3)&lt;&gt;"JSP",IFERROR(VLOOKUP(D259,'LPA Lookup'!$A$100:$B$470,2,FALSE),"LPA not known to MCLHG"),VLOOKUP(D259&amp;B259,'LPA Lookup'!$A$100:$B$470,3,FALSE)),"")</f>
        <v>LPA not known to MCLHG</v>
      </c>
      <c r="AZ259" s="101" t="str">
        <f t="shared" si="17"/>
        <v>Mar 19</v>
      </c>
      <c r="BA259" s="101" t="str">
        <f t="shared" si="18"/>
        <v>Jan 00</v>
      </c>
    </row>
    <row r="260" spans="1:53" ht="14" x14ac:dyDescent="0.15">
      <c r="A260" s="35" t="s">
        <v>53</v>
      </c>
      <c r="B260" s="46">
        <v>1960</v>
      </c>
      <c r="C260" s="29" t="s">
        <v>71</v>
      </c>
      <c r="D260" s="29" t="s">
        <v>259</v>
      </c>
      <c r="E260" s="29" t="s">
        <v>92</v>
      </c>
      <c r="F260" s="29" t="s">
        <v>57</v>
      </c>
      <c r="G260" s="29">
        <v>3</v>
      </c>
      <c r="H260" s="30">
        <v>43479</v>
      </c>
      <c r="I260" s="29"/>
      <c r="J260" s="30">
        <v>43553</v>
      </c>
      <c r="K260" s="29"/>
      <c r="L260" s="29"/>
      <c r="M260" s="30">
        <v>43553</v>
      </c>
      <c r="N260" s="30"/>
      <c r="O260" s="30">
        <v>43697</v>
      </c>
      <c r="P260" s="29"/>
      <c r="Q260" s="30">
        <v>43728</v>
      </c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37">
        <v>108.81</v>
      </c>
      <c r="AF260" s="29"/>
      <c r="AG260" s="30">
        <v>44069</v>
      </c>
      <c r="AH260" s="29"/>
      <c r="AI260" s="30">
        <v>44049</v>
      </c>
      <c r="AJ260" s="29"/>
      <c r="AK260" s="30">
        <v>44068</v>
      </c>
      <c r="AL260" s="29"/>
      <c r="AM260" s="30">
        <v>44068</v>
      </c>
      <c r="AN260" s="29"/>
      <c r="AO260" s="30">
        <v>44082</v>
      </c>
      <c r="AP260" s="29"/>
      <c r="AQ260" s="30">
        <v>44097</v>
      </c>
      <c r="AR260" s="29"/>
      <c r="AS260" s="30"/>
      <c r="AT260" s="29"/>
      <c r="AU260" s="29" t="s">
        <v>59</v>
      </c>
      <c r="AV260" s="50">
        <f>SUM(AO260-J260)/7</f>
        <v>75.571428571428569</v>
      </c>
      <c r="AW260" s="49">
        <f t="shared" si="16"/>
        <v>50.571428571428569</v>
      </c>
      <c r="AX260" s="29"/>
      <c r="AY260" s="77" t="str">
        <f>IF(D260&lt;&gt;"",IF(LEFT(IFERROR(VLOOKUP(D260,'LPA Lookup'!$A$100:$B$470,2,FALSE),"LPA not known to MCLHG"),3)&lt;&gt;"JSP",IFERROR(VLOOKUP(D260,'LPA Lookup'!$A$100:$B$470,2,FALSE),"LPA not known to MCLHG"),VLOOKUP(D260&amp;B260,'LPA Lookup'!$A$100:$B$470,3,FALSE)),"")</f>
        <v>E07000205</v>
      </c>
      <c r="AZ260" s="41" t="str">
        <f t="shared" si="17"/>
        <v>Mar 19</v>
      </c>
      <c r="BA260" s="41" t="str">
        <f t="shared" si="18"/>
        <v>Sep 20</v>
      </c>
    </row>
    <row r="261" spans="1:53" ht="14" x14ac:dyDescent="0.15">
      <c r="A261" s="35" t="s">
        <v>53</v>
      </c>
      <c r="B261" s="46">
        <v>1859</v>
      </c>
      <c r="C261" s="29" t="s">
        <v>61</v>
      </c>
      <c r="D261" s="29" t="s">
        <v>556</v>
      </c>
      <c r="E261" s="29" t="s">
        <v>56</v>
      </c>
      <c r="F261" s="29" t="s">
        <v>57</v>
      </c>
      <c r="G261" s="29">
        <v>3</v>
      </c>
      <c r="H261" s="30">
        <v>43472</v>
      </c>
      <c r="I261" s="29"/>
      <c r="J261" s="30">
        <v>43553</v>
      </c>
      <c r="K261" s="29"/>
      <c r="L261" s="29"/>
      <c r="M261" s="30">
        <v>43553</v>
      </c>
      <c r="N261" s="30"/>
      <c r="O261" s="30">
        <v>44026</v>
      </c>
      <c r="P261" s="29" t="s">
        <v>406</v>
      </c>
      <c r="Q261" s="30">
        <v>44050</v>
      </c>
      <c r="R261" s="29"/>
      <c r="S261" s="29"/>
      <c r="T261" s="29"/>
      <c r="U261" s="29"/>
      <c r="V261" s="29"/>
      <c r="W261" s="29"/>
      <c r="X261" s="29">
        <v>44.32</v>
      </c>
      <c r="Y261" s="29">
        <v>16.68</v>
      </c>
      <c r="Z261" s="29"/>
      <c r="AA261" s="29">
        <v>1.2</v>
      </c>
      <c r="AB261" s="29">
        <v>1.28</v>
      </c>
      <c r="AC261" s="29"/>
      <c r="AD261" s="29">
        <v>47.96</v>
      </c>
      <c r="AE261" s="37">
        <v>142.09</v>
      </c>
      <c r="AF261" s="29"/>
      <c r="AG261" s="30">
        <v>44154</v>
      </c>
      <c r="AH261" s="29"/>
      <c r="AI261" s="30">
        <v>44148</v>
      </c>
      <c r="AJ261" s="29"/>
      <c r="AK261" s="30">
        <v>44153</v>
      </c>
      <c r="AL261" s="29"/>
      <c r="AM261" s="30">
        <v>44154</v>
      </c>
      <c r="AN261" s="29"/>
      <c r="AO261" s="30">
        <v>44162</v>
      </c>
      <c r="AP261" s="29"/>
      <c r="AQ261" s="30">
        <v>44175</v>
      </c>
      <c r="AR261" s="29"/>
      <c r="AS261" s="30"/>
      <c r="AT261" s="29"/>
      <c r="AU261" s="29" t="s">
        <v>59</v>
      </c>
      <c r="AV261" s="50">
        <f>SUM(AO261-J261)/7</f>
        <v>87</v>
      </c>
      <c r="AW261" s="49">
        <f t="shared" si="16"/>
        <v>16</v>
      </c>
      <c r="AX261" s="29"/>
      <c r="AY261" s="77" t="str">
        <f>IF(D261&lt;&gt;"",IF(LEFT(IFERROR(VLOOKUP(D261,'LPA Lookup'!$A$100:$B$470,2,FALSE),"LPA not known to MCLHG"),3)&lt;&gt;"JSP",IFERROR(VLOOKUP(D261,'LPA Lookup'!$A$100:$B$470,2,FALSE),"LPA not known to MCLHG"),VLOOKUP(D261&amp;B261,'LPA Lookup'!$A$100:$B$470,3,FALSE)),"")</f>
        <v>E07000179</v>
      </c>
      <c r="AZ261" s="41" t="str">
        <f t="shared" si="17"/>
        <v>Mar 19</v>
      </c>
      <c r="BA261" s="41" t="str">
        <f t="shared" si="18"/>
        <v>Nov 20</v>
      </c>
    </row>
    <row r="262" spans="1:53" ht="14" x14ac:dyDescent="0.15">
      <c r="A262" s="35" t="s">
        <v>53</v>
      </c>
      <c r="B262" s="94">
        <v>1962</v>
      </c>
      <c r="C262" s="42" t="s">
        <v>71</v>
      </c>
      <c r="D262" s="42" t="s">
        <v>277</v>
      </c>
      <c r="E262" s="42" t="s">
        <v>56</v>
      </c>
      <c r="F262" s="42" t="s">
        <v>57</v>
      </c>
      <c r="G262" s="42">
        <v>3</v>
      </c>
      <c r="H262" s="43">
        <v>43347</v>
      </c>
      <c r="I262" s="42"/>
      <c r="J262" s="43">
        <v>43553</v>
      </c>
      <c r="K262" s="42"/>
      <c r="L262" s="42"/>
      <c r="M262" s="43">
        <v>43556</v>
      </c>
      <c r="N262" s="43"/>
      <c r="O262" s="43">
        <v>43851</v>
      </c>
      <c r="P262" s="42" t="s">
        <v>552</v>
      </c>
      <c r="Q262" s="43"/>
      <c r="R262" s="42"/>
      <c r="S262" s="42"/>
      <c r="T262" s="42"/>
      <c r="U262" s="42"/>
      <c r="V262" s="42"/>
      <c r="W262" s="42"/>
      <c r="X262" s="42">
        <v>39.17</v>
      </c>
      <c r="Y262" s="42">
        <v>3.66</v>
      </c>
      <c r="Z262" s="42"/>
      <c r="AA262" s="42">
        <v>1.08</v>
      </c>
      <c r="AB262" s="42">
        <v>2.2799999999999998</v>
      </c>
      <c r="AC262" s="42"/>
      <c r="AD262" s="42">
        <v>26.06</v>
      </c>
      <c r="AE262" s="37">
        <v>96.59</v>
      </c>
      <c r="AF262" s="42"/>
      <c r="AG262" s="43"/>
      <c r="AH262" s="42"/>
      <c r="AI262" s="43"/>
      <c r="AJ262" s="42"/>
      <c r="AK262" s="43"/>
      <c r="AL262" s="42"/>
      <c r="AM262" s="43"/>
      <c r="AN262" s="42"/>
      <c r="AO262" s="43"/>
      <c r="AP262" s="42"/>
      <c r="AQ262" s="43"/>
      <c r="AR262" s="42"/>
      <c r="AS262" s="43">
        <v>44158</v>
      </c>
      <c r="AT262" s="42"/>
      <c r="AU262" s="42" t="s">
        <v>278</v>
      </c>
      <c r="AV262" s="38" t="e">
        <f>DATEDIF(J262,AO262, "d")/7</f>
        <v>#NUM!</v>
      </c>
      <c r="AW262" s="95">
        <f t="shared" si="16"/>
        <v>0</v>
      </c>
      <c r="AX262" s="42"/>
      <c r="AY262" s="77" t="str">
        <f>IF(D262&lt;&gt;"",IF(LEFT(IFERROR(VLOOKUP(D262,'LPA Lookup'!$A$100:$B$470,2,FALSE),"LPA not known to MCLHG"),3)&lt;&gt;"JSP",IFERROR(VLOOKUP(D262,'LPA Lookup'!$A$100:$B$470,2,FALSE),"LPA not known to MCLHG"),VLOOKUP(D262&amp;B262,'LPA Lookup'!$A$100:$B$470,3,FALSE)),"")</f>
        <v>E07000240</v>
      </c>
      <c r="AZ262" s="41" t="str">
        <f t="shared" si="17"/>
        <v>Mar 19</v>
      </c>
      <c r="BA262" s="41" t="str">
        <f t="shared" si="18"/>
        <v>Jan 00</v>
      </c>
    </row>
    <row r="263" spans="1:53" ht="14" x14ac:dyDescent="0.15">
      <c r="A263" s="35" t="s">
        <v>53</v>
      </c>
      <c r="B263" s="46">
        <v>2071</v>
      </c>
      <c r="C263" s="29" t="s">
        <v>61</v>
      </c>
      <c r="D263" s="29" t="s">
        <v>557</v>
      </c>
      <c r="E263" s="29" t="s">
        <v>461</v>
      </c>
      <c r="F263" s="29" t="s">
        <v>80</v>
      </c>
      <c r="G263" s="29">
        <v>2</v>
      </c>
      <c r="H263" s="30">
        <v>43479</v>
      </c>
      <c r="I263" s="29"/>
      <c r="J263" s="30">
        <v>43567</v>
      </c>
      <c r="K263" s="29"/>
      <c r="L263" s="29"/>
      <c r="M263" s="30">
        <v>43579</v>
      </c>
      <c r="N263" s="30"/>
      <c r="O263" s="30">
        <v>43725</v>
      </c>
      <c r="P263" s="29"/>
      <c r="Q263" s="30">
        <v>43734</v>
      </c>
      <c r="R263" s="29"/>
      <c r="S263" s="29"/>
      <c r="T263" s="29"/>
      <c r="U263" s="29"/>
      <c r="V263" s="29"/>
      <c r="W263" s="29"/>
      <c r="X263" s="29">
        <v>24.69</v>
      </c>
      <c r="Y263" s="29">
        <v>6.28</v>
      </c>
      <c r="Z263" s="29"/>
      <c r="AA263" s="29">
        <v>0.61</v>
      </c>
      <c r="AB263" s="29">
        <v>2.2999999999999998</v>
      </c>
      <c r="AC263" s="29"/>
      <c r="AD263" s="29">
        <v>20.16</v>
      </c>
      <c r="AE263" s="37">
        <f>AllPlans[[#This Row],[Prep days*]]+AllPlans[[#This Row],[Hearing days*]]+AllPlans[[#This Row],[SV days*]]+AllPlans[[#This Row],[Travel days]]+AllPlans[[#This Row],[Reptg days*]]</f>
        <v>54.040000000000006</v>
      </c>
      <c r="AF263" s="29"/>
      <c r="AG263" s="30">
        <v>43956</v>
      </c>
      <c r="AH263" s="29"/>
      <c r="AI263" s="30">
        <v>43929</v>
      </c>
      <c r="AJ263" s="29"/>
      <c r="AK263" s="30">
        <v>43952</v>
      </c>
      <c r="AL263" s="29"/>
      <c r="AM263" s="30">
        <v>43955</v>
      </c>
      <c r="AN263" s="29"/>
      <c r="AO263" s="30">
        <v>43962</v>
      </c>
      <c r="AP263" s="29"/>
      <c r="AQ263" s="30">
        <v>44173</v>
      </c>
      <c r="AR263" s="29"/>
      <c r="AS263" s="30"/>
      <c r="AT263" s="29"/>
      <c r="AU263" s="29" t="s">
        <v>59</v>
      </c>
      <c r="AV263" s="50">
        <f t="shared" ref="AV263:AV278" si="19">SUM(AO263-J263)/7</f>
        <v>56.428571428571431</v>
      </c>
      <c r="AW263" s="49">
        <f t="shared" si="16"/>
        <v>32.571428571428569</v>
      </c>
      <c r="AX263" s="29"/>
      <c r="AY263" s="77" t="str">
        <f>IF(D263&lt;&gt;"",IF(LEFT(IFERROR(VLOOKUP(D263,'LPA Lookup'!$A$100:$B$470,2,FALSE),"LPA not known to MCLHG"),3)&lt;&gt;"JSP",IFERROR(VLOOKUP(D263,'LPA Lookup'!$A$100:$B$470,2,FALSE),"LPA not known to MCLHG"),VLOOKUP(D263&amp;B263,'LPA Lookup'!$A$100:$B$470,3,FALSE)),"")</f>
        <v>LPA not known to MCLHG</v>
      </c>
      <c r="AZ263" s="41" t="str">
        <f t="shared" si="17"/>
        <v>Apr 19</v>
      </c>
      <c r="BA263" s="41" t="str">
        <f t="shared" si="18"/>
        <v>May 20</v>
      </c>
    </row>
    <row r="264" spans="1:53" ht="14" x14ac:dyDescent="0.15">
      <c r="A264" s="35" t="s">
        <v>53</v>
      </c>
      <c r="B264" s="46">
        <v>1959</v>
      </c>
      <c r="C264" s="29" t="s">
        <v>270</v>
      </c>
      <c r="D264" s="29" t="s">
        <v>558</v>
      </c>
      <c r="E264" s="29" t="s">
        <v>559</v>
      </c>
      <c r="F264" s="29" t="s">
        <v>107</v>
      </c>
      <c r="G264" s="29">
        <v>2</v>
      </c>
      <c r="H264" s="30">
        <v>43402</v>
      </c>
      <c r="I264" s="29"/>
      <c r="J264" s="30">
        <v>43567</v>
      </c>
      <c r="K264" s="29"/>
      <c r="L264" s="29"/>
      <c r="M264" s="30">
        <v>43570</v>
      </c>
      <c r="N264" s="30"/>
      <c r="O264" s="30">
        <v>43739</v>
      </c>
      <c r="P264" s="29"/>
      <c r="Q264" s="30">
        <v>44157</v>
      </c>
      <c r="R264" s="29"/>
      <c r="S264" s="29"/>
      <c r="T264" s="29"/>
      <c r="U264" s="29"/>
      <c r="V264" s="29"/>
      <c r="W264" s="29"/>
      <c r="X264" s="29">
        <v>33.770000000000003</v>
      </c>
      <c r="Y264" s="29">
        <v>6.22</v>
      </c>
      <c r="Z264" s="29"/>
      <c r="AA264" s="29">
        <v>0</v>
      </c>
      <c r="AB264" s="29">
        <v>2.68</v>
      </c>
      <c r="AC264" s="29"/>
      <c r="AD264" s="29">
        <v>43.29</v>
      </c>
      <c r="AE264" s="37">
        <f>AllPlans[[#This Row],[Prep days*]]+AllPlans[[#This Row],[Hearing days*]]+AllPlans[[#This Row],[SV days*]]+AllPlans[[#This Row],[Travel days]]+AllPlans[[#This Row],[Reptg days*]]</f>
        <v>85.960000000000008</v>
      </c>
      <c r="AF264" s="29"/>
      <c r="AG264" s="30">
        <v>44124</v>
      </c>
      <c r="AH264" s="29"/>
      <c r="AI264" s="30">
        <v>44110</v>
      </c>
      <c r="AJ264" s="29"/>
      <c r="AK264" s="30">
        <v>44120</v>
      </c>
      <c r="AL264" s="29"/>
      <c r="AM264" s="30">
        <v>44123</v>
      </c>
      <c r="AN264" s="29"/>
      <c r="AO264" s="30">
        <v>44138</v>
      </c>
      <c r="AP264" s="29"/>
      <c r="AQ264" s="30">
        <v>44228</v>
      </c>
      <c r="AR264" s="29"/>
      <c r="AS264" s="30"/>
      <c r="AT264" s="29"/>
      <c r="AU264" s="29" t="s">
        <v>59</v>
      </c>
      <c r="AV264" s="50">
        <f t="shared" si="19"/>
        <v>81.571428571428569</v>
      </c>
      <c r="AW264" s="49">
        <f t="shared" si="16"/>
        <v>-2.7142857142857144</v>
      </c>
      <c r="AX264" s="29"/>
      <c r="AY264" s="77" t="str">
        <f>IF(D264&lt;&gt;"",IF(LEFT(IFERROR(VLOOKUP(D264,'LPA Lookup'!$A$100:$B$470,2,FALSE),"LPA not known to MCLHG"),3)&lt;&gt;"JSP",IFERROR(VLOOKUP(D264,'LPA Lookup'!$A$100:$B$470,2,FALSE),"LPA not known to MCLHG"),VLOOKUP(D264&amp;B264,'LPA Lookup'!$A$100:$B$470,3,FALSE)),"")</f>
        <v>E08000037</v>
      </c>
      <c r="AZ264" s="41" t="str">
        <f t="shared" si="17"/>
        <v>Apr 19</v>
      </c>
      <c r="BA264" s="41" t="str">
        <f t="shared" si="18"/>
        <v>Nov 20</v>
      </c>
    </row>
    <row r="265" spans="1:53" ht="14" x14ac:dyDescent="0.15">
      <c r="A265" s="35" t="s">
        <v>53</v>
      </c>
      <c r="B265" s="97">
        <v>1930</v>
      </c>
      <c r="C265" s="44" t="s">
        <v>61</v>
      </c>
      <c r="D265" s="44" t="s">
        <v>560</v>
      </c>
      <c r="E265" s="44" t="s">
        <v>56</v>
      </c>
      <c r="F265" s="44" t="s">
        <v>57</v>
      </c>
      <c r="G265" s="44">
        <v>3</v>
      </c>
      <c r="H265" s="45">
        <v>43452</v>
      </c>
      <c r="I265" s="44"/>
      <c r="J265" s="45">
        <v>43585</v>
      </c>
      <c r="K265" s="44"/>
      <c r="L265" s="44"/>
      <c r="M265" s="45">
        <v>43605</v>
      </c>
      <c r="N265" s="45"/>
      <c r="O265" s="45">
        <v>43732</v>
      </c>
      <c r="P265" s="44"/>
      <c r="Q265" s="45">
        <v>43741</v>
      </c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37">
        <v>53.31</v>
      </c>
      <c r="AF265" s="44"/>
      <c r="AG265" s="45">
        <v>43875</v>
      </c>
      <c r="AH265" s="44"/>
      <c r="AI265" s="45">
        <v>43872</v>
      </c>
      <c r="AJ265" s="44"/>
      <c r="AK265" s="45">
        <v>43872</v>
      </c>
      <c r="AL265" s="44"/>
      <c r="AM265" s="45">
        <v>43874</v>
      </c>
      <c r="AN265" s="44"/>
      <c r="AO265" s="45">
        <v>43892</v>
      </c>
      <c r="AP265" s="44"/>
      <c r="AQ265" s="45"/>
      <c r="AR265" s="44"/>
      <c r="AS265" s="45"/>
      <c r="AT265" s="44"/>
      <c r="AU265" s="44" t="s">
        <v>287</v>
      </c>
      <c r="AV265" s="102">
        <f t="shared" si="19"/>
        <v>43.857142857142854</v>
      </c>
      <c r="AW265" s="98">
        <f t="shared" si="16"/>
        <v>21.571428571428573</v>
      </c>
      <c r="AX265" s="44"/>
      <c r="AY265" s="77" t="str">
        <f>IF(D265&lt;&gt;"",IF(LEFT(IFERROR(VLOOKUP(D265,'LPA Lookup'!$A$100:$B$470,2,FALSE),"LPA not known to MCLHG"),3)&lt;&gt;"JSP",IFERROR(VLOOKUP(D265,'LPA Lookup'!$A$100:$B$470,2,FALSE),"LPA not known to MCLHG"),VLOOKUP(D265&amp;B265,'LPA Lookup'!$A$100:$B$470,3,FALSE)),"")</f>
        <v>E07000111</v>
      </c>
      <c r="AZ265" s="41" t="str">
        <f t="shared" si="17"/>
        <v>Apr 19</v>
      </c>
      <c r="BA265" s="41" t="str">
        <f t="shared" si="18"/>
        <v>Mar 20</v>
      </c>
    </row>
    <row r="266" spans="1:53" ht="14" x14ac:dyDescent="0.15">
      <c r="A266" s="35" t="s">
        <v>53</v>
      </c>
      <c r="B266" s="46">
        <v>2243</v>
      </c>
      <c r="C266" s="27" t="s">
        <v>90</v>
      </c>
      <c r="D266" s="29" t="s">
        <v>376</v>
      </c>
      <c r="E266" s="29" t="s">
        <v>561</v>
      </c>
      <c r="F266" s="29" t="s">
        <v>162</v>
      </c>
      <c r="G266" s="29">
        <v>3</v>
      </c>
      <c r="H266" s="30">
        <v>43482</v>
      </c>
      <c r="I266" s="29"/>
      <c r="J266" s="30">
        <v>43588</v>
      </c>
      <c r="K266" s="29"/>
      <c r="L266" s="29"/>
      <c r="M266" s="30">
        <v>42874</v>
      </c>
      <c r="N266" s="30"/>
      <c r="O266" s="30"/>
      <c r="P266" s="29" t="s">
        <v>552</v>
      </c>
      <c r="Q266" s="30"/>
      <c r="R266" s="29"/>
      <c r="S266" s="29"/>
      <c r="T266" s="29"/>
      <c r="U266" s="29"/>
      <c r="V266" s="29"/>
      <c r="W266" s="29"/>
      <c r="X266" s="29">
        <v>2.54</v>
      </c>
      <c r="Y266" s="29">
        <v>0</v>
      </c>
      <c r="Z266" s="29"/>
      <c r="AA266" s="29">
        <v>0</v>
      </c>
      <c r="AB266" s="29">
        <v>0</v>
      </c>
      <c r="AC266" s="29"/>
      <c r="AD266" s="29">
        <v>4.3600000000000003</v>
      </c>
      <c r="AE266" s="37">
        <v>47.79</v>
      </c>
      <c r="AF266" s="29"/>
      <c r="AG266" s="30">
        <v>43818</v>
      </c>
      <c r="AH266" s="269"/>
      <c r="AI266" s="30">
        <v>43811</v>
      </c>
      <c r="AJ266" s="29"/>
      <c r="AK266" s="30">
        <v>43818</v>
      </c>
      <c r="AL266" s="29"/>
      <c r="AM266" s="30">
        <v>43818</v>
      </c>
      <c r="AN266" s="29"/>
      <c r="AO266" s="30">
        <v>43865</v>
      </c>
      <c r="AP266" s="29"/>
      <c r="AQ266" s="30"/>
      <c r="AR266" s="29"/>
      <c r="AS266" s="30"/>
      <c r="AT266" s="29"/>
      <c r="AU266" s="29" t="s">
        <v>59</v>
      </c>
      <c r="AV266" s="50">
        <f t="shared" si="19"/>
        <v>39.571428571428569</v>
      </c>
      <c r="AW266" s="49">
        <f t="shared" si="16"/>
        <v>6266.4285714285716</v>
      </c>
      <c r="AX266" s="29" t="s">
        <v>562</v>
      </c>
      <c r="AY266" s="77" t="str">
        <f>IF(D266&lt;&gt;"",IF(LEFT(IFERROR(VLOOKUP(D266,'LPA Lookup'!$A$100:$B$470,2,FALSE),"LPA not known to MCLHG"),3)&lt;&gt;"JSP",IFERROR(VLOOKUP(D266,'LPA Lookup'!$A$100:$B$470,2,FALSE),"LPA not known to MCLHG"),VLOOKUP(D266&amp;B266,'LPA Lookup'!$A$100:$B$470,3,FALSE)),"")</f>
        <v>E09000027</v>
      </c>
      <c r="AZ266" s="41" t="str">
        <f t="shared" si="17"/>
        <v>May 19</v>
      </c>
      <c r="BA266" s="41" t="str">
        <f t="shared" si="18"/>
        <v>Feb 20</v>
      </c>
    </row>
    <row r="267" spans="1:53" ht="28" x14ac:dyDescent="0.15">
      <c r="A267" s="35" t="s">
        <v>53</v>
      </c>
      <c r="B267" s="46">
        <v>1957</v>
      </c>
      <c r="C267" s="29" t="s">
        <v>61</v>
      </c>
      <c r="D267" s="29" t="s">
        <v>563</v>
      </c>
      <c r="E267" s="29" t="s">
        <v>564</v>
      </c>
      <c r="F267" s="29" t="s">
        <v>80</v>
      </c>
      <c r="G267" s="29">
        <v>2</v>
      </c>
      <c r="H267" s="30">
        <v>43476</v>
      </c>
      <c r="I267" s="29"/>
      <c r="J267" s="30">
        <v>43588</v>
      </c>
      <c r="K267" s="29"/>
      <c r="L267" s="29"/>
      <c r="M267" s="30">
        <v>43588</v>
      </c>
      <c r="N267" s="30"/>
      <c r="O267" s="30">
        <v>43746</v>
      </c>
      <c r="P267" s="29"/>
      <c r="Q267" s="30">
        <v>43753</v>
      </c>
      <c r="R267" s="29"/>
      <c r="S267" s="29"/>
      <c r="T267" s="29"/>
      <c r="U267" s="29"/>
      <c r="V267" s="29"/>
      <c r="W267" s="29"/>
      <c r="X267" s="29">
        <v>7.97</v>
      </c>
      <c r="Y267" s="29">
        <v>1.21</v>
      </c>
      <c r="Z267" s="29"/>
      <c r="AA267" s="29">
        <v>0</v>
      </c>
      <c r="AB267" s="29">
        <v>0.68</v>
      </c>
      <c r="AC267" s="29"/>
      <c r="AD267" s="29">
        <v>7.93</v>
      </c>
      <c r="AE267" s="37">
        <f>AllPlans[[#This Row],[Prep days*]]+AllPlans[[#This Row],[Hearing days*]]+AllPlans[[#This Row],[SV days*]]+AllPlans[[#This Row],[Travel days]]+AllPlans[[#This Row],[Reptg days*]]</f>
        <v>17.79</v>
      </c>
      <c r="AF267" s="29"/>
      <c r="AG267" s="30">
        <v>43937</v>
      </c>
      <c r="AH267" s="51"/>
      <c r="AI267" s="30">
        <v>43910</v>
      </c>
      <c r="AJ267" s="29"/>
      <c r="AK267" s="30">
        <v>43930</v>
      </c>
      <c r="AL267" s="29"/>
      <c r="AM267" s="30">
        <v>43936</v>
      </c>
      <c r="AN267" s="29"/>
      <c r="AO267" s="30">
        <v>43944</v>
      </c>
      <c r="AP267" s="29"/>
      <c r="AQ267" s="30">
        <v>44084</v>
      </c>
      <c r="AR267" s="29"/>
      <c r="AS267" s="30"/>
      <c r="AT267" s="29"/>
      <c r="AU267" s="29" t="s">
        <v>59</v>
      </c>
      <c r="AV267" s="50">
        <f t="shared" si="19"/>
        <v>50.857142857142854</v>
      </c>
      <c r="AW267" s="49">
        <f t="shared" si="16"/>
        <v>27.285714285714285</v>
      </c>
      <c r="AX267" s="29"/>
      <c r="AY267" s="77" t="str">
        <f>IF(D267&lt;&gt;"",IF(LEFT(IFERROR(VLOOKUP(D267,'LPA Lookup'!$A$100:$B$470,2,FALSE),"LPA not known to MCLHG"),3)&lt;&gt;"JSP",IFERROR(VLOOKUP(D267,'LPA Lookup'!$A$100:$B$470,2,FALSE),"LPA not known to MCLHG"),VLOOKUP(D267&amp;B267,'LPA Lookup'!$A$100:$B$470,3,FALSE)),"")</f>
        <v>LPA not known to MCLHG</v>
      </c>
      <c r="AZ267" s="41" t="str">
        <f t="shared" si="17"/>
        <v>May 19</v>
      </c>
      <c r="BA267" s="41" t="str">
        <f t="shared" si="18"/>
        <v>Apr 20</v>
      </c>
    </row>
    <row r="268" spans="1:53" ht="14" x14ac:dyDescent="0.15">
      <c r="A268" s="35" t="s">
        <v>53</v>
      </c>
      <c r="B268" s="46">
        <v>1956</v>
      </c>
      <c r="C268" s="29" t="s">
        <v>61</v>
      </c>
      <c r="D268" s="29" t="s">
        <v>565</v>
      </c>
      <c r="E268" s="29" t="s">
        <v>465</v>
      </c>
      <c r="F268" s="29" t="s">
        <v>80</v>
      </c>
      <c r="G268" s="29">
        <v>2</v>
      </c>
      <c r="H268" s="30">
        <v>43476</v>
      </c>
      <c r="I268" s="29"/>
      <c r="J268" s="30">
        <v>43588</v>
      </c>
      <c r="K268" s="29"/>
      <c r="L268" s="29"/>
      <c r="M268" s="30">
        <v>43588</v>
      </c>
      <c r="N268" s="30"/>
      <c r="O268" s="30">
        <v>43746</v>
      </c>
      <c r="P268" s="29"/>
      <c r="Q268" s="30">
        <v>43753</v>
      </c>
      <c r="R268" s="29"/>
      <c r="S268" s="29"/>
      <c r="T268" s="29"/>
      <c r="U268" s="29"/>
      <c r="V268" s="29"/>
      <c r="W268" s="29"/>
      <c r="X268" s="29">
        <v>12.11</v>
      </c>
      <c r="Y268" s="29">
        <v>1.34</v>
      </c>
      <c r="Z268" s="29"/>
      <c r="AA268" s="29">
        <v>0</v>
      </c>
      <c r="AB268" s="29">
        <v>0.81</v>
      </c>
      <c r="AC268" s="29"/>
      <c r="AD268" s="29">
        <v>8.49</v>
      </c>
      <c r="AE268" s="37">
        <f>AllPlans[[#This Row],[Prep days*]]+AllPlans[[#This Row],[Hearing days*]]+AllPlans[[#This Row],[SV days*]]+AllPlans[[#This Row],[Travel days]]+AllPlans[[#This Row],[Reptg days*]]</f>
        <v>22.75</v>
      </c>
      <c r="AF268" s="29"/>
      <c r="AG268" s="30">
        <v>43937</v>
      </c>
      <c r="AH268" s="61"/>
      <c r="AI268" s="30">
        <v>43910</v>
      </c>
      <c r="AJ268" s="29"/>
      <c r="AK268" s="30">
        <v>43930</v>
      </c>
      <c r="AL268" s="29"/>
      <c r="AM268" s="30">
        <v>43936</v>
      </c>
      <c r="AN268" s="29"/>
      <c r="AO268" s="30">
        <v>43944</v>
      </c>
      <c r="AP268" s="29"/>
      <c r="AQ268" s="30">
        <v>44084</v>
      </c>
      <c r="AR268" s="29"/>
      <c r="AS268" s="30"/>
      <c r="AT268" s="29"/>
      <c r="AU268" s="29" t="s">
        <v>59</v>
      </c>
      <c r="AV268" s="50">
        <f t="shared" si="19"/>
        <v>50.857142857142854</v>
      </c>
      <c r="AW268" s="49">
        <f t="shared" si="16"/>
        <v>27.285714285714285</v>
      </c>
      <c r="AX268" s="29"/>
      <c r="AY268" s="77" t="str">
        <f>IF(D268&lt;&gt;"",IF(LEFT(IFERROR(VLOOKUP(D268,'LPA Lookup'!$A$100:$B$470,2,FALSE),"LPA not known to MCLHG"),3)&lt;&gt;"JSP",IFERROR(VLOOKUP(D268,'LPA Lookup'!$A$100:$B$470,2,FALSE),"LPA not known to MCLHG"),VLOOKUP(D268&amp;B268,'LPA Lookup'!$A$100:$B$470,3,FALSE)),"")</f>
        <v>LPA not known to MCLHG</v>
      </c>
      <c r="AZ268" s="41" t="str">
        <f t="shared" si="17"/>
        <v>May 19</v>
      </c>
      <c r="BA268" s="41" t="str">
        <f t="shared" si="18"/>
        <v>Apr 20</v>
      </c>
    </row>
    <row r="269" spans="1:53" ht="14" x14ac:dyDescent="0.15">
      <c r="A269" s="35" t="s">
        <v>53</v>
      </c>
      <c r="B269" s="46">
        <v>2076</v>
      </c>
      <c r="C269" s="27" t="s">
        <v>104</v>
      </c>
      <c r="D269" s="29" t="s">
        <v>320</v>
      </c>
      <c r="E269" s="29" t="s">
        <v>566</v>
      </c>
      <c r="F269" s="29" t="s">
        <v>107</v>
      </c>
      <c r="G269" s="29">
        <v>2</v>
      </c>
      <c r="H269" s="30">
        <v>43501</v>
      </c>
      <c r="I269" s="29"/>
      <c r="J269" s="30">
        <v>43609</v>
      </c>
      <c r="K269" s="29"/>
      <c r="L269" s="29"/>
      <c r="M269" s="30">
        <v>43640</v>
      </c>
      <c r="N269" s="30"/>
      <c r="O269" s="30">
        <v>43720</v>
      </c>
      <c r="P269" s="29"/>
      <c r="Q269" s="30">
        <v>43720</v>
      </c>
      <c r="R269" s="29"/>
      <c r="S269" s="29"/>
      <c r="T269" s="29"/>
      <c r="U269" s="29"/>
      <c r="V269" s="29"/>
      <c r="W269" s="29"/>
      <c r="X269" s="29">
        <v>8.8000000000000007</v>
      </c>
      <c r="Y269" s="29">
        <v>0.41</v>
      </c>
      <c r="Z269" s="29"/>
      <c r="AA269" s="29">
        <v>0</v>
      </c>
      <c r="AB269" s="29">
        <v>0.82</v>
      </c>
      <c r="AC269" s="29"/>
      <c r="AD269" s="29">
        <v>3.84</v>
      </c>
      <c r="AE269" s="37">
        <f>AllPlans[[#This Row],[Prep days*]]+AllPlans[[#This Row],[Hearing days*]]+AllPlans[[#This Row],[SV days*]]+AllPlans[[#This Row],[Travel days]]+AllPlans[[#This Row],[Reptg days*]]</f>
        <v>13.870000000000001</v>
      </c>
      <c r="AF269" s="29"/>
      <c r="AG269" s="30">
        <v>43979</v>
      </c>
      <c r="AH269" s="29"/>
      <c r="AI269" s="30">
        <v>43965</v>
      </c>
      <c r="AJ269" s="29"/>
      <c r="AK269" s="30">
        <v>43973</v>
      </c>
      <c r="AL269" s="29"/>
      <c r="AM269" s="30">
        <v>43979</v>
      </c>
      <c r="AN269" s="29"/>
      <c r="AO269" s="30">
        <v>44011</v>
      </c>
      <c r="AP269" s="29"/>
      <c r="AQ269" s="30">
        <v>44098</v>
      </c>
      <c r="AR269" s="29"/>
      <c r="AS269" s="30"/>
      <c r="AT269" s="29"/>
      <c r="AU269" s="29" t="s">
        <v>59</v>
      </c>
      <c r="AV269" s="50">
        <f t="shared" si="19"/>
        <v>57.428571428571431</v>
      </c>
      <c r="AW269" s="49">
        <f t="shared" si="16"/>
        <v>41.571428571428569</v>
      </c>
      <c r="AX269" s="29"/>
      <c r="AY269" s="77" t="str">
        <f>IF(D269&lt;&gt;"",IF(LEFT(IFERROR(VLOOKUP(D269,'LPA Lookup'!$A$100:$B$470,2,FALSE),"LPA not known to MCLHG"),3)&lt;&gt;"JSP",IFERROR(VLOOKUP(D269,'LPA Lookup'!$A$100:$B$470,2,FALSE),"LPA not known to MCLHG"),VLOOKUP(D269&amp;B269,'LPA Lookup'!$A$100:$B$470,3,FALSE)),"")</f>
        <v>E07000039</v>
      </c>
      <c r="AZ269" s="41" t="str">
        <f t="shared" si="17"/>
        <v>May 19</v>
      </c>
      <c r="BA269" s="41" t="str">
        <f t="shared" si="18"/>
        <v>Jun 20</v>
      </c>
    </row>
    <row r="270" spans="1:53" ht="70" x14ac:dyDescent="0.15">
      <c r="A270" s="35" t="s">
        <v>53</v>
      </c>
      <c r="B270" s="35">
        <v>2068</v>
      </c>
      <c r="C270" s="27" t="s">
        <v>270</v>
      </c>
      <c r="D270" s="82" t="s">
        <v>358</v>
      </c>
      <c r="E270" s="27" t="s">
        <v>56</v>
      </c>
      <c r="F270" s="27" t="s">
        <v>57</v>
      </c>
      <c r="G270" s="27">
        <v>3</v>
      </c>
      <c r="H270" s="28">
        <v>43495</v>
      </c>
      <c r="I270" s="27"/>
      <c r="J270" s="28">
        <v>43614</v>
      </c>
      <c r="K270" s="27"/>
      <c r="L270" s="27"/>
      <c r="M270" s="28">
        <v>43635</v>
      </c>
      <c r="N270" s="28"/>
      <c r="O270" s="28">
        <v>43746</v>
      </c>
      <c r="P270" s="27" t="s">
        <v>406</v>
      </c>
      <c r="Q270" s="28">
        <v>44154</v>
      </c>
      <c r="R270" s="27"/>
      <c r="S270" s="27"/>
      <c r="T270" s="27"/>
      <c r="U270" s="27"/>
      <c r="V270" s="27"/>
      <c r="W270" s="27"/>
      <c r="X270" s="27">
        <v>97.97</v>
      </c>
      <c r="Y270" s="27">
        <v>17.260000000000002</v>
      </c>
      <c r="Z270" s="27"/>
      <c r="AA270" s="27">
        <v>2</v>
      </c>
      <c r="AB270" s="27">
        <v>3.8</v>
      </c>
      <c r="AC270" s="27"/>
      <c r="AD270" s="27">
        <v>17.71</v>
      </c>
      <c r="AE270" s="37">
        <v>192.66</v>
      </c>
      <c r="AF270" s="27"/>
      <c r="AG270" s="28">
        <v>44552</v>
      </c>
      <c r="AH270" s="27"/>
      <c r="AI270" s="28">
        <v>44532</v>
      </c>
      <c r="AJ270" s="27"/>
      <c r="AK270" s="28">
        <v>44547</v>
      </c>
      <c r="AL270" s="27"/>
      <c r="AM270" s="28">
        <v>44551</v>
      </c>
      <c r="AN270" s="27"/>
      <c r="AO270" s="28">
        <v>44587</v>
      </c>
      <c r="AP270" s="27"/>
      <c r="AQ270" s="28">
        <v>44651</v>
      </c>
      <c r="AR270" s="27"/>
      <c r="AS270" s="28"/>
      <c r="AT270" s="27"/>
      <c r="AU270" s="27" t="s">
        <v>59</v>
      </c>
      <c r="AV270" s="40">
        <f t="shared" si="19"/>
        <v>139</v>
      </c>
      <c r="AW270" s="39">
        <f t="shared" si="16"/>
        <v>61.857142857142854</v>
      </c>
      <c r="AX270" s="103" t="s">
        <v>567</v>
      </c>
      <c r="AY270" s="77" t="str">
        <f>IF(D270&lt;&gt;"",IF(LEFT(IFERROR(VLOOKUP(D270,'LPA Lookup'!$A$100:$B$470,2,FALSE),"LPA not known to MCLHG"),3)&lt;&gt;"JSP",IFERROR(VLOOKUP(D270,'LPA Lookup'!$A$100:$B$470,2,FALSE),"LPA not known to MCLHG"),VLOOKUP(D270&amp;B270,'LPA Lookup'!$A$100:$B$470,3,FALSE)),"")</f>
        <v>E06000057</v>
      </c>
      <c r="AZ270" s="41" t="str">
        <f t="shared" si="17"/>
        <v>May 19</v>
      </c>
      <c r="BA270" s="41" t="str">
        <f t="shared" si="18"/>
        <v>Jan 22</v>
      </c>
    </row>
    <row r="271" spans="1:53" ht="28" x14ac:dyDescent="0.15">
      <c r="A271" s="35" t="s">
        <v>53</v>
      </c>
      <c r="B271" s="46">
        <v>2244</v>
      </c>
      <c r="C271" s="27" t="s">
        <v>90</v>
      </c>
      <c r="D271" s="29" t="s">
        <v>376</v>
      </c>
      <c r="E271" s="29" t="s">
        <v>568</v>
      </c>
      <c r="F271" s="29" t="s">
        <v>162</v>
      </c>
      <c r="G271" s="29">
        <v>3</v>
      </c>
      <c r="H271" s="30">
        <v>43518</v>
      </c>
      <c r="I271" s="29"/>
      <c r="J271" s="30">
        <v>43636</v>
      </c>
      <c r="K271" s="29"/>
      <c r="L271" s="29"/>
      <c r="M271" s="30">
        <v>43637</v>
      </c>
      <c r="N271" s="30"/>
      <c r="O271" s="30"/>
      <c r="P271" s="29" t="s">
        <v>552</v>
      </c>
      <c r="Q271" s="30"/>
      <c r="R271" s="29"/>
      <c r="S271" s="29"/>
      <c r="T271" s="29"/>
      <c r="U271" s="29"/>
      <c r="V271" s="29"/>
      <c r="W271" s="29"/>
      <c r="X271" s="29">
        <v>0</v>
      </c>
      <c r="Y271" s="29">
        <v>0</v>
      </c>
      <c r="Z271" s="29"/>
      <c r="AA271" s="29">
        <v>0</v>
      </c>
      <c r="AB271" s="29">
        <v>0</v>
      </c>
      <c r="AC271" s="29"/>
      <c r="AD271" s="29">
        <v>0</v>
      </c>
      <c r="AE271" s="37">
        <v>47.8</v>
      </c>
      <c r="AF271" s="29"/>
      <c r="AG271" s="30">
        <v>43818</v>
      </c>
      <c r="AH271" s="29"/>
      <c r="AI271" s="30">
        <v>43811</v>
      </c>
      <c r="AJ271" s="29"/>
      <c r="AK271" s="30">
        <v>43818</v>
      </c>
      <c r="AL271" s="29"/>
      <c r="AM271" s="30">
        <v>43818</v>
      </c>
      <c r="AN271" s="29"/>
      <c r="AO271" s="30">
        <v>43865</v>
      </c>
      <c r="AP271" s="29"/>
      <c r="AQ271" s="30"/>
      <c r="AR271" s="29"/>
      <c r="AS271" s="30"/>
      <c r="AT271" s="29"/>
      <c r="AU271" s="29" t="s">
        <v>59</v>
      </c>
      <c r="AV271" s="50">
        <f t="shared" si="19"/>
        <v>32.714285714285715</v>
      </c>
      <c r="AW271" s="49">
        <f t="shared" si="16"/>
        <v>6266.4285714285716</v>
      </c>
      <c r="AX271" s="29" t="s">
        <v>569</v>
      </c>
      <c r="AY271" s="77" t="str">
        <f>IF(D271&lt;&gt;"",IF(LEFT(IFERROR(VLOOKUP(D271,'LPA Lookup'!$A$100:$B$470,2,FALSE),"LPA not known to MCLHG"),3)&lt;&gt;"JSP",IFERROR(VLOOKUP(D271,'LPA Lookup'!$A$100:$B$470,2,FALSE),"LPA not known to MCLHG"),VLOOKUP(D271&amp;B271,'LPA Lookup'!$A$100:$B$470,3,FALSE)),"")</f>
        <v>E09000027</v>
      </c>
      <c r="AZ271" s="41" t="str">
        <f t="shared" si="17"/>
        <v>Jun 19</v>
      </c>
      <c r="BA271" s="41" t="str">
        <f t="shared" si="18"/>
        <v>Feb 20</v>
      </c>
    </row>
    <row r="272" spans="1:53" ht="14" x14ac:dyDescent="0.15">
      <c r="A272" s="35" t="s">
        <v>53</v>
      </c>
      <c r="B272" s="46">
        <v>1925</v>
      </c>
      <c r="C272" s="27" t="s">
        <v>104</v>
      </c>
      <c r="D272" s="29" t="s">
        <v>570</v>
      </c>
      <c r="E272" s="29" t="s">
        <v>56</v>
      </c>
      <c r="F272" s="29" t="s">
        <v>57</v>
      </c>
      <c r="G272" s="29">
        <v>3</v>
      </c>
      <c r="H272" s="30">
        <v>43479</v>
      </c>
      <c r="I272" s="29"/>
      <c r="J272" s="30">
        <v>43644</v>
      </c>
      <c r="K272" s="29"/>
      <c r="L272" s="29"/>
      <c r="M272" s="30">
        <v>43647</v>
      </c>
      <c r="N272" s="30"/>
      <c r="O272" s="30">
        <v>43753</v>
      </c>
      <c r="P272" s="29"/>
      <c r="Q272" s="30">
        <v>43775</v>
      </c>
      <c r="R272" s="29"/>
      <c r="S272" s="29"/>
      <c r="T272" s="29"/>
      <c r="U272" s="29"/>
      <c r="V272" s="29"/>
      <c r="W272" s="29"/>
      <c r="X272" s="29">
        <v>32.049999999999997</v>
      </c>
      <c r="Y272" s="29">
        <v>7.15</v>
      </c>
      <c r="Z272" s="29"/>
      <c r="AA272" s="29">
        <v>0.14000000000000001</v>
      </c>
      <c r="AB272" s="29">
        <v>3.63</v>
      </c>
      <c r="AC272" s="29"/>
      <c r="AD272" s="29">
        <v>31.57</v>
      </c>
      <c r="AE272" s="37">
        <v>98.22</v>
      </c>
      <c r="AF272" s="29"/>
      <c r="AG272" s="30">
        <v>43969</v>
      </c>
      <c r="AH272" s="29"/>
      <c r="AI272" s="30">
        <v>43955</v>
      </c>
      <c r="AJ272" s="29"/>
      <c r="AK272" s="30">
        <v>43965</v>
      </c>
      <c r="AL272" s="29"/>
      <c r="AM272" s="30">
        <v>43966</v>
      </c>
      <c r="AN272" s="29"/>
      <c r="AO272" s="30">
        <v>43978</v>
      </c>
      <c r="AP272" s="29"/>
      <c r="AQ272" s="30">
        <v>44027</v>
      </c>
      <c r="AR272" s="29"/>
      <c r="AS272" s="30"/>
      <c r="AT272" s="29"/>
      <c r="AU272" s="29" t="s">
        <v>59</v>
      </c>
      <c r="AV272" s="50">
        <f t="shared" si="19"/>
        <v>47.714285714285715</v>
      </c>
      <c r="AW272" s="49">
        <f t="shared" si="16"/>
        <v>29</v>
      </c>
      <c r="AX272" s="29"/>
      <c r="AY272" s="77" t="str">
        <f>IF(D272&lt;&gt;"",IF(LEFT(IFERROR(VLOOKUP(D272,'LPA Lookup'!$A$100:$B$470,2,FALSE),"LPA not known to MCLHG"),3)&lt;&gt;"JSP",IFERROR(VLOOKUP(D272,'LPA Lookup'!$A$100:$B$470,2,FALSE),"LPA not known to MCLHG"),VLOOKUP(D272&amp;B272,'LPA Lookup'!$A$100:$B$470,3,FALSE)),"")</f>
        <v>LPA not known to MCLHG</v>
      </c>
      <c r="AZ272" s="41" t="str">
        <f t="shared" si="17"/>
        <v>Jun 19</v>
      </c>
      <c r="BA272" s="41" t="str">
        <f t="shared" si="18"/>
        <v>May 20</v>
      </c>
    </row>
    <row r="273" spans="1:53" ht="14" x14ac:dyDescent="0.15">
      <c r="A273" s="35" t="s">
        <v>53</v>
      </c>
      <c r="B273" s="46">
        <v>2074</v>
      </c>
      <c r="C273" s="29" t="s">
        <v>270</v>
      </c>
      <c r="D273" s="29" t="s">
        <v>571</v>
      </c>
      <c r="E273" s="29" t="s">
        <v>56</v>
      </c>
      <c r="F273" s="29" t="s">
        <v>57</v>
      </c>
      <c r="G273" s="29">
        <v>3</v>
      </c>
      <c r="H273" s="30">
        <v>43490</v>
      </c>
      <c r="I273" s="29"/>
      <c r="J273" s="30">
        <v>43644</v>
      </c>
      <c r="K273" s="29"/>
      <c r="L273" s="29"/>
      <c r="M273" s="30">
        <v>43647</v>
      </c>
      <c r="N273" s="30"/>
      <c r="O273" s="30">
        <v>43760</v>
      </c>
      <c r="P273" s="29" t="s">
        <v>552</v>
      </c>
      <c r="Q273" s="30">
        <v>43867</v>
      </c>
      <c r="R273" s="29"/>
      <c r="S273" s="29"/>
      <c r="T273" s="29"/>
      <c r="U273" s="29"/>
      <c r="V273" s="29"/>
      <c r="W273" s="29"/>
      <c r="X273" s="29">
        <v>51.4</v>
      </c>
      <c r="Y273" s="29">
        <v>12.14</v>
      </c>
      <c r="Z273" s="29"/>
      <c r="AA273" s="29">
        <v>2.0299999999999998</v>
      </c>
      <c r="AB273" s="29">
        <v>5.05</v>
      </c>
      <c r="AC273" s="29"/>
      <c r="AD273" s="29">
        <v>32.520000000000003</v>
      </c>
      <c r="AE273" s="37">
        <f>AllPlans[[#This Row],[Prep days*]]+AllPlans[[#This Row],[Hearing days*]]+AllPlans[[#This Row],[SV days*]]+AllPlans[[#This Row],[Travel days]]+AllPlans[[#This Row],[Reptg days*]]</f>
        <v>103.13999999999999</v>
      </c>
      <c r="AF273" s="29"/>
      <c r="AG273" s="30">
        <v>44083</v>
      </c>
      <c r="AH273" s="29"/>
      <c r="AI273" s="30">
        <v>44067</v>
      </c>
      <c r="AJ273" s="29"/>
      <c r="AK273" s="30">
        <v>44071</v>
      </c>
      <c r="AL273" s="29"/>
      <c r="AM273" s="30">
        <v>44082</v>
      </c>
      <c r="AN273" s="29"/>
      <c r="AO273" s="30">
        <v>44091</v>
      </c>
      <c r="AP273" s="29"/>
      <c r="AQ273" s="30">
        <v>44125</v>
      </c>
      <c r="AR273" s="29"/>
      <c r="AS273" s="30"/>
      <c r="AT273" s="29"/>
      <c r="AU273" s="29" t="s">
        <v>59</v>
      </c>
      <c r="AV273" s="50">
        <f t="shared" si="19"/>
        <v>63.857142857142854</v>
      </c>
      <c r="AW273" s="49">
        <f t="shared" si="16"/>
        <v>32</v>
      </c>
      <c r="AX273" s="29"/>
      <c r="AY273" s="77" t="str">
        <f>IF(D273&lt;&gt;"",IF(LEFT(IFERROR(VLOOKUP(D273,'LPA Lookup'!$A$100:$B$470,2,FALSE),"LPA not known to MCLHG"),3)&lt;&gt;"JSP",IFERROR(VLOOKUP(D273,'LPA Lookup'!$A$100:$B$470,2,FALSE),"LPA not known to MCLHG"),VLOOKUP(D273&amp;B273,'LPA Lookup'!$A$100:$B$470,3,FALSE)),"")</f>
        <v>LPA not known to MCLHG</v>
      </c>
      <c r="AZ273" s="41" t="str">
        <f t="shared" si="17"/>
        <v>Jun 19</v>
      </c>
      <c r="BA273" s="41" t="str">
        <f t="shared" si="18"/>
        <v>Sep 20</v>
      </c>
    </row>
    <row r="274" spans="1:53" ht="14" x14ac:dyDescent="0.15">
      <c r="A274" s="35" t="s">
        <v>53</v>
      </c>
      <c r="B274" s="46">
        <v>2015</v>
      </c>
      <c r="C274" s="29" t="s">
        <v>77</v>
      </c>
      <c r="D274" s="29" t="s">
        <v>572</v>
      </c>
      <c r="E274" s="29" t="s">
        <v>56</v>
      </c>
      <c r="F274" s="29" t="s">
        <v>57</v>
      </c>
      <c r="G274" s="29">
        <v>3</v>
      </c>
      <c r="H274" s="30">
        <v>43565</v>
      </c>
      <c r="I274" s="29"/>
      <c r="J274" s="30">
        <v>43648</v>
      </c>
      <c r="K274" s="29"/>
      <c r="L274" s="29"/>
      <c r="M274" s="30">
        <v>43656</v>
      </c>
      <c r="N274" s="30"/>
      <c r="O274" s="30">
        <v>43781</v>
      </c>
      <c r="P274" s="29" t="s">
        <v>552</v>
      </c>
      <c r="Q274" s="30">
        <v>43782</v>
      </c>
      <c r="R274" s="29"/>
      <c r="S274" s="29"/>
      <c r="T274" s="29"/>
      <c r="U274" s="29"/>
      <c r="V274" s="29"/>
      <c r="W274" s="29"/>
      <c r="X274" s="29">
        <v>15</v>
      </c>
      <c r="Y274" s="29">
        <v>2</v>
      </c>
      <c r="Z274" s="29"/>
      <c r="AA274" s="29">
        <v>0.59</v>
      </c>
      <c r="AB274" s="29">
        <v>1.41</v>
      </c>
      <c r="AC274" s="29"/>
      <c r="AD274" s="29">
        <v>7</v>
      </c>
      <c r="AE274" s="37">
        <f>AllPlans[[#This Row],[Prep days*]]+AllPlans[[#This Row],[Hearing days*]]+AllPlans[[#This Row],[SV days*]]+AllPlans[[#This Row],[Travel days]]+AllPlans[[#This Row],[Reptg days*]]</f>
        <v>26</v>
      </c>
      <c r="AF274" s="29"/>
      <c r="AG274" s="30">
        <v>43956</v>
      </c>
      <c r="AH274" s="29"/>
      <c r="AI274" s="30">
        <v>43948</v>
      </c>
      <c r="AJ274" s="29"/>
      <c r="AK274" s="30">
        <v>43952</v>
      </c>
      <c r="AL274" s="29"/>
      <c r="AM274" s="30">
        <v>43955</v>
      </c>
      <c r="AN274" s="29"/>
      <c r="AO274" s="30">
        <v>43966</v>
      </c>
      <c r="AP274" s="29"/>
      <c r="AQ274" s="30">
        <v>44039</v>
      </c>
      <c r="AR274" s="29"/>
      <c r="AS274" s="30"/>
      <c r="AT274" s="29"/>
      <c r="AU274" s="29" t="s">
        <v>59</v>
      </c>
      <c r="AV274" s="50">
        <f t="shared" si="19"/>
        <v>45.428571428571431</v>
      </c>
      <c r="AW274" s="49">
        <f t="shared" si="16"/>
        <v>26.285714285714285</v>
      </c>
      <c r="AX274" s="29"/>
      <c r="AY274" s="77" t="str">
        <f>IF(D274&lt;&gt;"",IF(LEFT(IFERROR(VLOOKUP(D274,'LPA Lookup'!$A$100:$B$470,2,FALSE),"LPA not known to MCLHG"),3)&lt;&gt;"JSP",IFERROR(VLOOKUP(D274,'LPA Lookup'!$A$100:$B$470,2,FALSE),"LPA not known to MCLHG"),VLOOKUP(D274&amp;B274,'LPA Lookup'!$A$100:$B$470,3,FALSE)),"")</f>
        <v>E26000005</v>
      </c>
      <c r="AZ274" s="41" t="str">
        <f t="shared" si="17"/>
        <v>Jul 19</v>
      </c>
      <c r="BA274" s="41" t="str">
        <f t="shared" si="18"/>
        <v>May 20</v>
      </c>
    </row>
    <row r="275" spans="1:53" ht="28" x14ac:dyDescent="0.15">
      <c r="A275" s="35" t="s">
        <v>53</v>
      </c>
      <c r="B275" s="46">
        <v>1955</v>
      </c>
      <c r="C275" s="29" t="s">
        <v>61</v>
      </c>
      <c r="D275" s="29" t="s">
        <v>202</v>
      </c>
      <c r="E275" s="29" t="s">
        <v>573</v>
      </c>
      <c r="F275" s="29" t="s">
        <v>107</v>
      </c>
      <c r="G275" s="29">
        <v>2</v>
      </c>
      <c r="H275" s="30">
        <v>43409</v>
      </c>
      <c r="I275" s="27"/>
      <c r="J275" s="30">
        <v>43677</v>
      </c>
      <c r="K275" s="27"/>
      <c r="L275" s="29"/>
      <c r="M275" s="30">
        <v>43707</v>
      </c>
      <c r="N275" s="28"/>
      <c r="O275" s="30">
        <v>43802</v>
      </c>
      <c r="P275" s="27"/>
      <c r="Q275" s="30">
        <v>43810</v>
      </c>
      <c r="R275" s="27"/>
      <c r="S275" s="27"/>
      <c r="T275" s="27"/>
      <c r="U275" s="27"/>
      <c r="V275" s="27"/>
      <c r="W275" s="27"/>
      <c r="X275" s="29"/>
      <c r="Y275" s="29"/>
      <c r="Z275" s="29"/>
      <c r="AA275" s="29"/>
      <c r="AB275" s="29"/>
      <c r="AC275" s="29"/>
      <c r="AD275" s="29"/>
      <c r="AE275" s="48">
        <v>98.61</v>
      </c>
      <c r="AF275" s="29"/>
      <c r="AG275" s="30">
        <v>44404</v>
      </c>
      <c r="AH275" s="27"/>
      <c r="AI275" s="30">
        <v>44384</v>
      </c>
      <c r="AJ275" s="27"/>
      <c r="AK275" s="30">
        <v>44397</v>
      </c>
      <c r="AL275" s="27"/>
      <c r="AM275" s="30">
        <v>44404</v>
      </c>
      <c r="AN275" s="27"/>
      <c r="AO275" s="30">
        <v>44414</v>
      </c>
      <c r="AP275" s="27"/>
      <c r="AQ275" s="30">
        <v>44483</v>
      </c>
      <c r="AR275" s="27"/>
      <c r="AS275" s="30"/>
      <c r="AT275" s="27"/>
      <c r="AU275" s="29" t="s">
        <v>59</v>
      </c>
      <c r="AV275" s="50">
        <f t="shared" si="19"/>
        <v>105.28571428571429</v>
      </c>
      <c r="AW275" s="49">
        <f t="shared" si="16"/>
        <v>86.285714285714292</v>
      </c>
      <c r="AX275" s="29"/>
      <c r="AY275" s="77" t="str">
        <f>IF(D275&lt;&gt;"",IF(LEFT(IFERROR(VLOOKUP(D275,'LPA Lookup'!$A$100:$B$470,2,FALSE),"LPA not known to MCLHG"),3)&lt;&gt;"JSP",IFERROR(VLOOKUP(D275,'LPA Lookup'!$A$100:$B$470,2,FALSE),"LPA not known to MCLHG"),VLOOKUP(D275&amp;B275,'LPA Lookup'!$A$100:$B$470,3,FALSE)),"")</f>
        <v>E07000217</v>
      </c>
      <c r="AZ275" s="87" t="str">
        <f t="shared" si="17"/>
        <v>Jul 19</v>
      </c>
      <c r="BA275" s="87" t="str">
        <f t="shared" si="18"/>
        <v>Aug 21</v>
      </c>
    </row>
    <row r="276" spans="1:53" s="87" customFormat="1" ht="14" x14ac:dyDescent="0.15">
      <c r="A276" s="35" t="s">
        <v>53</v>
      </c>
      <c r="B276" s="46">
        <v>2032</v>
      </c>
      <c r="C276" s="27" t="s">
        <v>83</v>
      </c>
      <c r="D276" s="29" t="s">
        <v>574</v>
      </c>
      <c r="E276" s="29" t="s">
        <v>56</v>
      </c>
      <c r="F276" s="29" t="s">
        <v>57</v>
      </c>
      <c r="G276" s="29">
        <v>3</v>
      </c>
      <c r="H276" s="30">
        <v>43563</v>
      </c>
      <c r="I276" s="29"/>
      <c r="J276" s="30">
        <v>43678</v>
      </c>
      <c r="K276" s="29"/>
      <c r="L276" s="29"/>
      <c r="M276" s="30">
        <v>43685</v>
      </c>
      <c r="N276" s="30"/>
      <c r="O276" s="30">
        <v>43795</v>
      </c>
      <c r="P276" s="29" t="s">
        <v>552</v>
      </c>
      <c r="Q276" s="30">
        <v>43804</v>
      </c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37">
        <v>146.94</v>
      </c>
      <c r="AF276" s="29"/>
      <c r="AG276" s="30">
        <v>44257</v>
      </c>
      <c r="AH276" s="29"/>
      <c r="AI276" s="30">
        <v>44235</v>
      </c>
      <c r="AJ276" s="29"/>
      <c r="AK276" s="30">
        <v>44252</v>
      </c>
      <c r="AL276" s="29"/>
      <c r="AM276" s="30">
        <v>44256</v>
      </c>
      <c r="AN276" s="29"/>
      <c r="AO276" s="30">
        <v>44270</v>
      </c>
      <c r="AP276" s="29"/>
      <c r="AQ276" s="30">
        <v>44335</v>
      </c>
      <c r="AR276" s="29"/>
      <c r="AS276" s="30"/>
      <c r="AT276" s="29"/>
      <c r="AU276" s="29" t="s">
        <v>59</v>
      </c>
      <c r="AV276" s="50">
        <f t="shared" si="19"/>
        <v>84.571428571428569</v>
      </c>
      <c r="AW276" s="49">
        <f t="shared" si="16"/>
        <v>66.571428571428569</v>
      </c>
      <c r="AX276" s="29"/>
      <c r="AY276" s="77" t="str">
        <f>IF(D276&lt;&gt;"",IF(LEFT(IFERROR(VLOOKUP(D276,'LPA Lookup'!$A$100:$B$470,2,FALSE),"LPA not known to MCLHG"),3)&lt;&gt;"JSP",IFERROR(VLOOKUP(D276,'LPA Lookup'!$A$100:$B$470,2,FALSE),"LPA not known to MCLHG"),VLOOKUP(D276&amp;B276,'LPA Lookup'!$A$100:$B$470,3,FALSE)),"")</f>
        <v>E26000011</v>
      </c>
      <c r="AZ276" s="41" t="str">
        <f t="shared" si="17"/>
        <v>Aug 19</v>
      </c>
      <c r="BA276" s="41" t="str">
        <f t="shared" si="18"/>
        <v>Mar 21</v>
      </c>
    </row>
    <row r="277" spans="1:53" ht="14" x14ac:dyDescent="0.15">
      <c r="A277" s="35" t="s">
        <v>53</v>
      </c>
      <c r="B277" s="35">
        <v>2009</v>
      </c>
      <c r="C277" s="29" t="s">
        <v>67</v>
      </c>
      <c r="D277" s="82" t="s">
        <v>386</v>
      </c>
      <c r="E277" s="27" t="s">
        <v>575</v>
      </c>
      <c r="F277" s="27" t="s">
        <v>74</v>
      </c>
      <c r="G277" s="27">
        <v>2</v>
      </c>
      <c r="H277" s="28">
        <v>43535</v>
      </c>
      <c r="I277" s="27"/>
      <c r="J277" s="28">
        <v>43679</v>
      </c>
      <c r="K277" s="27"/>
      <c r="L277" s="27"/>
      <c r="M277" s="28">
        <v>43682</v>
      </c>
      <c r="N277" s="28"/>
      <c r="O277" s="28">
        <v>43851</v>
      </c>
      <c r="P277" s="27" t="s">
        <v>384</v>
      </c>
      <c r="Q277" s="28">
        <v>44155</v>
      </c>
      <c r="R277" s="27"/>
      <c r="S277" s="27"/>
      <c r="T277" s="27"/>
      <c r="U277" s="27"/>
      <c r="V277" s="27"/>
      <c r="W277" s="27"/>
      <c r="X277" s="27">
        <v>66.400000000000006</v>
      </c>
      <c r="Y277" s="27">
        <v>11.53</v>
      </c>
      <c r="Z277" s="27"/>
      <c r="AA277" s="27">
        <v>1.22</v>
      </c>
      <c r="AB277" s="27">
        <v>1.42</v>
      </c>
      <c r="AC277" s="27"/>
      <c r="AD277" s="27">
        <v>66.45</v>
      </c>
      <c r="AE277" s="37">
        <v>160.5</v>
      </c>
      <c r="AF277" s="27"/>
      <c r="AG277" s="28">
        <v>44769</v>
      </c>
      <c r="AH277" s="27"/>
      <c r="AI277" s="28">
        <v>44718</v>
      </c>
      <c r="AJ277" s="27"/>
      <c r="AK277" s="28">
        <v>44763</v>
      </c>
      <c r="AL277" s="27"/>
      <c r="AM277" s="28">
        <v>44764</v>
      </c>
      <c r="AN277" s="27"/>
      <c r="AO277" s="28">
        <v>44784</v>
      </c>
      <c r="AP277" s="27"/>
      <c r="AQ277" s="28">
        <v>44853</v>
      </c>
      <c r="AR277" s="27"/>
      <c r="AS277" s="28"/>
      <c r="AT277" s="27"/>
      <c r="AU277" s="27" t="s">
        <v>59</v>
      </c>
      <c r="AV277" s="40">
        <f t="shared" si="19"/>
        <v>157.85714285714286</v>
      </c>
      <c r="AW277" s="39">
        <f t="shared" si="16"/>
        <v>89.857142857142861</v>
      </c>
      <c r="AX277" s="27"/>
      <c r="AY277" s="77" t="str">
        <f>IF(D277&lt;&gt;"",IF(LEFT(IFERROR(VLOOKUP(D277,'LPA Lookup'!$A$100:$B$470,2,FALSE),"LPA not known to MCLHG"),3)&lt;&gt;"JSP",IFERROR(VLOOKUP(D277,'LPA Lookup'!$A$100:$B$470,2,FALSE),"LPA not known to MCLHG"),VLOOKUP(D277&amp;B277,'LPA Lookup'!$A$100:$B$470,3,FALSE)),"")</f>
        <v>E07000040</v>
      </c>
      <c r="AZ277" s="41" t="str">
        <f t="shared" si="17"/>
        <v>Aug 19</v>
      </c>
      <c r="BA277" s="41" t="str">
        <f t="shared" si="18"/>
        <v>Aug 22</v>
      </c>
    </row>
    <row r="278" spans="1:53" ht="42" customHeight="1" x14ac:dyDescent="0.15">
      <c r="A278" s="35" t="s">
        <v>53</v>
      </c>
      <c r="B278" s="104">
        <v>2054</v>
      </c>
      <c r="C278" s="27" t="s">
        <v>90</v>
      </c>
      <c r="D278" s="185" t="s">
        <v>576</v>
      </c>
      <c r="E278" s="52" t="s">
        <v>577</v>
      </c>
      <c r="F278" s="52" t="s">
        <v>80</v>
      </c>
      <c r="G278" s="52">
        <v>2</v>
      </c>
      <c r="H278" s="53">
        <v>43525</v>
      </c>
      <c r="I278" s="52"/>
      <c r="J278" s="53">
        <v>43685</v>
      </c>
      <c r="K278" s="52"/>
      <c r="L278" s="52"/>
      <c r="M278" s="53">
        <v>43691</v>
      </c>
      <c r="N278" s="53"/>
      <c r="O278" s="53">
        <v>43789</v>
      </c>
      <c r="P278" s="52"/>
      <c r="Q278" s="53">
        <v>43790</v>
      </c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37">
        <v>45.66</v>
      </c>
      <c r="AF278" s="52"/>
      <c r="AG278" s="53">
        <v>44484</v>
      </c>
      <c r="AH278" s="52"/>
      <c r="AI278" s="53">
        <v>44461</v>
      </c>
      <c r="AJ278" s="52"/>
      <c r="AK278" s="53">
        <v>44476</v>
      </c>
      <c r="AL278" s="52"/>
      <c r="AM278" s="53">
        <v>44481</v>
      </c>
      <c r="AN278" s="52"/>
      <c r="AO278" s="53">
        <v>44496</v>
      </c>
      <c r="AP278" s="52"/>
      <c r="AQ278" s="53">
        <v>44587</v>
      </c>
      <c r="AR278" s="52"/>
      <c r="AS278" s="53"/>
      <c r="AT278" s="52"/>
      <c r="AU278" s="52" t="s">
        <v>59</v>
      </c>
      <c r="AV278" s="99">
        <f t="shared" si="19"/>
        <v>115.85714285714286</v>
      </c>
      <c r="AW278" s="105">
        <f t="shared" si="16"/>
        <v>100.85714285714286</v>
      </c>
      <c r="AX278" s="52" t="s">
        <v>578</v>
      </c>
      <c r="AY278" s="77" t="str">
        <f>IF(D278&lt;&gt;"",IF(LEFT(IFERROR(VLOOKUP(D278,'LPA Lookup'!$A$100:$B$470,2,FALSE),"LPA not known to MCLHG"),3)&lt;&gt;"JSP",IFERROR(VLOOKUP(D278,'LPA Lookup'!$A$100:$B$470,2,FALSE),"LPA not known to MCLHG"),VLOOKUP(D278&amp;B278,'LPA Lookup'!$A$100:$B$470,3,FALSE)),"")</f>
        <v>LPA not known to MCLHG</v>
      </c>
      <c r="AZ278" s="41" t="str">
        <f t="shared" si="17"/>
        <v>Aug 19</v>
      </c>
      <c r="BA278" s="41" t="str">
        <f t="shared" si="18"/>
        <v>Oct 21</v>
      </c>
    </row>
    <row r="279" spans="1:53" ht="14" x14ac:dyDescent="0.15">
      <c r="A279" s="35" t="s">
        <v>53</v>
      </c>
      <c r="B279" s="106">
        <v>1940</v>
      </c>
      <c r="C279" s="54" t="s">
        <v>61</v>
      </c>
      <c r="D279" s="54" t="s">
        <v>579</v>
      </c>
      <c r="E279" s="54" t="s">
        <v>580</v>
      </c>
      <c r="F279" s="54" t="s">
        <v>57</v>
      </c>
      <c r="G279" s="54">
        <v>3</v>
      </c>
      <c r="H279" s="55">
        <v>43623</v>
      </c>
      <c r="I279" s="54"/>
      <c r="J279" s="55">
        <v>43734</v>
      </c>
      <c r="K279" s="54"/>
      <c r="L279" s="54"/>
      <c r="M279" s="55">
        <v>43742</v>
      </c>
      <c r="N279" s="55"/>
      <c r="O279" s="55">
        <v>43907</v>
      </c>
      <c r="P279" s="54"/>
      <c r="Q279" s="55">
        <v>43907</v>
      </c>
      <c r="R279" s="54"/>
      <c r="S279" s="54"/>
      <c r="T279" s="54"/>
      <c r="U279" s="54"/>
      <c r="V279" s="54"/>
      <c r="W279" s="54"/>
      <c r="X279" s="54">
        <v>42.04</v>
      </c>
      <c r="Y279" s="54">
        <v>1.0900000000000001</v>
      </c>
      <c r="Z279" s="54"/>
      <c r="AA279" s="54">
        <v>0</v>
      </c>
      <c r="AB279" s="54">
        <v>1.22</v>
      </c>
      <c r="AC279" s="54"/>
      <c r="AD279" s="54">
        <v>5.5</v>
      </c>
      <c r="AE279" s="37">
        <v>62.64</v>
      </c>
      <c r="AF279" s="54"/>
      <c r="AG279" s="55"/>
      <c r="AH279" s="54"/>
      <c r="AI279" s="55"/>
      <c r="AJ279" s="54"/>
      <c r="AK279" s="55"/>
      <c r="AL279" s="54"/>
      <c r="AM279" s="55"/>
      <c r="AN279" s="54"/>
      <c r="AO279" s="55"/>
      <c r="AP279" s="54"/>
      <c r="AQ279" s="55"/>
      <c r="AR279" s="54"/>
      <c r="AS279" s="55">
        <v>44125</v>
      </c>
      <c r="AT279" s="54"/>
      <c r="AU279" s="54" t="s">
        <v>278</v>
      </c>
      <c r="AV279" s="96" t="e">
        <f>DATEDIF(J279,AO279, "d")/7</f>
        <v>#NUM!</v>
      </c>
      <c r="AW279" s="107">
        <f t="shared" si="16"/>
        <v>-6272.4285714285716</v>
      </c>
      <c r="AX279" s="54"/>
      <c r="AY279" s="77" t="e">
        <f>IF(D279&lt;&gt;"",IF(LEFT(IFERROR(VLOOKUP(D279,'LPA Lookup'!$A$100:$B$470,2,FALSE),"LPA not known to MCLHG"),3)&lt;&gt;"JSP",IFERROR(VLOOKUP(D279,'LPA Lookup'!$A$100:$B$470,2,FALSE),"LPA not known to MCLHG"),VLOOKUP(D279&amp;B279,'LPA Lookup'!$A$100:$B$470,3,FALSE)),"")</f>
        <v>#N/A</v>
      </c>
      <c r="AZ279" s="41" t="str">
        <f t="shared" si="17"/>
        <v>Sep 19</v>
      </c>
      <c r="BA279" s="41" t="str">
        <f t="shared" si="18"/>
        <v>Jan 00</v>
      </c>
    </row>
    <row r="280" spans="1:53" ht="14" x14ac:dyDescent="0.15">
      <c r="A280" s="35" t="s">
        <v>53</v>
      </c>
      <c r="B280" s="46">
        <v>2095</v>
      </c>
      <c r="C280" s="29" t="s">
        <v>270</v>
      </c>
      <c r="D280" s="29" t="s">
        <v>581</v>
      </c>
      <c r="E280" s="29" t="s">
        <v>56</v>
      </c>
      <c r="F280" s="29" t="s">
        <v>57</v>
      </c>
      <c r="G280" s="29">
        <v>3</v>
      </c>
      <c r="H280" s="30">
        <v>43616</v>
      </c>
      <c r="I280" s="29"/>
      <c r="J280" s="30">
        <v>43738</v>
      </c>
      <c r="K280" s="29"/>
      <c r="L280" s="29"/>
      <c r="M280" s="30">
        <v>43739</v>
      </c>
      <c r="N280" s="30"/>
      <c r="O280" s="30">
        <v>43860</v>
      </c>
      <c r="P280" s="29"/>
      <c r="Q280" s="30">
        <v>43860</v>
      </c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37">
        <v>23</v>
      </c>
      <c r="AF280" s="29"/>
      <c r="AG280" s="30">
        <v>43992</v>
      </c>
      <c r="AH280" s="29"/>
      <c r="AI280" s="30">
        <v>43985</v>
      </c>
      <c r="AJ280" s="29"/>
      <c r="AK280" s="30">
        <v>43986</v>
      </c>
      <c r="AL280" s="29"/>
      <c r="AM280" s="30">
        <v>43991</v>
      </c>
      <c r="AN280" s="29"/>
      <c r="AO280" s="30">
        <v>43999</v>
      </c>
      <c r="AP280" s="29"/>
      <c r="AQ280" s="30">
        <v>44027</v>
      </c>
      <c r="AR280" s="29"/>
      <c r="AS280" s="30"/>
      <c r="AT280" s="29"/>
      <c r="AU280" s="29" t="s">
        <v>59</v>
      </c>
      <c r="AV280" s="50">
        <f t="shared" ref="AV280:AV311" si="20">SUM(AO280-J280)/7</f>
        <v>37.285714285714285</v>
      </c>
      <c r="AW280" s="49">
        <f t="shared" si="16"/>
        <v>19.857142857142858</v>
      </c>
      <c r="AX280" s="29"/>
      <c r="AY280" s="77" t="str">
        <f>IF(D280&lt;&gt;"",IF(LEFT(IFERROR(VLOOKUP(D280,'LPA Lookup'!$A$100:$B$470,2,FALSE),"LPA not known to MCLHG"),3)&lt;&gt;"JSP",IFERROR(VLOOKUP(D280,'LPA Lookup'!$A$100:$B$470,2,FALSE),"LPA not known to MCLHG"),VLOOKUP(D280&amp;B280,'LPA Lookup'!$A$100:$B$470,3,FALSE)),"")</f>
        <v>E26000004</v>
      </c>
      <c r="AZ280" s="51" t="str">
        <f t="shared" si="17"/>
        <v>Sep 19</v>
      </c>
      <c r="BA280" s="51" t="str">
        <f t="shared" si="18"/>
        <v>Jun 20</v>
      </c>
    </row>
    <row r="281" spans="1:53" s="51" customFormat="1" ht="14" x14ac:dyDescent="0.15">
      <c r="A281" s="35" t="s">
        <v>53</v>
      </c>
      <c r="B281" s="248">
        <v>1975</v>
      </c>
      <c r="C281" s="47" t="s">
        <v>67</v>
      </c>
      <c r="D281" s="246" t="s">
        <v>582</v>
      </c>
      <c r="E281" s="246" t="s">
        <v>56</v>
      </c>
      <c r="F281" s="246" t="s">
        <v>57</v>
      </c>
      <c r="G281" s="246">
        <v>3</v>
      </c>
      <c r="H281" s="256">
        <v>43518</v>
      </c>
      <c r="I281" s="246"/>
      <c r="J281" s="256">
        <v>43738</v>
      </c>
      <c r="K281" s="246"/>
      <c r="L281" s="246"/>
      <c r="M281" s="256">
        <v>43748</v>
      </c>
      <c r="N281" s="256"/>
      <c r="O281" s="256">
        <v>43851</v>
      </c>
      <c r="P281" s="246"/>
      <c r="Q281" s="256">
        <v>43853</v>
      </c>
      <c r="R281" s="246"/>
      <c r="S281" s="246"/>
      <c r="T281" s="246"/>
      <c r="U281" s="246"/>
      <c r="V281" s="246"/>
      <c r="W281" s="246"/>
      <c r="X281" s="246">
        <v>12.21</v>
      </c>
      <c r="Y281" s="246">
        <v>3.01</v>
      </c>
      <c r="Z281" s="246"/>
      <c r="AA281" s="246">
        <v>0</v>
      </c>
      <c r="AB281" s="246">
        <v>3.35</v>
      </c>
      <c r="AC281" s="246"/>
      <c r="AD281" s="246">
        <v>4.1399999999999997</v>
      </c>
      <c r="AE281" s="37">
        <v>23.04</v>
      </c>
      <c r="AF281" s="246"/>
      <c r="AG281" s="256">
        <v>44245</v>
      </c>
      <c r="AH281" s="246"/>
      <c r="AI281" s="256">
        <v>44160</v>
      </c>
      <c r="AJ281" s="246"/>
      <c r="AK281" s="256">
        <v>44242</v>
      </c>
      <c r="AL281" s="246"/>
      <c r="AM281" s="256">
        <v>44243</v>
      </c>
      <c r="AN281" s="246"/>
      <c r="AO281" s="256">
        <v>44250</v>
      </c>
      <c r="AP281" s="246"/>
      <c r="AQ281" s="256">
        <v>44280</v>
      </c>
      <c r="AR281" s="246"/>
      <c r="AS281" s="256"/>
      <c r="AT281" s="246"/>
      <c r="AU281" s="246" t="s">
        <v>59</v>
      </c>
      <c r="AV281" s="188">
        <f t="shared" si="20"/>
        <v>73.142857142857139</v>
      </c>
      <c r="AW281" s="203">
        <f t="shared" si="16"/>
        <v>56.714285714285715</v>
      </c>
      <c r="AX281" s="246"/>
      <c r="AY281" s="77" t="str">
        <f>IF(D281&lt;&gt;"",IF(LEFT(IFERROR(VLOOKUP(D281,'LPA Lookup'!$A$100:$B$470,2,FALSE),"LPA not known to MCLHG"),3)&lt;&gt;"JSP",IFERROR(VLOOKUP(D281,'LPA Lookup'!$A$100:$B$470,2,FALSE),"LPA not known to MCLHG"),VLOOKUP(D281&amp;B281,'LPA Lookup'!$A$100:$B$470,3,FALSE)),"")</f>
        <v>E06000053</v>
      </c>
      <c r="AZ281" s="41" t="str">
        <f t="shared" si="17"/>
        <v>Sep 19</v>
      </c>
      <c r="BA281" s="41" t="str">
        <f t="shared" si="18"/>
        <v>Feb 21</v>
      </c>
    </row>
    <row r="282" spans="1:53" ht="14" x14ac:dyDescent="0.15">
      <c r="A282" s="35" t="s">
        <v>53</v>
      </c>
      <c r="B282" s="173">
        <v>1997</v>
      </c>
      <c r="C282" s="27" t="s">
        <v>90</v>
      </c>
      <c r="D282" s="47" t="s">
        <v>160</v>
      </c>
      <c r="E282" s="47" t="s">
        <v>583</v>
      </c>
      <c r="F282" s="47" t="s">
        <v>57</v>
      </c>
      <c r="G282" s="47">
        <v>3</v>
      </c>
      <c r="H282" s="191">
        <v>43635</v>
      </c>
      <c r="I282" s="47"/>
      <c r="J282" s="191">
        <v>43788</v>
      </c>
      <c r="K282" s="47"/>
      <c r="L282" s="47" t="s">
        <v>584</v>
      </c>
      <c r="M282" s="191">
        <v>43794</v>
      </c>
      <c r="N282" s="191"/>
      <c r="O282" s="191">
        <v>44102</v>
      </c>
      <c r="P282" s="47" t="s">
        <v>406</v>
      </c>
      <c r="Q282" s="191">
        <v>44119</v>
      </c>
      <c r="R282" s="47"/>
      <c r="S282" s="47"/>
      <c r="T282" s="47"/>
      <c r="U282" s="47"/>
      <c r="V282" s="47"/>
      <c r="W282" s="47"/>
      <c r="X282" s="47">
        <v>58.82</v>
      </c>
      <c r="Y282" s="47">
        <v>11.66</v>
      </c>
      <c r="Z282" s="47"/>
      <c r="AA282" s="47">
        <v>0.54</v>
      </c>
      <c r="AB282" s="47">
        <v>0</v>
      </c>
      <c r="AC282" s="47"/>
      <c r="AD282" s="47">
        <v>32.130000000000003</v>
      </c>
      <c r="AE282" s="37">
        <v>127.48</v>
      </c>
      <c r="AF282" s="47"/>
      <c r="AG282" s="191">
        <v>44273</v>
      </c>
      <c r="AH282" s="47"/>
      <c r="AI282" s="191">
        <v>44267</v>
      </c>
      <c r="AJ282" s="47"/>
      <c r="AK282" s="191">
        <v>44272</v>
      </c>
      <c r="AL282" s="47"/>
      <c r="AM282" s="191">
        <v>44273</v>
      </c>
      <c r="AN282" s="47"/>
      <c r="AO282" s="191">
        <v>44274</v>
      </c>
      <c r="AP282" s="47"/>
      <c r="AQ282" s="191">
        <v>44307</v>
      </c>
      <c r="AR282" s="47"/>
      <c r="AS282" s="191"/>
      <c r="AT282" s="47"/>
      <c r="AU282" s="47" t="s">
        <v>59</v>
      </c>
      <c r="AV282" s="200">
        <f t="shared" si="20"/>
        <v>69.428571428571431</v>
      </c>
      <c r="AW282" s="202">
        <f t="shared" si="16"/>
        <v>22.142857142857142</v>
      </c>
      <c r="AX282" s="47"/>
      <c r="AY282" s="77" t="str">
        <f>IF(D282&lt;&gt;"",IF(LEFT(IFERROR(VLOOKUP(D282,'LPA Lookup'!$A$100:$B$470,2,FALSE),"LPA not known to MCLHG"),3)&lt;&gt;"JSP",IFERROR(VLOOKUP(D282,'LPA Lookup'!$A$100:$B$470,2,FALSE),"LPA not known to MCLHG"),VLOOKUP(D282&amp;B282,'LPA Lookup'!$A$100:$B$470,3,FALSE)),"")</f>
        <v>E09000033</v>
      </c>
      <c r="AZ282" s="41" t="str">
        <f t="shared" si="17"/>
        <v>Nov 19</v>
      </c>
      <c r="BA282" s="41" t="str">
        <f t="shared" si="18"/>
        <v>Mar 21</v>
      </c>
    </row>
    <row r="283" spans="1:53" ht="14" x14ac:dyDescent="0.15">
      <c r="A283" s="35" t="s">
        <v>53</v>
      </c>
      <c r="B283" s="104">
        <v>1806</v>
      </c>
      <c r="C283" s="27" t="s">
        <v>54</v>
      </c>
      <c r="D283" s="185" t="s">
        <v>585</v>
      </c>
      <c r="E283" s="52" t="s">
        <v>586</v>
      </c>
      <c r="F283" s="52" t="s">
        <v>80</v>
      </c>
      <c r="G283" s="52">
        <v>2</v>
      </c>
      <c r="H283" s="53">
        <v>43404</v>
      </c>
      <c r="I283" s="52"/>
      <c r="J283" s="53">
        <v>43798</v>
      </c>
      <c r="K283" s="52"/>
      <c r="L283" s="52"/>
      <c r="M283" s="53">
        <v>43801</v>
      </c>
      <c r="N283" s="53"/>
      <c r="O283" s="53">
        <v>44124</v>
      </c>
      <c r="P283" s="52" t="s">
        <v>587</v>
      </c>
      <c r="Q283" s="53">
        <v>44125</v>
      </c>
      <c r="R283" s="52"/>
      <c r="S283" s="52"/>
      <c r="T283" s="52"/>
      <c r="U283" s="52"/>
      <c r="V283" s="52"/>
      <c r="W283" s="52"/>
      <c r="X283" s="52">
        <v>16.04</v>
      </c>
      <c r="Y283" s="52">
        <v>2</v>
      </c>
      <c r="Z283" s="52"/>
      <c r="AA283" s="52"/>
      <c r="AB283" s="52"/>
      <c r="AC283" s="52"/>
      <c r="AD283" s="52">
        <v>24.27</v>
      </c>
      <c r="AE283" s="37">
        <v>49.12</v>
      </c>
      <c r="AF283" s="52"/>
      <c r="AG283" s="53">
        <v>44701</v>
      </c>
      <c r="AH283" s="52"/>
      <c r="AI283" s="53">
        <v>44680</v>
      </c>
      <c r="AJ283" s="52"/>
      <c r="AK283" s="53">
        <v>44700</v>
      </c>
      <c r="AL283" s="52"/>
      <c r="AM283" s="53">
        <v>44704</v>
      </c>
      <c r="AN283" s="52"/>
      <c r="AO283" s="53">
        <v>44741</v>
      </c>
      <c r="AP283" s="52"/>
      <c r="AQ283" s="53">
        <v>44761</v>
      </c>
      <c r="AR283" s="52"/>
      <c r="AS283" s="53"/>
      <c r="AT283" s="52"/>
      <c r="AU283" s="52" t="s">
        <v>59</v>
      </c>
      <c r="AV283" s="99">
        <f t="shared" si="20"/>
        <v>134.71428571428572</v>
      </c>
      <c r="AW283" s="105">
        <f t="shared" ref="AW283:AW314" si="21">SUM(AO283-Q283)/7</f>
        <v>88</v>
      </c>
      <c r="AX283" s="52"/>
      <c r="AY283" s="77" t="str">
        <f>IF(D283&lt;&gt;"",IF(LEFT(IFERROR(VLOOKUP(D283,'LPA Lookup'!$A$100:$B$470,2,FALSE),"LPA not known to MCLHG"),3)&lt;&gt;"JSP",IFERROR(VLOOKUP(D283,'LPA Lookup'!$A$100:$B$470,2,FALSE),"LPA not known to MCLHG"),VLOOKUP(D283&amp;B283,'LPA Lookup'!$A$100:$B$470,3,FALSE)),"")</f>
        <v>E10000031</v>
      </c>
      <c r="AZ283" s="41" t="str">
        <f t="shared" si="17"/>
        <v>Nov 19</v>
      </c>
      <c r="BA283" s="41" t="str">
        <f t="shared" si="18"/>
        <v>Jun 22</v>
      </c>
    </row>
    <row r="284" spans="1:53" ht="15" x14ac:dyDescent="0.15">
      <c r="A284" s="35" t="s">
        <v>53</v>
      </c>
      <c r="B284" s="109">
        <v>2099</v>
      </c>
      <c r="C284" s="27" t="s">
        <v>54</v>
      </c>
      <c r="D284" s="61" t="s">
        <v>588</v>
      </c>
      <c r="E284" s="61" t="s">
        <v>589</v>
      </c>
      <c r="F284" s="61" t="s">
        <v>80</v>
      </c>
      <c r="G284" s="57">
        <v>2</v>
      </c>
      <c r="H284" s="58">
        <v>43696</v>
      </c>
      <c r="I284" s="77"/>
      <c r="J284" s="58">
        <v>43816</v>
      </c>
      <c r="K284" s="77"/>
      <c r="L284" s="61"/>
      <c r="M284" s="58">
        <v>43817</v>
      </c>
      <c r="N284" s="78"/>
      <c r="O284" s="58">
        <v>44146</v>
      </c>
      <c r="P284" s="57" t="s">
        <v>384</v>
      </c>
      <c r="Q284" s="58">
        <v>44183</v>
      </c>
      <c r="R284" s="77"/>
      <c r="S284" s="77"/>
      <c r="T284" s="77"/>
      <c r="U284" s="77"/>
      <c r="V284" s="77"/>
      <c r="W284" s="77"/>
      <c r="X284" s="57">
        <v>23.12</v>
      </c>
      <c r="Y284" s="57">
        <v>3.81</v>
      </c>
      <c r="Z284" s="57"/>
      <c r="AA284" s="57"/>
      <c r="AB284" s="57"/>
      <c r="AC284" s="57"/>
      <c r="AD284" s="57">
        <v>12.65</v>
      </c>
      <c r="AE284" s="48">
        <v>102.54</v>
      </c>
      <c r="AF284" s="57"/>
      <c r="AG284" s="58">
        <v>44666</v>
      </c>
      <c r="AH284" s="77"/>
      <c r="AI284" s="58">
        <v>44636</v>
      </c>
      <c r="AJ284" s="77"/>
      <c r="AK284" s="58">
        <v>44648</v>
      </c>
      <c r="AL284" s="77"/>
      <c r="AM284" s="58">
        <v>44652</v>
      </c>
      <c r="AN284" s="77"/>
      <c r="AO284" s="58">
        <v>44687</v>
      </c>
      <c r="AP284" s="77"/>
      <c r="AQ284" s="58">
        <v>44756</v>
      </c>
      <c r="AR284" s="77"/>
      <c r="AS284" s="58"/>
      <c r="AT284" s="77"/>
      <c r="AU284" s="57" t="s">
        <v>59</v>
      </c>
      <c r="AV284" s="50">
        <f t="shared" si="20"/>
        <v>124.42857142857143</v>
      </c>
      <c r="AW284" s="49">
        <f t="shared" si="21"/>
        <v>72</v>
      </c>
      <c r="AX284" s="57"/>
      <c r="AY284" s="243" t="s">
        <v>590</v>
      </c>
      <c r="AZ284" s="75" t="str">
        <f t="shared" si="17"/>
        <v>Dec 19</v>
      </c>
      <c r="BA284" s="75" t="str">
        <f t="shared" si="18"/>
        <v>May 22</v>
      </c>
    </row>
    <row r="285" spans="1:53" ht="14" x14ac:dyDescent="0.15">
      <c r="A285" s="35" t="s">
        <v>53</v>
      </c>
      <c r="B285" s="175">
        <v>2096</v>
      </c>
      <c r="C285" s="27" t="s">
        <v>104</v>
      </c>
      <c r="D285" s="186" t="s">
        <v>591</v>
      </c>
      <c r="E285" s="186" t="s">
        <v>592</v>
      </c>
      <c r="F285" s="186" t="s">
        <v>107</v>
      </c>
      <c r="G285" s="186">
        <v>2</v>
      </c>
      <c r="H285" s="192">
        <v>43682</v>
      </c>
      <c r="I285" s="186"/>
      <c r="J285" s="192">
        <v>43818</v>
      </c>
      <c r="K285" s="186"/>
      <c r="L285" s="180"/>
      <c r="M285" s="192">
        <v>43837</v>
      </c>
      <c r="N285" s="192"/>
      <c r="O285" s="192">
        <v>44103</v>
      </c>
      <c r="P285" s="186" t="s">
        <v>384</v>
      </c>
      <c r="Q285" s="192">
        <v>44105</v>
      </c>
      <c r="R285" s="186"/>
      <c r="S285" s="186"/>
      <c r="T285" s="186"/>
      <c r="U285" s="186"/>
      <c r="V285" s="186"/>
      <c r="W285" s="186"/>
      <c r="X285" s="186">
        <v>26.7</v>
      </c>
      <c r="Y285" s="186">
        <v>3.52</v>
      </c>
      <c r="Z285" s="186"/>
      <c r="AA285" s="186">
        <v>1.08</v>
      </c>
      <c r="AB285" s="186">
        <v>1.08</v>
      </c>
      <c r="AC285" s="186"/>
      <c r="AD285" s="186">
        <v>21.63</v>
      </c>
      <c r="AE285" s="48">
        <f>AllPlans[[#This Row],[Prep days*]]+AllPlans[[#This Row],[Hearing days*]]+AllPlans[[#This Row],[SV days*]]+AllPlans[[#This Row],[Travel days]]+AllPlans[[#This Row],[Reptg days*]]</f>
        <v>54.009999999999991</v>
      </c>
      <c r="AF285" s="186"/>
      <c r="AG285" s="192">
        <v>44358</v>
      </c>
      <c r="AH285" s="186"/>
      <c r="AI285" s="192">
        <v>44337</v>
      </c>
      <c r="AJ285" s="186"/>
      <c r="AK285" s="192">
        <v>44355</v>
      </c>
      <c r="AL285" s="186"/>
      <c r="AM285" s="192">
        <v>44357</v>
      </c>
      <c r="AN285" s="186"/>
      <c r="AO285" s="192">
        <v>44365</v>
      </c>
      <c r="AP285" s="186"/>
      <c r="AQ285" s="192">
        <v>44468</v>
      </c>
      <c r="AR285" s="186"/>
      <c r="AS285" s="192"/>
      <c r="AT285" s="186"/>
      <c r="AU285" s="186" t="s">
        <v>59</v>
      </c>
      <c r="AV285" s="200">
        <f t="shared" si="20"/>
        <v>78.142857142857139</v>
      </c>
      <c r="AW285" s="202">
        <f t="shared" si="21"/>
        <v>37.142857142857146</v>
      </c>
      <c r="AX285" s="186"/>
      <c r="AY285" s="77" t="str">
        <f>IF(D285&lt;&gt;"",IF(LEFT(IFERROR(VLOOKUP(D285,'LPA Lookup'!$A$100:$C$470,2,FALSE),"LPA not known to MCLHG"),3)&lt;&gt;"JSP",IFERROR(VLOOKUP(D285,'LPA Lookup'!$A$100:$C$470,2,FALSE),"LPA not known to MCLHG"),VLOOKUP(D285&amp;B285,$A$100:$B$470,3,FALSE)),"")</f>
        <v>LPA not known to MCLHG</v>
      </c>
      <c r="AZ285" s="63" t="str">
        <f t="shared" si="17"/>
        <v>Dec 19</v>
      </c>
      <c r="BA285" s="63" t="str">
        <f t="shared" si="18"/>
        <v>Jun 21</v>
      </c>
    </row>
    <row r="286" spans="1:53" ht="14" x14ac:dyDescent="0.15">
      <c r="A286" s="35" t="s">
        <v>53</v>
      </c>
      <c r="B286" s="171">
        <v>1883</v>
      </c>
      <c r="C286" s="27" t="s">
        <v>90</v>
      </c>
      <c r="D286" s="185" t="s">
        <v>593</v>
      </c>
      <c r="E286" s="52" t="s">
        <v>594</v>
      </c>
      <c r="F286" s="52" t="s">
        <v>57</v>
      </c>
      <c r="G286" s="52">
        <v>3</v>
      </c>
      <c r="H286" s="53">
        <v>43102</v>
      </c>
      <c r="I286" s="52"/>
      <c r="J286" s="53">
        <v>43846</v>
      </c>
      <c r="K286" s="52"/>
      <c r="L286" s="52"/>
      <c r="M286" s="53">
        <v>43847</v>
      </c>
      <c r="N286" s="53"/>
      <c r="O286" s="53">
        <v>44250</v>
      </c>
      <c r="P286" s="52" t="s">
        <v>384</v>
      </c>
      <c r="Q286" s="53">
        <v>44315</v>
      </c>
      <c r="R286" s="52"/>
      <c r="S286" s="52"/>
      <c r="T286" s="52"/>
      <c r="U286" s="52"/>
      <c r="V286" s="52"/>
      <c r="W286" s="52"/>
      <c r="X286" s="52">
        <v>4.13</v>
      </c>
      <c r="Y286" s="52"/>
      <c r="Z286" s="52"/>
      <c r="AA286" s="52">
        <v>2.23</v>
      </c>
      <c r="AB286" s="52"/>
      <c r="AC286" s="52"/>
      <c r="AD286" s="52">
        <v>1.96</v>
      </c>
      <c r="AE286" s="37">
        <v>223.61</v>
      </c>
      <c r="AF286" s="52"/>
      <c r="AG286" s="53">
        <v>44498</v>
      </c>
      <c r="AH286" s="52"/>
      <c r="AI286" s="53">
        <v>44487</v>
      </c>
      <c r="AJ286" s="52"/>
      <c r="AK286" s="53">
        <v>44494</v>
      </c>
      <c r="AL286" s="52"/>
      <c r="AM286" s="53">
        <v>44498</v>
      </c>
      <c r="AN286" s="52"/>
      <c r="AO286" s="53">
        <v>44517</v>
      </c>
      <c r="AP286" s="52"/>
      <c r="AQ286" s="53">
        <v>44615</v>
      </c>
      <c r="AR286" s="52"/>
      <c r="AS286" s="53"/>
      <c r="AT286" s="52"/>
      <c r="AU286" s="52" t="s">
        <v>59</v>
      </c>
      <c r="AV286" s="99">
        <f t="shared" si="20"/>
        <v>95.857142857142861</v>
      </c>
      <c r="AW286" s="105">
        <f t="shared" si="21"/>
        <v>28.857142857142858</v>
      </c>
      <c r="AX286" s="52"/>
      <c r="AY286" s="77" t="str">
        <f>IF(D286&lt;&gt;"",IF(LEFT(IFERROR(VLOOKUP(D286,'LPA Lookup'!$A$100:$C$470,2,FALSE),"LPA not known to MCLHG"),3)&lt;&gt;"JSP",IFERROR(VLOOKUP(D286,'LPA Lookup'!$A$100:$C$470,2,FALSE),"LPA not known to MCLHG"),VLOOKUP(D286&amp;B286,$A$100:$B$470,3,FALSE)),"")</f>
        <v>E09000028</v>
      </c>
      <c r="AZ286" s="276" t="str">
        <f t="shared" si="17"/>
        <v>Jan 20</v>
      </c>
      <c r="BA286" s="277"/>
    </row>
    <row r="287" spans="1:53" ht="15" x14ac:dyDescent="0.15">
      <c r="A287" s="35" t="s">
        <v>53</v>
      </c>
      <c r="B287" s="175">
        <v>2088</v>
      </c>
      <c r="C287" s="27" t="s">
        <v>104</v>
      </c>
      <c r="D287" s="180" t="s">
        <v>471</v>
      </c>
      <c r="E287" s="180" t="s">
        <v>528</v>
      </c>
      <c r="F287" s="180" t="s">
        <v>80</v>
      </c>
      <c r="G287" s="186">
        <v>2</v>
      </c>
      <c r="H287" s="192">
        <v>43707</v>
      </c>
      <c r="I287" s="186"/>
      <c r="J287" s="192">
        <v>43867</v>
      </c>
      <c r="K287" s="186"/>
      <c r="L287" s="180"/>
      <c r="M287" s="192">
        <v>43867</v>
      </c>
      <c r="N287" s="192"/>
      <c r="O287" s="192">
        <v>44130</v>
      </c>
      <c r="P287" s="186" t="s">
        <v>384</v>
      </c>
      <c r="Q287" s="192">
        <v>44133</v>
      </c>
      <c r="R287" s="186"/>
      <c r="S287" s="186"/>
      <c r="T287" s="186"/>
      <c r="U287" s="186"/>
      <c r="V287" s="186"/>
      <c r="W287" s="186"/>
      <c r="X287" s="186">
        <v>28.16</v>
      </c>
      <c r="Y287" s="186">
        <v>3.54</v>
      </c>
      <c r="Z287" s="186"/>
      <c r="AA287" s="186">
        <v>0</v>
      </c>
      <c r="AB287" s="186">
        <v>0.82</v>
      </c>
      <c r="AC287" s="186"/>
      <c r="AD287" s="186">
        <v>8.5500000000000007</v>
      </c>
      <c r="AE287" s="37">
        <v>40.98</v>
      </c>
      <c r="AF287" s="186"/>
      <c r="AG287" s="192">
        <v>44259</v>
      </c>
      <c r="AH287" s="186"/>
      <c r="AI287" s="192">
        <v>44249</v>
      </c>
      <c r="AJ287" s="186"/>
      <c r="AK287" s="192">
        <v>44256</v>
      </c>
      <c r="AL287" s="186"/>
      <c r="AM287" s="192">
        <v>44259</v>
      </c>
      <c r="AN287" s="186"/>
      <c r="AO287" s="192">
        <v>44265</v>
      </c>
      <c r="AP287" s="186"/>
      <c r="AQ287" s="192">
        <v>44280</v>
      </c>
      <c r="AR287" s="186"/>
      <c r="AS287" s="192"/>
      <c r="AT287" s="186"/>
      <c r="AU287" s="186" t="s">
        <v>59</v>
      </c>
      <c r="AV287" s="200">
        <f t="shared" si="20"/>
        <v>56.857142857142854</v>
      </c>
      <c r="AW287" s="202">
        <f t="shared" si="21"/>
        <v>18.857142857142858</v>
      </c>
      <c r="AX287" s="186"/>
      <c r="AY287" s="298" t="s">
        <v>595</v>
      </c>
      <c r="AZ287" s="41" t="str">
        <f t="shared" si="17"/>
        <v>Feb 20</v>
      </c>
      <c r="BA287" s="41" t="str">
        <f t="shared" ref="BA287:BA350" si="22">TEXT(AO287,"MMM YY")</f>
        <v>Mar 21</v>
      </c>
    </row>
    <row r="288" spans="1:53" ht="15" x14ac:dyDescent="0.15">
      <c r="A288" s="35" t="s">
        <v>53</v>
      </c>
      <c r="B288" s="109">
        <v>2205</v>
      </c>
      <c r="C288" s="27" t="s">
        <v>90</v>
      </c>
      <c r="D288" s="180" t="s">
        <v>596</v>
      </c>
      <c r="E288" s="61" t="s">
        <v>118</v>
      </c>
      <c r="F288" s="61" t="s">
        <v>107</v>
      </c>
      <c r="G288" s="57">
        <v>2</v>
      </c>
      <c r="H288" s="58">
        <v>43713</v>
      </c>
      <c r="I288" s="57"/>
      <c r="J288" s="58">
        <v>43873</v>
      </c>
      <c r="K288" s="57"/>
      <c r="L288" s="61"/>
      <c r="M288" s="58">
        <v>43873</v>
      </c>
      <c r="N288" s="58"/>
      <c r="O288" s="58">
        <v>44452</v>
      </c>
      <c r="P288" s="57" t="s">
        <v>384</v>
      </c>
      <c r="Q288" s="58">
        <v>44470</v>
      </c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48">
        <f>AllPlans[[#This Row],[Prep days*]]+AllPlans[[#This Row],[Hearing days*]]+AllPlans[[#This Row],[SV days*]]+AllPlans[[#This Row],[Travel days]]+AllPlans[[#This Row],[Reptg days*]]</f>
        <v>0</v>
      </c>
      <c r="AF288" s="57"/>
      <c r="AG288" s="58">
        <v>45091</v>
      </c>
      <c r="AH288" s="57"/>
      <c r="AI288" s="58">
        <v>45078</v>
      </c>
      <c r="AJ288" s="57"/>
      <c r="AK288" s="58">
        <v>45078</v>
      </c>
      <c r="AL288" s="57"/>
      <c r="AM288" s="58">
        <v>45090</v>
      </c>
      <c r="AN288" s="57"/>
      <c r="AO288" s="58">
        <v>45112</v>
      </c>
      <c r="AP288" s="57"/>
      <c r="AQ288" s="58">
        <v>45197</v>
      </c>
      <c r="AR288" s="57"/>
      <c r="AS288" s="58"/>
      <c r="AT288" s="57"/>
      <c r="AU288" s="57" t="s">
        <v>59</v>
      </c>
      <c r="AV288" s="50">
        <f t="shared" si="20"/>
        <v>177</v>
      </c>
      <c r="AW288" s="49">
        <f t="shared" si="21"/>
        <v>91.714285714285708</v>
      </c>
      <c r="AX288" s="57"/>
      <c r="AY288" s="300" t="s">
        <v>597</v>
      </c>
      <c r="AZ288" s="51" t="str">
        <f t="shared" si="17"/>
        <v>Feb 20</v>
      </c>
      <c r="BA288" s="51" t="str">
        <f t="shared" si="22"/>
        <v>Jul 23</v>
      </c>
    </row>
    <row r="289" spans="1:53" ht="15" x14ac:dyDescent="0.15">
      <c r="A289" s="35" t="s">
        <v>53</v>
      </c>
      <c r="B289" s="109">
        <v>2206</v>
      </c>
      <c r="C289" s="27" t="s">
        <v>90</v>
      </c>
      <c r="D289" s="61" t="s">
        <v>596</v>
      </c>
      <c r="E289" s="61" t="s">
        <v>598</v>
      </c>
      <c r="F289" s="61" t="s">
        <v>74</v>
      </c>
      <c r="G289" s="57">
        <v>2</v>
      </c>
      <c r="H289" s="58">
        <v>43713</v>
      </c>
      <c r="I289" s="77"/>
      <c r="J289" s="58">
        <v>43873</v>
      </c>
      <c r="K289" s="77"/>
      <c r="L289" s="61"/>
      <c r="M289" s="58">
        <v>43873</v>
      </c>
      <c r="N289" s="78"/>
      <c r="O289" s="58">
        <v>44452</v>
      </c>
      <c r="P289" s="57" t="s">
        <v>384</v>
      </c>
      <c r="Q289" s="58">
        <v>44470</v>
      </c>
      <c r="R289" s="77"/>
      <c r="S289" s="77"/>
      <c r="T289" s="77"/>
      <c r="U289" s="77"/>
      <c r="V289" s="77"/>
      <c r="W289" s="77"/>
      <c r="X289" s="57"/>
      <c r="Y289" s="57"/>
      <c r="Z289" s="57"/>
      <c r="AA289" s="57"/>
      <c r="AB289" s="57"/>
      <c r="AC289" s="57"/>
      <c r="AD289" s="57"/>
      <c r="AE289" s="48">
        <f>AllPlans[[#This Row],[Prep days*]]+AllPlans[[#This Row],[Hearing days*]]+AllPlans[[#This Row],[SV days*]]+AllPlans[[#This Row],[Travel days]]+AllPlans[[#This Row],[Reptg days*]]</f>
        <v>0</v>
      </c>
      <c r="AF289" s="57"/>
      <c r="AG289" s="58">
        <v>45091</v>
      </c>
      <c r="AH289" s="77"/>
      <c r="AI289" s="58">
        <v>45078</v>
      </c>
      <c r="AJ289" s="77"/>
      <c r="AK289" s="58">
        <v>45078</v>
      </c>
      <c r="AL289" s="77"/>
      <c r="AM289" s="58">
        <v>45090</v>
      </c>
      <c r="AN289" s="77"/>
      <c r="AO289" s="58">
        <v>45112</v>
      </c>
      <c r="AP289" s="77"/>
      <c r="AQ289" s="58">
        <v>45197</v>
      </c>
      <c r="AR289" s="57"/>
      <c r="AS289" s="58"/>
      <c r="AT289" s="77"/>
      <c r="AU289" s="57" t="s">
        <v>59</v>
      </c>
      <c r="AV289" s="50">
        <f t="shared" si="20"/>
        <v>177</v>
      </c>
      <c r="AW289" s="49">
        <f t="shared" si="21"/>
        <v>91.714285714285708</v>
      </c>
      <c r="AX289" s="77"/>
      <c r="AY289" s="300" t="s">
        <v>597</v>
      </c>
      <c r="AZ289" s="51" t="str">
        <f t="shared" si="17"/>
        <v>Feb 20</v>
      </c>
      <c r="BA289" s="51" t="str">
        <f t="shared" si="22"/>
        <v>Jul 23</v>
      </c>
    </row>
    <row r="290" spans="1:53" ht="28" x14ac:dyDescent="0.15">
      <c r="A290" s="35" t="s">
        <v>53</v>
      </c>
      <c r="B290" s="174">
        <v>1982</v>
      </c>
      <c r="C290" s="27" t="s">
        <v>90</v>
      </c>
      <c r="D290" s="110" t="s">
        <v>596</v>
      </c>
      <c r="E290" s="63" t="s">
        <v>599</v>
      </c>
      <c r="F290" s="63" t="s">
        <v>57</v>
      </c>
      <c r="G290" s="59">
        <v>3</v>
      </c>
      <c r="H290" s="60">
        <v>43713</v>
      </c>
      <c r="I290" s="59"/>
      <c r="J290" s="60">
        <v>43873</v>
      </c>
      <c r="K290" s="59"/>
      <c r="L290" s="63"/>
      <c r="M290" s="60">
        <v>43873</v>
      </c>
      <c r="N290" s="60"/>
      <c r="O290" s="60">
        <v>44452</v>
      </c>
      <c r="P290" s="59" t="s">
        <v>384</v>
      </c>
      <c r="Q290" s="60">
        <v>44470</v>
      </c>
      <c r="R290" s="59"/>
      <c r="S290" s="59"/>
      <c r="T290" s="59"/>
      <c r="U290" s="59"/>
      <c r="V290" s="59"/>
      <c r="W290" s="59"/>
      <c r="X290" s="59">
        <v>37.15</v>
      </c>
      <c r="Y290" s="59"/>
      <c r="Z290" s="59"/>
      <c r="AA290" s="59"/>
      <c r="AB290" s="59"/>
      <c r="AC290" s="59"/>
      <c r="AD290" s="59">
        <v>5.37</v>
      </c>
      <c r="AE290" s="37">
        <v>181.44</v>
      </c>
      <c r="AF290" s="59"/>
      <c r="AG290" s="60">
        <v>45091</v>
      </c>
      <c r="AH290" s="59"/>
      <c r="AI290" s="60">
        <v>45078</v>
      </c>
      <c r="AJ290" s="59"/>
      <c r="AK290" s="60">
        <v>45078</v>
      </c>
      <c r="AL290" s="59"/>
      <c r="AM290" s="60">
        <v>45090</v>
      </c>
      <c r="AN290" s="59"/>
      <c r="AO290" s="60">
        <v>45112</v>
      </c>
      <c r="AP290" s="59"/>
      <c r="AQ290" s="60">
        <v>45197</v>
      </c>
      <c r="AR290" s="59"/>
      <c r="AS290" s="60"/>
      <c r="AT290" s="59"/>
      <c r="AU290" s="59" t="s">
        <v>59</v>
      </c>
      <c r="AV290" s="40">
        <f t="shared" si="20"/>
        <v>177</v>
      </c>
      <c r="AW290" s="105">
        <f t="shared" si="21"/>
        <v>91.714285714285708</v>
      </c>
      <c r="AX290" s="59"/>
      <c r="AY290" s="298" t="s">
        <v>597</v>
      </c>
      <c r="AZ290" s="41" t="str">
        <f t="shared" si="17"/>
        <v>Feb 20</v>
      </c>
      <c r="BA290" s="41" t="str">
        <f t="shared" si="22"/>
        <v>Jul 23</v>
      </c>
    </row>
    <row r="291" spans="1:53" ht="14" x14ac:dyDescent="0.15">
      <c r="A291" s="35" t="s">
        <v>53</v>
      </c>
      <c r="B291" s="84">
        <v>1946</v>
      </c>
      <c r="C291" s="31" t="s">
        <v>71</v>
      </c>
      <c r="D291" s="31" t="s">
        <v>600</v>
      </c>
      <c r="E291" s="31" t="s">
        <v>56</v>
      </c>
      <c r="F291" s="31" t="s">
        <v>57</v>
      </c>
      <c r="G291" s="31">
        <v>3</v>
      </c>
      <c r="H291" s="32">
        <v>43501</v>
      </c>
      <c r="I291" s="31"/>
      <c r="J291" s="32">
        <v>43875</v>
      </c>
      <c r="K291" s="31"/>
      <c r="L291" s="31"/>
      <c r="M291" s="32">
        <v>43882</v>
      </c>
      <c r="N291" s="32"/>
      <c r="O291" s="32">
        <v>44166</v>
      </c>
      <c r="P291" s="31" t="s">
        <v>406</v>
      </c>
      <c r="Q291" s="32">
        <v>44405</v>
      </c>
      <c r="R291" s="31"/>
      <c r="S291" s="31"/>
      <c r="T291" s="31"/>
      <c r="U291" s="31"/>
      <c r="V291" s="31"/>
      <c r="W291" s="31"/>
      <c r="X291" s="31">
        <v>77.28</v>
      </c>
      <c r="Y291" s="31">
        <v>4.54</v>
      </c>
      <c r="Z291" s="31"/>
      <c r="AA291" s="31">
        <v>1.1499999999999999</v>
      </c>
      <c r="AB291" s="31">
        <v>0.94</v>
      </c>
      <c r="AC291" s="31"/>
      <c r="AD291" s="31">
        <v>4.16</v>
      </c>
      <c r="AE291" s="88">
        <v>233.47</v>
      </c>
      <c r="AF291" s="31"/>
      <c r="AG291" s="32">
        <v>44613</v>
      </c>
      <c r="AH291" s="31"/>
      <c r="AI291" s="32">
        <v>44607</v>
      </c>
      <c r="AJ291" s="31"/>
      <c r="AK291" s="32">
        <v>44609</v>
      </c>
      <c r="AL291" s="31"/>
      <c r="AM291" s="32">
        <v>44613</v>
      </c>
      <c r="AN291" s="31"/>
      <c r="AO291" s="32">
        <v>44615</v>
      </c>
      <c r="AP291" s="31"/>
      <c r="AQ291" s="32">
        <v>44643</v>
      </c>
      <c r="AR291" s="31"/>
      <c r="AS291" s="32"/>
      <c r="AT291" s="31"/>
      <c r="AU291" s="31" t="s">
        <v>59</v>
      </c>
      <c r="AV291" s="89">
        <f t="shared" si="20"/>
        <v>105.71428571428571</v>
      </c>
      <c r="AW291" s="86">
        <f t="shared" si="21"/>
        <v>30</v>
      </c>
      <c r="AX291" s="31"/>
      <c r="AY291" s="77" t="str">
        <f>IF(D291&lt;&gt;"",IF(LEFT(IFERROR(VLOOKUP(D291,'LPA Lookup'!$A$100:$C$470,2,FALSE),"LPA not known to MCLHG"),3)&lt;&gt;"JSP",IFERROR(VLOOKUP(D291,'LPA Lookup'!$A$100:$C$470,2,FALSE),"LPA not known to MCLHG"),VLOOKUP(D291&amp;B291,$A$100:$C$470,3,FALSE)),"")</f>
        <v>LPA not known to MCLHG</v>
      </c>
      <c r="AZ291" s="41" t="str">
        <f t="shared" si="17"/>
        <v>Feb 20</v>
      </c>
      <c r="BA291" s="41" t="str">
        <f t="shared" si="22"/>
        <v>Feb 22</v>
      </c>
    </row>
    <row r="292" spans="1:53" ht="14" x14ac:dyDescent="0.15">
      <c r="A292" s="35" t="s">
        <v>53</v>
      </c>
      <c r="B292" s="111">
        <v>2234</v>
      </c>
      <c r="C292" s="27" t="s">
        <v>104</v>
      </c>
      <c r="D292" s="61" t="s">
        <v>295</v>
      </c>
      <c r="E292" s="61" t="s">
        <v>601</v>
      </c>
      <c r="F292" s="61" t="s">
        <v>57</v>
      </c>
      <c r="G292" s="61">
        <v>3</v>
      </c>
      <c r="H292" s="62">
        <v>43789</v>
      </c>
      <c r="I292" s="61"/>
      <c r="J292" s="62">
        <v>43879</v>
      </c>
      <c r="K292" s="61"/>
      <c r="L292" s="61"/>
      <c r="M292" s="62">
        <v>43882</v>
      </c>
      <c r="N292" s="62"/>
      <c r="O292" s="62">
        <v>44089</v>
      </c>
      <c r="P292" s="61" t="s">
        <v>406</v>
      </c>
      <c r="Q292" s="62">
        <v>44092</v>
      </c>
      <c r="R292" s="61"/>
      <c r="S292" s="61"/>
      <c r="T292" s="61"/>
      <c r="U292" s="61"/>
      <c r="V292" s="61"/>
      <c r="W292" s="61"/>
      <c r="X292" s="61">
        <v>20.440000000000001</v>
      </c>
      <c r="Y292" s="61">
        <v>3.65</v>
      </c>
      <c r="Z292" s="61"/>
      <c r="AA292" s="61">
        <v>0</v>
      </c>
      <c r="AB292" s="61">
        <v>0</v>
      </c>
      <c r="AC292" s="61"/>
      <c r="AD292" s="61">
        <v>14.6</v>
      </c>
      <c r="AE292" s="37">
        <f>AllPlans[[#This Row],[Prep days*]]+AllPlans[[#This Row],[Hearing days*]]+AllPlans[[#This Row],[SV days*]]+AllPlans[[#This Row],[Travel days]]+AllPlans[[#This Row],[Reptg days*]]</f>
        <v>38.69</v>
      </c>
      <c r="AF292" s="61"/>
      <c r="AG292" s="62">
        <v>44238</v>
      </c>
      <c r="AH292" s="61"/>
      <c r="AI292" s="62">
        <v>44229</v>
      </c>
      <c r="AJ292" s="61"/>
      <c r="AK292" s="62">
        <v>44237</v>
      </c>
      <c r="AL292" s="61"/>
      <c r="AM292" s="62">
        <v>44238</v>
      </c>
      <c r="AN292" s="61"/>
      <c r="AO292" s="62">
        <v>44244</v>
      </c>
      <c r="AP292" s="61"/>
      <c r="AQ292" s="62">
        <v>44271</v>
      </c>
      <c r="AR292" s="61"/>
      <c r="AS292" s="62"/>
      <c r="AT292" s="61"/>
      <c r="AU292" s="61" t="s">
        <v>59</v>
      </c>
      <c r="AV292" s="83">
        <f t="shared" si="20"/>
        <v>52.142857142857146</v>
      </c>
      <c r="AW292" s="108">
        <f t="shared" si="21"/>
        <v>21.714285714285715</v>
      </c>
      <c r="AX292" s="61"/>
      <c r="AY292" s="77" t="str">
        <f>IF(D292&lt;&gt;"",IF(LEFT(IFERROR(VLOOKUP(D292,'LPA Lookup'!$A$100:$B$470,2,FALSE),"LPA not known to MCLHG"),3)&lt;&gt;"JSP",IFERROR(VLOOKUP(D292,'LPA Lookup'!$A$100:$B$470,2,FALSE),"LPA not known to MCLHG"),VLOOKUP(D292&amp;B292,#REF!,3,FALSE)),"")</f>
        <v>E07000134</v>
      </c>
      <c r="AZ292" s="75" t="str">
        <f t="shared" si="17"/>
        <v>Feb 20</v>
      </c>
      <c r="BA292" s="112" t="str">
        <f t="shared" si="22"/>
        <v>Feb 21</v>
      </c>
    </row>
    <row r="293" spans="1:53" ht="14" x14ac:dyDescent="0.15">
      <c r="A293" s="35" t="s">
        <v>53</v>
      </c>
      <c r="B293" s="109">
        <v>1989</v>
      </c>
      <c r="C293" s="57" t="s">
        <v>77</v>
      </c>
      <c r="D293" s="57" t="s">
        <v>602</v>
      </c>
      <c r="E293" s="57" t="s">
        <v>603</v>
      </c>
      <c r="F293" s="57" t="s">
        <v>57</v>
      </c>
      <c r="G293" s="57">
        <v>3</v>
      </c>
      <c r="H293" s="58">
        <v>43689</v>
      </c>
      <c r="I293" s="57"/>
      <c r="J293" s="58">
        <v>43894</v>
      </c>
      <c r="K293" s="57"/>
      <c r="L293" s="61"/>
      <c r="M293" s="58">
        <v>43895</v>
      </c>
      <c r="N293" s="58"/>
      <c r="O293" s="58">
        <v>44118</v>
      </c>
      <c r="P293" s="57" t="s">
        <v>443</v>
      </c>
      <c r="Q293" s="58">
        <v>44166</v>
      </c>
      <c r="R293" s="57"/>
      <c r="S293" s="57"/>
      <c r="T293" s="57"/>
      <c r="U293" s="57"/>
      <c r="V293" s="57"/>
      <c r="W293" s="57"/>
      <c r="X293" s="57">
        <v>67.63</v>
      </c>
      <c r="Y293" s="57">
        <v>15.9</v>
      </c>
      <c r="Z293" s="57"/>
      <c r="AA293" s="57">
        <v>0.68</v>
      </c>
      <c r="AB293" s="57">
        <v>2.02</v>
      </c>
      <c r="AC293" s="57"/>
      <c r="AD293" s="57">
        <v>23.44</v>
      </c>
      <c r="AE293" s="48">
        <f>AllPlans[[#This Row],[Prep days*]]+AllPlans[[#This Row],[Hearing days*]]+AllPlans[[#This Row],[SV days*]]+AllPlans[[#This Row],[Travel days]]+AllPlans[[#This Row],[Reptg days*]]</f>
        <v>109.67</v>
      </c>
      <c r="AF293" s="57"/>
      <c r="AG293" s="58">
        <v>44363</v>
      </c>
      <c r="AH293" s="57"/>
      <c r="AI293" s="58">
        <v>44334</v>
      </c>
      <c r="AJ293" s="57"/>
      <c r="AK293" s="58">
        <v>44357</v>
      </c>
      <c r="AL293" s="57"/>
      <c r="AM293" s="58">
        <v>44362</v>
      </c>
      <c r="AN293" s="57"/>
      <c r="AO293" s="58">
        <v>44377</v>
      </c>
      <c r="AP293" s="57"/>
      <c r="AQ293" s="58">
        <v>44462</v>
      </c>
      <c r="AR293" s="57"/>
      <c r="AS293" s="58"/>
      <c r="AT293" s="57"/>
      <c r="AU293" s="57" t="s">
        <v>59</v>
      </c>
      <c r="AV293" s="50">
        <f t="shared" si="20"/>
        <v>69</v>
      </c>
      <c r="AW293" s="49">
        <f t="shared" si="21"/>
        <v>30.142857142857142</v>
      </c>
      <c r="AX293" s="57"/>
      <c r="AY293" s="77" t="str">
        <f>IF(D293&lt;&gt;"",IF(LEFT(IFERROR(VLOOKUP(D293,'LPA Lookup'!$A$100:$B$470,2,FALSE),"LPA not known to MCLHG"),3)&lt;&gt;"JSP",IFERROR(VLOOKUP(D293,'LPA Lookup'!$A$100:$B$470,2,FALSE),"LPA not known to MCLHG"),VLOOKUP(D293&amp;B293,'LPA Lookup'!$A$100:$B$470,3,FALSE)),"")</f>
        <v>E08000017</v>
      </c>
      <c r="AZ293" s="69" t="str">
        <f t="shared" si="17"/>
        <v>Mar 20</v>
      </c>
      <c r="BA293" s="113" t="str">
        <f t="shared" si="22"/>
        <v>Jun 21</v>
      </c>
    </row>
    <row r="294" spans="1:53" ht="14" x14ac:dyDescent="0.15">
      <c r="A294" s="35" t="s">
        <v>53</v>
      </c>
      <c r="B294" s="171">
        <v>2005</v>
      </c>
      <c r="C294" s="27" t="s">
        <v>83</v>
      </c>
      <c r="D294" s="182" t="s">
        <v>604</v>
      </c>
      <c r="E294" s="52" t="s">
        <v>605</v>
      </c>
      <c r="F294" s="52" t="s">
        <v>57</v>
      </c>
      <c r="G294" s="52">
        <v>3</v>
      </c>
      <c r="H294" s="53">
        <v>43671</v>
      </c>
      <c r="I294" s="52"/>
      <c r="J294" s="53">
        <v>43895</v>
      </c>
      <c r="K294" s="52"/>
      <c r="L294" s="52"/>
      <c r="M294" s="53">
        <v>43903</v>
      </c>
      <c r="N294" s="53"/>
      <c r="O294" s="53">
        <v>44264</v>
      </c>
      <c r="P294" s="52" t="s">
        <v>406</v>
      </c>
      <c r="Q294" s="53">
        <v>44364</v>
      </c>
      <c r="R294" s="52"/>
      <c r="S294" s="52"/>
      <c r="T294" s="52"/>
      <c r="U294" s="52"/>
      <c r="V294" s="52"/>
      <c r="W294" s="52"/>
      <c r="X294" s="52">
        <v>35.97</v>
      </c>
      <c r="Y294" s="52"/>
      <c r="Z294" s="52"/>
      <c r="AA294" s="52">
        <v>2.54</v>
      </c>
      <c r="AB294" s="52">
        <v>0.46</v>
      </c>
      <c r="AC294" s="52"/>
      <c r="AD294" s="52"/>
      <c r="AE294" s="37">
        <v>225.32</v>
      </c>
      <c r="AF294" s="52"/>
      <c r="AG294" s="53">
        <v>44609</v>
      </c>
      <c r="AH294" s="52"/>
      <c r="AI294" s="53">
        <v>44594</v>
      </c>
      <c r="AJ294" s="52"/>
      <c r="AK294" s="53">
        <v>44603</v>
      </c>
      <c r="AL294" s="52"/>
      <c r="AM294" s="53">
        <v>44608</v>
      </c>
      <c r="AN294" s="52"/>
      <c r="AO294" s="53">
        <v>44614</v>
      </c>
      <c r="AP294" s="52"/>
      <c r="AQ294" s="53">
        <v>44622</v>
      </c>
      <c r="AR294" s="52"/>
      <c r="AS294" s="53"/>
      <c r="AT294" s="52"/>
      <c r="AU294" s="52" t="s">
        <v>59</v>
      </c>
      <c r="AV294" s="99">
        <f t="shared" si="20"/>
        <v>102.71428571428571</v>
      </c>
      <c r="AW294" s="105">
        <f t="shared" si="21"/>
        <v>35.714285714285715</v>
      </c>
      <c r="AX294" s="52"/>
      <c r="AY294" s="77" t="str">
        <f>IF(D294&lt;&gt;"",IF(LEFT(IFERROR(VLOOKUP(D294,'LPA Lookup'!$A$100:$B$470,2,FALSE),"LPA not known to MCLHG"),3)&lt;&gt;"JSP",IFERROR(VLOOKUP(D294,'LPA Lookup'!$A$100:$B$470,2,FALSE),"LPA not known to MCLHG"),VLOOKUP(D294&amp;B294,'LPA Lookup'!$A$100:$B$470,3,FALSE)),"")</f>
        <v>E06000006</v>
      </c>
      <c r="AZ294" s="63" t="str">
        <f t="shared" si="17"/>
        <v>Mar 20</v>
      </c>
      <c r="BA294" s="114" t="str">
        <f t="shared" si="22"/>
        <v>Feb 22</v>
      </c>
    </row>
    <row r="295" spans="1:53" ht="14" x14ac:dyDescent="0.15">
      <c r="A295" s="35" t="s">
        <v>53</v>
      </c>
      <c r="B295" s="171">
        <v>1835</v>
      </c>
      <c r="C295" s="52" t="s">
        <v>61</v>
      </c>
      <c r="D295" s="182" t="s">
        <v>510</v>
      </c>
      <c r="E295" s="52" t="s">
        <v>606</v>
      </c>
      <c r="F295" s="52" t="s">
        <v>57</v>
      </c>
      <c r="G295" s="52">
        <v>3</v>
      </c>
      <c r="H295" s="53">
        <v>43490</v>
      </c>
      <c r="I295" s="52"/>
      <c r="J295" s="53">
        <v>43900</v>
      </c>
      <c r="K295" s="52"/>
      <c r="L295" s="52"/>
      <c r="M295" s="53">
        <v>43909</v>
      </c>
      <c r="N295" s="53"/>
      <c r="O295" s="53">
        <v>44180</v>
      </c>
      <c r="P295" s="52" t="s">
        <v>384</v>
      </c>
      <c r="Q295" s="53">
        <v>44378</v>
      </c>
      <c r="R295" s="52"/>
      <c r="S295" s="52"/>
      <c r="T295" s="52"/>
      <c r="U295" s="52"/>
      <c r="V295" s="52"/>
      <c r="W295" s="52"/>
      <c r="X295" s="52">
        <v>47.83</v>
      </c>
      <c r="Y295" s="52">
        <v>12.14</v>
      </c>
      <c r="Z295" s="52"/>
      <c r="AA295" s="52">
        <v>3.08</v>
      </c>
      <c r="AB295" s="52">
        <v>1.84</v>
      </c>
      <c r="AC295" s="52"/>
      <c r="AD295" s="52"/>
      <c r="AE295" s="37">
        <v>163.38999999999999</v>
      </c>
      <c r="AF295" s="52"/>
      <c r="AG295" s="53">
        <v>44610</v>
      </c>
      <c r="AH295" s="52"/>
      <c r="AI295" s="53">
        <v>44599</v>
      </c>
      <c r="AJ295" s="52"/>
      <c r="AK295" s="53">
        <v>44606</v>
      </c>
      <c r="AL295" s="52"/>
      <c r="AM295" s="53">
        <v>44609</v>
      </c>
      <c r="AN295" s="52"/>
      <c r="AO295" s="53">
        <v>44615</v>
      </c>
      <c r="AP295" s="52"/>
      <c r="AQ295" s="53">
        <v>44650</v>
      </c>
      <c r="AR295" s="52"/>
      <c r="AS295" s="53"/>
      <c r="AT295" s="52"/>
      <c r="AU295" s="52" t="s">
        <v>59</v>
      </c>
      <c r="AV295" s="99">
        <f t="shared" si="20"/>
        <v>102.14285714285714</v>
      </c>
      <c r="AW295" s="105">
        <f t="shared" si="21"/>
        <v>33.857142857142854</v>
      </c>
      <c r="AX295" s="52"/>
      <c r="AY295" s="77" t="str">
        <f>IF(D295&lt;&gt;"",IF(LEFT(IFERROR(VLOOKUP(D295,'LPA Lookup'!$A$100:$B$470,2,FALSE),"LPA not known to MCLHG"),3)&lt;&gt;"JSP",IFERROR(VLOOKUP(D295,'LPA Lookup'!$A$100:$B$470,2,FALSE),"LPA not known to MCLHG"),VLOOKUP(D295&amp;B295,'LPA Lookup'!$A$100:$B$470,3,FALSE)),"")</f>
        <v>E07000112</v>
      </c>
      <c r="AZ295" s="115" t="str">
        <f t="shared" si="17"/>
        <v>Mar 20</v>
      </c>
      <c r="BA295" s="115" t="str">
        <f t="shared" si="22"/>
        <v>Feb 22</v>
      </c>
    </row>
    <row r="296" spans="1:53" ht="84" x14ac:dyDescent="0.15">
      <c r="A296" s="35" t="s">
        <v>53</v>
      </c>
      <c r="B296" s="176">
        <v>2049</v>
      </c>
      <c r="C296" s="27" t="s">
        <v>90</v>
      </c>
      <c r="D296" s="110" t="s">
        <v>186</v>
      </c>
      <c r="E296" s="63" t="s">
        <v>56</v>
      </c>
      <c r="F296" s="63" t="s">
        <v>57</v>
      </c>
      <c r="G296" s="63">
        <v>3</v>
      </c>
      <c r="H296" s="64">
        <v>43762</v>
      </c>
      <c r="I296" s="63"/>
      <c r="J296" s="64">
        <v>43907</v>
      </c>
      <c r="K296" s="63"/>
      <c r="L296" s="63"/>
      <c r="M296" s="64">
        <v>43910</v>
      </c>
      <c r="N296" s="64"/>
      <c r="O296" s="64">
        <v>44103</v>
      </c>
      <c r="P296" s="63" t="s">
        <v>384</v>
      </c>
      <c r="Q296" s="64">
        <v>44120</v>
      </c>
      <c r="R296" s="63"/>
      <c r="S296" s="63"/>
      <c r="T296" s="63"/>
      <c r="U296" s="63"/>
      <c r="V296" s="63"/>
      <c r="W296" s="63"/>
      <c r="X296" s="63">
        <v>54.92</v>
      </c>
      <c r="Y296" s="63">
        <v>12.15</v>
      </c>
      <c r="Z296" s="63"/>
      <c r="AA296" s="63">
        <v>1.28</v>
      </c>
      <c r="AB296" s="63">
        <v>0</v>
      </c>
      <c r="AC296" s="63"/>
      <c r="AD296" s="63">
        <v>16.02</v>
      </c>
      <c r="AE296" s="37">
        <v>204.43</v>
      </c>
      <c r="AF296" s="63"/>
      <c r="AG296" s="64">
        <v>44572</v>
      </c>
      <c r="AH296" s="63"/>
      <c r="AI296" s="64">
        <v>44539</v>
      </c>
      <c r="AJ296" s="63"/>
      <c r="AK296" s="64">
        <v>44567</v>
      </c>
      <c r="AL296" s="63"/>
      <c r="AM296" s="64">
        <v>44571</v>
      </c>
      <c r="AN296" s="63"/>
      <c r="AO296" s="64">
        <v>44578</v>
      </c>
      <c r="AP296" s="63"/>
      <c r="AQ296" s="64">
        <v>44616</v>
      </c>
      <c r="AR296" s="63"/>
      <c r="AS296" s="64"/>
      <c r="AT296" s="63"/>
      <c r="AU296" s="63" t="s">
        <v>59</v>
      </c>
      <c r="AV296" s="96">
        <f t="shared" si="20"/>
        <v>95.857142857142861</v>
      </c>
      <c r="AW296" s="116">
        <f t="shared" si="21"/>
        <v>65.428571428571431</v>
      </c>
      <c r="AX296" s="117" t="s">
        <v>607</v>
      </c>
      <c r="AY296" s="77" t="str">
        <f>IF(D296&lt;&gt;"",IF(LEFT(IFERROR(VLOOKUP(D296,'LPA Lookup'!$A$100:$B$470,2,FALSE),"LPA not known to MCLHG"),3)&lt;&gt;"JSP",IFERROR(VLOOKUP(D296,'LPA Lookup'!$A$100:$B$470,2,FALSE),"LPA not known to MCLHG"),VLOOKUP(D296&amp;B296,'LPA Lookup'!$A$100:$B$470,3,FALSE)),"")</f>
        <v>LPA not known to MCLHG</v>
      </c>
      <c r="AZ296" s="115" t="str">
        <f t="shared" si="17"/>
        <v>Mar 20</v>
      </c>
      <c r="BA296" s="115" t="str">
        <f t="shared" si="22"/>
        <v>Jan 22</v>
      </c>
    </row>
    <row r="297" spans="1:53" ht="28" x14ac:dyDescent="0.15">
      <c r="A297" s="35" t="s">
        <v>53</v>
      </c>
      <c r="B297" s="170">
        <v>2098</v>
      </c>
      <c r="C297" s="180" t="s">
        <v>71</v>
      </c>
      <c r="D297" s="180" t="s">
        <v>608</v>
      </c>
      <c r="E297" s="180" t="s">
        <v>609</v>
      </c>
      <c r="F297" s="180" t="s">
        <v>80</v>
      </c>
      <c r="G297" s="180">
        <v>2</v>
      </c>
      <c r="H297" s="190">
        <v>43784</v>
      </c>
      <c r="I297" s="180"/>
      <c r="J297" s="190">
        <v>43914</v>
      </c>
      <c r="K297" s="180"/>
      <c r="L297" s="180"/>
      <c r="M297" s="190">
        <v>43922</v>
      </c>
      <c r="N297" s="190"/>
      <c r="O297" s="190">
        <v>44089</v>
      </c>
      <c r="P297" s="180" t="s">
        <v>384</v>
      </c>
      <c r="Q297" s="190">
        <v>44091</v>
      </c>
      <c r="R297" s="180"/>
      <c r="S297" s="180"/>
      <c r="T297" s="180"/>
      <c r="U297" s="180"/>
      <c r="V297" s="180"/>
      <c r="W297" s="180"/>
      <c r="X297" s="180">
        <v>6.57</v>
      </c>
      <c r="Y297" s="180">
        <v>2.54</v>
      </c>
      <c r="Z297" s="180"/>
      <c r="AA297" s="180"/>
      <c r="AB297" s="180"/>
      <c r="AC297" s="180"/>
      <c r="AD297" s="180">
        <v>15.38</v>
      </c>
      <c r="AE297" s="37">
        <v>36.79</v>
      </c>
      <c r="AF297" s="180"/>
      <c r="AG297" s="190">
        <v>44274</v>
      </c>
      <c r="AH297" s="180"/>
      <c r="AI297" s="190">
        <v>44258</v>
      </c>
      <c r="AJ297" s="180"/>
      <c r="AK297" s="190">
        <v>44273</v>
      </c>
      <c r="AL297" s="180"/>
      <c r="AM297" s="190">
        <v>44274</v>
      </c>
      <c r="AN297" s="180"/>
      <c r="AO297" s="190">
        <v>44281</v>
      </c>
      <c r="AP297" s="180"/>
      <c r="AQ297" s="190">
        <v>44405</v>
      </c>
      <c r="AR297" s="180"/>
      <c r="AS297" s="190"/>
      <c r="AT297" s="180"/>
      <c r="AU297" s="180" t="s">
        <v>59</v>
      </c>
      <c r="AV297" s="188">
        <f t="shared" si="20"/>
        <v>52.428571428571431</v>
      </c>
      <c r="AW297" s="203">
        <f t="shared" si="21"/>
        <v>27.142857142857142</v>
      </c>
      <c r="AX297" s="180"/>
      <c r="AY297" s="77" t="str">
        <f>IF(D297&lt;&gt;"",IF(LEFT(IFERROR(VLOOKUP(D297,'LPA Lookup'!$A$100:$B$470,2,FALSE),"LPA not known to MCLHG"),3)&lt;&gt;"JSP",IFERROR(VLOOKUP(D297,'LPA Lookup'!$A$100:$B$470,2,FALSE),"LPA not known to MCLHG"),VLOOKUP(D297&amp;B297,'LPA Lookup'!$A$100:$B$470,3,FALSE)),"")</f>
        <v>LPA not known to MCLHG</v>
      </c>
      <c r="AZ297" s="115" t="str">
        <f t="shared" si="17"/>
        <v>Mar 20</v>
      </c>
      <c r="BA297" s="115" t="str">
        <f t="shared" si="22"/>
        <v>Mar 21</v>
      </c>
    </row>
    <row r="298" spans="1:53" ht="14" x14ac:dyDescent="0.15">
      <c r="A298" s="35" t="s">
        <v>53</v>
      </c>
      <c r="B298" s="174">
        <v>1991</v>
      </c>
      <c r="C298" s="59" t="s">
        <v>77</v>
      </c>
      <c r="D298" s="249" t="s">
        <v>610</v>
      </c>
      <c r="E298" s="59" t="s">
        <v>425</v>
      </c>
      <c r="F298" s="59" t="s">
        <v>57</v>
      </c>
      <c r="G298" s="59">
        <v>3</v>
      </c>
      <c r="H298" s="60">
        <v>43676</v>
      </c>
      <c r="I298" s="59"/>
      <c r="J298" s="60">
        <v>43921</v>
      </c>
      <c r="K298" s="59"/>
      <c r="L298" s="63"/>
      <c r="M298" s="60">
        <v>43924</v>
      </c>
      <c r="N298" s="60"/>
      <c r="O298" s="60">
        <v>44124</v>
      </c>
      <c r="P298" s="59" t="s">
        <v>443</v>
      </c>
      <c r="Q298" s="60">
        <v>44348</v>
      </c>
      <c r="R298" s="59"/>
      <c r="S298" s="59"/>
      <c r="T298" s="59"/>
      <c r="U298" s="59"/>
      <c r="V298" s="59"/>
      <c r="W298" s="59"/>
      <c r="X298" s="59">
        <v>55.93</v>
      </c>
      <c r="Y298" s="59">
        <v>14.77</v>
      </c>
      <c r="Z298" s="59"/>
      <c r="AA298" s="59">
        <v>0</v>
      </c>
      <c r="AB298" s="59">
        <v>3.46</v>
      </c>
      <c r="AC298" s="59"/>
      <c r="AD298" s="59">
        <v>6.74</v>
      </c>
      <c r="AE298" s="37">
        <v>145.88999999999999</v>
      </c>
      <c r="AF298" s="59"/>
      <c r="AG298" s="60">
        <v>44574</v>
      </c>
      <c r="AH298" s="59"/>
      <c r="AI298" s="60">
        <v>44561</v>
      </c>
      <c r="AJ298" s="59"/>
      <c r="AK298" s="60">
        <v>44207</v>
      </c>
      <c r="AL298" s="59"/>
      <c r="AM298" s="60">
        <v>44573</v>
      </c>
      <c r="AN298" s="59"/>
      <c r="AO298" s="60">
        <v>44580</v>
      </c>
      <c r="AP298" s="59"/>
      <c r="AQ298" s="60">
        <v>44614</v>
      </c>
      <c r="AR298" s="59"/>
      <c r="AS298" s="60"/>
      <c r="AT298" s="59"/>
      <c r="AU298" s="59" t="s">
        <v>59</v>
      </c>
      <c r="AV298" s="99">
        <f t="shared" si="20"/>
        <v>94.142857142857139</v>
      </c>
      <c r="AW298" s="105">
        <f t="shared" si="21"/>
        <v>33.142857142857146</v>
      </c>
      <c r="AX298" s="59"/>
      <c r="AY298" s="77" t="str">
        <f>IF(D298&lt;&gt;"",IF(LEFT(IFERROR(VLOOKUP(D298,'LPA Lookup'!$A$100:$B$470,2,FALSE),"LPA not known to MCLHG"),3)&lt;&gt;"JSP",IFERROR(VLOOKUP(D298,'LPA Lookup'!$A$100:$B$470,2,FALSE),"LPA not known to MCLHG"),VLOOKUP(D298&amp;B298,'LPA Lookup'!$A$100:$B$470,3,FALSE)),"")</f>
        <v>E07000164</v>
      </c>
      <c r="AZ298" s="115" t="str">
        <f t="shared" si="17"/>
        <v>Mar 20</v>
      </c>
      <c r="BA298" s="115" t="str">
        <f t="shared" si="22"/>
        <v>Jan 22</v>
      </c>
    </row>
    <row r="299" spans="1:53" ht="28" x14ac:dyDescent="0.15">
      <c r="A299" s="35" t="s">
        <v>53</v>
      </c>
      <c r="B299" s="111">
        <v>2229</v>
      </c>
      <c r="C299" s="61" t="s">
        <v>61</v>
      </c>
      <c r="D299" s="61" t="s">
        <v>611</v>
      </c>
      <c r="E299" s="61" t="s">
        <v>612</v>
      </c>
      <c r="F299" s="61" t="s">
        <v>80</v>
      </c>
      <c r="G299" s="61">
        <v>2</v>
      </c>
      <c r="H299" s="62">
        <v>43836</v>
      </c>
      <c r="I299" s="61"/>
      <c r="J299" s="62">
        <v>43938</v>
      </c>
      <c r="K299" s="61"/>
      <c r="L299" s="61"/>
      <c r="M299" s="62">
        <v>43941</v>
      </c>
      <c r="N299" s="62"/>
      <c r="O299" s="62">
        <v>44068</v>
      </c>
      <c r="P299" s="61"/>
      <c r="Q299" s="62">
        <v>44070</v>
      </c>
      <c r="R299" s="61"/>
      <c r="S299" s="61"/>
      <c r="T299" s="61"/>
      <c r="U299" s="61"/>
      <c r="V299" s="61"/>
      <c r="W299" s="61"/>
      <c r="X299" s="61">
        <v>20</v>
      </c>
      <c r="Y299" s="61">
        <v>3</v>
      </c>
      <c r="Z299" s="61"/>
      <c r="AA299" s="61">
        <v>1</v>
      </c>
      <c r="AB299" s="61">
        <v>1</v>
      </c>
      <c r="AC299" s="61"/>
      <c r="AD299" s="61">
        <v>7.22</v>
      </c>
      <c r="AE299" s="37">
        <f>AllPlans[[#This Row],[Prep days*]]+AllPlans[[#This Row],[Hearing days*]]+AllPlans[[#This Row],[SV days*]]+AllPlans[[#This Row],[Travel days]]+AllPlans[[#This Row],[Reptg days*]]</f>
        <v>32.22</v>
      </c>
      <c r="AF299" s="61"/>
      <c r="AG299" s="62">
        <v>44222</v>
      </c>
      <c r="AH299" s="61"/>
      <c r="AI299" s="62">
        <v>44214</v>
      </c>
      <c r="AJ299" s="61"/>
      <c r="AK299" s="62">
        <v>44216</v>
      </c>
      <c r="AL299" s="61"/>
      <c r="AM299" s="62">
        <v>44221</v>
      </c>
      <c r="AN299" s="61"/>
      <c r="AO299" s="62">
        <v>44231</v>
      </c>
      <c r="AP299" s="61"/>
      <c r="AQ299" s="62">
        <v>44280</v>
      </c>
      <c r="AR299" s="61"/>
      <c r="AS299" s="62"/>
      <c r="AT299" s="61"/>
      <c r="AU299" s="61" t="s">
        <v>59</v>
      </c>
      <c r="AV299" s="83">
        <f t="shared" si="20"/>
        <v>41.857142857142854</v>
      </c>
      <c r="AW299" s="108">
        <f t="shared" si="21"/>
        <v>23</v>
      </c>
      <c r="AX299" s="61"/>
      <c r="AY299" s="77" t="str">
        <f>IF(D299&lt;&gt;"",IF(LEFT(IFERROR(VLOOKUP(D299,'LPA Lookup'!$A$100:$B$470,2,FALSE),"LPA not known to MCLHG"),3)&lt;&gt;"JSP",IFERROR(VLOOKUP(D299,'LPA Lookup'!$A$100:$B$470,2,FALSE),"LPA not known to MCLHG"),VLOOKUP(D299&amp;B299,'LPA Lookup'!$A$100:$B$470,3,FALSE)),"")</f>
        <v>LPA not known to MCLHG</v>
      </c>
      <c r="AZ299" s="69" t="str">
        <f t="shared" si="17"/>
        <v>Apr 20</v>
      </c>
      <c r="BA299" s="69" t="str">
        <f t="shared" si="22"/>
        <v>Feb 21</v>
      </c>
    </row>
    <row r="300" spans="1:53" ht="70" x14ac:dyDescent="0.15">
      <c r="A300" s="35" t="s">
        <v>53</v>
      </c>
      <c r="B300" s="173">
        <v>2004</v>
      </c>
      <c r="C300" s="27" t="s">
        <v>54</v>
      </c>
      <c r="D300" s="47" t="s">
        <v>613</v>
      </c>
      <c r="E300" s="47" t="s">
        <v>56</v>
      </c>
      <c r="F300" s="47" t="s">
        <v>57</v>
      </c>
      <c r="G300" s="47">
        <v>3</v>
      </c>
      <c r="H300" s="191">
        <v>43405</v>
      </c>
      <c r="I300" s="52"/>
      <c r="J300" s="191">
        <v>43951</v>
      </c>
      <c r="K300" s="52"/>
      <c r="L300" s="47"/>
      <c r="M300" s="191">
        <v>43962</v>
      </c>
      <c r="N300" s="53"/>
      <c r="O300" s="191">
        <v>44207</v>
      </c>
      <c r="P300" s="47" t="s">
        <v>384</v>
      </c>
      <c r="Q300" s="191">
        <v>44237</v>
      </c>
      <c r="R300" s="52"/>
      <c r="S300" s="52"/>
      <c r="T300" s="52"/>
      <c r="U300" s="52"/>
      <c r="V300" s="52"/>
      <c r="W300" s="52"/>
      <c r="X300" s="47">
        <v>60</v>
      </c>
      <c r="Y300" s="47">
        <v>7.97</v>
      </c>
      <c r="Z300" s="47"/>
      <c r="AA300" s="47">
        <v>1.24</v>
      </c>
      <c r="AB300" s="47">
        <v>0.97</v>
      </c>
      <c r="AC300" s="47"/>
      <c r="AD300" s="47">
        <v>16.18</v>
      </c>
      <c r="AE300" s="48">
        <v>86.36</v>
      </c>
      <c r="AF300" s="47"/>
      <c r="AG300" s="191">
        <v>44617</v>
      </c>
      <c r="AH300" s="52"/>
      <c r="AI300" s="191">
        <v>44600</v>
      </c>
      <c r="AJ300" s="52"/>
      <c r="AK300" s="191">
        <v>44613</v>
      </c>
      <c r="AL300" s="52"/>
      <c r="AM300" s="191">
        <v>44616</v>
      </c>
      <c r="AN300" s="52"/>
      <c r="AO300" s="191">
        <v>44631</v>
      </c>
      <c r="AP300" s="52"/>
      <c r="AQ300" s="191">
        <v>44677</v>
      </c>
      <c r="AR300" s="52"/>
      <c r="AS300" s="191"/>
      <c r="AT300" s="52"/>
      <c r="AU300" s="47" t="s">
        <v>59</v>
      </c>
      <c r="AV300" s="200">
        <f t="shared" si="20"/>
        <v>97.142857142857139</v>
      </c>
      <c r="AW300" s="202">
        <f t="shared" si="21"/>
        <v>56.285714285714285</v>
      </c>
      <c r="AX300" s="47" t="s">
        <v>518</v>
      </c>
      <c r="AY300" s="77" t="str">
        <f>IF(D300&lt;&gt;"",IF(LEFT(IFERROR(VLOOKUP(D300,'LPA Lookup'!$A$100:$B$470,2,FALSE),"LPA not known to MCLHG"),3)&lt;&gt;"JSP",IFERROR(VLOOKUP(D300,'LPA Lookup'!$A$100:$B$470,2,FALSE),"LPA not known to MCLHG"),VLOOKUP(D300&amp;B300,'LPA Lookup'!$A$100:$B$470,3,FALSE)),"")</f>
        <v>E07000239</v>
      </c>
      <c r="AZ300" s="63" t="str">
        <f t="shared" si="17"/>
        <v>Apr 20</v>
      </c>
      <c r="BA300" s="63" t="str">
        <f t="shared" si="22"/>
        <v>Mar 22</v>
      </c>
    </row>
    <row r="301" spans="1:53" ht="14" x14ac:dyDescent="0.15">
      <c r="A301" s="35" t="s">
        <v>53</v>
      </c>
      <c r="B301" s="170">
        <v>1988</v>
      </c>
      <c r="C301" s="29" t="s">
        <v>67</v>
      </c>
      <c r="D301" s="180" t="s">
        <v>614</v>
      </c>
      <c r="E301" s="180" t="s">
        <v>615</v>
      </c>
      <c r="F301" s="180" t="s">
        <v>107</v>
      </c>
      <c r="G301" s="180">
        <v>2</v>
      </c>
      <c r="H301" s="190">
        <v>43742</v>
      </c>
      <c r="I301" s="180"/>
      <c r="J301" s="190">
        <v>43969</v>
      </c>
      <c r="K301" s="180"/>
      <c r="L301" s="180"/>
      <c r="M301" s="190">
        <v>43970</v>
      </c>
      <c r="N301" s="190"/>
      <c r="O301" s="190">
        <v>44243</v>
      </c>
      <c r="P301" s="180" t="s">
        <v>384</v>
      </c>
      <c r="Q301" s="190">
        <v>44273</v>
      </c>
      <c r="R301" s="180"/>
      <c r="S301" s="180"/>
      <c r="T301" s="180"/>
      <c r="U301" s="180"/>
      <c r="V301" s="180"/>
      <c r="W301" s="180"/>
      <c r="X301" s="180">
        <v>13.27</v>
      </c>
      <c r="Y301" s="180">
        <v>12</v>
      </c>
      <c r="Z301" s="180"/>
      <c r="AA301" s="180">
        <v>3.56</v>
      </c>
      <c r="AB301" s="180">
        <v>0.4</v>
      </c>
      <c r="AC301" s="180"/>
      <c r="AD301" s="180">
        <v>13.92</v>
      </c>
      <c r="AE301" s="48">
        <v>46.14</v>
      </c>
      <c r="AF301" s="180"/>
      <c r="AG301" s="190">
        <v>44638</v>
      </c>
      <c r="AH301" s="180"/>
      <c r="AI301" s="190">
        <v>44622</v>
      </c>
      <c r="AJ301" s="180"/>
      <c r="AK301" s="190">
        <v>44634</v>
      </c>
      <c r="AL301" s="180"/>
      <c r="AM301" s="190">
        <v>44637</v>
      </c>
      <c r="AN301" s="180"/>
      <c r="AO301" s="190">
        <v>44663</v>
      </c>
      <c r="AP301" s="180"/>
      <c r="AQ301" s="190">
        <v>44720</v>
      </c>
      <c r="AR301" s="180"/>
      <c r="AS301" s="190"/>
      <c r="AT301" s="180"/>
      <c r="AU301" s="180" t="s">
        <v>59</v>
      </c>
      <c r="AV301" s="188">
        <f t="shared" si="20"/>
        <v>99.142857142857139</v>
      </c>
      <c r="AW301" s="203">
        <f t="shared" si="21"/>
        <v>55.714285714285715</v>
      </c>
      <c r="AX301" s="180"/>
      <c r="AY301" s="77" t="str">
        <f>IF(D301&lt;&gt;"",IF(LEFT(IFERROR(VLOOKUP(D301,'LPA Lookup'!$A$100:$B$470,2,FALSE),"LPA not known to MCLHG"),3)&lt;&gt;"JSP",IFERROR(VLOOKUP(D301,'LPA Lookup'!$A$100:$B$470,2,FALSE),"LPA not known to MCLHG"),VLOOKUP(D301&amp;B301,'LPA Lookup'!$A$100:$B$470,3,FALSE)),"")</f>
        <v>LPA not known to MCLHG</v>
      </c>
      <c r="AZ301" s="115" t="str">
        <f t="shared" si="17"/>
        <v>May 20</v>
      </c>
      <c r="BA301" s="115" t="str">
        <f t="shared" si="22"/>
        <v>Apr 22</v>
      </c>
    </row>
    <row r="302" spans="1:53" ht="14" x14ac:dyDescent="0.15">
      <c r="A302" s="35" t="s">
        <v>53</v>
      </c>
      <c r="B302" s="118">
        <v>2030</v>
      </c>
      <c r="C302" s="27" t="s">
        <v>90</v>
      </c>
      <c r="D302" s="63" t="s">
        <v>616</v>
      </c>
      <c r="E302" s="63" t="s">
        <v>92</v>
      </c>
      <c r="F302" s="63" t="s">
        <v>57</v>
      </c>
      <c r="G302" s="63">
        <v>3</v>
      </c>
      <c r="H302" s="64">
        <v>43861</v>
      </c>
      <c r="I302" s="63"/>
      <c r="J302" s="64">
        <v>43973</v>
      </c>
      <c r="K302" s="63"/>
      <c r="L302" s="63" t="s">
        <v>584</v>
      </c>
      <c r="M302" s="64">
        <v>43983</v>
      </c>
      <c r="N302" s="64"/>
      <c r="O302" s="64">
        <v>44131</v>
      </c>
      <c r="P302" s="63" t="s">
        <v>406</v>
      </c>
      <c r="Q302" s="64">
        <v>44147</v>
      </c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37">
        <v>96.21</v>
      </c>
      <c r="AF302" s="63"/>
      <c r="AG302" s="64">
        <v>44384</v>
      </c>
      <c r="AH302" s="63"/>
      <c r="AI302" s="64">
        <v>44357</v>
      </c>
      <c r="AJ302" s="63"/>
      <c r="AK302" s="64">
        <v>44378</v>
      </c>
      <c r="AL302" s="63"/>
      <c r="AM302" s="64">
        <v>44384</v>
      </c>
      <c r="AN302" s="63"/>
      <c r="AO302" s="64">
        <v>44399</v>
      </c>
      <c r="AP302" s="63"/>
      <c r="AQ302" s="64">
        <v>44461</v>
      </c>
      <c r="AR302" s="63"/>
      <c r="AS302" s="64"/>
      <c r="AT302" s="63"/>
      <c r="AU302" s="63" t="s">
        <v>59</v>
      </c>
      <c r="AV302" s="96">
        <f t="shared" si="20"/>
        <v>60.857142857142854</v>
      </c>
      <c r="AW302" s="116">
        <f t="shared" si="21"/>
        <v>36</v>
      </c>
      <c r="AX302" s="63"/>
      <c r="AY302" s="77" t="str">
        <f>IF(D302&lt;&gt;"",IF(LEFT(IFERROR(VLOOKUP(D302,'LPA Lookup'!$A$100:$B$470,2,FALSE),"LPA not known to MCLHG"),3)&lt;&gt;"JSP",IFERROR(VLOOKUP(D302,'LPA Lookup'!$A$100:$B$470,2,FALSE),"LPA not known to MCLHG"),VLOOKUP(D302&amp;B302,'LPA Lookup'!$A$100:$B$470,3,FALSE)),"")</f>
        <v>E09000022</v>
      </c>
      <c r="AZ302" s="115" t="str">
        <f t="shared" si="17"/>
        <v>May 20</v>
      </c>
      <c r="BA302" s="115" t="str">
        <f t="shared" si="22"/>
        <v>Jul 21</v>
      </c>
    </row>
    <row r="303" spans="1:53" ht="14" x14ac:dyDescent="0.15">
      <c r="A303" s="35" t="s">
        <v>53</v>
      </c>
      <c r="B303" s="170">
        <v>1922</v>
      </c>
      <c r="C303" s="180" t="s">
        <v>104</v>
      </c>
      <c r="D303" s="180" t="s">
        <v>617</v>
      </c>
      <c r="E303" s="180" t="s">
        <v>618</v>
      </c>
      <c r="F303" s="180" t="s">
        <v>107</v>
      </c>
      <c r="G303" s="180">
        <v>2</v>
      </c>
      <c r="H303" s="190">
        <v>43817</v>
      </c>
      <c r="I303" s="180"/>
      <c r="J303" s="190">
        <v>43979</v>
      </c>
      <c r="K303" s="180"/>
      <c r="L303" s="180"/>
      <c r="M303" s="190">
        <v>43983</v>
      </c>
      <c r="N303" s="190"/>
      <c r="O303" s="190">
        <v>44112</v>
      </c>
      <c r="P303" s="180" t="s">
        <v>406</v>
      </c>
      <c r="Q303" s="190">
        <v>44120</v>
      </c>
      <c r="R303" s="180"/>
      <c r="S303" s="180"/>
      <c r="T303" s="180"/>
      <c r="U303" s="180"/>
      <c r="V303" s="180"/>
      <c r="W303" s="180"/>
      <c r="X303" s="180">
        <v>28.01</v>
      </c>
      <c r="Y303" s="180">
        <v>6</v>
      </c>
      <c r="Z303" s="180"/>
      <c r="AA303" s="180">
        <v>1</v>
      </c>
      <c r="AB303" s="180">
        <v>1</v>
      </c>
      <c r="AC303" s="180"/>
      <c r="AD303" s="180">
        <v>31</v>
      </c>
      <c r="AE303" s="48">
        <f>AllPlans[[#This Row],[Prep days*]]+AllPlans[[#This Row],[Hearing days*]]+AllPlans[[#This Row],[SV days*]]+AllPlans[[#This Row],[Travel days]]+AllPlans[[#This Row],[Reptg days*]]</f>
        <v>67.010000000000005</v>
      </c>
      <c r="AF303" s="180"/>
      <c r="AG303" s="190">
        <v>44365</v>
      </c>
      <c r="AH303" s="180"/>
      <c r="AI303" s="190">
        <v>44344</v>
      </c>
      <c r="AJ303" s="180"/>
      <c r="AK303" s="190">
        <v>44361</v>
      </c>
      <c r="AL303" s="180"/>
      <c r="AM303" s="190">
        <v>44365</v>
      </c>
      <c r="AN303" s="180"/>
      <c r="AO303" s="190">
        <v>44379</v>
      </c>
      <c r="AP303" s="180"/>
      <c r="AQ303" s="190">
        <v>44531</v>
      </c>
      <c r="AR303" s="180"/>
      <c r="AS303" s="190"/>
      <c r="AT303" s="180"/>
      <c r="AU303" s="180" t="s">
        <v>59</v>
      </c>
      <c r="AV303" s="188">
        <f t="shared" si="20"/>
        <v>57.142857142857146</v>
      </c>
      <c r="AW303" s="203">
        <f t="shared" si="21"/>
        <v>37</v>
      </c>
      <c r="AX303" s="180"/>
      <c r="AY303" s="77" t="str">
        <f>IF(D303&lt;&gt;"",IF(LEFT(IFERROR(VLOOKUP(D303,'LPA Lookup'!$A$100:$B$470,2,FALSE),"LPA not known to MCLHG"),3)&lt;&gt;"JSP",IFERROR(VLOOKUP(D303,'LPA Lookup'!$A$100:$B$470,2,FALSE),"LPA not known to MCLHG"),VLOOKUP(D303&amp;B303,'LPA Lookup'!$A$100:$B$470,3,FALSE)),"")</f>
        <v>E07000153</v>
      </c>
      <c r="AZ303" s="115" t="str">
        <f t="shared" si="17"/>
        <v>May 20</v>
      </c>
      <c r="BA303" s="115" t="str">
        <f t="shared" si="22"/>
        <v>Jul 21</v>
      </c>
    </row>
    <row r="304" spans="1:53" ht="43.5" customHeight="1" x14ac:dyDescent="0.15">
      <c r="A304" s="35" t="s">
        <v>53</v>
      </c>
      <c r="B304" s="170">
        <v>2072</v>
      </c>
      <c r="C304" s="180" t="s">
        <v>71</v>
      </c>
      <c r="D304" s="180" t="s">
        <v>168</v>
      </c>
      <c r="E304" s="180" t="s">
        <v>92</v>
      </c>
      <c r="F304" s="180" t="s">
        <v>57</v>
      </c>
      <c r="G304" s="180">
        <v>3</v>
      </c>
      <c r="H304" s="190">
        <v>43845</v>
      </c>
      <c r="I304" s="63"/>
      <c r="J304" s="190">
        <v>43992</v>
      </c>
      <c r="K304" s="63"/>
      <c r="L304" s="180"/>
      <c r="M304" s="190">
        <v>44011</v>
      </c>
      <c r="N304" s="64"/>
      <c r="O304" s="190">
        <v>44159</v>
      </c>
      <c r="P304" s="180" t="s">
        <v>406</v>
      </c>
      <c r="Q304" s="190">
        <v>44181</v>
      </c>
      <c r="R304" s="63"/>
      <c r="S304" s="63"/>
      <c r="T304" s="63"/>
      <c r="U304" s="63"/>
      <c r="V304" s="63"/>
      <c r="W304" s="63"/>
      <c r="X304" s="180">
        <v>41.28</v>
      </c>
      <c r="Y304" s="180">
        <v>5.72</v>
      </c>
      <c r="Z304" s="180"/>
      <c r="AA304" s="180">
        <v>0</v>
      </c>
      <c r="AB304" s="180">
        <v>0</v>
      </c>
      <c r="AC304" s="180"/>
      <c r="AD304" s="180">
        <v>16.41</v>
      </c>
      <c r="AE304" s="48">
        <v>186.2</v>
      </c>
      <c r="AF304" s="180"/>
      <c r="AG304" s="190">
        <v>44614</v>
      </c>
      <c r="AH304" s="63"/>
      <c r="AI304" s="190">
        <v>44593</v>
      </c>
      <c r="AJ304" s="63"/>
      <c r="AK304" s="190">
        <v>44599</v>
      </c>
      <c r="AL304" s="63"/>
      <c r="AM304" s="190">
        <v>44600</v>
      </c>
      <c r="AN304" s="63"/>
      <c r="AO304" s="190">
        <v>44609</v>
      </c>
      <c r="AP304" s="63"/>
      <c r="AQ304" s="190">
        <v>44643</v>
      </c>
      <c r="AR304" s="63"/>
      <c r="AS304" s="190"/>
      <c r="AT304" s="63"/>
      <c r="AU304" s="180" t="s">
        <v>59</v>
      </c>
      <c r="AV304" s="188">
        <f t="shared" si="20"/>
        <v>88.142857142857139</v>
      </c>
      <c r="AW304" s="203">
        <f t="shared" si="21"/>
        <v>61.142857142857146</v>
      </c>
      <c r="AX304" s="180"/>
      <c r="AY304" s="77" t="str">
        <f>IF(D304&lt;&gt;"",IF(LEFT(IFERROR(VLOOKUP(D304,'LPA Lookup'!$A$100:$B$470,2,FALSE),"LPA not known to MCLHG"),3)&lt;&gt;"JSP",IFERROR(VLOOKUP(D304,'LPA Lookup'!$A$100:$B$470,2,FALSE),"LPA not known to MCLHG"),VLOOKUP(D304&amp;B304,'LPA Lookup'!$A$100:$B$470,3,FALSE)),"")</f>
        <v>E07000202</v>
      </c>
      <c r="AZ304" s="115" t="str">
        <f t="shared" si="17"/>
        <v>Jun 20</v>
      </c>
      <c r="BA304" s="115" t="str">
        <f t="shared" si="22"/>
        <v>Feb 22</v>
      </c>
    </row>
    <row r="305" spans="1:53" ht="28" x14ac:dyDescent="0.15">
      <c r="A305" s="35" t="s">
        <v>53</v>
      </c>
      <c r="B305" s="118">
        <v>2038</v>
      </c>
      <c r="C305" s="27" t="s">
        <v>54</v>
      </c>
      <c r="D305" s="110" t="s">
        <v>520</v>
      </c>
      <c r="E305" s="63" t="s">
        <v>619</v>
      </c>
      <c r="F305" s="63" t="s">
        <v>136</v>
      </c>
      <c r="G305" s="63">
        <v>2</v>
      </c>
      <c r="H305" s="64">
        <v>43839</v>
      </c>
      <c r="I305" s="63"/>
      <c r="J305" s="64">
        <v>44029</v>
      </c>
      <c r="K305" s="63"/>
      <c r="L305" s="63"/>
      <c r="M305" s="64">
        <v>44041</v>
      </c>
      <c r="N305" s="64"/>
      <c r="O305" s="64">
        <v>44145</v>
      </c>
      <c r="P305" s="63" t="s">
        <v>406</v>
      </c>
      <c r="Q305" s="64">
        <v>44147</v>
      </c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37">
        <v>40</v>
      </c>
      <c r="AF305" s="63"/>
      <c r="AG305" s="64">
        <v>44461</v>
      </c>
      <c r="AH305" s="63"/>
      <c r="AI305" s="64">
        <v>44446</v>
      </c>
      <c r="AJ305" s="63"/>
      <c r="AK305" s="64">
        <v>44456</v>
      </c>
      <c r="AL305" s="63"/>
      <c r="AM305" s="64">
        <v>44461</v>
      </c>
      <c r="AN305" s="63"/>
      <c r="AO305" s="64">
        <v>44469</v>
      </c>
      <c r="AP305" s="63"/>
      <c r="AQ305" s="64">
        <v>44537</v>
      </c>
      <c r="AR305" s="63"/>
      <c r="AS305" s="64"/>
      <c r="AT305" s="63"/>
      <c r="AU305" s="63" t="s">
        <v>59</v>
      </c>
      <c r="AV305" s="96">
        <f t="shared" si="20"/>
        <v>62.857142857142854</v>
      </c>
      <c r="AW305" s="116">
        <f t="shared" si="21"/>
        <v>46</v>
      </c>
      <c r="AX305" s="63"/>
      <c r="AY305" s="77" t="str">
        <f>IF(D305&lt;&gt;"",IF(LEFT(IFERROR(VLOOKUP(D305,'LPA Lookup'!$A$100:$B$470,2,FALSE),"LPA not known to MCLHG"),3)&lt;&gt;"JSP",IFERROR(VLOOKUP(D305,'LPA Lookup'!$A$100:$B$470,2,FALSE),"LPA not known to MCLHG"),VLOOKUP(D305&amp;B305,'LPA Lookup'!$A$100:$B$470,3,FALSE)),"")</f>
        <v>LPA not known to MCLHG</v>
      </c>
      <c r="AZ305" s="115" t="str">
        <f t="shared" si="17"/>
        <v>Jul 20</v>
      </c>
      <c r="BA305" s="115" t="str">
        <f t="shared" si="22"/>
        <v>Sep 21</v>
      </c>
    </row>
    <row r="306" spans="1:53" ht="14" x14ac:dyDescent="0.15">
      <c r="A306" s="35" t="s">
        <v>53</v>
      </c>
      <c r="B306" s="118">
        <v>2048</v>
      </c>
      <c r="C306" s="63" t="s">
        <v>71</v>
      </c>
      <c r="D306" s="110" t="s">
        <v>620</v>
      </c>
      <c r="E306" s="63" t="s">
        <v>212</v>
      </c>
      <c r="F306" s="63" t="s">
        <v>107</v>
      </c>
      <c r="G306" s="63">
        <v>2</v>
      </c>
      <c r="H306" s="64">
        <v>43889</v>
      </c>
      <c r="I306" s="63"/>
      <c r="J306" s="64">
        <v>44043</v>
      </c>
      <c r="K306" s="63"/>
      <c r="L306" s="63"/>
      <c r="M306" s="64">
        <v>44049</v>
      </c>
      <c r="N306" s="64"/>
      <c r="O306" s="64">
        <v>44257</v>
      </c>
      <c r="P306" s="63" t="s">
        <v>384</v>
      </c>
      <c r="Q306" s="64">
        <v>44315</v>
      </c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37">
        <v>77.11</v>
      </c>
      <c r="AF306" s="63"/>
      <c r="AG306" s="64">
        <v>44497</v>
      </c>
      <c r="AH306" s="63"/>
      <c r="AI306" s="64">
        <v>44481</v>
      </c>
      <c r="AJ306" s="63"/>
      <c r="AK306" s="64">
        <v>44491</v>
      </c>
      <c r="AL306" s="63"/>
      <c r="AM306" s="64">
        <v>44497</v>
      </c>
      <c r="AN306" s="63"/>
      <c r="AO306" s="64">
        <v>44505</v>
      </c>
      <c r="AP306" s="63"/>
      <c r="AQ306" s="64">
        <v>44539</v>
      </c>
      <c r="AR306" s="63"/>
      <c r="AS306" s="64"/>
      <c r="AT306" s="63"/>
      <c r="AU306" s="63" t="s">
        <v>59</v>
      </c>
      <c r="AV306" s="96">
        <f t="shared" si="20"/>
        <v>66</v>
      </c>
      <c r="AW306" s="116">
        <f t="shared" si="21"/>
        <v>27.142857142857142</v>
      </c>
      <c r="AX306" s="63"/>
      <c r="AY306" s="77" t="str">
        <f>IF(D306&lt;&gt;"",IF(LEFT(IFERROR(VLOOKUP(D306,'LPA Lookup'!$A$100:$B$470,2,FALSE),"LPA not known to MCLHG"),3)&lt;&gt;"JSP",IFERROR(VLOOKUP(D306,'LPA Lookup'!$A$100:$B$470,2,FALSE),"LPA not known to MCLHG"),VLOOKUP(D306&amp;B306,'LPA Lookup'!$A$100:$B$470,3,FALSE)),"")</f>
        <v>E07000145</v>
      </c>
      <c r="AZ306" s="115" t="str">
        <f t="shared" si="17"/>
        <v>Jul 20</v>
      </c>
      <c r="BA306" s="115" t="str">
        <f t="shared" si="22"/>
        <v>Nov 21</v>
      </c>
    </row>
    <row r="307" spans="1:53" ht="14" x14ac:dyDescent="0.15">
      <c r="A307" s="35" t="s">
        <v>53</v>
      </c>
      <c r="B307" s="176">
        <v>2207</v>
      </c>
      <c r="C307" s="29" t="s">
        <v>67</v>
      </c>
      <c r="D307" s="110" t="s">
        <v>621</v>
      </c>
      <c r="E307" s="63" t="s">
        <v>92</v>
      </c>
      <c r="F307" s="63" t="s">
        <v>57</v>
      </c>
      <c r="G307" s="63">
        <v>3</v>
      </c>
      <c r="H307" s="64">
        <v>43724</v>
      </c>
      <c r="I307" s="63"/>
      <c r="J307" s="64">
        <v>44095</v>
      </c>
      <c r="K307" s="63"/>
      <c r="L307" s="63"/>
      <c r="M307" s="64">
        <v>44116</v>
      </c>
      <c r="N307" s="64"/>
      <c r="O307" s="64">
        <v>44257</v>
      </c>
      <c r="P307" s="63" t="s">
        <v>406</v>
      </c>
      <c r="Q307" s="64">
        <v>44267</v>
      </c>
      <c r="R307" s="63"/>
      <c r="S307" s="63"/>
      <c r="T307" s="63"/>
      <c r="U307" s="63"/>
      <c r="V307" s="63"/>
      <c r="W307" s="63"/>
      <c r="X307" s="63">
        <v>39.619999999999997</v>
      </c>
      <c r="Y307" s="63">
        <v>10</v>
      </c>
      <c r="Z307" s="63"/>
      <c r="AA307" s="63">
        <v>2.5</v>
      </c>
      <c r="AB307" s="63">
        <v>1</v>
      </c>
      <c r="AC307" s="63"/>
      <c r="AD307" s="63">
        <v>22.14</v>
      </c>
      <c r="AE307" s="119">
        <f>AllPlans[[#This Row],[Prep days*]]+AllPlans[[#This Row],[Hearing days*]]+AllPlans[[#This Row],[SV days*]]+AllPlans[[#This Row],[Travel days]]+AllPlans[[#This Row],[Reptg days*]]</f>
        <v>75.259999999999991</v>
      </c>
      <c r="AF307" s="63"/>
      <c r="AG307" s="64">
        <v>44487</v>
      </c>
      <c r="AH307" s="63"/>
      <c r="AI307" s="64">
        <v>44461</v>
      </c>
      <c r="AJ307" s="63"/>
      <c r="AK307" s="64">
        <v>44480</v>
      </c>
      <c r="AL307" s="63"/>
      <c r="AM307" s="64">
        <v>44484</v>
      </c>
      <c r="AN307" s="63"/>
      <c r="AO307" s="64">
        <v>44501</v>
      </c>
      <c r="AP307" s="63"/>
      <c r="AQ307" s="64">
        <v>44533</v>
      </c>
      <c r="AR307" s="63"/>
      <c r="AS307" s="64"/>
      <c r="AT307" s="63"/>
      <c r="AU307" s="63" t="s">
        <v>59</v>
      </c>
      <c r="AV307" s="96">
        <f t="shared" si="20"/>
        <v>58</v>
      </c>
      <c r="AW307" s="116">
        <f t="shared" si="21"/>
        <v>33.428571428571431</v>
      </c>
      <c r="AX307" s="63"/>
      <c r="AY307" s="77" t="str">
        <f>IF(D307&lt;&gt;"",IF(LEFT(IFERROR(VLOOKUP(D307,'LPA Lookup'!$A$100:$B$470,2,FALSE),"LPA not known to MCLHG"),3)&lt;&gt;"JSP",IFERROR(VLOOKUP(D307,'LPA Lookup'!$A$100:$B$470,2,FALSE),"LPA not known to MCLHG"),VLOOKUP(D307&amp;B307,'LPA Lookup'!$A$100:$B$470,3,FALSE)),"")</f>
        <v>LPA not known to MCLHG</v>
      </c>
      <c r="AZ307" s="115" t="str">
        <f t="shared" si="17"/>
        <v>Sep 20</v>
      </c>
      <c r="BA307" s="115" t="str">
        <f t="shared" si="22"/>
        <v>Nov 21</v>
      </c>
    </row>
    <row r="308" spans="1:53" s="73" customFormat="1" ht="36.75" customHeight="1" x14ac:dyDescent="0.15">
      <c r="A308" s="35" t="s">
        <v>53</v>
      </c>
      <c r="B308" s="111">
        <v>2233</v>
      </c>
      <c r="C308" s="61" t="s">
        <v>71</v>
      </c>
      <c r="D308" s="61" t="s">
        <v>286</v>
      </c>
      <c r="E308" s="61" t="s">
        <v>425</v>
      </c>
      <c r="F308" s="61" t="s">
        <v>57</v>
      </c>
      <c r="G308" s="61">
        <v>3</v>
      </c>
      <c r="H308" s="62">
        <v>43815</v>
      </c>
      <c r="I308" s="170"/>
      <c r="J308" s="62">
        <v>44106</v>
      </c>
      <c r="K308" s="170"/>
      <c r="L308" s="61"/>
      <c r="M308" s="62">
        <v>44127</v>
      </c>
      <c r="N308" s="194"/>
      <c r="O308" s="62">
        <v>44327</v>
      </c>
      <c r="P308" s="61" t="s">
        <v>406</v>
      </c>
      <c r="Q308" s="62">
        <v>44376</v>
      </c>
      <c r="R308" s="170"/>
      <c r="S308" s="170"/>
      <c r="T308" s="170"/>
      <c r="U308" s="170"/>
      <c r="V308" s="170"/>
      <c r="W308" s="170"/>
      <c r="X308" s="61"/>
      <c r="Y308" s="61"/>
      <c r="Z308" s="61"/>
      <c r="AA308" s="61"/>
      <c r="AB308" s="61"/>
      <c r="AC308" s="61"/>
      <c r="AD308" s="61">
        <v>24.99</v>
      </c>
      <c r="AE308" s="120">
        <v>100.28</v>
      </c>
      <c r="AF308" s="61"/>
      <c r="AG308" s="62">
        <v>44622</v>
      </c>
      <c r="AH308" s="170"/>
      <c r="AI308" s="62">
        <v>44608</v>
      </c>
      <c r="AJ308" s="170"/>
      <c r="AK308" s="62">
        <v>44617</v>
      </c>
      <c r="AL308" s="170"/>
      <c r="AM308" s="62">
        <v>44621</v>
      </c>
      <c r="AN308" s="170"/>
      <c r="AO308" s="62">
        <v>44623</v>
      </c>
      <c r="AP308" s="170"/>
      <c r="AQ308" s="62"/>
      <c r="AR308" s="170" t="s">
        <v>622</v>
      </c>
      <c r="AS308" s="62">
        <v>44727</v>
      </c>
      <c r="AT308" s="170"/>
      <c r="AU308" s="61" t="s">
        <v>278</v>
      </c>
      <c r="AV308" s="83">
        <f t="shared" si="20"/>
        <v>73.857142857142861</v>
      </c>
      <c r="AW308" s="108">
        <f t="shared" si="21"/>
        <v>35.285714285714285</v>
      </c>
      <c r="AX308" s="61"/>
      <c r="AY308" s="77" t="str">
        <f>IF(D308&lt;&gt;"",IF(LEFT(IFERROR(VLOOKUP(D308,'LPA Lookup'!$A$100:$B$470,2,FALSE),"LPA not known to MCLHG"),3)&lt;&gt;"JSP",IFERROR(VLOOKUP(D308,'LPA Lookup'!$A$100:$B$470,2,FALSE),"LPA not known to MCLHG"),VLOOKUP(D308&amp;B308,'LPA Lookup'!$A$100:$B$470,3,FALSE)),"")</f>
        <v>LPA not known to MCLHG</v>
      </c>
      <c r="AZ308" s="61" t="str">
        <f t="shared" si="17"/>
        <v>Oct 20</v>
      </c>
      <c r="BA308" s="61" t="str">
        <f t="shared" si="22"/>
        <v>Mar 22</v>
      </c>
    </row>
    <row r="309" spans="1:53" ht="14" x14ac:dyDescent="0.15">
      <c r="A309" s="35" t="s">
        <v>53</v>
      </c>
      <c r="B309" s="121">
        <v>2240</v>
      </c>
      <c r="C309" s="27" t="s">
        <v>83</v>
      </c>
      <c r="D309" s="250" t="s">
        <v>307</v>
      </c>
      <c r="E309" s="65" t="s">
        <v>623</v>
      </c>
      <c r="F309" s="65" t="s">
        <v>57</v>
      </c>
      <c r="G309" s="65">
        <v>3</v>
      </c>
      <c r="H309" s="66">
        <v>44035</v>
      </c>
      <c r="I309" s="63"/>
      <c r="J309" s="66">
        <v>44125</v>
      </c>
      <c r="K309" s="63"/>
      <c r="L309" s="65" t="s">
        <v>584</v>
      </c>
      <c r="M309" s="66">
        <v>44138</v>
      </c>
      <c r="N309" s="64"/>
      <c r="O309" s="66">
        <v>44272</v>
      </c>
      <c r="P309" s="65" t="s">
        <v>384</v>
      </c>
      <c r="Q309" s="66">
        <v>44273</v>
      </c>
      <c r="R309" s="63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267">
        <v>36.4</v>
      </c>
      <c r="AF309" s="65"/>
      <c r="AG309" s="66">
        <v>44476</v>
      </c>
      <c r="AH309" s="63"/>
      <c r="AI309" s="66">
        <v>44474</v>
      </c>
      <c r="AJ309" s="63"/>
      <c r="AK309" s="66">
        <v>44476</v>
      </c>
      <c r="AL309" s="63"/>
      <c r="AM309" s="66">
        <v>44476</v>
      </c>
      <c r="AN309" s="63"/>
      <c r="AO309" s="66">
        <v>44490</v>
      </c>
      <c r="AP309" s="63"/>
      <c r="AQ309" s="66">
        <v>44536</v>
      </c>
      <c r="AR309" s="63"/>
      <c r="AS309" s="66"/>
      <c r="AT309" s="63"/>
      <c r="AU309" s="65" t="s">
        <v>59</v>
      </c>
      <c r="AV309" s="201">
        <f t="shared" si="20"/>
        <v>52.142857142857146</v>
      </c>
      <c r="AW309" s="273">
        <f t="shared" si="21"/>
        <v>31</v>
      </c>
      <c r="AX309" s="65"/>
      <c r="AY309" s="77" t="str">
        <f>IF(D309&lt;&gt;"",IF(LEFT(IFERROR(VLOOKUP(D309,'LPA Lookup'!$A$100:$B$470,2,FALSE),"LPA not known to MCLHG"),3)&lt;&gt;"JSP",IFERROR(VLOOKUP(D309,'LPA Lookup'!$A$100:$B$470,2,FALSE),"LPA not known to MCLHG"),VLOOKUP(D309&amp;B309,#REF!,3,FALSE)),"")</f>
        <v>E07000119</v>
      </c>
      <c r="AZ309" s="41" t="str">
        <f t="shared" si="17"/>
        <v>Oct 20</v>
      </c>
      <c r="BA309" s="41" t="str">
        <f t="shared" si="22"/>
        <v>Oct 21</v>
      </c>
    </row>
    <row r="310" spans="1:53" ht="14" x14ac:dyDescent="0.15">
      <c r="A310" s="35" t="s">
        <v>53</v>
      </c>
      <c r="B310" s="171">
        <v>1985</v>
      </c>
      <c r="C310" s="27" t="s">
        <v>83</v>
      </c>
      <c r="D310" s="182" t="s">
        <v>237</v>
      </c>
      <c r="E310" s="52" t="s">
        <v>56</v>
      </c>
      <c r="F310" s="52" t="s">
        <v>57</v>
      </c>
      <c r="G310" s="52">
        <v>3</v>
      </c>
      <c r="H310" s="53">
        <v>43482</v>
      </c>
      <c r="I310" s="52"/>
      <c r="J310" s="53">
        <v>44133</v>
      </c>
      <c r="K310" s="52"/>
      <c r="L310" s="52"/>
      <c r="M310" s="53">
        <v>44140</v>
      </c>
      <c r="N310" s="53"/>
      <c r="O310" s="53">
        <v>44341</v>
      </c>
      <c r="P310" s="52" t="s">
        <v>406</v>
      </c>
      <c r="Q310" s="53">
        <v>44371</v>
      </c>
      <c r="R310" s="52"/>
      <c r="S310" s="52"/>
      <c r="T310" s="52"/>
      <c r="U310" s="52"/>
      <c r="V310" s="52"/>
      <c r="W310" s="52"/>
      <c r="X310" s="52">
        <v>57.26</v>
      </c>
      <c r="Y310" s="52">
        <v>9.9499999999999993</v>
      </c>
      <c r="Z310" s="52"/>
      <c r="AA310" s="52">
        <v>0.74</v>
      </c>
      <c r="AB310" s="52">
        <v>0.41</v>
      </c>
      <c r="AC310" s="52"/>
      <c r="AD310" s="52">
        <v>10.44</v>
      </c>
      <c r="AE310" s="37">
        <v>139.38999999999999</v>
      </c>
      <c r="AF310" s="52"/>
      <c r="AG310" s="53">
        <v>44690</v>
      </c>
      <c r="AH310" s="52"/>
      <c r="AI310" s="53">
        <v>44638</v>
      </c>
      <c r="AJ310" s="52"/>
      <c r="AK310" s="53">
        <v>44670</v>
      </c>
      <c r="AL310" s="52"/>
      <c r="AM310" s="53">
        <v>44687</v>
      </c>
      <c r="AN310" s="52"/>
      <c r="AO310" s="53">
        <v>44699</v>
      </c>
      <c r="AP310" s="52"/>
      <c r="AQ310" s="53">
        <v>44754</v>
      </c>
      <c r="AR310" s="52"/>
      <c r="AS310" s="53"/>
      <c r="AT310" s="52"/>
      <c r="AU310" s="52" t="s">
        <v>59</v>
      </c>
      <c r="AV310" s="99">
        <f t="shared" si="20"/>
        <v>80.857142857142861</v>
      </c>
      <c r="AW310" s="105">
        <f t="shared" si="21"/>
        <v>46.857142857142854</v>
      </c>
      <c r="AX310" s="205">
        <v>44701</v>
      </c>
      <c r="AY310" s="77" t="str">
        <f>IF(D310&lt;&gt;"",IF(LEFT(IFERROR(VLOOKUP(D310,'LPA Lookup'!$A$100:$B$470,2,FALSE),"LPA not known to MCLHG"),3)&lt;&gt;"JSP",IFERROR(VLOOKUP(D310,'LPA Lookup'!$A$100:$B$470,2,FALSE),"LPA not known to MCLHG"),VLOOKUP(D310&amp;B310,#REF!,3,FALSE)),"")</f>
        <v>E08000013</v>
      </c>
      <c r="AZ310" s="115" t="str">
        <f t="shared" si="17"/>
        <v>Oct 20</v>
      </c>
      <c r="BA310" s="115" t="str">
        <f t="shared" si="22"/>
        <v>May 22</v>
      </c>
    </row>
    <row r="311" spans="1:53" ht="14" x14ac:dyDescent="0.15">
      <c r="A311" s="35" t="s">
        <v>53</v>
      </c>
      <c r="B311" s="170">
        <v>2210</v>
      </c>
      <c r="C311" s="29" t="s">
        <v>67</v>
      </c>
      <c r="D311" s="180" t="s">
        <v>624</v>
      </c>
      <c r="E311" s="180" t="s">
        <v>625</v>
      </c>
      <c r="F311" s="180" t="s">
        <v>107</v>
      </c>
      <c r="G311" s="180">
        <v>2</v>
      </c>
      <c r="H311" s="190">
        <v>43776</v>
      </c>
      <c r="I311" s="180"/>
      <c r="J311" s="190">
        <v>44147</v>
      </c>
      <c r="K311" s="180"/>
      <c r="L311" s="180"/>
      <c r="M311" s="190">
        <v>44169</v>
      </c>
      <c r="N311" s="190"/>
      <c r="O311" s="190">
        <v>44327</v>
      </c>
      <c r="P311" s="180" t="s">
        <v>384</v>
      </c>
      <c r="Q311" s="190">
        <v>44356</v>
      </c>
      <c r="R311" s="180"/>
      <c r="S311" s="180"/>
      <c r="T311" s="180"/>
      <c r="U311" s="180"/>
      <c r="V311" s="180"/>
      <c r="W311" s="180"/>
      <c r="X311" s="180">
        <v>28.14</v>
      </c>
      <c r="Y311" s="180">
        <v>7.18</v>
      </c>
      <c r="Z311" s="180"/>
      <c r="AA311" s="180">
        <v>2.54</v>
      </c>
      <c r="AB311" s="180">
        <v>2.4900000000000002</v>
      </c>
      <c r="AC311" s="180"/>
      <c r="AD311" s="180">
        <v>29.53</v>
      </c>
      <c r="AE311" s="48">
        <v>72.88</v>
      </c>
      <c r="AF311" s="180"/>
      <c r="AG311" s="190">
        <v>44845</v>
      </c>
      <c r="AH311" s="180"/>
      <c r="AI311" s="190">
        <v>44791</v>
      </c>
      <c r="AJ311" s="180"/>
      <c r="AK311" s="190">
        <v>44798</v>
      </c>
      <c r="AL311" s="180"/>
      <c r="AM311" s="190">
        <v>44845</v>
      </c>
      <c r="AN311" s="180"/>
      <c r="AO311" s="190">
        <v>44874</v>
      </c>
      <c r="AP311" s="180"/>
      <c r="AQ311" s="190">
        <v>44952</v>
      </c>
      <c r="AR311" s="180"/>
      <c r="AS311" s="190"/>
      <c r="AT311" s="180"/>
      <c r="AU311" s="180" t="s">
        <v>59</v>
      </c>
      <c r="AV311" s="188">
        <f t="shared" si="20"/>
        <v>103.85714285714286</v>
      </c>
      <c r="AW311" s="203">
        <f t="shared" si="21"/>
        <v>74</v>
      </c>
      <c r="AX311" s="180"/>
      <c r="AY311" s="77" t="str">
        <f>IF(D311&lt;&gt;"",IF(LEFT(IFERROR(VLOOKUP(D311,'LPA Lookup'!$A$100:$B$470,2,FALSE),"LPA not known to MCLHG"),3)&lt;&gt;"JSP",IFERROR(VLOOKUP(D311,'LPA Lookup'!$A$100:$B$470,2,FALSE),"LPA not known to MCLHG"),VLOOKUP(D311&amp;B311,'LPA Lookup'!$A$100:$B$470,3,FALSE)),"")</f>
        <v>LPA not known to MCLHG</v>
      </c>
      <c r="AZ311" s="115" t="str">
        <f t="shared" si="17"/>
        <v>Nov 20</v>
      </c>
      <c r="BA311" s="115" t="str">
        <f t="shared" si="22"/>
        <v>Nov 22</v>
      </c>
    </row>
    <row r="312" spans="1:53" ht="14" x14ac:dyDescent="0.15">
      <c r="A312" s="35" t="s">
        <v>53</v>
      </c>
      <c r="B312" s="122">
        <v>1866</v>
      </c>
      <c r="C312" s="67" t="s">
        <v>90</v>
      </c>
      <c r="D312" s="67" t="s">
        <v>626</v>
      </c>
      <c r="E312" s="67" t="s">
        <v>92</v>
      </c>
      <c r="F312" s="67" t="s">
        <v>57</v>
      </c>
      <c r="G312" s="67">
        <v>3</v>
      </c>
      <c r="H312" s="55">
        <v>43672</v>
      </c>
      <c r="I312" s="59"/>
      <c r="J312" s="68">
        <v>44179</v>
      </c>
      <c r="K312" s="59"/>
      <c r="L312" s="71"/>
      <c r="M312" s="68">
        <v>44200</v>
      </c>
      <c r="N312" s="60"/>
      <c r="O312" s="68">
        <v>44509</v>
      </c>
      <c r="P312" s="67" t="s">
        <v>487</v>
      </c>
      <c r="Q312" s="68"/>
      <c r="R312" s="59"/>
      <c r="S312" s="59"/>
      <c r="T312" s="59"/>
      <c r="U312" s="59"/>
      <c r="V312" s="59"/>
      <c r="W312" s="59"/>
      <c r="X312" s="67">
        <v>74.72</v>
      </c>
      <c r="Y312" s="67">
        <v>9.84</v>
      </c>
      <c r="Z312" s="67"/>
      <c r="AA312" s="67">
        <v>1.1499999999999999</v>
      </c>
      <c r="AB312" s="67">
        <v>7.01</v>
      </c>
      <c r="AC312" s="67"/>
      <c r="AD312" s="67">
        <v>8.9700000000000006</v>
      </c>
      <c r="AE312" s="100">
        <v>129.81</v>
      </c>
      <c r="AF312" s="67"/>
      <c r="AG312" s="68"/>
      <c r="AH312" s="59"/>
      <c r="AI312" s="68"/>
      <c r="AJ312" s="59"/>
      <c r="AK312" s="68"/>
      <c r="AL312" s="59"/>
      <c r="AM312" s="68"/>
      <c r="AN312" s="59"/>
      <c r="AO312" s="68"/>
      <c r="AP312" s="59"/>
      <c r="AQ312" s="68"/>
      <c r="AR312" s="67"/>
      <c r="AS312" s="68">
        <v>45064</v>
      </c>
      <c r="AT312" s="59"/>
      <c r="AU312" s="67" t="s">
        <v>278</v>
      </c>
      <c r="AV312" s="96" t="e">
        <f>DATEDIF(J312,AO312, "d")/7</f>
        <v>#NUM!</v>
      </c>
      <c r="AW312" s="107">
        <f t="shared" si="21"/>
        <v>0</v>
      </c>
      <c r="AX312" s="59"/>
      <c r="AY312" s="77" t="str">
        <f>IF(D312&lt;&gt;"",IF(LEFT(IFERROR(VLOOKUP(D312,'LPA Lookup'!$A$100:$B$470,2,FALSE),"LPA not known to MCLHG"),3)&lt;&gt;"JSP",IFERROR(VLOOKUP(D312,'LPA Lookup'!$A$100:$B$470,2,FALSE),"LPA not known to MCLHG"),VLOOKUP(D312&amp;B312,#REF!,3,FALSE)),"")</f>
        <v>E09000018</v>
      </c>
      <c r="AZ312" s="123" t="str">
        <f t="shared" si="17"/>
        <v>Dec 20</v>
      </c>
      <c r="BA312" s="123" t="str">
        <f t="shared" si="22"/>
        <v>Jan 00</v>
      </c>
    </row>
    <row r="313" spans="1:53" ht="14" x14ac:dyDescent="0.15">
      <c r="A313" s="35" t="s">
        <v>53</v>
      </c>
      <c r="B313" s="124">
        <v>2241</v>
      </c>
      <c r="C313" s="69" t="s">
        <v>61</v>
      </c>
      <c r="D313" s="125" t="s">
        <v>280</v>
      </c>
      <c r="E313" s="69" t="s">
        <v>627</v>
      </c>
      <c r="F313" s="69" t="s">
        <v>107</v>
      </c>
      <c r="G313" s="69">
        <v>2</v>
      </c>
      <c r="H313" s="70">
        <v>44046</v>
      </c>
      <c r="I313" s="69"/>
      <c r="J313" s="70">
        <v>44181</v>
      </c>
      <c r="K313" s="69"/>
      <c r="L313" s="69"/>
      <c r="M313" s="70">
        <v>44202</v>
      </c>
      <c r="N313" s="70"/>
      <c r="O313" s="70">
        <v>44348</v>
      </c>
      <c r="P313" s="69" t="s">
        <v>384</v>
      </c>
      <c r="Q313" s="70">
        <v>44363</v>
      </c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37">
        <v>140.62</v>
      </c>
      <c r="AF313" s="69"/>
      <c r="AG313" s="70">
        <v>44684</v>
      </c>
      <c r="AH313" s="69"/>
      <c r="AI313" s="70">
        <v>44642</v>
      </c>
      <c r="AJ313" s="69"/>
      <c r="AK313" s="70">
        <v>44676</v>
      </c>
      <c r="AL313" s="69"/>
      <c r="AM313" s="70">
        <v>44684</v>
      </c>
      <c r="AN313" s="69"/>
      <c r="AO313" s="70">
        <v>44711</v>
      </c>
      <c r="AP313" s="69"/>
      <c r="AQ313" s="70">
        <v>44741</v>
      </c>
      <c r="AR313" s="69"/>
      <c r="AS313" s="70"/>
      <c r="AT313" s="69"/>
      <c r="AU313" s="69" t="s">
        <v>59</v>
      </c>
      <c r="AV313" s="38">
        <f>SUM(AO313-J313)/7</f>
        <v>75.714285714285708</v>
      </c>
      <c r="AW313" s="126">
        <f t="shared" si="21"/>
        <v>49.714285714285715</v>
      </c>
      <c r="AX313" s="69"/>
      <c r="AY313" s="77" t="str">
        <f>IF(D313&lt;&gt;"",IF(LEFT(IFERROR(VLOOKUP(D313,'LPA Lookup'!$A$100:$B$470,2,FALSE),"LPA not known to MCLHG"),3)&lt;&gt;"JSP",IFERROR(VLOOKUP(D313,'LPA Lookup'!$A$100:$B$470,2,FALSE),"LPA not known to MCLHG"),VLOOKUP(D313&amp;B313,#REF!,3,FALSE)),"")</f>
        <v>E07000228</v>
      </c>
      <c r="AZ313" s="115" t="str">
        <f t="shared" si="17"/>
        <v>Dec 20</v>
      </c>
      <c r="BA313" s="115" t="str">
        <f t="shared" si="22"/>
        <v>May 22</v>
      </c>
    </row>
    <row r="314" spans="1:53" ht="14" x14ac:dyDescent="0.15">
      <c r="A314" s="35" t="s">
        <v>53</v>
      </c>
      <c r="B314" s="121">
        <v>1926</v>
      </c>
      <c r="C314" s="65" t="s">
        <v>270</v>
      </c>
      <c r="D314" s="252" t="s">
        <v>628</v>
      </c>
      <c r="E314" s="65" t="s">
        <v>629</v>
      </c>
      <c r="F314" s="65" t="s">
        <v>57</v>
      </c>
      <c r="G314" s="65">
        <v>3</v>
      </c>
      <c r="H314" s="66">
        <v>44049</v>
      </c>
      <c r="I314" s="65"/>
      <c r="J314" s="66">
        <v>44187</v>
      </c>
      <c r="K314" s="65"/>
      <c r="L314" s="65"/>
      <c r="M314" s="66">
        <v>44200</v>
      </c>
      <c r="N314" s="66"/>
      <c r="O314" s="66">
        <v>44341</v>
      </c>
      <c r="P314" s="65" t="s">
        <v>406</v>
      </c>
      <c r="Q314" s="66">
        <v>44446</v>
      </c>
      <c r="R314" s="65"/>
      <c r="S314" s="65"/>
      <c r="T314" s="65"/>
      <c r="U314" s="65"/>
      <c r="V314" s="65"/>
      <c r="W314" s="65"/>
      <c r="X314" s="65">
        <v>47.91</v>
      </c>
      <c r="Y314" s="65">
        <v>7.98</v>
      </c>
      <c r="Z314" s="65"/>
      <c r="AA314" s="65">
        <v>0.68</v>
      </c>
      <c r="AB314" s="65">
        <v>3.21</v>
      </c>
      <c r="AC314" s="65"/>
      <c r="AD314" s="65">
        <v>21.8</v>
      </c>
      <c r="AE314" s="37">
        <f>AllPlans[[#This Row],[Prep days*]]+AllPlans[[#This Row],[Hearing days*]]+AllPlans[[#This Row],[SV days*]]+AllPlans[[#This Row],[Travel days]]+AllPlans[[#This Row],[Reptg days*]]</f>
        <v>81.58</v>
      </c>
      <c r="AF314" s="65"/>
      <c r="AG314" s="66">
        <v>44574</v>
      </c>
      <c r="AH314" s="65"/>
      <c r="AI314" s="66">
        <v>44565</v>
      </c>
      <c r="AJ314" s="65"/>
      <c r="AK314" s="66">
        <v>44572</v>
      </c>
      <c r="AL314" s="65"/>
      <c r="AM314" s="66">
        <v>44573</v>
      </c>
      <c r="AN314" s="65"/>
      <c r="AO314" s="66">
        <v>44589</v>
      </c>
      <c r="AP314" s="65"/>
      <c r="AQ314" s="66">
        <v>44609</v>
      </c>
      <c r="AR314" s="65"/>
      <c r="AS314" s="66"/>
      <c r="AT314" s="65"/>
      <c r="AU314" s="65" t="s">
        <v>59</v>
      </c>
      <c r="AV314" s="201">
        <f>SUM(AO314-J314)/7</f>
        <v>57.428571428571431</v>
      </c>
      <c r="AW314" s="273">
        <f t="shared" si="21"/>
        <v>20.428571428571427</v>
      </c>
      <c r="AX314" s="65"/>
      <c r="AY314" s="77" t="str">
        <f>IF(D314&lt;&gt;"",IF(LEFT(IFERROR(VLOOKUP(D314,'LPA Lookup'!$A$100:$B$470,2,FALSE),"LPA not known to MCLHG"),3)&lt;&gt;"JSP",IFERROR(VLOOKUP(D314,'LPA Lookup'!$A$100:$B$470,2,FALSE),"LPA not known to MCLHG"),VLOOKUP(D314&amp;B314,#REF!,3,FALSE)),"")</f>
        <v>LPA not known to MCLHG</v>
      </c>
      <c r="AZ314" s="41" t="str">
        <f t="shared" si="17"/>
        <v>Dec 20</v>
      </c>
      <c r="BA314" s="41" t="str">
        <f t="shared" si="22"/>
        <v>Jan 22</v>
      </c>
    </row>
    <row r="315" spans="1:53" ht="26.25" customHeight="1" x14ac:dyDescent="0.15">
      <c r="A315" s="35" t="s">
        <v>53</v>
      </c>
      <c r="B315" s="170">
        <v>2246</v>
      </c>
      <c r="C315" s="180" t="s">
        <v>90</v>
      </c>
      <c r="D315" s="180" t="s">
        <v>630</v>
      </c>
      <c r="E315" s="180" t="s">
        <v>631</v>
      </c>
      <c r="F315" s="180" t="s">
        <v>80</v>
      </c>
      <c r="G315" s="180">
        <v>2</v>
      </c>
      <c r="H315" s="190">
        <v>44078</v>
      </c>
      <c r="I315" s="180"/>
      <c r="J315" s="190">
        <v>44215</v>
      </c>
      <c r="K315" s="180"/>
      <c r="L315" s="180"/>
      <c r="M315" s="190">
        <v>44222</v>
      </c>
      <c r="N315" s="190"/>
      <c r="O315" s="190">
        <v>44440</v>
      </c>
      <c r="P315" s="180" t="s">
        <v>487</v>
      </c>
      <c r="Q315" s="190">
        <v>44441</v>
      </c>
      <c r="R315" s="180"/>
      <c r="S315" s="180"/>
      <c r="T315" s="180"/>
      <c r="U315" s="180"/>
      <c r="V315" s="180"/>
      <c r="W315" s="180"/>
      <c r="X315" s="180">
        <v>25.51</v>
      </c>
      <c r="Y315" s="180">
        <v>1.25</v>
      </c>
      <c r="Z315" s="180"/>
      <c r="AA315" s="180">
        <v>1.05</v>
      </c>
      <c r="AB315" s="180">
        <v>2.9</v>
      </c>
      <c r="AC315" s="180"/>
      <c r="AD315" s="180">
        <v>9.93</v>
      </c>
      <c r="AE315" s="48">
        <v>57.76</v>
      </c>
      <c r="AF315" s="180"/>
      <c r="AG315" s="190">
        <v>44880</v>
      </c>
      <c r="AH315" s="180"/>
      <c r="AI315" s="190">
        <v>44847</v>
      </c>
      <c r="AJ315" s="180"/>
      <c r="AK315" s="190">
        <v>44847</v>
      </c>
      <c r="AL315" s="180"/>
      <c r="AM315" s="190">
        <v>44879</v>
      </c>
      <c r="AN315" s="180"/>
      <c r="AO315" s="190">
        <v>44886</v>
      </c>
      <c r="AP315" s="180"/>
      <c r="AQ315" s="190">
        <v>44909</v>
      </c>
      <c r="AR315" s="180" t="s">
        <v>632</v>
      </c>
      <c r="AS315" s="190"/>
      <c r="AT315" s="180"/>
      <c r="AU315" s="180" t="s">
        <v>59</v>
      </c>
      <c r="AV315" s="38">
        <f>SUM(AO315-J315)/7</f>
        <v>95.857142857142861</v>
      </c>
      <c r="AW315" s="203"/>
      <c r="AX315" s="180"/>
      <c r="AY315" s="77" t="str">
        <f>IF(D315&lt;&gt;"",IF(LEFT(IFERROR(VLOOKUP(D315,'LPA Lookup'!$A$100:$B$470,2,FALSE),"LPA not known to MCLHG"),3)&lt;&gt;"JSP",IFERROR(VLOOKUP(D315,'LPA Lookup'!$A$100:$B$470,2,FALSE),"LPA not known to MCLHG"),VLOOKUP(D315&amp;B315,#REF!,3,FALSE)),"")</f>
        <v>LPA not known to MCLHG</v>
      </c>
      <c r="AZ315" s="115" t="str">
        <f t="shared" si="17"/>
        <v>Jan 21</v>
      </c>
      <c r="BA315" s="115" t="str">
        <f t="shared" si="22"/>
        <v>Nov 22</v>
      </c>
    </row>
    <row r="316" spans="1:53" ht="14" x14ac:dyDescent="0.15">
      <c r="A316" s="35" t="s">
        <v>53</v>
      </c>
      <c r="B316" s="127">
        <v>1963</v>
      </c>
      <c r="C316" s="71" t="s">
        <v>104</v>
      </c>
      <c r="D316" s="71" t="s">
        <v>633</v>
      </c>
      <c r="E316" s="71" t="s">
        <v>92</v>
      </c>
      <c r="F316" s="71" t="s">
        <v>57</v>
      </c>
      <c r="G316" s="71">
        <v>3</v>
      </c>
      <c r="H316" s="72">
        <v>44070</v>
      </c>
      <c r="I316" s="71"/>
      <c r="J316" s="72">
        <v>44230</v>
      </c>
      <c r="K316" s="71"/>
      <c r="L316" s="71"/>
      <c r="M316" s="72">
        <v>44246</v>
      </c>
      <c r="N316" s="72"/>
      <c r="O316" s="72"/>
      <c r="P316" s="71"/>
      <c r="Q316" s="72"/>
      <c r="R316" s="71"/>
      <c r="S316" s="71"/>
      <c r="T316" s="71"/>
      <c r="U316" s="71"/>
      <c r="V316" s="71"/>
      <c r="W316" s="71"/>
      <c r="X316" s="71">
        <v>15.17</v>
      </c>
      <c r="Y316" s="71">
        <v>0</v>
      </c>
      <c r="Z316" s="71"/>
      <c r="AA316" s="71">
        <v>0</v>
      </c>
      <c r="AB316" s="71">
        <v>0</v>
      </c>
      <c r="AC316" s="71"/>
      <c r="AD316" s="71">
        <v>0</v>
      </c>
      <c r="AE316" s="100">
        <f>AllPlans[[#This Row],[Prep days*]]+AllPlans[[#This Row],[Hearing days*]]+AllPlans[[#This Row],[SV days*]]+AllPlans[[#This Row],[Travel days]]+AllPlans[[#This Row],[Reptg days*]]</f>
        <v>15.17</v>
      </c>
      <c r="AF316" s="71"/>
      <c r="AG316" s="72"/>
      <c r="AH316" s="71"/>
      <c r="AI316" s="72"/>
      <c r="AJ316" s="71"/>
      <c r="AK316" s="72"/>
      <c r="AL316" s="71"/>
      <c r="AM316" s="72"/>
      <c r="AN316" s="71"/>
      <c r="AO316" s="72"/>
      <c r="AP316" s="71"/>
      <c r="AQ316" s="72"/>
      <c r="AR316" s="71"/>
      <c r="AS316" s="72">
        <v>44440</v>
      </c>
      <c r="AT316" s="71"/>
      <c r="AU316" s="71" t="s">
        <v>278</v>
      </c>
      <c r="AV316" s="96" t="e">
        <f>DATEDIF(J316,AO316, "d")/7</f>
        <v>#NUM!</v>
      </c>
      <c r="AW316" s="272"/>
      <c r="AX316" s="71"/>
      <c r="AY316" s="77" t="str">
        <f>IF(D316&lt;&gt;"",IF(LEFT(IFERROR(VLOOKUP(D316,'LPA Lookup'!$A$100:$B$470,2,FALSE),"LPA not known to MCLHG"),3)&lt;&gt;"JSP",IFERROR(VLOOKUP(D316,'LPA Lookup'!$A$100:$B$470,2,FALSE),"LPA not known to MCLHG"),VLOOKUP(D316&amp;B316,#REF!,3,FALSE)),"")</f>
        <v>E06000017</v>
      </c>
      <c r="AZ316" s="123" t="str">
        <f t="shared" si="17"/>
        <v>Feb 21</v>
      </c>
      <c r="BA316" s="123" t="str">
        <f t="shared" si="22"/>
        <v>Jan 00</v>
      </c>
    </row>
    <row r="317" spans="1:53" ht="14" x14ac:dyDescent="0.15">
      <c r="A317" s="35" t="s">
        <v>53</v>
      </c>
      <c r="B317" s="84">
        <v>1923</v>
      </c>
      <c r="C317" s="27" t="s">
        <v>104</v>
      </c>
      <c r="D317" s="81" t="s">
        <v>634</v>
      </c>
      <c r="E317" s="27" t="s">
        <v>635</v>
      </c>
      <c r="F317" s="27" t="s">
        <v>107</v>
      </c>
      <c r="G317" s="27">
        <v>2</v>
      </c>
      <c r="H317" s="28">
        <v>43586</v>
      </c>
      <c r="I317" s="27"/>
      <c r="J317" s="28">
        <v>44231</v>
      </c>
      <c r="K317" s="27"/>
      <c r="L317" s="27"/>
      <c r="M317" s="28">
        <v>44236</v>
      </c>
      <c r="N317" s="28"/>
      <c r="O317" s="28">
        <v>44516</v>
      </c>
      <c r="P317" s="27" t="s">
        <v>509</v>
      </c>
      <c r="Q317" s="28">
        <v>44530</v>
      </c>
      <c r="R317" s="27"/>
      <c r="S317" s="27"/>
      <c r="T317" s="27"/>
      <c r="U317" s="27"/>
      <c r="V317" s="27"/>
      <c r="W317" s="27"/>
      <c r="X317" s="27">
        <v>20.25</v>
      </c>
      <c r="Y317" s="27">
        <v>18.25</v>
      </c>
      <c r="Z317" s="27"/>
      <c r="AA317" s="27">
        <v>0.41</v>
      </c>
      <c r="AB317" s="27">
        <v>3.04</v>
      </c>
      <c r="AC317" s="27"/>
      <c r="AD317" s="27">
        <v>33.96</v>
      </c>
      <c r="AE317" s="37">
        <v>116</v>
      </c>
      <c r="AF317" s="27"/>
      <c r="AG317" s="28">
        <v>44953</v>
      </c>
      <c r="AH317" s="27"/>
      <c r="AI317" s="28">
        <v>44937</v>
      </c>
      <c r="AJ317" s="27"/>
      <c r="AK317" s="28">
        <v>44945</v>
      </c>
      <c r="AL317" s="27"/>
      <c r="AM317" s="28">
        <v>44952</v>
      </c>
      <c r="AN317" s="27"/>
      <c r="AO317" s="28">
        <v>44960</v>
      </c>
      <c r="AP317" s="27"/>
      <c r="AQ317" s="28">
        <v>45008</v>
      </c>
      <c r="AR317" s="27"/>
      <c r="AS317" s="28"/>
      <c r="AT317" s="27"/>
      <c r="AU317" s="27" t="s">
        <v>59</v>
      </c>
      <c r="AV317" s="38">
        <f>SUM(AO317-J317)/7</f>
        <v>104.14285714285714</v>
      </c>
      <c r="AW317" s="39">
        <f>SUM(AO317-Q317)/7</f>
        <v>61.428571428571431</v>
      </c>
      <c r="AX317" s="27"/>
      <c r="AY317" s="77" t="str">
        <f>IF(D317&lt;&gt;"",IF(LEFT(IFERROR(VLOOKUP(D317,'LPA Lookup'!$A$100:$B$470,2,FALSE),"LPA not known to MCLHG"),3)&lt;&gt;"JSP",IFERROR(VLOOKUP(D317,'LPA Lookup'!$A$100:$B$470,2,FALSE),"LPA not known to MCLHG"),VLOOKUP(D317&amp;B317,#REF!,3,FALSE)),"")</f>
        <v>E07000154</v>
      </c>
      <c r="AZ317" s="115" t="str">
        <f t="shared" si="17"/>
        <v>Feb 21</v>
      </c>
      <c r="BA317" s="115" t="str">
        <f t="shared" si="22"/>
        <v>Feb 23</v>
      </c>
    </row>
    <row r="318" spans="1:53" ht="14" x14ac:dyDescent="0.15">
      <c r="A318" s="35" t="s">
        <v>53</v>
      </c>
      <c r="B318" s="118">
        <v>2239</v>
      </c>
      <c r="C318" s="63" t="s">
        <v>61</v>
      </c>
      <c r="D318" s="184" t="s">
        <v>132</v>
      </c>
      <c r="E318" s="63" t="s">
        <v>636</v>
      </c>
      <c r="F318" s="63" t="s">
        <v>74</v>
      </c>
      <c r="G318" s="63">
        <v>2</v>
      </c>
      <c r="H318" s="64">
        <v>44071</v>
      </c>
      <c r="I318" s="63"/>
      <c r="J318" s="64">
        <v>44237</v>
      </c>
      <c r="K318" s="63"/>
      <c r="L318" s="63"/>
      <c r="M318" s="64">
        <v>44257</v>
      </c>
      <c r="N318" s="64"/>
      <c r="O318" s="64">
        <v>44375</v>
      </c>
      <c r="P318" s="63" t="s">
        <v>637</v>
      </c>
      <c r="Q318" s="64">
        <v>44385</v>
      </c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37">
        <v>55.64</v>
      </c>
      <c r="AF318" s="63"/>
      <c r="AG318" s="64">
        <v>44957</v>
      </c>
      <c r="AH318" s="63"/>
      <c r="AI318" s="64">
        <v>44936</v>
      </c>
      <c r="AJ318" s="63"/>
      <c r="AK318" s="64">
        <v>44952</v>
      </c>
      <c r="AL318" s="63"/>
      <c r="AM318" s="64">
        <v>44957</v>
      </c>
      <c r="AN318" s="63"/>
      <c r="AO318" s="64">
        <v>44986</v>
      </c>
      <c r="AP318" s="63"/>
      <c r="AQ318" s="64"/>
      <c r="AR318" s="63"/>
      <c r="AS318" s="64"/>
      <c r="AT318" s="63"/>
      <c r="AU318" s="63" t="s">
        <v>59</v>
      </c>
      <c r="AV318" s="38">
        <f>SUM(AO318-J318)/7</f>
        <v>107</v>
      </c>
      <c r="AW318" s="116">
        <f>SUM(AO318-Q318)/7</f>
        <v>85.857142857142861</v>
      </c>
      <c r="AX318" s="63"/>
      <c r="AY318" s="77" t="str">
        <f>IF(D318&lt;&gt;"",IF(LEFT(IFERROR(VLOOKUP(D318,'LPA Lookup'!$A$100:$B$470,2,FALSE),"LPA not known to MCLHG"),3)&lt;&gt;"JSP",IFERROR(VLOOKUP(D318,'LPA Lookup'!$A$100:$B$470,2,FALSE),"LPA not known to MCLHG"),VLOOKUP(D318&amp;B318,#REF!,3,FALSE)),"")</f>
        <v>E07000181</v>
      </c>
      <c r="AZ318" s="41" t="str">
        <f t="shared" si="17"/>
        <v>Feb 21</v>
      </c>
      <c r="BA318" s="41" t="str">
        <f t="shared" si="22"/>
        <v>Mar 23</v>
      </c>
    </row>
    <row r="319" spans="1:53" ht="14" x14ac:dyDescent="0.15">
      <c r="A319" s="35" t="s">
        <v>53</v>
      </c>
      <c r="B319" s="171">
        <v>1374</v>
      </c>
      <c r="C319" s="52" t="s">
        <v>61</v>
      </c>
      <c r="D319" s="182" t="s">
        <v>638</v>
      </c>
      <c r="E319" s="52" t="s">
        <v>56</v>
      </c>
      <c r="F319" s="52" t="s">
        <v>57</v>
      </c>
      <c r="G319" s="52">
        <v>3</v>
      </c>
      <c r="H319" s="53">
        <v>43500</v>
      </c>
      <c r="I319" s="52"/>
      <c r="J319" s="53">
        <v>44239</v>
      </c>
      <c r="K319" s="52"/>
      <c r="L319" s="52"/>
      <c r="M319" s="53">
        <v>44243</v>
      </c>
      <c r="N319" s="53"/>
      <c r="O319" s="53">
        <v>44389</v>
      </c>
      <c r="P319" s="52" t="s">
        <v>406</v>
      </c>
      <c r="Q319" s="53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37">
        <v>81.790000000000006</v>
      </c>
      <c r="AF319" s="52"/>
      <c r="AG319" s="53"/>
      <c r="AH319" s="52"/>
      <c r="AI319" s="53"/>
      <c r="AJ319" s="52"/>
      <c r="AK319" s="53"/>
      <c r="AL319" s="52"/>
      <c r="AM319" s="53"/>
      <c r="AN319" s="52"/>
      <c r="AO319" s="53"/>
      <c r="AP319" s="52"/>
      <c r="AQ319" s="53"/>
      <c r="AR319" s="52"/>
      <c r="AS319" s="53">
        <v>44636</v>
      </c>
      <c r="AT319" s="52"/>
      <c r="AU319" s="52" t="s">
        <v>278</v>
      </c>
      <c r="AV319" s="96" t="e">
        <f>DATEDIF(J319,AO319, "d")/7</f>
        <v>#NUM!</v>
      </c>
      <c r="AW319" s="105">
        <f>SUM(AO319-Q319)/7</f>
        <v>0</v>
      </c>
      <c r="AX319" s="52"/>
      <c r="AY319" s="77" t="str">
        <f>IF(D319&lt;&gt;"",IF(LEFT(IFERROR(VLOOKUP(D319,'LPA Lookup'!$A$100:$B$470,2,FALSE),"LPA not known to MCLHG"),3)&lt;&gt;"JSP",IFERROR(VLOOKUP(D319,'LPA Lookup'!$A$100:$B$470,2,FALSE),"LPA not known to MCLHG"),VLOOKUP(D319&amp;B319,#REF!,3,FALSE)),"")</f>
        <v>E07000090</v>
      </c>
      <c r="AZ319" s="115" t="str">
        <f t="shared" si="17"/>
        <v>Feb 21</v>
      </c>
      <c r="BA319" s="115" t="str">
        <f t="shared" si="22"/>
        <v>Jan 00</v>
      </c>
    </row>
    <row r="320" spans="1:53" ht="30.75" customHeight="1" x14ac:dyDescent="0.15">
      <c r="A320" s="35" t="s">
        <v>53</v>
      </c>
      <c r="B320" s="118">
        <v>1961</v>
      </c>
      <c r="C320" s="63" t="s">
        <v>61</v>
      </c>
      <c r="D320" s="184" t="s">
        <v>639</v>
      </c>
      <c r="E320" s="63" t="s">
        <v>609</v>
      </c>
      <c r="F320" s="63" t="s">
        <v>80</v>
      </c>
      <c r="G320" s="63">
        <v>2</v>
      </c>
      <c r="H320" s="64">
        <v>44077</v>
      </c>
      <c r="I320" s="63"/>
      <c r="J320" s="64">
        <v>44252</v>
      </c>
      <c r="K320" s="63"/>
      <c r="L320" s="63"/>
      <c r="M320" s="64">
        <v>44286</v>
      </c>
      <c r="N320" s="64"/>
      <c r="O320" s="64">
        <v>44467</v>
      </c>
      <c r="P320" s="63" t="s">
        <v>487</v>
      </c>
      <c r="Q320" s="64">
        <v>44481</v>
      </c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37">
        <v>54.66</v>
      </c>
      <c r="AF320" s="63"/>
      <c r="AG320" s="64">
        <v>44832</v>
      </c>
      <c r="AH320" s="63"/>
      <c r="AI320" s="64">
        <v>44747</v>
      </c>
      <c r="AJ320" s="63"/>
      <c r="AK320" s="64">
        <v>44778</v>
      </c>
      <c r="AL320" s="63"/>
      <c r="AM320" s="64">
        <v>44831</v>
      </c>
      <c r="AN320" s="63"/>
      <c r="AO320" s="64">
        <v>44854</v>
      </c>
      <c r="AP320" s="63"/>
      <c r="AQ320" s="64">
        <v>44937</v>
      </c>
      <c r="AR320" s="63" t="s">
        <v>640</v>
      </c>
      <c r="AS320" s="64"/>
      <c r="AT320" s="63"/>
      <c r="AU320" s="63" t="s">
        <v>59</v>
      </c>
      <c r="AV320" s="38">
        <f>SUM(AO320-J320)/7</f>
        <v>86</v>
      </c>
      <c r="AW320" s="116"/>
      <c r="AX320" s="63"/>
      <c r="AY320" s="77" t="str">
        <f>IF(D320&lt;&gt;"",IF(LEFT(IFERROR(VLOOKUP(D320,'LPA Lookup'!$A$100:$B$470,2,FALSE),"LPA not known to MCLHG"),3)&lt;&gt;"JSP",IFERROR(VLOOKUP(D320,'LPA Lookup'!$A$100:$B$470,2,FALSE),"LPA not known to MCLHG"),VLOOKUP(D320&amp;B320,#REF!,3,FALSE)),"")</f>
        <v>LPA not known to MCLHG</v>
      </c>
      <c r="AZ320" s="115" t="str">
        <f t="shared" si="17"/>
        <v>Feb 21</v>
      </c>
      <c r="BA320" s="115" t="str">
        <f t="shared" si="22"/>
        <v>Oct 22</v>
      </c>
    </row>
    <row r="321" spans="1:53" ht="14" x14ac:dyDescent="0.15">
      <c r="A321" s="35" t="s">
        <v>53</v>
      </c>
      <c r="B321" s="118">
        <v>2250</v>
      </c>
      <c r="C321" s="63" t="s">
        <v>77</v>
      </c>
      <c r="D321" s="128" t="s">
        <v>78</v>
      </c>
      <c r="E321" s="63" t="s">
        <v>641</v>
      </c>
      <c r="F321" s="63" t="s">
        <v>107</v>
      </c>
      <c r="G321" s="63">
        <v>3</v>
      </c>
      <c r="H321" s="64">
        <v>42269</v>
      </c>
      <c r="I321" s="63"/>
      <c r="J321" s="64">
        <v>44281</v>
      </c>
      <c r="K321" s="63"/>
      <c r="L321" s="63"/>
      <c r="M321" s="64">
        <v>44186</v>
      </c>
      <c r="N321" s="64"/>
      <c r="O321" s="64">
        <v>44453</v>
      </c>
      <c r="P321" s="63" t="s">
        <v>384</v>
      </c>
      <c r="Q321" s="64">
        <v>44699</v>
      </c>
      <c r="R321" s="63"/>
      <c r="S321" s="63"/>
      <c r="T321" s="63"/>
      <c r="U321" s="63"/>
      <c r="V321" s="63"/>
      <c r="W321" s="63"/>
      <c r="X321" s="52">
        <v>29.83</v>
      </c>
      <c r="Y321" s="52">
        <v>5</v>
      </c>
      <c r="Z321" s="52"/>
      <c r="AA321" s="52">
        <v>0.34</v>
      </c>
      <c r="AB321" s="52">
        <v>1.64</v>
      </c>
      <c r="AC321" s="52"/>
      <c r="AD321" s="52">
        <v>65.58</v>
      </c>
      <c r="AE321" s="37">
        <f>AllPlans[[#This Row],[Prep days*]]+AllPlans[[#This Row],[Hearing days*]]+AllPlans[[#This Row],[SV days*]]+AllPlans[[#This Row],[Travel days]]+AllPlans[[#This Row],[Reptg days*]]</f>
        <v>102.39</v>
      </c>
      <c r="AF321" s="63"/>
      <c r="AG321" s="64">
        <v>45278</v>
      </c>
      <c r="AH321" s="63"/>
      <c r="AI321" s="64">
        <v>45167</v>
      </c>
      <c r="AJ321" s="63"/>
      <c r="AK321" s="64">
        <v>45274</v>
      </c>
      <c r="AL321" s="63"/>
      <c r="AM321" s="64">
        <v>45278</v>
      </c>
      <c r="AN321" s="63"/>
      <c r="AO321" s="64">
        <v>45293</v>
      </c>
      <c r="AP321" s="63"/>
      <c r="AQ321" s="64">
        <v>45308</v>
      </c>
      <c r="AR321" s="63"/>
      <c r="AS321" s="64"/>
      <c r="AT321" s="63"/>
      <c r="AU321" s="63" t="s">
        <v>59</v>
      </c>
      <c r="AV321" s="96">
        <v>116.71428571428571</v>
      </c>
      <c r="AW321" s="116"/>
      <c r="AX321" s="63"/>
      <c r="AY321" s="77" t="str">
        <f>IF(D321&lt;&gt;"",IF(LEFT(IFERROR(VLOOKUP(D321,'LPA Lookup'!$A$100:$B$470,2,FALSE),"LPA not known to MCLHG"),3)&lt;&gt;"JSP",IFERROR(VLOOKUP(D321,'LPA Lookup'!$A$100:$B$470,2,FALSE),"LPA not known to MCLHG"),VLOOKUP(D321&amp;B321,#REF!,3,FALSE)),"")</f>
        <v>E08000035</v>
      </c>
      <c r="AZ321" s="115" t="str">
        <f t="shared" si="17"/>
        <v>Mar 21</v>
      </c>
      <c r="BA321" s="115" t="str">
        <f t="shared" si="22"/>
        <v>Jan 24</v>
      </c>
    </row>
    <row r="322" spans="1:53" ht="14" x14ac:dyDescent="0.15">
      <c r="A322" s="35" t="s">
        <v>53</v>
      </c>
      <c r="B322" s="118">
        <v>2083</v>
      </c>
      <c r="C322" s="63" t="s">
        <v>104</v>
      </c>
      <c r="D322" s="128" t="s">
        <v>642</v>
      </c>
      <c r="E322" s="63" t="s">
        <v>643</v>
      </c>
      <c r="F322" s="63" t="s">
        <v>107</v>
      </c>
      <c r="G322" s="63">
        <v>3</v>
      </c>
      <c r="H322" s="64">
        <v>44232</v>
      </c>
      <c r="I322" s="63"/>
      <c r="J322" s="64">
        <v>44284</v>
      </c>
      <c r="K322" s="63"/>
      <c r="L322" s="63"/>
      <c r="M322" s="64">
        <v>44312</v>
      </c>
      <c r="N322" s="64"/>
      <c r="O322" s="64">
        <v>44657</v>
      </c>
      <c r="P322" s="63" t="s">
        <v>509</v>
      </c>
      <c r="Q322" s="64">
        <v>44686</v>
      </c>
      <c r="R322" s="63"/>
      <c r="S322" s="63"/>
      <c r="T322" s="63"/>
      <c r="U322" s="63"/>
      <c r="V322" s="63"/>
      <c r="W322" s="63"/>
      <c r="X322" s="63">
        <v>14.81</v>
      </c>
      <c r="Y322" s="63">
        <v>8</v>
      </c>
      <c r="Z322" s="63"/>
      <c r="AA322" s="63">
        <v>0</v>
      </c>
      <c r="AB322" s="63">
        <v>3.04</v>
      </c>
      <c r="AC322" s="63"/>
      <c r="AD322" s="63">
        <v>46.74</v>
      </c>
      <c r="AE322" s="37">
        <v>100.2</v>
      </c>
      <c r="AF322" s="63"/>
      <c r="AG322" s="64">
        <v>45128</v>
      </c>
      <c r="AH322" s="63"/>
      <c r="AI322" s="64">
        <v>45092</v>
      </c>
      <c r="AJ322" s="63"/>
      <c r="AK322" s="64">
        <v>45120</v>
      </c>
      <c r="AL322" s="63"/>
      <c r="AM322" s="64">
        <v>45126</v>
      </c>
      <c r="AN322" s="63"/>
      <c r="AO322" s="64">
        <v>45138</v>
      </c>
      <c r="AP322" s="63"/>
      <c r="AQ322" s="64">
        <v>45267</v>
      </c>
      <c r="AR322" s="63"/>
      <c r="AS322" s="64"/>
      <c r="AT322" s="63"/>
      <c r="AU322" s="63" t="s">
        <v>59</v>
      </c>
      <c r="AV322" s="40">
        <f>DATEDIF(J322,AO322, "d")/7</f>
        <v>122</v>
      </c>
      <c r="AW322" s="116"/>
      <c r="AX322" s="63"/>
      <c r="AY322" s="77" t="str">
        <f>IF(D322&lt;&gt;"",IF(LEFT(IFERROR(VLOOKUP(D322,'LPA Lookup'!$A$100:$B$470,2,FALSE),"LPA not known to MCLHG"),3)&lt;&gt;"JSP",IFERROR(VLOOKUP(D322,'LPA Lookup'!$A$100:$B$470,2,FALSE),"LPA not known to MCLHG"),VLOOKUP(D322&amp;B322,#REF!,3,FALSE)),"")</f>
        <v>LPA not known to MCLHG</v>
      </c>
      <c r="AZ322" s="115" t="str">
        <f t="shared" ref="AZ322:AZ385" si="23">TEXT(J322,"MMM YY")</f>
        <v>Mar 21</v>
      </c>
      <c r="BA322" s="115" t="str">
        <f t="shared" si="22"/>
        <v>Jul 23</v>
      </c>
    </row>
    <row r="323" spans="1:53" ht="160.5" customHeight="1" x14ac:dyDescent="0.15">
      <c r="A323" s="35" t="s">
        <v>53</v>
      </c>
      <c r="B323" s="176">
        <v>1966</v>
      </c>
      <c r="C323" s="181" t="s">
        <v>71</v>
      </c>
      <c r="D323" s="128" t="s">
        <v>644</v>
      </c>
      <c r="E323" s="181" t="s">
        <v>394</v>
      </c>
      <c r="F323" s="181" t="s">
        <v>57</v>
      </c>
      <c r="G323" s="181">
        <v>3</v>
      </c>
      <c r="H323" s="195">
        <v>44147</v>
      </c>
      <c r="I323" s="181"/>
      <c r="J323" s="195">
        <v>44286</v>
      </c>
      <c r="K323" s="181"/>
      <c r="L323" s="181"/>
      <c r="M323" s="195">
        <v>44292</v>
      </c>
      <c r="N323" s="195"/>
      <c r="O323" s="195">
        <v>44368</v>
      </c>
      <c r="P323" s="181" t="s">
        <v>443</v>
      </c>
      <c r="Q323" s="195">
        <v>45105</v>
      </c>
      <c r="R323" s="181"/>
      <c r="S323" s="181"/>
      <c r="T323" s="181"/>
      <c r="U323" s="181"/>
      <c r="V323" s="181"/>
      <c r="W323" s="181"/>
      <c r="X323" s="181">
        <v>54.01</v>
      </c>
      <c r="Y323" s="181">
        <v>4.0199999999999996</v>
      </c>
      <c r="Z323" s="181"/>
      <c r="AA323" s="181"/>
      <c r="AB323" s="181">
        <v>3.92</v>
      </c>
      <c r="AC323" s="181"/>
      <c r="AD323" s="181">
        <v>22.42</v>
      </c>
      <c r="AE323" s="37">
        <v>200.09</v>
      </c>
      <c r="AF323" s="181"/>
      <c r="AG323" s="195">
        <v>45177</v>
      </c>
      <c r="AH323" s="181"/>
      <c r="AI323" s="195">
        <v>45154</v>
      </c>
      <c r="AJ323" s="181"/>
      <c r="AK323" s="195">
        <v>45168</v>
      </c>
      <c r="AL323" s="181"/>
      <c r="AM323" s="195">
        <v>45177</v>
      </c>
      <c r="AN323" s="181"/>
      <c r="AO323" s="195">
        <v>45188</v>
      </c>
      <c r="AP323" s="181"/>
      <c r="AQ323" s="195">
        <v>45250</v>
      </c>
      <c r="AR323" s="181" t="s">
        <v>645</v>
      </c>
      <c r="AS323" s="195"/>
      <c r="AT323" s="181"/>
      <c r="AU323" s="181" t="s">
        <v>59</v>
      </c>
      <c r="AV323" s="40">
        <f>DATEDIF(J323,AO323, "d")/7</f>
        <v>128.85714285714286</v>
      </c>
      <c r="AW323" s="204"/>
      <c r="AX323" s="181"/>
      <c r="AY323" s="77" t="str">
        <f>IF(D323&lt;&gt;"",IF(LEFT(IFERROR(VLOOKUP(D323,'LPA Lookup'!$A$100:$B$470,2,FALSE),"LPA not known to MCLHG"),3)&lt;&gt;"JSP",IFERROR(VLOOKUP(D323,'LPA Lookup'!$A$100:$B$470,2,FALSE),"LPA not known to MCLHG"),VLOOKUP(D323&amp;B323,#REF!,3,FALSE)),"")</f>
        <v>LPA not known to MCLHG</v>
      </c>
      <c r="AZ323" s="206" t="str">
        <f t="shared" si="23"/>
        <v>Mar 21</v>
      </c>
      <c r="BA323" s="206" t="str">
        <f t="shared" si="22"/>
        <v>Sep 23</v>
      </c>
    </row>
    <row r="324" spans="1:53" ht="28" x14ac:dyDescent="0.15">
      <c r="A324" s="35" t="s">
        <v>53</v>
      </c>
      <c r="B324" s="176">
        <v>2022</v>
      </c>
      <c r="C324" s="27" t="s">
        <v>83</v>
      </c>
      <c r="D324" s="184" t="s">
        <v>646</v>
      </c>
      <c r="E324" s="63" t="s">
        <v>647</v>
      </c>
      <c r="F324" s="63" t="s">
        <v>107</v>
      </c>
      <c r="G324" s="63">
        <v>2</v>
      </c>
      <c r="H324" s="64">
        <v>44130</v>
      </c>
      <c r="I324" s="63"/>
      <c r="J324" s="64">
        <v>44315</v>
      </c>
      <c r="K324" s="63"/>
      <c r="L324" s="63"/>
      <c r="M324" s="64">
        <v>44316</v>
      </c>
      <c r="N324" s="64"/>
      <c r="O324" s="64">
        <v>44481</v>
      </c>
      <c r="P324" s="63" t="s">
        <v>587</v>
      </c>
      <c r="Q324" s="64">
        <v>44504</v>
      </c>
      <c r="R324" s="63"/>
      <c r="S324" s="63"/>
      <c r="T324" s="63"/>
      <c r="U324" s="63"/>
      <c r="V324" s="63"/>
      <c r="W324" s="63"/>
      <c r="X324" s="63">
        <v>62.77</v>
      </c>
      <c r="Y324" s="63">
        <v>8.51</v>
      </c>
      <c r="Z324" s="63"/>
      <c r="AA324" s="63">
        <v>0</v>
      </c>
      <c r="AB324" s="63">
        <v>0</v>
      </c>
      <c r="AC324" s="63"/>
      <c r="AD324" s="63">
        <v>65.84</v>
      </c>
      <c r="AE324" s="37">
        <f>AllPlans[[#This Row],[Prep days*]]+AllPlans[[#This Row],[Hearing days*]]+AllPlans[[#This Row],[SV days*]]+AllPlans[[#This Row],[Travel days]]+AllPlans[[#This Row],[Reptg days*]]</f>
        <v>137.12</v>
      </c>
      <c r="AF324" s="63"/>
      <c r="AG324" s="64">
        <v>44839</v>
      </c>
      <c r="AH324" s="63"/>
      <c r="AI324" s="64">
        <v>44826</v>
      </c>
      <c r="AJ324" s="63"/>
      <c r="AK324" s="64">
        <v>44807</v>
      </c>
      <c r="AL324" s="63"/>
      <c r="AM324" s="64">
        <v>44839</v>
      </c>
      <c r="AN324" s="63"/>
      <c r="AO324" s="64">
        <v>44851</v>
      </c>
      <c r="AP324" s="63"/>
      <c r="AQ324" s="64">
        <v>44909</v>
      </c>
      <c r="AR324" s="63"/>
      <c r="AS324" s="64"/>
      <c r="AT324" s="63"/>
      <c r="AU324" s="63" t="s">
        <v>59</v>
      </c>
      <c r="AV324" s="38">
        <f>SUM(AO324-J324)/7</f>
        <v>76.571428571428569</v>
      </c>
      <c r="AW324" s="116">
        <v>0</v>
      </c>
      <c r="AX324" s="63"/>
      <c r="AY324" s="77" t="str">
        <f>IF(D324&lt;&gt;"",IF(LEFT(IFERROR(VLOOKUP(D324,'LPA Lookup'!$A$100:$B$470,2,FALSE),"LPA not known to MCLHG"),3)&lt;&gt;"JSP",IFERROR(VLOOKUP(D324,'LPA Lookup'!$A$100:$B$470,2,FALSE),"LPA not known to MCLHG"),VLOOKUP(D324&amp;B324,#REF!,3,FALSE)),"")</f>
        <v>LPA not known to MCLHG</v>
      </c>
      <c r="AZ324" s="115" t="str">
        <f t="shared" si="23"/>
        <v>Apr 21</v>
      </c>
      <c r="BA324" s="115" t="str">
        <f t="shared" si="22"/>
        <v>Oct 22</v>
      </c>
    </row>
    <row r="325" spans="1:53" ht="14" x14ac:dyDescent="0.15">
      <c r="A325" s="35" t="s">
        <v>53</v>
      </c>
      <c r="B325" s="118">
        <v>1977</v>
      </c>
      <c r="C325" s="180" t="s">
        <v>90</v>
      </c>
      <c r="D325" s="110" t="s">
        <v>648</v>
      </c>
      <c r="E325" s="63" t="s">
        <v>649</v>
      </c>
      <c r="F325" s="63" t="s">
        <v>57</v>
      </c>
      <c r="G325" s="63">
        <v>3</v>
      </c>
      <c r="H325" s="64">
        <v>44130</v>
      </c>
      <c r="I325" s="63"/>
      <c r="J325" s="64">
        <v>44316</v>
      </c>
      <c r="K325" s="63"/>
      <c r="L325" s="63"/>
      <c r="M325" s="64">
        <v>44322</v>
      </c>
      <c r="N325" s="64"/>
      <c r="O325" s="64">
        <v>44635</v>
      </c>
      <c r="P325" s="63" t="s">
        <v>587</v>
      </c>
      <c r="Q325" s="64">
        <v>44995</v>
      </c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37">
        <v>221.45</v>
      </c>
      <c r="AF325" s="63"/>
      <c r="AG325" s="64">
        <v>45272</v>
      </c>
      <c r="AH325" s="63"/>
      <c r="AI325" s="64">
        <v>45254</v>
      </c>
      <c r="AJ325" s="63"/>
      <c r="AK325" s="64">
        <v>45266</v>
      </c>
      <c r="AL325" s="63"/>
      <c r="AM325" s="64">
        <v>45271</v>
      </c>
      <c r="AN325" s="63"/>
      <c r="AO325" s="64">
        <v>45299</v>
      </c>
      <c r="AP325" s="63"/>
      <c r="AQ325" s="64">
        <v>45351</v>
      </c>
      <c r="AR325" s="63"/>
      <c r="AS325" s="64"/>
      <c r="AT325" s="63"/>
      <c r="AU325" s="63" t="s">
        <v>59</v>
      </c>
      <c r="AV325" s="96">
        <f>SUM(AO325-J325)/7</f>
        <v>140.42857142857142</v>
      </c>
      <c r="AW325" s="116"/>
      <c r="AX325" s="63"/>
      <c r="AY325" s="77" t="str">
        <f>IF(D325&lt;&gt;"",IF(LEFT(IFERROR(VLOOKUP(D325,'LPA Lookup'!$A$100:$B$470,2,FALSE),"LPA not known to MCLHG"),3)&lt;&gt;"JSP",IFERROR(VLOOKUP(D325,'LPA Lookup'!$A$100:$B$470,2,FALSE),"LPA not known to MCLHG"),VLOOKUP(D325&amp;B325,#REF!,3,FALSE)),"")</f>
        <v>E09000031</v>
      </c>
      <c r="AZ325" s="115" t="str">
        <f t="shared" si="23"/>
        <v>Apr 21</v>
      </c>
      <c r="BA325" s="115" t="str">
        <f t="shared" si="22"/>
        <v>Jan 24</v>
      </c>
    </row>
    <row r="326" spans="1:53" ht="14" x14ac:dyDescent="0.15">
      <c r="A326" s="35" t="s">
        <v>53</v>
      </c>
      <c r="B326" s="124">
        <v>2070</v>
      </c>
      <c r="C326" s="69" t="s">
        <v>77</v>
      </c>
      <c r="D326" s="129" t="s">
        <v>191</v>
      </c>
      <c r="E326" s="69" t="s">
        <v>56</v>
      </c>
      <c r="F326" s="69" t="s">
        <v>57</v>
      </c>
      <c r="G326" s="69">
        <v>3</v>
      </c>
      <c r="H326" s="70">
        <v>44133</v>
      </c>
      <c r="I326" s="69"/>
      <c r="J326" s="70">
        <v>44320</v>
      </c>
      <c r="K326" s="69"/>
      <c r="L326" s="69"/>
      <c r="M326" s="70">
        <v>44326</v>
      </c>
      <c r="N326" s="70"/>
      <c r="O326" s="70">
        <v>44523</v>
      </c>
      <c r="P326" s="69" t="s">
        <v>509</v>
      </c>
      <c r="Q326" s="70">
        <v>44937</v>
      </c>
      <c r="R326" s="69"/>
      <c r="S326" s="69"/>
      <c r="T326" s="69"/>
      <c r="U326" s="69"/>
      <c r="V326" s="69"/>
      <c r="W326" s="69"/>
      <c r="X326" s="69">
        <v>60.43</v>
      </c>
      <c r="Y326" s="61">
        <v>16.43</v>
      </c>
      <c r="Z326" s="61"/>
      <c r="AA326" s="69">
        <v>3.66</v>
      </c>
      <c r="AB326" s="69">
        <v>7.41</v>
      </c>
      <c r="AC326" s="69"/>
      <c r="AD326" s="69">
        <v>58.4</v>
      </c>
      <c r="AE326" s="37">
        <v>148.97999999999999</v>
      </c>
      <c r="AF326" s="69"/>
      <c r="AG326" s="70">
        <v>45212</v>
      </c>
      <c r="AH326" s="69"/>
      <c r="AI326" s="70">
        <v>45196</v>
      </c>
      <c r="AJ326" s="69"/>
      <c r="AK326" s="70">
        <v>45196</v>
      </c>
      <c r="AL326" s="69"/>
      <c r="AM326" s="70">
        <v>45212</v>
      </c>
      <c r="AN326" s="69"/>
      <c r="AO326" s="70">
        <v>45236</v>
      </c>
      <c r="AP326" s="69"/>
      <c r="AQ326" s="70">
        <v>45315</v>
      </c>
      <c r="AR326" s="69"/>
      <c r="AS326" s="70"/>
      <c r="AT326" s="69"/>
      <c r="AU326" s="69" t="s">
        <v>59</v>
      </c>
      <c r="AV326" s="40">
        <f>DATEDIF(J326,AO326, "d")/7</f>
        <v>130.85714285714286</v>
      </c>
      <c r="AW326" s="126"/>
      <c r="AX326" s="69"/>
      <c r="AY326" s="77" t="str">
        <f>IF(D326&lt;&gt;"",IF(LEFT(IFERROR(VLOOKUP(D326,'LPA Lookup'!$A$100:$B$470,2,FALSE),"LPA not known to MCLHG"),3)&lt;&gt;"JSP",IFERROR(VLOOKUP(D326,'LPA Lookup'!$A$100:$B$470,2,FALSE),"LPA not known to MCLHG"),VLOOKUP(D326&amp;B326,#REF!,3,FALSE)),"")</f>
        <v>E08000036</v>
      </c>
      <c r="AZ326" s="115" t="str">
        <f t="shared" si="23"/>
        <v>May 21</v>
      </c>
      <c r="BA326" s="115" t="str">
        <f t="shared" si="22"/>
        <v>Nov 23</v>
      </c>
    </row>
    <row r="327" spans="1:53" ht="14" x14ac:dyDescent="0.15">
      <c r="A327" s="35" t="s">
        <v>53</v>
      </c>
      <c r="B327" s="124">
        <v>2245</v>
      </c>
      <c r="C327" s="69" t="s">
        <v>61</v>
      </c>
      <c r="D327" s="125" t="s">
        <v>650</v>
      </c>
      <c r="E327" s="69" t="s">
        <v>651</v>
      </c>
      <c r="F327" s="69" t="s">
        <v>107</v>
      </c>
      <c r="G327" s="69">
        <v>2</v>
      </c>
      <c r="H327" s="70">
        <v>44214</v>
      </c>
      <c r="I327" s="69"/>
      <c r="J327" s="70">
        <v>44329</v>
      </c>
      <c r="K327" s="69"/>
      <c r="L327" s="69"/>
      <c r="M327" s="70">
        <v>44363</v>
      </c>
      <c r="N327" s="70"/>
      <c r="O327" s="70">
        <v>44502</v>
      </c>
      <c r="P327" s="69" t="s">
        <v>587</v>
      </c>
      <c r="Q327" s="70">
        <v>44516</v>
      </c>
      <c r="R327" s="69"/>
      <c r="S327" s="69"/>
      <c r="T327" s="69"/>
      <c r="U327" s="69"/>
      <c r="V327" s="69"/>
      <c r="W327" s="69"/>
      <c r="X327" s="69">
        <v>20</v>
      </c>
      <c r="Y327" s="69">
        <v>12</v>
      </c>
      <c r="Z327" s="69"/>
      <c r="AA327" s="69">
        <v>1</v>
      </c>
      <c r="AB327" s="69">
        <v>2</v>
      </c>
      <c r="AC327" s="69"/>
      <c r="AD327" s="69">
        <v>19.04</v>
      </c>
      <c r="AE327" s="37">
        <f>AllPlans[[#This Row],[Prep days*]]+AllPlans[[#This Row],[Hearing days*]]+AllPlans[[#This Row],[SV days*]]+AllPlans[[#This Row],[Travel days]]+AllPlans[[#This Row],[Reptg days*]]</f>
        <v>54.04</v>
      </c>
      <c r="AF327" s="69"/>
      <c r="AG327" s="70">
        <v>44743</v>
      </c>
      <c r="AH327" s="69"/>
      <c r="AI327" s="70">
        <v>44729</v>
      </c>
      <c r="AJ327" s="69"/>
      <c r="AK327" s="70">
        <v>44769</v>
      </c>
      <c r="AL327" s="69"/>
      <c r="AM327" s="70">
        <v>44743</v>
      </c>
      <c r="AN327" s="69"/>
      <c r="AO327" s="70">
        <v>44761</v>
      </c>
      <c r="AP327" s="69"/>
      <c r="AQ327" s="70">
        <v>44854</v>
      </c>
      <c r="AR327" s="69"/>
      <c r="AS327" s="70"/>
      <c r="AT327" s="69"/>
      <c r="AU327" s="69" t="s">
        <v>59</v>
      </c>
      <c r="AV327" s="38">
        <f>SUM(AO327-J327)/7</f>
        <v>61.714285714285715</v>
      </c>
      <c r="AW327" s="126"/>
      <c r="AX327" s="69"/>
      <c r="AY327" s="77" t="str">
        <f>IF(D327&lt;&gt;"",IF(LEFT(IFERROR(VLOOKUP(D327,'LPA Lookup'!$A$100:$B$470,2,FALSE),"LPA not known to MCLHG"),3)&lt;&gt;"JSP",IFERROR(VLOOKUP(D327,'LPA Lookup'!$A$100:$B$470,2,FALSE),"LPA not known to MCLHG"),VLOOKUP(D327&amp;B327,#REF!,3,FALSE)),"")</f>
        <v>LPA not known to MCLHG</v>
      </c>
      <c r="AZ327" s="41" t="str">
        <f t="shared" si="23"/>
        <v>May 21</v>
      </c>
      <c r="BA327" s="41" t="str">
        <f t="shared" si="22"/>
        <v>Jul 22</v>
      </c>
    </row>
    <row r="328" spans="1:53" ht="14" x14ac:dyDescent="0.15">
      <c r="A328" s="35" t="s">
        <v>53</v>
      </c>
      <c r="B328" s="127">
        <v>1984</v>
      </c>
      <c r="C328" s="71" t="s">
        <v>54</v>
      </c>
      <c r="D328" s="71" t="s">
        <v>652</v>
      </c>
      <c r="E328" s="71" t="s">
        <v>56</v>
      </c>
      <c r="F328" s="71" t="s">
        <v>57</v>
      </c>
      <c r="G328" s="71">
        <v>3</v>
      </c>
      <c r="H328" s="72">
        <v>44134</v>
      </c>
      <c r="I328" s="63"/>
      <c r="J328" s="72">
        <v>44329</v>
      </c>
      <c r="K328" s="63"/>
      <c r="L328" s="71"/>
      <c r="M328" s="72">
        <v>44342</v>
      </c>
      <c r="N328" s="64"/>
      <c r="O328" s="72">
        <v>44466</v>
      </c>
      <c r="P328" s="71" t="s">
        <v>487</v>
      </c>
      <c r="Q328" s="72"/>
      <c r="R328" s="63"/>
      <c r="S328" s="63"/>
      <c r="T328" s="63"/>
      <c r="U328" s="63"/>
      <c r="V328" s="63"/>
      <c r="W328" s="63"/>
      <c r="X328" s="71">
        <v>113.65</v>
      </c>
      <c r="Y328" s="71">
        <v>22.14</v>
      </c>
      <c r="Z328" s="71"/>
      <c r="AA328" s="71">
        <v>2</v>
      </c>
      <c r="AB328" s="71">
        <v>6.75</v>
      </c>
      <c r="AC328" s="71"/>
      <c r="AD328" s="71">
        <v>17.46</v>
      </c>
      <c r="AE328" s="100">
        <f>AllPlans[[#This Row],[Prep days*]]+AllPlans[[#This Row],[Hearing days*]]+AllPlans[[#This Row],[SV days*]]+AllPlans[[#This Row],[Travel days]]+AllPlans[[#This Row],[Reptg days*]]</f>
        <v>162.00000000000003</v>
      </c>
      <c r="AF328" s="71"/>
      <c r="AG328" s="72"/>
      <c r="AH328" s="63"/>
      <c r="AI328" s="72"/>
      <c r="AJ328" s="63"/>
      <c r="AK328" s="72"/>
      <c r="AL328" s="63"/>
      <c r="AM328" s="72"/>
      <c r="AN328" s="63"/>
      <c r="AO328" s="72"/>
      <c r="AP328" s="63"/>
      <c r="AQ328" s="72"/>
      <c r="AR328" s="71"/>
      <c r="AS328" s="72">
        <v>45574</v>
      </c>
      <c r="AT328" s="63"/>
      <c r="AU328" s="71" t="s">
        <v>278</v>
      </c>
      <c r="AV328" s="38" t="e">
        <f>DATEDIF(J328,AO328, "d")/7</f>
        <v>#NUM!</v>
      </c>
      <c r="AW328" s="272"/>
      <c r="AX328" s="63"/>
      <c r="AY328" s="77" t="str">
        <f>IF(D328&lt;&gt;"",IF(LEFT(IFERROR(VLOOKUP(D328,'LPA Lookup'!$A$100:$B$470,2,FALSE),"LPA not known to MCLHG"),3)&lt;&gt;"JSP",IFERROR(VLOOKUP(D328,'LPA Lookup'!$A$100:$B$470,2,FALSE),"LPA not known to MCLHG"),VLOOKUP(D328&amp;B328,#REF!,3,FALSE)),"")</f>
        <v>E08000029</v>
      </c>
      <c r="AZ328" s="41" t="str">
        <f t="shared" si="23"/>
        <v>May 21</v>
      </c>
      <c r="BA328" s="41" t="str">
        <f t="shared" si="22"/>
        <v>Jan 00</v>
      </c>
    </row>
    <row r="329" spans="1:53" ht="14" x14ac:dyDescent="0.15">
      <c r="A329" s="35" t="s">
        <v>53</v>
      </c>
      <c r="B329" s="170">
        <v>2252</v>
      </c>
      <c r="C329" s="180" t="s">
        <v>61</v>
      </c>
      <c r="D329" s="180" t="s">
        <v>653</v>
      </c>
      <c r="E329" s="180" t="s">
        <v>56</v>
      </c>
      <c r="F329" s="180" t="s">
        <v>57</v>
      </c>
      <c r="G329" s="180">
        <v>3</v>
      </c>
      <c r="H329" s="190">
        <v>44222</v>
      </c>
      <c r="I329" s="63"/>
      <c r="J329" s="190">
        <v>44358</v>
      </c>
      <c r="K329" s="63"/>
      <c r="L329" s="180"/>
      <c r="M329" s="190">
        <v>44379</v>
      </c>
      <c r="N329" s="64"/>
      <c r="O329" s="190">
        <v>44502</v>
      </c>
      <c r="P329" s="180" t="s">
        <v>509</v>
      </c>
      <c r="Q329" s="190">
        <v>44517</v>
      </c>
      <c r="R329" s="63"/>
      <c r="S329" s="63"/>
      <c r="T329" s="63"/>
      <c r="U329" s="63"/>
      <c r="V329" s="63"/>
      <c r="W329" s="63"/>
      <c r="X329" s="180">
        <v>24.55</v>
      </c>
      <c r="Y329" s="180">
        <v>7.28</v>
      </c>
      <c r="Z329" s="180"/>
      <c r="AA329" s="180">
        <v>0.95</v>
      </c>
      <c r="AB329" s="180">
        <v>4.32</v>
      </c>
      <c r="AC329" s="180"/>
      <c r="AD329" s="180">
        <v>47.64</v>
      </c>
      <c r="AE329" s="48">
        <v>87.74</v>
      </c>
      <c r="AF329" s="180"/>
      <c r="AG329" s="190">
        <v>44775</v>
      </c>
      <c r="AH329" s="63"/>
      <c r="AI329" s="190">
        <v>44761</v>
      </c>
      <c r="AJ329" s="63"/>
      <c r="AK329" s="190">
        <v>44775</v>
      </c>
      <c r="AL329" s="63"/>
      <c r="AM329" s="190">
        <v>44845</v>
      </c>
      <c r="AN329" s="63"/>
      <c r="AO329" s="190">
        <v>44848</v>
      </c>
      <c r="AP329" s="63"/>
      <c r="AQ329" s="190">
        <v>45013</v>
      </c>
      <c r="AR329" s="180"/>
      <c r="AS329" s="190"/>
      <c r="AT329" s="63"/>
      <c r="AU329" s="180" t="s">
        <v>59</v>
      </c>
      <c r="AV329" s="38">
        <f>SUM(AO329-J329)/7</f>
        <v>70</v>
      </c>
      <c r="AW329" s="203">
        <f>SUM(AO329-Q329)/7</f>
        <v>47.285714285714285</v>
      </c>
      <c r="AX329" s="63"/>
      <c r="AY329" s="77" t="str">
        <f>IF(D329&lt;&gt;"",IF(LEFT(IFERROR(VLOOKUP(D329,'LPA Lookup'!$A$100:$B$470,2,FALSE),"LPA not known to MCLHG"),3)&lt;&gt;"JSP",IFERROR(VLOOKUP(D329,'LPA Lookup'!$A$100:$B$470,2,FALSE),"LPA not known to MCLHG"),VLOOKUP(D329&amp;B329,#REF!,3,FALSE)),"")</f>
        <v>E07000229</v>
      </c>
      <c r="AZ329" s="177" t="str">
        <f t="shared" si="23"/>
        <v>Jun 21</v>
      </c>
      <c r="BA329" s="177" t="str">
        <f t="shared" si="22"/>
        <v>Oct 22</v>
      </c>
    </row>
    <row r="330" spans="1:53" ht="30" customHeight="1" x14ac:dyDescent="0.15">
      <c r="A330" s="35" t="s">
        <v>53</v>
      </c>
      <c r="B330" s="118">
        <v>2202</v>
      </c>
      <c r="C330" s="27" t="s">
        <v>83</v>
      </c>
      <c r="D330" s="184" t="s">
        <v>654</v>
      </c>
      <c r="E330" s="63" t="s">
        <v>212</v>
      </c>
      <c r="F330" s="63" t="s">
        <v>107</v>
      </c>
      <c r="G330" s="63">
        <v>2</v>
      </c>
      <c r="H330" s="64">
        <v>44246</v>
      </c>
      <c r="I330" s="63"/>
      <c r="J330" s="64">
        <v>44365</v>
      </c>
      <c r="K330" s="63"/>
      <c r="L330" s="63"/>
      <c r="M330" s="64">
        <v>44375</v>
      </c>
      <c r="N330" s="64"/>
      <c r="O330" s="64">
        <v>44536</v>
      </c>
      <c r="P330" s="63" t="s">
        <v>587</v>
      </c>
      <c r="Q330" s="64">
        <v>44540</v>
      </c>
      <c r="R330" s="63"/>
      <c r="S330" s="63"/>
      <c r="T330" s="63"/>
      <c r="U330" s="63"/>
      <c r="V330" s="63"/>
      <c r="W330" s="63"/>
      <c r="X330" s="63">
        <v>26.62</v>
      </c>
      <c r="Y330" s="63">
        <v>4.04</v>
      </c>
      <c r="Z330" s="63"/>
      <c r="AA330" s="63">
        <v>1.36</v>
      </c>
      <c r="AB330" s="63">
        <v>0.82</v>
      </c>
      <c r="AC330" s="63"/>
      <c r="AD330" s="63">
        <v>26.76</v>
      </c>
      <c r="AE330" s="37">
        <f>AllPlans[[#This Row],[Prep days*]]+AllPlans[[#This Row],[Hearing days*]]+AllPlans[[#This Row],[SV days*]]+AllPlans[[#This Row],[Travel days]]+AllPlans[[#This Row],[Reptg days*]]</f>
        <v>59.600000000000009</v>
      </c>
      <c r="AF330" s="63"/>
      <c r="AG330" s="64">
        <v>44855</v>
      </c>
      <c r="AH330" s="63"/>
      <c r="AI330" s="64">
        <v>44830</v>
      </c>
      <c r="AJ330" s="63"/>
      <c r="AK330" s="64">
        <v>44847</v>
      </c>
      <c r="AL330" s="63"/>
      <c r="AM330" s="64">
        <v>44855</v>
      </c>
      <c r="AN330" s="63"/>
      <c r="AO330" s="64">
        <v>44869</v>
      </c>
      <c r="AP330" s="63"/>
      <c r="AQ330" s="64">
        <v>44979</v>
      </c>
      <c r="AR330" s="63"/>
      <c r="AS330" s="64"/>
      <c r="AT330" s="63"/>
      <c r="AU330" s="63" t="s">
        <v>59</v>
      </c>
      <c r="AV330" s="38">
        <f>SUM(AO330-J330)/7</f>
        <v>72</v>
      </c>
      <c r="AW330" s="116"/>
      <c r="AX330" s="63"/>
      <c r="AY330" s="77" t="str">
        <f>IF(D330&lt;&gt;"",IF(LEFT(IFERROR(VLOOKUP(D330,'LPA Lookup'!$A$100:$B$470,2,FALSE),"LPA not known to MCLHG"),3)&lt;&gt;"JSP",IFERROR(VLOOKUP(D330,'LPA Lookup'!$A$100:$B$470,2,FALSE),"LPA not known to MCLHG"),VLOOKUP(D330&amp;B330,#REF!,3,FALSE)),"")</f>
        <v>LPA not known to MCLHG</v>
      </c>
      <c r="AZ330" s="115" t="str">
        <f t="shared" si="23"/>
        <v>Jun 21</v>
      </c>
      <c r="BA330" s="115" t="str">
        <f t="shared" si="22"/>
        <v>Nov 22</v>
      </c>
    </row>
    <row r="331" spans="1:53" ht="42" x14ac:dyDescent="0.15">
      <c r="A331" s="35" t="s">
        <v>53</v>
      </c>
      <c r="B331" s="118">
        <v>2069</v>
      </c>
      <c r="C331" s="27" t="s">
        <v>83</v>
      </c>
      <c r="D331" s="184" t="s">
        <v>655</v>
      </c>
      <c r="E331" s="63" t="s">
        <v>656</v>
      </c>
      <c r="F331" s="63" t="s">
        <v>136</v>
      </c>
      <c r="G331" s="63">
        <v>2</v>
      </c>
      <c r="H331" s="64">
        <v>43857</v>
      </c>
      <c r="I331" s="63"/>
      <c r="J331" s="64">
        <v>44377</v>
      </c>
      <c r="K331" s="63"/>
      <c r="L331" s="63"/>
      <c r="M331" s="64">
        <v>44396</v>
      </c>
      <c r="N331" s="64"/>
      <c r="O331" s="64">
        <v>44537</v>
      </c>
      <c r="P331" s="63" t="s">
        <v>587</v>
      </c>
      <c r="Q331" s="64">
        <v>44546</v>
      </c>
      <c r="R331" s="63"/>
      <c r="S331" s="63"/>
      <c r="T331" s="63"/>
      <c r="U331" s="63"/>
      <c r="V331" s="63"/>
      <c r="W331" s="63"/>
      <c r="X331" s="63">
        <v>28.42</v>
      </c>
      <c r="Y331" s="63">
        <v>8</v>
      </c>
      <c r="Z331" s="63"/>
      <c r="AA331" s="63">
        <v>0.68</v>
      </c>
      <c r="AB331" s="63">
        <v>0.54</v>
      </c>
      <c r="AC331" s="63"/>
      <c r="AD331" s="63">
        <v>75.5</v>
      </c>
      <c r="AE331" s="119">
        <f>AllPlans[[#This Row],[Prep days*]]+AllPlans[[#This Row],[Hearing days*]]+AllPlans[[#This Row],[SV days*]]+AllPlans[[#This Row],[Travel days]]+AllPlans[[#This Row],[Reptg days*]]</f>
        <v>113.14</v>
      </c>
      <c r="AF331" s="63"/>
      <c r="AG331" s="64">
        <v>44862</v>
      </c>
      <c r="AH331" s="63"/>
      <c r="AI331" s="64">
        <v>44834</v>
      </c>
      <c r="AJ331" s="63"/>
      <c r="AK331" s="64">
        <v>44860</v>
      </c>
      <c r="AL331" s="63"/>
      <c r="AM331" s="64">
        <v>44862</v>
      </c>
      <c r="AN331" s="63"/>
      <c r="AO331" s="64">
        <v>44868</v>
      </c>
      <c r="AP331" s="63"/>
      <c r="AQ331" s="64">
        <v>44944</v>
      </c>
      <c r="AR331" s="63"/>
      <c r="AS331" s="64"/>
      <c r="AT331" s="63"/>
      <c r="AU331" s="63" t="s">
        <v>59</v>
      </c>
      <c r="AV331" s="38">
        <f>SUM(AO331-J331)/7</f>
        <v>70.142857142857139</v>
      </c>
      <c r="AW331" s="116">
        <f>SUM(AO331-Q331)/7</f>
        <v>46</v>
      </c>
      <c r="AX331" s="63"/>
      <c r="AY331" s="77" t="str">
        <f>IF(D331&lt;&gt;"",IF(LEFT(IFERROR(VLOOKUP(D331,'LPA Lookup'!$A$100:$B$470,2,FALSE),"LPA not known to MCLHG"),3)&lt;&gt;"JSP",IFERROR(VLOOKUP(D331,'LPA Lookup'!$A$100:$B$470,2,FALSE),"LPA not known to MCLHG"),VLOOKUP(D331&amp;B331,#REF!,3,FALSE)),"")</f>
        <v>E08000006</v>
      </c>
      <c r="AZ331" s="115" t="str">
        <f t="shared" si="23"/>
        <v>Jun 21</v>
      </c>
      <c r="BA331" s="115" t="str">
        <f t="shared" si="22"/>
        <v>Nov 22</v>
      </c>
    </row>
    <row r="332" spans="1:53" ht="14" x14ac:dyDescent="0.15">
      <c r="A332" s="35" t="s">
        <v>53</v>
      </c>
      <c r="B332" s="131">
        <v>2214</v>
      </c>
      <c r="C332" s="73" t="s">
        <v>71</v>
      </c>
      <c r="D332" s="125" t="s">
        <v>221</v>
      </c>
      <c r="E332" s="73" t="s">
        <v>530</v>
      </c>
      <c r="F332" s="73" t="s">
        <v>80</v>
      </c>
      <c r="G332" s="73">
        <v>2</v>
      </c>
      <c r="H332" s="254">
        <v>44200</v>
      </c>
      <c r="I332" s="73"/>
      <c r="J332" s="254">
        <v>44406</v>
      </c>
      <c r="K332" s="73"/>
      <c r="L332" s="73"/>
      <c r="M332" s="254">
        <v>44432</v>
      </c>
      <c r="N332" s="254"/>
      <c r="O332" s="254">
        <v>44593</v>
      </c>
      <c r="P332" s="73" t="s">
        <v>587</v>
      </c>
      <c r="Q332" s="254">
        <v>44595</v>
      </c>
      <c r="R332" s="73"/>
      <c r="S332" s="73"/>
      <c r="T332" s="73"/>
      <c r="U332" s="73"/>
      <c r="V332" s="73"/>
      <c r="W332" s="73"/>
      <c r="X332" s="73">
        <v>14.45</v>
      </c>
      <c r="Y332" s="73">
        <v>3</v>
      </c>
      <c r="Z332" s="73"/>
      <c r="AA332" s="73">
        <v>0.41</v>
      </c>
      <c r="AB332" s="73">
        <v>0.95</v>
      </c>
      <c r="AC332" s="73"/>
      <c r="AD332" s="73">
        <v>17.96</v>
      </c>
      <c r="AE332" s="88">
        <v>39.270000000000003</v>
      </c>
      <c r="AF332" s="73"/>
      <c r="AG332" s="254">
        <v>44832</v>
      </c>
      <c r="AH332" s="73"/>
      <c r="AI332" s="254">
        <v>44777</v>
      </c>
      <c r="AJ332" s="73"/>
      <c r="AK332" s="254">
        <v>44788</v>
      </c>
      <c r="AL332" s="73"/>
      <c r="AM332" s="254">
        <v>44831</v>
      </c>
      <c r="AN332" s="73"/>
      <c r="AO332" s="254">
        <v>44846</v>
      </c>
      <c r="AP332" s="73"/>
      <c r="AQ332" s="254">
        <v>44896</v>
      </c>
      <c r="AR332" s="73"/>
      <c r="AS332" s="254"/>
      <c r="AT332" s="73"/>
      <c r="AU332" s="73" t="s">
        <v>59</v>
      </c>
      <c r="AV332" s="38">
        <f>SUM(AO332-J332)/7</f>
        <v>62.857142857142854</v>
      </c>
      <c r="AW332" s="73"/>
      <c r="AX332" s="73"/>
      <c r="AY332" s="77" t="str">
        <f>IF(D332&lt;&gt;"",IF(LEFT(IFERROR(VLOOKUP(D332,'LPA Lookup'!$A$100:$B$470,2,FALSE),"LPA not known to MCLHG"),3)&lt;&gt;"JSP",IFERROR(VLOOKUP(D332,'LPA Lookup'!$A$100:$B$470,2,FALSE),"LPA not known to MCLHG"),VLOOKUP(D332&amp;B332,#REF!,3,FALSE)),"")</f>
        <v>E06000037</v>
      </c>
      <c r="AZ332" s="115" t="str">
        <f t="shared" si="23"/>
        <v>Jul 21</v>
      </c>
      <c r="BA332" s="115" t="str">
        <f t="shared" si="22"/>
        <v>Oct 22</v>
      </c>
    </row>
    <row r="333" spans="1:53" ht="84" x14ac:dyDescent="0.15">
      <c r="A333" s="35" t="s">
        <v>53</v>
      </c>
      <c r="B333" s="124">
        <v>2254</v>
      </c>
      <c r="C333" s="69" t="s">
        <v>71</v>
      </c>
      <c r="D333" s="129" t="s">
        <v>657</v>
      </c>
      <c r="E333" s="69" t="s">
        <v>658</v>
      </c>
      <c r="F333" s="69" t="s">
        <v>57</v>
      </c>
      <c r="G333" s="69">
        <v>3</v>
      </c>
      <c r="H333" s="70">
        <v>44228</v>
      </c>
      <c r="I333" s="69"/>
      <c r="J333" s="70">
        <v>44407</v>
      </c>
      <c r="K333" s="69"/>
      <c r="L333" s="69" t="s">
        <v>584</v>
      </c>
      <c r="M333" s="70">
        <v>44427</v>
      </c>
      <c r="N333" s="70"/>
      <c r="O333" s="70">
        <v>44593</v>
      </c>
      <c r="P333" s="69" t="s">
        <v>659</v>
      </c>
      <c r="Q333" s="70">
        <v>45132</v>
      </c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37">
        <v>197.88</v>
      </c>
      <c r="AF333" s="69"/>
      <c r="AG333" s="70">
        <v>45330</v>
      </c>
      <c r="AH333" s="69"/>
      <c r="AI333" s="70">
        <v>45317</v>
      </c>
      <c r="AJ333" s="69"/>
      <c r="AK333" s="70">
        <v>45324</v>
      </c>
      <c r="AL333" s="69"/>
      <c r="AM333" s="70">
        <v>45330</v>
      </c>
      <c r="AN333" s="69"/>
      <c r="AO333" s="70">
        <v>45341</v>
      </c>
      <c r="AP333" s="69"/>
      <c r="AQ333" s="70">
        <v>45379</v>
      </c>
      <c r="AR333" s="69" t="s">
        <v>660</v>
      </c>
      <c r="AS333" s="70"/>
      <c r="AT333" s="69"/>
      <c r="AU333" s="69" t="s">
        <v>59</v>
      </c>
      <c r="AV333" s="40">
        <f>DATEDIF(J333,AO333, "d")/7</f>
        <v>133.42857142857142</v>
      </c>
      <c r="AW333" s="126"/>
      <c r="AX333" s="69"/>
      <c r="AY333" s="77" t="str">
        <f>IF(D333&lt;&gt;"",IF(LEFT(IFERROR(VLOOKUP(D333,'LPA Lookup'!$A$100:$B$470,2,FALSE),"LPA not known to MCLHG"),3)&lt;&gt;"JSP",IFERROR(VLOOKUP(D333,'LPA Lookup'!$A$100:$B$470,2,FALSE),"LPA not known to MCLHG"),VLOOKUP(D333&amp;B333,#REF!,3,FALSE)),"")</f>
        <v>LPA not known to MCLHG</v>
      </c>
      <c r="AZ333" s="41" t="str">
        <f t="shared" si="23"/>
        <v>Jul 21</v>
      </c>
      <c r="BA333" s="41" t="str">
        <f t="shared" si="22"/>
        <v>Feb 24</v>
      </c>
    </row>
    <row r="334" spans="1:53" ht="14" x14ac:dyDescent="0.15">
      <c r="A334" s="35" t="s">
        <v>53</v>
      </c>
      <c r="B334" s="170">
        <v>2251</v>
      </c>
      <c r="C334" s="180" t="s">
        <v>71</v>
      </c>
      <c r="D334" s="180" t="s">
        <v>661</v>
      </c>
      <c r="E334" s="180" t="s">
        <v>56</v>
      </c>
      <c r="F334" s="180" t="s">
        <v>57</v>
      </c>
      <c r="G334" s="180">
        <v>3</v>
      </c>
      <c r="H334" s="190">
        <v>44214</v>
      </c>
      <c r="I334" s="63"/>
      <c r="J334" s="190">
        <v>44414</v>
      </c>
      <c r="K334" s="63"/>
      <c r="L334" s="180"/>
      <c r="M334" s="190">
        <v>44431</v>
      </c>
      <c r="N334" s="64"/>
      <c r="O334" s="190">
        <v>44579</v>
      </c>
      <c r="P334" s="180" t="s">
        <v>587</v>
      </c>
      <c r="Q334" s="190">
        <v>44601</v>
      </c>
      <c r="R334" s="63"/>
      <c r="S334" s="63"/>
      <c r="T334" s="63"/>
      <c r="U334" s="63"/>
      <c r="V334" s="63"/>
      <c r="W334" s="63"/>
      <c r="X334" s="180">
        <v>44.11</v>
      </c>
      <c r="Y334" s="180">
        <v>9</v>
      </c>
      <c r="Z334" s="180"/>
      <c r="AA334" s="180">
        <v>0</v>
      </c>
      <c r="AB334" s="180">
        <v>1.84</v>
      </c>
      <c r="AC334" s="180"/>
      <c r="AD334" s="180">
        <v>9.59</v>
      </c>
      <c r="AE334" s="198">
        <f>AllPlans[[#This Row],[Prep days*]]+AllPlans[[#This Row],[Hearing days*]]+AllPlans[[#This Row],[SV days*]]+AllPlans[[#This Row],[Travel days]]+AllPlans[[#This Row],[Reptg days*]]</f>
        <v>64.540000000000006</v>
      </c>
      <c r="AF334" s="180"/>
      <c r="AG334" s="190">
        <v>44805</v>
      </c>
      <c r="AH334" s="63"/>
      <c r="AI334" s="190">
        <v>44777</v>
      </c>
      <c r="AJ334" s="63"/>
      <c r="AK334" s="190">
        <v>44783</v>
      </c>
      <c r="AL334" s="63"/>
      <c r="AM334" s="190">
        <v>44805</v>
      </c>
      <c r="AN334" s="63"/>
      <c r="AO334" s="190">
        <v>44824</v>
      </c>
      <c r="AP334" s="63"/>
      <c r="AQ334" s="190">
        <v>44851</v>
      </c>
      <c r="AR334" s="180"/>
      <c r="AS334" s="190"/>
      <c r="AT334" s="63"/>
      <c r="AU334" s="180" t="s">
        <v>59</v>
      </c>
      <c r="AV334" s="38">
        <f>SUM(AO334-J334)/7</f>
        <v>58.571428571428569</v>
      </c>
      <c r="AW334" s="203"/>
      <c r="AX334" s="180"/>
      <c r="AY334" s="77" t="str">
        <f>IF(D334&lt;&gt;"",IF(LEFT(IFERROR(VLOOKUP(D334,'LPA Lookup'!$A$100:$B$470,2,FALSE),"LPA not known to MCLHG"),3)&lt;&gt;"JSP",IFERROR(VLOOKUP(D334,'LPA Lookup'!$A$100:$B$470,2,FALSE),"LPA not known to MCLHG"),VLOOKUP(D334&amp;B334,#REF!,3,FALSE)),"")</f>
        <v>E07000103</v>
      </c>
      <c r="AZ334" s="41" t="str">
        <f t="shared" si="23"/>
        <v>Aug 21</v>
      </c>
      <c r="BA334" s="41" t="str">
        <f t="shared" si="22"/>
        <v>Sep 22</v>
      </c>
    </row>
    <row r="335" spans="1:53" ht="14" x14ac:dyDescent="0.15">
      <c r="A335" s="118">
        <v>3295814</v>
      </c>
      <c r="B335" s="118">
        <v>2011</v>
      </c>
      <c r="C335" s="63" t="s">
        <v>54</v>
      </c>
      <c r="D335" s="110" t="s">
        <v>662</v>
      </c>
      <c r="E335" s="63" t="s">
        <v>56</v>
      </c>
      <c r="F335" s="63" t="s">
        <v>57</v>
      </c>
      <c r="G335" s="63">
        <v>3</v>
      </c>
      <c r="H335" s="64">
        <v>44183</v>
      </c>
      <c r="I335" s="63"/>
      <c r="J335" s="64">
        <v>44442</v>
      </c>
      <c r="K335" s="63"/>
      <c r="L335" s="63"/>
      <c r="M335" s="64">
        <v>44459</v>
      </c>
      <c r="N335" s="64"/>
      <c r="O335" s="64">
        <v>44746</v>
      </c>
      <c r="P335" s="63" t="s">
        <v>663</v>
      </c>
      <c r="Q335" s="64"/>
      <c r="R335" s="63"/>
      <c r="S335" s="63"/>
      <c r="T335" s="63"/>
      <c r="U335" s="63"/>
      <c r="V335" s="63"/>
      <c r="W335" s="63"/>
      <c r="X335" s="63">
        <v>124.42</v>
      </c>
      <c r="Y335" s="63">
        <v>46.17</v>
      </c>
      <c r="Z335" s="63"/>
      <c r="AA335" s="63">
        <v>1.89</v>
      </c>
      <c r="AB335" s="63">
        <v>8.06</v>
      </c>
      <c r="AC335" s="63"/>
      <c r="AD335" s="63">
        <v>24.26</v>
      </c>
      <c r="AE335" s="119">
        <f>AllPlans[[#This Row],[Prep days*]]+AllPlans[[#This Row],[Hearing days*]]+AllPlans[[#This Row],[SV days*]]+AllPlans[[#This Row],[Travel days]]+AllPlans[[#This Row],[Reptg days*]]</f>
        <v>204.79999999999998</v>
      </c>
      <c r="AF335" s="63"/>
      <c r="AG335" s="64"/>
      <c r="AH335" s="63"/>
      <c r="AI335" s="64"/>
      <c r="AJ335" s="63"/>
      <c r="AK335" s="64"/>
      <c r="AL335" s="63"/>
      <c r="AM335" s="64"/>
      <c r="AN335" s="63"/>
      <c r="AO335" s="64"/>
      <c r="AP335" s="63"/>
      <c r="AQ335" s="64"/>
      <c r="AR335" s="63"/>
      <c r="AS335" s="64">
        <v>45863</v>
      </c>
      <c r="AT335" s="63"/>
      <c r="AU335" s="63" t="s">
        <v>278</v>
      </c>
      <c r="AV335" s="38" t="e">
        <f>DATEDIF(J335,AO335, "d")/7</f>
        <v>#NUM!</v>
      </c>
      <c r="AW335" s="116"/>
      <c r="AX335" s="63"/>
      <c r="AY335" s="77" t="str">
        <f>IF(D335&lt;&gt;"",IF(LEFT(IFERROR(VLOOKUP(D335,'LPA Lookup'!$A$100:$B$470,2,FALSE),"LPA not known to MCLHG"),3)&lt;&gt;"JSP",IFERROR(VLOOKUP(D335,'LPA Lookup'!$A$100:$B$470,2,FALSE),"LPA not known to MCLHG"),VLOOKUP(D335&amp;B335,#REF!,3,FALSE)),"")</f>
        <v>E06000051</v>
      </c>
      <c r="AZ335" s="115" t="str">
        <f t="shared" si="23"/>
        <v>Sep 21</v>
      </c>
      <c r="BA335" s="115" t="str">
        <f t="shared" si="22"/>
        <v>Jan 00</v>
      </c>
    </row>
    <row r="336" spans="1:53" ht="14" x14ac:dyDescent="0.15">
      <c r="A336" s="35" t="s">
        <v>53</v>
      </c>
      <c r="B336" s="118">
        <v>1927</v>
      </c>
      <c r="C336" s="63" t="s">
        <v>61</v>
      </c>
      <c r="D336" s="184" t="s">
        <v>664</v>
      </c>
      <c r="E336" s="63" t="s">
        <v>425</v>
      </c>
      <c r="F336" s="63" t="s">
        <v>57</v>
      </c>
      <c r="G336" s="63">
        <v>3</v>
      </c>
      <c r="H336" s="64">
        <v>44141</v>
      </c>
      <c r="I336" s="63"/>
      <c r="J336" s="64">
        <v>44469</v>
      </c>
      <c r="K336" s="63"/>
      <c r="L336" s="63" t="s">
        <v>584</v>
      </c>
      <c r="M336" s="64">
        <v>44484</v>
      </c>
      <c r="N336" s="64"/>
      <c r="O336" s="64">
        <v>44628</v>
      </c>
      <c r="P336" s="63" t="s">
        <v>587</v>
      </c>
      <c r="Q336" s="64">
        <v>44656</v>
      </c>
      <c r="R336" s="63"/>
      <c r="S336" s="63"/>
      <c r="T336" s="63"/>
      <c r="U336" s="63"/>
      <c r="V336" s="63"/>
      <c r="W336" s="63"/>
      <c r="X336" s="63">
        <v>30.72</v>
      </c>
      <c r="Y336" s="63">
        <v>11.86</v>
      </c>
      <c r="Z336" s="63"/>
      <c r="AA336" s="63">
        <v>2.13</v>
      </c>
      <c r="AB336" s="63">
        <v>3.64</v>
      </c>
      <c r="AC336" s="63"/>
      <c r="AD336" s="63">
        <v>42.1</v>
      </c>
      <c r="AE336" s="119">
        <f>AllPlans[[#This Row],[Prep days*]]+AllPlans[[#This Row],[Hearing days*]]+AllPlans[[#This Row],[SV days*]]+AllPlans[[#This Row],[Travel days]]+AllPlans[[#This Row],[Reptg days*]]</f>
        <v>90.45</v>
      </c>
      <c r="AF336" s="63"/>
      <c r="AG336" s="64">
        <v>45006</v>
      </c>
      <c r="AH336" s="63"/>
      <c r="AI336" s="64">
        <v>44977</v>
      </c>
      <c r="AJ336" s="63"/>
      <c r="AK336" s="64">
        <v>44994</v>
      </c>
      <c r="AL336" s="63"/>
      <c r="AM336" s="64">
        <v>45006</v>
      </c>
      <c r="AN336" s="63"/>
      <c r="AO336" s="64">
        <v>45008</v>
      </c>
      <c r="AP336" s="63"/>
      <c r="AQ336" s="64">
        <v>45021</v>
      </c>
      <c r="AR336" s="63"/>
      <c r="AS336" s="64"/>
      <c r="AT336" s="63"/>
      <c r="AU336" s="63" t="s">
        <v>59</v>
      </c>
      <c r="AV336" s="38">
        <f>SUM(AO336-J336)/7</f>
        <v>77</v>
      </c>
      <c r="AW336" s="116"/>
      <c r="AX336" s="63"/>
      <c r="AY336" s="77" t="str">
        <f>IF(D336&lt;&gt;"",IF(LEFT(IFERROR(VLOOKUP(D336,'LPA Lookup'!$A$100:$B$470,2,FALSE),"LPA not known to MCLHG"),3)&lt;&gt;"JSP",IFERROR(VLOOKUP(D336,'LPA Lookup'!$A$100:$B$470,2,FALSE),"LPA not known to MCLHG"),VLOOKUP(D336&amp;B336,#REF!,3,FALSE)),"")</f>
        <v>E07000087</v>
      </c>
      <c r="AZ336" s="115" t="str">
        <f t="shared" si="23"/>
        <v>Sep 21</v>
      </c>
      <c r="BA336" s="115" t="str">
        <f t="shared" si="22"/>
        <v>Mar 23</v>
      </c>
    </row>
    <row r="337" spans="1:53" ht="42" x14ac:dyDescent="0.15">
      <c r="A337" s="118">
        <v>3295816</v>
      </c>
      <c r="B337" s="118">
        <v>2260</v>
      </c>
      <c r="C337" s="63" t="s">
        <v>67</v>
      </c>
      <c r="D337" s="163" t="s">
        <v>665</v>
      </c>
      <c r="E337" s="63" t="s">
        <v>56</v>
      </c>
      <c r="F337" s="63" t="s">
        <v>57</v>
      </c>
      <c r="G337" s="63">
        <v>3</v>
      </c>
      <c r="H337" s="64">
        <v>44342</v>
      </c>
      <c r="I337" s="63"/>
      <c r="J337" s="64">
        <v>44494</v>
      </c>
      <c r="K337" s="63"/>
      <c r="L337" s="63"/>
      <c r="M337" s="64">
        <v>44509</v>
      </c>
      <c r="N337" s="64"/>
      <c r="O337" s="64">
        <v>44992</v>
      </c>
      <c r="P337" s="63" t="s">
        <v>666</v>
      </c>
      <c r="Q337" s="64"/>
      <c r="R337" s="63"/>
      <c r="S337" s="63">
        <v>0</v>
      </c>
      <c r="T337" s="63">
        <v>0</v>
      </c>
      <c r="U337" s="63">
        <v>0</v>
      </c>
      <c r="V337" s="63">
        <v>0</v>
      </c>
      <c r="W337" s="63">
        <v>3.01</v>
      </c>
      <c r="X337" s="63">
        <v>181.43</v>
      </c>
      <c r="Y337" s="63">
        <v>18.23</v>
      </c>
      <c r="Z337" s="63">
        <v>0</v>
      </c>
      <c r="AA337" s="63">
        <v>4.7699999999999996</v>
      </c>
      <c r="AB337" s="63">
        <v>1.96</v>
      </c>
      <c r="AC337" s="63">
        <v>0</v>
      </c>
      <c r="AD337" s="63">
        <v>63.31</v>
      </c>
      <c r="AE337" s="119">
        <v>272.70999999999998</v>
      </c>
      <c r="AF337" s="63"/>
      <c r="AG337" s="64"/>
      <c r="AH337" s="63"/>
      <c r="AI337" s="64"/>
      <c r="AJ337" s="63"/>
      <c r="AK337" s="64"/>
      <c r="AL337" s="63"/>
      <c r="AM337" s="64"/>
      <c r="AN337" s="63"/>
      <c r="AO337" s="64"/>
      <c r="AP337" s="63"/>
      <c r="AQ337" s="64"/>
      <c r="AR337" s="63"/>
      <c r="AS337" s="64"/>
      <c r="AT337" s="63"/>
      <c r="AU337" s="63"/>
      <c r="AV337" s="63"/>
      <c r="AW337" s="63"/>
      <c r="AX337" s="63"/>
      <c r="AY337" s="77" t="str">
        <f>IF(D337&lt;&gt;"",IF(LEFT(IFERROR(VLOOKUP(D337,'LPA Lookup'!$A$100:$B$470,2,FALSE),"LPA not known to MCLHG"),3)&lt;&gt;"JSP",IFERROR(VLOOKUP(D337,'LPA Lookup'!$A$100:$B$470,2,FALSE),"LPA not known to MCLHG"),VLOOKUP(D337&amp;B337,#REF!,3,FALSE)),"")</f>
        <v>E07000082</v>
      </c>
      <c r="AZ337" s="115" t="str">
        <f t="shared" si="23"/>
        <v>Oct 21</v>
      </c>
      <c r="BA337" s="115" t="str">
        <f t="shared" si="22"/>
        <v>Jan 00</v>
      </c>
    </row>
    <row r="338" spans="1:53" s="87" customFormat="1" ht="31.5" customHeight="1" x14ac:dyDescent="0.15">
      <c r="A338" s="118">
        <v>3295802</v>
      </c>
      <c r="B338" s="118">
        <v>1964</v>
      </c>
      <c r="C338" s="63" t="s">
        <v>61</v>
      </c>
      <c r="D338" s="128" t="s">
        <v>117</v>
      </c>
      <c r="E338" s="63" t="s">
        <v>56</v>
      </c>
      <c r="F338" s="63" t="s">
        <v>57</v>
      </c>
      <c r="G338" s="63">
        <v>3</v>
      </c>
      <c r="H338" s="64">
        <v>44281</v>
      </c>
      <c r="I338" s="63"/>
      <c r="J338" s="64">
        <v>44501</v>
      </c>
      <c r="K338" s="63"/>
      <c r="L338" s="63"/>
      <c r="M338" s="64">
        <v>44518</v>
      </c>
      <c r="N338" s="64"/>
      <c r="O338" s="64">
        <v>44607</v>
      </c>
      <c r="P338" s="63" t="s">
        <v>667</v>
      </c>
      <c r="Q338" s="64">
        <v>45610</v>
      </c>
      <c r="R338" s="63"/>
      <c r="S338" s="63">
        <v>0</v>
      </c>
      <c r="T338" s="63">
        <v>0</v>
      </c>
      <c r="U338" s="63">
        <v>0</v>
      </c>
      <c r="V338" s="63">
        <v>0</v>
      </c>
      <c r="W338" s="63">
        <v>1</v>
      </c>
      <c r="X338" s="63">
        <v>42</v>
      </c>
      <c r="Y338" s="63">
        <v>27.2</v>
      </c>
      <c r="Z338" s="63">
        <v>0</v>
      </c>
      <c r="AA338" s="63">
        <v>2.35</v>
      </c>
      <c r="AB338" s="63">
        <v>10.28</v>
      </c>
      <c r="AC338" s="63">
        <v>0</v>
      </c>
      <c r="AD338" s="63">
        <v>33.5</v>
      </c>
      <c r="AE338" s="119">
        <v>116.33</v>
      </c>
      <c r="AF338" s="63"/>
      <c r="AG338" s="64">
        <v>45936</v>
      </c>
      <c r="AH338" s="63"/>
      <c r="AI338" s="64">
        <v>45908</v>
      </c>
      <c r="AJ338" s="63"/>
      <c r="AK338" s="64">
        <v>45925</v>
      </c>
      <c r="AL338" s="63"/>
      <c r="AM338" s="64">
        <v>45931</v>
      </c>
      <c r="AN338" s="63"/>
      <c r="AO338" s="64">
        <v>45944</v>
      </c>
      <c r="AP338" s="63"/>
      <c r="AQ338" s="64">
        <v>46001</v>
      </c>
      <c r="AR338" s="63"/>
      <c r="AS338" s="64"/>
      <c r="AT338" s="63"/>
      <c r="AU338" s="63" t="s">
        <v>59</v>
      </c>
      <c r="AV338" s="38">
        <f>DATEDIF(J338,AO338, "d")/7</f>
        <v>206.14285714285714</v>
      </c>
      <c r="AW338" s="63"/>
      <c r="AX338" s="63"/>
      <c r="AY338" s="77" t="str">
        <f>IF(D338&lt;&gt;"",IF(LEFT(IFERROR(VLOOKUP(D338,'LPA Lookup'!$A$100:$B$470,2,FALSE),"LPA not known to MCLHG"),3)&lt;&gt;"JSP",IFERROR(VLOOKUP(D338,'LPA Lookup'!$A$100:$B$470,2,FALSE),"LPA not known to MCLHG"),VLOOKUP(D338&amp;B338,#REF!,3,FALSE)),"")</f>
        <v>E07000116</v>
      </c>
      <c r="AZ338" s="115" t="str">
        <f t="shared" si="23"/>
        <v>Nov 21</v>
      </c>
      <c r="BA338" s="115" t="str">
        <f t="shared" si="22"/>
        <v>Oct 25</v>
      </c>
    </row>
    <row r="339" spans="1:53" ht="14" x14ac:dyDescent="0.15">
      <c r="A339" s="35" t="s">
        <v>53</v>
      </c>
      <c r="B339" s="170">
        <v>2255</v>
      </c>
      <c r="C339" s="180" t="s">
        <v>67</v>
      </c>
      <c r="D339" s="180" t="s">
        <v>68</v>
      </c>
      <c r="E339" s="180" t="s">
        <v>668</v>
      </c>
      <c r="F339" s="180" t="s">
        <v>102</v>
      </c>
      <c r="G339" s="180">
        <v>3</v>
      </c>
      <c r="H339" s="190">
        <v>44253</v>
      </c>
      <c r="I339" s="63"/>
      <c r="J339" s="190">
        <v>44508</v>
      </c>
      <c r="K339" s="63"/>
      <c r="L339" s="180"/>
      <c r="M339" s="190">
        <v>44537</v>
      </c>
      <c r="N339" s="64"/>
      <c r="O339" s="190">
        <v>44733</v>
      </c>
      <c r="P339" s="180" t="s">
        <v>509</v>
      </c>
      <c r="Q339" s="190">
        <v>44736</v>
      </c>
      <c r="R339" s="63"/>
      <c r="S339" s="63">
        <v>0</v>
      </c>
      <c r="T339" s="63">
        <v>0</v>
      </c>
      <c r="U339" s="63">
        <v>0</v>
      </c>
      <c r="V339" s="63">
        <v>0</v>
      </c>
      <c r="W339" s="63">
        <v>0</v>
      </c>
      <c r="X339" s="180">
        <v>14.76</v>
      </c>
      <c r="Y339" s="180">
        <v>5.1100000000000003</v>
      </c>
      <c r="Z339" s="180">
        <v>0</v>
      </c>
      <c r="AA339" s="180">
        <v>0</v>
      </c>
      <c r="AB339" s="180">
        <v>0.5</v>
      </c>
      <c r="AC339" s="180">
        <v>0</v>
      </c>
      <c r="AD339" s="180">
        <v>18.32</v>
      </c>
      <c r="AE339" s="198">
        <v>38.69</v>
      </c>
      <c r="AF339" s="180"/>
      <c r="AG339" s="190">
        <v>44916</v>
      </c>
      <c r="AH339" s="63"/>
      <c r="AI339" s="190">
        <v>44903</v>
      </c>
      <c r="AJ339" s="63"/>
      <c r="AK339" s="190">
        <v>44914</v>
      </c>
      <c r="AL339" s="63"/>
      <c r="AM339" s="190">
        <v>44916</v>
      </c>
      <c r="AN339" s="63"/>
      <c r="AO339" s="190">
        <v>44936</v>
      </c>
      <c r="AP339" s="63"/>
      <c r="AQ339" s="190">
        <v>44978</v>
      </c>
      <c r="AR339" s="180"/>
      <c r="AS339" s="190"/>
      <c r="AT339" s="63"/>
      <c r="AU339" s="180" t="s">
        <v>59</v>
      </c>
      <c r="AV339" s="38">
        <f>SUM(AO339-J339)/7</f>
        <v>61.142857142857146</v>
      </c>
      <c r="AW339" s="203"/>
      <c r="AX339" s="63"/>
      <c r="AY339" s="77" t="str">
        <f>IF(D339&lt;&gt;"",IF(LEFT(IFERROR(VLOOKUP(D339,'LPA Lookup'!$A$100:$B$470,2,FALSE),"LPA not known to MCLHG"),3)&lt;&gt;"JSP",IFERROR(VLOOKUP(D339,'LPA Lookup'!$A$100:$B$470,2,FALSE),"LPA not known to MCLHG"),VLOOKUP(D339&amp;B339,#REF!,3,FALSE)),"")</f>
        <v>LPA not known to MCLHG</v>
      </c>
      <c r="AZ339" s="115" t="str">
        <f t="shared" si="23"/>
        <v>Nov 21</v>
      </c>
      <c r="BA339" s="115" t="str">
        <f t="shared" si="22"/>
        <v>Jan 23</v>
      </c>
    </row>
    <row r="340" spans="1:53" ht="14" x14ac:dyDescent="0.15">
      <c r="A340" s="35" t="s">
        <v>53</v>
      </c>
      <c r="B340" s="118">
        <v>2253</v>
      </c>
      <c r="C340" s="52" t="s">
        <v>83</v>
      </c>
      <c r="D340" s="184" t="s">
        <v>669</v>
      </c>
      <c r="E340" s="63" t="s">
        <v>670</v>
      </c>
      <c r="F340" s="63" t="s">
        <v>74</v>
      </c>
      <c r="G340" s="63">
        <v>2</v>
      </c>
      <c r="H340" s="64">
        <v>44216</v>
      </c>
      <c r="I340" s="63"/>
      <c r="J340" s="64">
        <v>44526</v>
      </c>
      <c r="K340" s="63"/>
      <c r="L340" s="63"/>
      <c r="M340" s="64">
        <v>44543</v>
      </c>
      <c r="N340" s="64"/>
      <c r="O340" s="64">
        <v>44656</v>
      </c>
      <c r="P340" s="63" t="s">
        <v>509</v>
      </c>
      <c r="Q340" s="64">
        <v>44659</v>
      </c>
      <c r="R340" s="63"/>
      <c r="S340" s="63">
        <v>0</v>
      </c>
      <c r="T340" s="63">
        <v>0</v>
      </c>
      <c r="U340" s="63">
        <v>0</v>
      </c>
      <c r="V340" s="63">
        <v>0</v>
      </c>
      <c r="W340" s="63">
        <v>0</v>
      </c>
      <c r="X340" s="63">
        <v>19.97</v>
      </c>
      <c r="Y340" s="63">
        <v>8.7200000000000006</v>
      </c>
      <c r="Z340" s="63">
        <v>0</v>
      </c>
      <c r="AA340" s="63">
        <v>2.5099999999999998</v>
      </c>
      <c r="AB340" s="63">
        <v>1.9</v>
      </c>
      <c r="AC340" s="63">
        <v>0</v>
      </c>
      <c r="AD340" s="63">
        <v>16.190000000000001</v>
      </c>
      <c r="AE340" s="119">
        <v>49.29</v>
      </c>
      <c r="AF340" s="63"/>
      <c r="AG340" s="64">
        <v>44876</v>
      </c>
      <c r="AH340" s="63"/>
      <c r="AI340" s="64">
        <v>44861</v>
      </c>
      <c r="AJ340" s="63"/>
      <c r="AK340" s="64">
        <v>44874</v>
      </c>
      <c r="AL340" s="63"/>
      <c r="AM340" s="64">
        <v>44876</v>
      </c>
      <c r="AN340" s="63"/>
      <c r="AO340" s="64">
        <v>44901</v>
      </c>
      <c r="AP340" s="63"/>
      <c r="AQ340" s="64">
        <v>44951</v>
      </c>
      <c r="AR340" s="63"/>
      <c r="AS340" s="64"/>
      <c r="AT340" s="63"/>
      <c r="AU340" s="63" t="s">
        <v>59</v>
      </c>
      <c r="AV340" s="38">
        <f>SUM(AO340-J340)/7</f>
        <v>53.571428571428569</v>
      </c>
      <c r="AW340" s="116"/>
      <c r="AX340" s="63"/>
      <c r="AY340" s="77" t="str">
        <f>IF(D340&lt;&gt;"",IF(LEFT(IFERROR(VLOOKUP(D340,'LPA Lookup'!$A$100:$B$470,2,FALSE),"LPA not known to MCLHG"),3)&lt;&gt;"JSP",IFERROR(VLOOKUP(D340,'LPA Lookup'!$A$100:$B$470,2,FALSE),"LPA not known to MCLHG"),VLOOKUP(D340&amp;B340,#REF!,3,FALSE)),"")</f>
        <v>E08000009</v>
      </c>
      <c r="AZ340" s="115" t="str">
        <f t="shared" si="23"/>
        <v>Nov 21</v>
      </c>
      <c r="BA340" s="115" t="str">
        <f t="shared" si="22"/>
        <v>Dec 22</v>
      </c>
    </row>
    <row r="341" spans="1:53" ht="15" thickBot="1" x14ac:dyDescent="0.2">
      <c r="A341" s="35" t="s">
        <v>53</v>
      </c>
      <c r="B341" s="118">
        <v>1970</v>
      </c>
      <c r="C341" s="61" t="s">
        <v>90</v>
      </c>
      <c r="D341" s="110" t="s">
        <v>671</v>
      </c>
      <c r="E341" s="63" t="s">
        <v>92</v>
      </c>
      <c r="F341" s="63" t="s">
        <v>57</v>
      </c>
      <c r="G341" s="63">
        <v>3</v>
      </c>
      <c r="H341" s="64">
        <v>44375</v>
      </c>
      <c r="I341" s="257"/>
      <c r="J341" s="64">
        <v>44526</v>
      </c>
      <c r="K341" s="257"/>
      <c r="L341" s="63"/>
      <c r="M341" s="64">
        <v>44543</v>
      </c>
      <c r="N341" s="263"/>
      <c r="O341" s="64">
        <v>44824</v>
      </c>
      <c r="P341" s="63"/>
      <c r="Q341" s="64">
        <v>44876</v>
      </c>
      <c r="R341" s="257"/>
      <c r="S341" s="63">
        <v>0</v>
      </c>
      <c r="T341" s="63">
        <v>0</v>
      </c>
      <c r="U341" s="63">
        <v>0</v>
      </c>
      <c r="V341" s="63">
        <v>0</v>
      </c>
      <c r="W341" s="63">
        <v>0</v>
      </c>
      <c r="X341" s="63">
        <v>115.23</v>
      </c>
      <c r="Y341" s="63">
        <v>21.85</v>
      </c>
      <c r="Z341" s="63">
        <v>0</v>
      </c>
      <c r="AA341" s="63">
        <v>4.66</v>
      </c>
      <c r="AB341" s="63">
        <v>6.68</v>
      </c>
      <c r="AC341" s="63">
        <v>0</v>
      </c>
      <c r="AD341" s="63">
        <v>164.27</v>
      </c>
      <c r="AE341" s="119">
        <v>312.69</v>
      </c>
      <c r="AF341" s="63"/>
      <c r="AG341" s="64">
        <v>45589</v>
      </c>
      <c r="AH341" s="257"/>
      <c r="AI341" s="64">
        <v>45567</v>
      </c>
      <c r="AJ341" s="257"/>
      <c r="AK341" s="64">
        <v>45583</v>
      </c>
      <c r="AL341" s="257"/>
      <c r="AM341" s="64">
        <v>45588</v>
      </c>
      <c r="AN341" s="257"/>
      <c r="AO341" s="64">
        <v>45602</v>
      </c>
      <c r="AP341" s="257"/>
      <c r="AQ341" s="64">
        <v>45720</v>
      </c>
      <c r="AR341" s="257"/>
      <c r="AS341" s="64"/>
      <c r="AT341" s="257"/>
      <c r="AU341" s="63" t="s">
        <v>59</v>
      </c>
      <c r="AV341" s="38">
        <f>SUM(AO341-J341)/7</f>
        <v>153.71428571428572</v>
      </c>
      <c r="AW341" s="63"/>
      <c r="AX341" s="63"/>
      <c r="AY341" s="77" t="str">
        <f>IF(D341&lt;&gt;"",IF(LEFT(IFERROR(VLOOKUP(D341,'LPA Lookup'!$A$100:$B$470,2,FALSE),"LPA not known to MCLHG"),3)&lt;&gt;"JSP",IFERROR(VLOOKUP(D341,'LPA Lookup'!$A$100:$B$470,2,FALSE),"LPA not known to MCLHG"),VLOOKUP(D341&amp;B341,#REF!,3,FALSE)),"")</f>
        <v>LPA not known to MCLHG</v>
      </c>
      <c r="AZ341" s="115" t="str">
        <f t="shared" si="23"/>
        <v>Nov 21</v>
      </c>
      <c r="BA341" s="115" t="str">
        <f t="shared" si="22"/>
        <v>Nov 24</v>
      </c>
    </row>
    <row r="342" spans="1:53" ht="14" x14ac:dyDescent="0.15">
      <c r="A342" s="35" t="s">
        <v>53</v>
      </c>
      <c r="B342" s="124">
        <v>2019</v>
      </c>
      <c r="C342" s="180" t="s">
        <v>90</v>
      </c>
      <c r="D342" s="132" t="s">
        <v>672</v>
      </c>
      <c r="E342" s="69" t="s">
        <v>56</v>
      </c>
      <c r="F342" s="69" t="s">
        <v>57</v>
      </c>
      <c r="G342" s="69">
        <v>3</v>
      </c>
      <c r="H342" s="70">
        <v>44344</v>
      </c>
      <c r="I342" s="133"/>
      <c r="J342" s="70">
        <v>44530</v>
      </c>
      <c r="K342" s="133"/>
      <c r="L342" s="69"/>
      <c r="M342" s="70">
        <v>44543</v>
      </c>
      <c r="N342" s="262"/>
      <c r="O342" s="70">
        <v>44691</v>
      </c>
      <c r="P342" s="69" t="s">
        <v>673</v>
      </c>
      <c r="Q342" s="70">
        <v>44838</v>
      </c>
      <c r="R342" s="133"/>
      <c r="S342" s="133">
        <v>0</v>
      </c>
      <c r="T342" s="69">
        <v>0</v>
      </c>
      <c r="U342" s="69">
        <v>0</v>
      </c>
      <c r="V342" s="69">
        <v>0</v>
      </c>
      <c r="W342" s="69">
        <v>0</v>
      </c>
      <c r="X342" s="69">
        <v>28.46</v>
      </c>
      <c r="Y342" s="69">
        <v>3.28</v>
      </c>
      <c r="Z342" s="69">
        <v>0</v>
      </c>
      <c r="AA342" s="69">
        <v>1.89</v>
      </c>
      <c r="AB342" s="69">
        <v>3.04</v>
      </c>
      <c r="AC342" s="69">
        <v>0</v>
      </c>
      <c r="AD342" s="69">
        <v>16.12</v>
      </c>
      <c r="AE342" s="92">
        <v>52.79</v>
      </c>
      <c r="AF342" s="69"/>
      <c r="AG342" s="70">
        <v>44979</v>
      </c>
      <c r="AH342" s="133"/>
      <c r="AI342" s="70">
        <v>44956</v>
      </c>
      <c r="AJ342" s="133"/>
      <c r="AK342" s="70">
        <v>44979</v>
      </c>
      <c r="AL342" s="133"/>
      <c r="AM342" s="70">
        <v>44979</v>
      </c>
      <c r="AN342" s="133"/>
      <c r="AO342" s="70">
        <v>44985</v>
      </c>
      <c r="AP342" s="133"/>
      <c r="AQ342" s="70">
        <v>45042</v>
      </c>
      <c r="AR342" s="133"/>
      <c r="AS342" s="70"/>
      <c r="AT342" s="133"/>
      <c r="AU342" s="69" t="s">
        <v>59</v>
      </c>
      <c r="AV342" s="38">
        <f>SUM(AO342-J342)/7</f>
        <v>65</v>
      </c>
      <c r="AW342" s="69"/>
      <c r="AX342" s="69"/>
      <c r="AY342" s="77" t="str">
        <f>IF(D342&lt;&gt;"",IF(LEFT(IFERROR(VLOOKUP(D342,'LPA Lookup'!$A$100:$B$470,2,FALSE),"LPA not known to MCLHG"),3)&lt;&gt;"JSP",IFERROR(VLOOKUP(D342,'LPA Lookup'!$A$100:$B$470,2,FALSE),"LPA not known to MCLHG"),VLOOKUP(D342&amp;B342,#REF!,3,FALSE)),"")</f>
        <v>LPA not known to MCLHG</v>
      </c>
      <c r="AZ342" s="114" t="str">
        <f t="shared" si="23"/>
        <v>Nov 21</v>
      </c>
      <c r="BA342" s="115" t="str">
        <f t="shared" si="22"/>
        <v>Feb 23</v>
      </c>
    </row>
    <row r="343" spans="1:53" ht="28" x14ac:dyDescent="0.15">
      <c r="A343" s="35" t="s">
        <v>53</v>
      </c>
      <c r="B343" s="111">
        <v>2220</v>
      </c>
      <c r="C343" s="180" t="s">
        <v>90</v>
      </c>
      <c r="D343" s="61" t="s">
        <v>347</v>
      </c>
      <c r="E343" s="61" t="s">
        <v>56</v>
      </c>
      <c r="F343" s="61" t="s">
        <v>57</v>
      </c>
      <c r="G343" s="61">
        <v>3</v>
      </c>
      <c r="H343" s="62">
        <v>44399</v>
      </c>
      <c r="I343" s="134"/>
      <c r="J343" s="62">
        <v>44532</v>
      </c>
      <c r="K343" s="134"/>
      <c r="L343" s="61"/>
      <c r="M343" s="62">
        <v>44543</v>
      </c>
      <c r="N343" s="261"/>
      <c r="O343" s="62">
        <v>44725</v>
      </c>
      <c r="P343" s="61" t="s">
        <v>674</v>
      </c>
      <c r="Q343" s="62">
        <v>44855</v>
      </c>
      <c r="R343" s="134"/>
      <c r="S343" s="134">
        <v>0</v>
      </c>
      <c r="T343" s="69">
        <v>0</v>
      </c>
      <c r="U343" s="69">
        <v>0</v>
      </c>
      <c r="V343" s="69">
        <v>0</v>
      </c>
      <c r="W343" s="69">
        <v>0</v>
      </c>
      <c r="X343" s="61">
        <v>108.47</v>
      </c>
      <c r="Y343" s="61">
        <v>12.18</v>
      </c>
      <c r="Z343" s="61">
        <v>0</v>
      </c>
      <c r="AA343" s="61">
        <v>4.13</v>
      </c>
      <c r="AB343" s="61">
        <v>14.3</v>
      </c>
      <c r="AC343" s="61">
        <v>0</v>
      </c>
      <c r="AD343" s="61">
        <v>94.05</v>
      </c>
      <c r="AE343" s="48">
        <v>233.13</v>
      </c>
      <c r="AF343" s="61"/>
      <c r="AG343" s="62">
        <v>45546</v>
      </c>
      <c r="AH343" s="134"/>
      <c r="AI343" s="62"/>
      <c r="AJ343" s="134"/>
      <c r="AK343" s="62">
        <v>45541</v>
      </c>
      <c r="AL343" s="134"/>
      <c r="AM343" s="62">
        <v>45553</v>
      </c>
      <c r="AN343" s="134"/>
      <c r="AO343" s="62">
        <v>45569</v>
      </c>
      <c r="AP343" s="134"/>
      <c r="AQ343" s="62">
        <v>45616</v>
      </c>
      <c r="AR343" s="199"/>
      <c r="AS343" s="62"/>
      <c r="AT343" s="134"/>
      <c r="AU343" s="61" t="s">
        <v>59</v>
      </c>
      <c r="AV343" s="38">
        <f>SUM(AO343-J343)/7</f>
        <v>148.14285714285714</v>
      </c>
      <c r="AW343" s="61"/>
      <c r="AX343" s="69"/>
      <c r="AY343" s="77" t="str">
        <f>IF(D343&lt;&gt;"",IF(LEFT(IFERROR(VLOOKUP(D343,'LPA Lookup'!$A$100:$B$470,2,FALSE),"LPA not known to MCLHG"),3)&lt;&gt;"JSP",IFERROR(VLOOKUP(D343,'LPA Lookup'!$A$100:$B$470,2,FALSE),"LPA not known to MCLHG"),VLOOKUP(D343&amp;B343,#REF!,3,FALSE)),"")</f>
        <v>E09000024</v>
      </c>
      <c r="AZ343" s="135" t="str">
        <f t="shared" si="23"/>
        <v>Dec 21</v>
      </c>
      <c r="BA343" s="41" t="str">
        <f t="shared" si="22"/>
        <v>Oct 24</v>
      </c>
    </row>
    <row r="344" spans="1:53" ht="42" x14ac:dyDescent="0.15">
      <c r="A344" s="118">
        <v>3295822</v>
      </c>
      <c r="B344" s="118">
        <v>1951</v>
      </c>
      <c r="C344" s="63" t="s">
        <v>104</v>
      </c>
      <c r="D344" s="154" t="s">
        <v>675</v>
      </c>
      <c r="E344" s="63" t="s">
        <v>56</v>
      </c>
      <c r="F344" s="63" t="s">
        <v>57</v>
      </c>
      <c r="G344" s="63">
        <v>3</v>
      </c>
      <c r="H344" s="64">
        <v>44389</v>
      </c>
      <c r="I344" s="115"/>
      <c r="J344" s="64">
        <v>44533</v>
      </c>
      <c r="K344" s="115"/>
      <c r="L344" s="63"/>
      <c r="M344" s="64">
        <v>44544</v>
      </c>
      <c r="N344" s="196"/>
      <c r="O344" s="64">
        <v>44739</v>
      </c>
      <c r="P344" s="63" t="s">
        <v>676</v>
      </c>
      <c r="Q344" s="64"/>
      <c r="R344" s="115"/>
      <c r="S344" s="115">
        <v>0</v>
      </c>
      <c r="T344" s="69">
        <v>0</v>
      </c>
      <c r="U344" s="69">
        <v>0</v>
      </c>
      <c r="V344" s="69">
        <v>0</v>
      </c>
      <c r="W344" s="69">
        <v>3.76</v>
      </c>
      <c r="X344" s="63">
        <v>60.82</v>
      </c>
      <c r="Y344" s="63">
        <v>20.64</v>
      </c>
      <c r="Z344" s="63">
        <v>0</v>
      </c>
      <c r="AA344" s="63">
        <v>0.81</v>
      </c>
      <c r="AB344" s="63">
        <v>4.03</v>
      </c>
      <c r="AC344" s="63">
        <v>0</v>
      </c>
      <c r="AD344" s="63">
        <v>37.67</v>
      </c>
      <c r="AE344" s="119">
        <v>127.73</v>
      </c>
      <c r="AF344" s="63"/>
      <c r="AG344" s="64">
        <v>46010</v>
      </c>
      <c r="AH344" s="115"/>
      <c r="AI344" s="64">
        <v>45975</v>
      </c>
      <c r="AJ344" s="115"/>
      <c r="AK344" s="64">
        <v>46008</v>
      </c>
      <c r="AL344" s="115"/>
      <c r="AM344" s="64">
        <v>46010</v>
      </c>
      <c r="AN344" s="115"/>
      <c r="AO344" s="64"/>
      <c r="AP344" s="115"/>
      <c r="AQ344" s="64"/>
      <c r="AR344" s="115"/>
      <c r="AS344" s="64"/>
      <c r="AT344" s="115"/>
      <c r="AU344" s="63"/>
      <c r="AV344" s="63"/>
      <c r="AW344" s="63"/>
      <c r="AX344" s="63"/>
      <c r="AY344" s="77" t="str">
        <f>IF(D344&lt;&gt;"",IF(LEFT(IFERROR(VLOOKUP(D344,'LPA Lookup'!$A$100:$B$470,2,FALSE),"LPA not known to MCLHG"),3)&lt;&gt;"JSP",IFERROR(VLOOKUP(D344,'LPA Lookup'!$A$100:$B$470,2,FALSE),"LPA not known to MCLHG"),VLOOKUP(D344&amp;B344,#REF!,3,FALSE)),"")</f>
        <v>LPA not known to MCLHG</v>
      </c>
      <c r="AZ344" s="135" t="str">
        <f t="shared" si="23"/>
        <v>Dec 21</v>
      </c>
      <c r="BA344" s="41" t="str">
        <f t="shared" si="22"/>
        <v>Jan 00</v>
      </c>
    </row>
    <row r="345" spans="1:53" ht="28" x14ac:dyDescent="0.15">
      <c r="A345" s="35" t="s">
        <v>53</v>
      </c>
      <c r="B345" s="170">
        <v>2236</v>
      </c>
      <c r="C345" s="180" t="s">
        <v>61</v>
      </c>
      <c r="D345" s="180" t="s">
        <v>263</v>
      </c>
      <c r="E345" s="180" t="s">
        <v>56</v>
      </c>
      <c r="F345" s="180" t="s">
        <v>57</v>
      </c>
      <c r="G345" s="180">
        <v>3</v>
      </c>
      <c r="H345" s="190">
        <v>44454</v>
      </c>
      <c r="I345" s="63"/>
      <c r="J345" s="190">
        <v>44543</v>
      </c>
      <c r="K345" s="63"/>
      <c r="L345" s="180"/>
      <c r="M345" s="190">
        <v>44561</v>
      </c>
      <c r="N345" s="64"/>
      <c r="O345" s="190">
        <v>44721</v>
      </c>
      <c r="P345" s="180" t="s">
        <v>677</v>
      </c>
      <c r="Q345" s="190">
        <v>45057</v>
      </c>
      <c r="R345" s="63"/>
      <c r="S345" s="63">
        <v>0</v>
      </c>
      <c r="T345" s="63">
        <v>0</v>
      </c>
      <c r="U345" s="63">
        <v>0</v>
      </c>
      <c r="V345" s="63">
        <v>0</v>
      </c>
      <c r="W345" s="63">
        <v>0</v>
      </c>
      <c r="X345" s="180">
        <v>70.12</v>
      </c>
      <c r="Y345" s="180">
        <v>5.36</v>
      </c>
      <c r="Z345" s="180">
        <v>0</v>
      </c>
      <c r="AA345" s="180">
        <v>0.2</v>
      </c>
      <c r="AB345" s="180">
        <v>3.62</v>
      </c>
      <c r="AC345" s="180">
        <v>0</v>
      </c>
      <c r="AD345" s="180">
        <v>42.09</v>
      </c>
      <c r="AE345" s="198">
        <v>121.39</v>
      </c>
      <c r="AF345" s="180"/>
      <c r="AG345" s="190">
        <v>45272</v>
      </c>
      <c r="AH345" s="63"/>
      <c r="AI345" s="190">
        <v>45251</v>
      </c>
      <c r="AJ345" s="63"/>
      <c r="AK345" s="190">
        <v>45266</v>
      </c>
      <c r="AL345" s="63"/>
      <c r="AM345" s="190">
        <v>45271</v>
      </c>
      <c r="AN345" s="63"/>
      <c r="AO345" s="190">
        <v>45327</v>
      </c>
      <c r="AP345" s="63"/>
      <c r="AQ345" s="190">
        <v>45404</v>
      </c>
      <c r="AR345" s="180"/>
      <c r="AS345" s="190"/>
      <c r="AT345" s="63"/>
      <c r="AU345" s="180" t="s">
        <v>59</v>
      </c>
      <c r="AV345" s="38">
        <f t="shared" ref="AV345:AV352" si="24">SUM(AO345-J345)/7</f>
        <v>112</v>
      </c>
      <c r="AW345" s="116"/>
      <c r="AX345" s="63"/>
      <c r="AY345" s="77" t="str">
        <f>IF(D345&lt;&gt;"",IF(LEFT(IFERROR(VLOOKUP(D345,'LPA Lookup'!$A$100:$B$470,2,FALSE),"LPA not known to MCLHG"),3)&lt;&gt;"JSP",IFERROR(VLOOKUP(D345,'LPA Lookup'!$A$100:$B$470,2,FALSE),"LPA not known to MCLHG"),VLOOKUP(D345&amp;B345,#REF!,3,FALSE)),"")</f>
        <v>LPA not known to MCLHG</v>
      </c>
      <c r="AZ345" s="115" t="str">
        <f t="shared" si="23"/>
        <v>Dec 21</v>
      </c>
      <c r="BA345" s="115" t="str">
        <f t="shared" si="22"/>
        <v>Feb 24</v>
      </c>
    </row>
    <row r="346" spans="1:53" ht="14" x14ac:dyDescent="0.15">
      <c r="A346" s="35" t="s">
        <v>53</v>
      </c>
      <c r="B346" s="111">
        <v>2103</v>
      </c>
      <c r="C346" s="61" t="s">
        <v>67</v>
      </c>
      <c r="D346" s="61" t="s">
        <v>678</v>
      </c>
      <c r="E346" s="61" t="s">
        <v>679</v>
      </c>
      <c r="F346" s="61" t="s">
        <v>57</v>
      </c>
      <c r="G346" s="61">
        <v>3</v>
      </c>
      <c r="H346" s="62">
        <v>44436</v>
      </c>
      <c r="I346" s="61"/>
      <c r="J346" s="62">
        <v>44547</v>
      </c>
      <c r="K346" s="61"/>
      <c r="L346" s="61"/>
      <c r="M346" s="62">
        <v>44568</v>
      </c>
      <c r="N346" s="62"/>
      <c r="O346" s="62">
        <v>44733</v>
      </c>
      <c r="P346" s="61" t="s">
        <v>680</v>
      </c>
      <c r="Q346" s="62">
        <v>44748</v>
      </c>
      <c r="R346" s="61"/>
      <c r="S346" s="61">
        <v>0</v>
      </c>
      <c r="T346" s="61">
        <v>0</v>
      </c>
      <c r="U346" s="61">
        <v>0</v>
      </c>
      <c r="V346" s="61">
        <v>0</v>
      </c>
      <c r="W346" s="61">
        <v>0</v>
      </c>
      <c r="X346" s="61">
        <v>19.77</v>
      </c>
      <c r="Y346" s="61">
        <v>2.16</v>
      </c>
      <c r="Z346" s="61">
        <v>0</v>
      </c>
      <c r="AA346" s="61">
        <v>0</v>
      </c>
      <c r="AB346" s="61">
        <v>2.2400000000000002</v>
      </c>
      <c r="AC346" s="61">
        <v>0</v>
      </c>
      <c r="AD346" s="61">
        <v>35.270000000000003</v>
      </c>
      <c r="AE346" s="48">
        <v>59.44</v>
      </c>
      <c r="AF346" s="61"/>
      <c r="AG346" s="62">
        <v>44896</v>
      </c>
      <c r="AH346" s="61"/>
      <c r="AI346" s="62">
        <v>44894</v>
      </c>
      <c r="AJ346" s="61"/>
      <c r="AK346" s="62">
        <v>44894</v>
      </c>
      <c r="AL346" s="61"/>
      <c r="AM346" s="62">
        <v>44902</v>
      </c>
      <c r="AN346" s="61"/>
      <c r="AO346" s="62">
        <v>44908</v>
      </c>
      <c r="AP346" s="61"/>
      <c r="AQ346" s="62">
        <v>44945</v>
      </c>
      <c r="AR346" s="61"/>
      <c r="AS346" s="62"/>
      <c r="AT346" s="61"/>
      <c r="AU346" s="61" t="s">
        <v>59</v>
      </c>
      <c r="AV346" s="38">
        <f t="shared" si="24"/>
        <v>51.571428571428569</v>
      </c>
      <c r="AW346" s="61"/>
      <c r="AX346" s="61"/>
      <c r="AY346" s="77" t="str">
        <f>IF(D346&lt;&gt;"",IF(LEFT(IFERROR(VLOOKUP(D346,'LPA Lookup'!$A$100:$B$470,2,FALSE),"LPA not known to MCLHG"),3)&lt;&gt;"JSP",IFERROR(VLOOKUP(D346,'LPA Lookup'!$A$100:$B$470,2,FALSE),"LPA not known to MCLHG"),VLOOKUP(D346&amp;B346,#REF!,3,FALSE)),"")</f>
        <v>LPA not known to MCLHG</v>
      </c>
      <c r="AZ346" s="177" t="str">
        <f t="shared" si="23"/>
        <v>Dec 21</v>
      </c>
      <c r="BA346" s="177" t="str">
        <f t="shared" si="22"/>
        <v>Dec 22</v>
      </c>
    </row>
    <row r="347" spans="1:53" ht="14" x14ac:dyDescent="0.15">
      <c r="A347" s="35" t="s">
        <v>53</v>
      </c>
      <c r="B347" s="118">
        <v>1954</v>
      </c>
      <c r="C347" s="63" t="s">
        <v>61</v>
      </c>
      <c r="D347" s="128" t="s">
        <v>681</v>
      </c>
      <c r="E347" s="63" t="s">
        <v>56</v>
      </c>
      <c r="F347" s="63" t="s">
        <v>57</v>
      </c>
      <c r="G347" s="63">
        <v>3</v>
      </c>
      <c r="H347" s="64">
        <v>44278</v>
      </c>
      <c r="I347" s="63"/>
      <c r="J347" s="64">
        <v>44550</v>
      </c>
      <c r="K347" s="63"/>
      <c r="L347" s="63"/>
      <c r="M347" s="64">
        <v>44571</v>
      </c>
      <c r="N347" s="64"/>
      <c r="O347" s="64">
        <v>44691</v>
      </c>
      <c r="P347" s="63"/>
      <c r="Q347" s="64">
        <v>44854</v>
      </c>
      <c r="R347" s="63"/>
      <c r="S347" s="63">
        <v>0</v>
      </c>
      <c r="T347" s="63">
        <v>0</v>
      </c>
      <c r="U347" s="63">
        <v>0</v>
      </c>
      <c r="V347" s="63">
        <v>0</v>
      </c>
      <c r="W347" s="63">
        <v>0</v>
      </c>
      <c r="X347" s="63">
        <v>69.459999999999994</v>
      </c>
      <c r="Y347" s="63">
        <v>22.49</v>
      </c>
      <c r="Z347" s="63">
        <v>0</v>
      </c>
      <c r="AA347" s="63">
        <v>1.68</v>
      </c>
      <c r="AB347" s="63">
        <v>7.72</v>
      </c>
      <c r="AC347" s="63">
        <v>0</v>
      </c>
      <c r="AD347" s="63">
        <v>82.31</v>
      </c>
      <c r="AE347" s="119">
        <v>183.66</v>
      </c>
      <c r="AF347" s="63"/>
      <c r="AG347" s="64">
        <v>45334</v>
      </c>
      <c r="AH347" s="63"/>
      <c r="AI347" s="64">
        <v>45315</v>
      </c>
      <c r="AJ347" s="63"/>
      <c r="AK347" s="64">
        <v>45324</v>
      </c>
      <c r="AL347" s="63"/>
      <c r="AM347" s="64">
        <v>45334</v>
      </c>
      <c r="AN347" s="63"/>
      <c r="AO347" s="64">
        <v>45352</v>
      </c>
      <c r="AP347" s="63"/>
      <c r="AQ347" s="64">
        <v>45370</v>
      </c>
      <c r="AR347" s="63"/>
      <c r="AS347" s="64"/>
      <c r="AT347" s="63"/>
      <c r="AU347" s="63" t="s">
        <v>59</v>
      </c>
      <c r="AV347" s="38">
        <f t="shared" si="24"/>
        <v>114.57142857142857</v>
      </c>
      <c r="AW347" s="63"/>
      <c r="AX347" s="63"/>
      <c r="AY347" s="77" t="str">
        <f>IF(D347&lt;&gt;"",IF(LEFT(IFERROR(VLOOKUP(D347,'LPA Lookup'!$A$100:$B$470,2,FALSE),"LPA not known to MCLHG"),3)&lt;&gt;"JSP",IFERROR(VLOOKUP(D347,'LPA Lookup'!$A$100:$B$470,2,FALSE),"LPA not known to MCLHG"),VLOOKUP(D347&amp;B347,#REF!,3,FALSE)),"")</f>
        <v>LPA not known to MCLHG</v>
      </c>
      <c r="AZ347" s="41" t="str">
        <f t="shared" si="23"/>
        <v>Dec 21</v>
      </c>
      <c r="BA347" s="41" t="str">
        <f t="shared" si="22"/>
        <v>Mar 24</v>
      </c>
    </row>
    <row r="348" spans="1:53" ht="33" customHeight="1" x14ac:dyDescent="0.15">
      <c r="A348" s="35" t="s">
        <v>53</v>
      </c>
      <c r="B348" s="118">
        <v>1978</v>
      </c>
      <c r="C348" s="180" t="s">
        <v>90</v>
      </c>
      <c r="D348" s="110" t="s">
        <v>682</v>
      </c>
      <c r="E348" s="63" t="s">
        <v>56</v>
      </c>
      <c r="F348" s="63" t="s">
        <v>57</v>
      </c>
      <c r="G348" s="63">
        <v>3</v>
      </c>
      <c r="H348" s="64">
        <v>44109</v>
      </c>
      <c r="I348" s="63"/>
      <c r="J348" s="64">
        <v>44550</v>
      </c>
      <c r="K348" s="63"/>
      <c r="L348" s="63"/>
      <c r="M348" s="64">
        <v>44571</v>
      </c>
      <c r="N348" s="64"/>
      <c r="O348" s="64">
        <v>44761</v>
      </c>
      <c r="P348" s="64">
        <v>45229</v>
      </c>
      <c r="Q348" s="64">
        <v>45246</v>
      </c>
      <c r="R348" s="63"/>
      <c r="S348" s="63">
        <v>0</v>
      </c>
      <c r="T348" s="63">
        <v>0</v>
      </c>
      <c r="U348" s="63">
        <v>0</v>
      </c>
      <c r="V348" s="63">
        <v>0</v>
      </c>
      <c r="W348" s="63">
        <v>0</v>
      </c>
      <c r="X348" s="63">
        <v>130.5</v>
      </c>
      <c r="Y348" s="63">
        <v>23.14</v>
      </c>
      <c r="Z348" s="63">
        <v>0</v>
      </c>
      <c r="AA348" s="63">
        <v>2</v>
      </c>
      <c r="AB348" s="63">
        <v>9.31</v>
      </c>
      <c r="AC348" s="63">
        <v>0</v>
      </c>
      <c r="AD348" s="63">
        <v>47.84</v>
      </c>
      <c r="AE348" s="119">
        <v>212.79</v>
      </c>
      <c r="AF348" s="63"/>
      <c r="AG348" s="64">
        <v>45502</v>
      </c>
      <c r="AH348" s="63"/>
      <c r="AI348" s="64">
        <v>45448</v>
      </c>
      <c r="AJ348" s="63"/>
      <c r="AK348" s="64">
        <v>45481</v>
      </c>
      <c r="AL348" s="63"/>
      <c r="AM348" s="64">
        <v>45502</v>
      </c>
      <c r="AN348" s="63"/>
      <c r="AO348" s="64">
        <v>45519</v>
      </c>
      <c r="AP348" s="63"/>
      <c r="AQ348" s="64">
        <v>45553</v>
      </c>
      <c r="AR348" s="63"/>
      <c r="AS348" s="64"/>
      <c r="AT348" s="63"/>
      <c r="AU348" s="63" t="s">
        <v>59</v>
      </c>
      <c r="AV348" s="38">
        <f t="shared" si="24"/>
        <v>138.42857142857142</v>
      </c>
      <c r="AW348" s="116"/>
      <c r="AX348" s="63"/>
      <c r="AY348" s="77" t="str">
        <f>IF(D348&lt;&gt;"",IF(LEFT(IFERROR(VLOOKUP(D348,'LPA Lookup'!$A$100:$B$470,2,FALSE),"LPA not known to MCLHG"),3)&lt;&gt;"JSP",IFERROR(VLOOKUP(D348,'LPA Lookup'!$A$100:$B$470,2,FALSE),"LPA not known to MCLHG"),VLOOKUP(D348&amp;B348,#REF!,3,FALSE)),"")</f>
        <v>LPA not known to MCLHG</v>
      </c>
      <c r="AZ348" s="115" t="str">
        <f t="shared" si="23"/>
        <v>Dec 21</v>
      </c>
      <c r="BA348" s="115" t="str">
        <f t="shared" si="22"/>
        <v>Aug 24</v>
      </c>
    </row>
    <row r="349" spans="1:53" ht="28" x14ac:dyDescent="0.15">
      <c r="A349" s="35" t="s">
        <v>53</v>
      </c>
      <c r="B349" s="170">
        <v>2242</v>
      </c>
      <c r="C349" s="180" t="s">
        <v>61</v>
      </c>
      <c r="D349" s="180" t="s">
        <v>312</v>
      </c>
      <c r="E349" s="180" t="s">
        <v>212</v>
      </c>
      <c r="F349" s="180" t="s">
        <v>107</v>
      </c>
      <c r="G349" s="180">
        <v>2</v>
      </c>
      <c r="H349" s="190">
        <v>44162</v>
      </c>
      <c r="I349" s="63"/>
      <c r="J349" s="190">
        <v>44552</v>
      </c>
      <c r="K349" s="63"/>
      <c r="L349" s="180"/>
      <c r="M349" s="190">
        <v>44587</v>
      </c>
      <c r="N349" s="64"/>
      <c r="O349" s="190">
        <v>44753</v>
      </c>
      <c r="P349" s="180" t="s">
        <v>683</v>
      </c>
      <c r="Q349" s="190">
        <v>44810</v>
      </c>
      <c r="R349" s="63"/>
      <c r="S349" s="63">
        <v>0</v>
      </c>
      <c r="T349" s="180">
        <v>0</v>
      </c>
      <c r="U349" s="180">
        <v>0</v>
      </c>
      <c r="V349" s="180">
        <v>0</v>
      </c>
      <c r="W349" s="180">
        <v>0</v>
      </c>
      <c r="X349" s="180">
        <v>47.73</v>
      </c>
      <c r="Y349" s="180">
        <v>4.53</v>
      </c>
      <c r="Z349" s="180">
        <v>0</v>
      </c>
      <c r="AA349" s="180">
        <v>3.01</v>
      </c>
      <c r="AB349" s="180">
        <v>7.66</v>
      </c>
      <c r="AC349" s="180">
        <v>0</v>
      </c>
      <c r="AD349" s="180">
        <v>35.39</v>
      </c>
      <c r="AE349" s="198">
        <v>98.32</v>
      </c>
      <c r="AF349" s="180"/>
      <c r="AG349" s="190">
        <v>44995</v>
      </c>
      <c r="AH349" s="63"/>
      <c r="AI349" s="190">
        <v>44979</v>
      </c>
      <c r="AJ349" s="63"/>
      <c r="AK349" s="190">
        <v>44993</v>
      </c>
      <c r="AL349" s="63"/>
      <c r="AM349" s="190">
        <v>44994</v>
      </c>
      <c r="AN349" s="63"/>
      <c r="AO349" s="190">
        <v>44998</v>
      </c>
      <c r="AP349" s="63"/>
      <c r="AQ349" s="190">
        <v>45006</v>
      </c>
      <c r="AR349" s="180"/>
      <c r="AS349" s="190"/>
      <c r="AT349" s="63"/>
      <c r="AU349" s="180" t="s">
        <v>59</v>
      </c>
      <c r="AV349" s="38">
        <f t="shared" si="24"/>
        <v>63.714285714285715</v>
      </c>
      <c r="AW349" s="203"/>
      <c r="AX349" s="63"/>
      <c r="AY349" s="77" t="str">
        <f>IF(D349&lt;&gt;"",IF(LEFT(IFERROR(VLOOKUP(D349,'LPA Lookup'!$A$100:$B$470,2,FALSE),"LPA not known to MCLHG"),3)&lt;&gt;"JSP",IFERROR(VLOOKUP(D349,'LPA Lookup'!$A$100:$B$470,2,FALSE),"LPA not known to MCLHG"),VLOOKUP(D349&amp;B349,#REF!,3,FALSE)),"")</f>
        <v>E07000216</v>
      </c>
      <c r="AZ349" s="115" t="str">
        <f t="shared" si="23"/>
        <v>Dec 21</v>
      </c>
      <c r="BA349" s="115" t="str">
        <f t="shared" si="22"/>
        <v>Mar 23</v>
      </c>
    </row>
    <row r="350" spans="1:53" ht="42" x14ac:dyDescent="0.15">
      <c r="A350" s="35" t="s">
        <v>53</v>
      </c>
      <c r="B350" s="111">
        <v>2175</v>
      </c>
      <c r="C350" s="29" t="s">
        <v>83</v>
      </c>
      <c r="D350" s="61" t="s">
        <v>684</v>
      </c>
      <c r="E350" s="61" t="s">
        <v>685</v>
      </c>
      <c r="F350" s="61" t="s">
        <v>57</v>
      </c>
      <c r="G350" s="61">
        <v>3</v>
      </c>
      <c r="H350" s="62">
        <v>44417</v>
      </c>
      <c r="I350" s="61"/>
      <c r="J350" s="62">
        <v>44606</v>
      </c>
      <c r="K350" s="61"/>
      <c r="L350" s="61"/>
      <c r="M350" s="62">
        <v>44621</v>
      </c>
      <c r="N350" s="62"/>
      <c r="O350" s="62">
        <v>44866</v>
      </c>
      <c r="P350" s="208"/>
      <c r="Q350" s="62">
        <v>45112</v>
      </c>
      <c r="R350" s="61"/>
      <c r="S350" s="61">
        <v>0</v>
      </c>
      <c r="T350" s="61">
        <v>0</v>
      </c>
      <c r="U350" s="61">
        <v>0</v>
      </c>
      <c r="V350" s="61">
        <v>0</v>
      </c>
      <c r="W350" s="61">
        <v>0</v>
      </c>
      <c r="X350" s="61">
        <v>375.25</v>
      </c>
      <c r="Y350" s="61">
        <v>72.319999999999993</v>
      </c>
      <c r="Z350" s="61">
        <v>0</v>
      </c>
      <c r="AA350" s="61">
        <v>7.26</v>
      </c>
      <c r="AB350" s="61">
        <v>16.649999999999999</v>
      </c>
      <c r="AC350" s="61">
        <v>0</v>
      </c>
      <c r="AD350" s="61">
        <v>149</v>
      </c>
      <c r="AE350" s="48">
        <v>620.48</v>
      </c>
      <c r="AF350" s="61"/>
      <c r="AG350" s="62">
        <v>45327</v>
      </c>
      <c r="AH350" s="61"/>
      <c r="AI350" s="62">
        <v>45315</v>
      </c>
      <c r="AJ350" s="61"/>
      <c r="AK350" s="62">
        <v>45322</v>
      </c>
      <c r="AL350" s="61"/>
      <c r="AM350" s="62">
        <v>45327</v>
      </c>
      <c r="AN350" s="61"/>
      <c r="AO350" s="62">
        <v>45336</v>
      </c>
      <c r="AP350" s="61"/>
      <c r="AQ350" s="62">
        <v>45372</v>
      </c>
      <c r="AR350" s="61"/>
      <c r="AS350" s="62"/>
      <c r="AT350" s="61"/>
      <c r="AU350" s="61" t="s">
        <v>59</v>
      </c>
      <c r="AV350" s="38">
        <f t="shared" si="24"/>
        <v>104.28571428571429</v>
      </c>
      <c r="AW350" s="61"/>
      <c r="AX350" s="61"/>
      <c r="AY350" s="77" t="str">
        <f>IF(D350&lt;&gt;"",IF(LEFT(IFERROR(VLOOKUP(D350,'LPA Lookup'!$A$100:$B$470,2,FALSE),"LPA not known to MCLHG"),3)&lt;&gt;"JSP",IFERROR(VLOOKUP(D350,'LPA Lookup'!$A$100:$B$470,2,FALSE),"LPA not known to MCLHG"),VLOOKUP(D350&amp;B350,#REF!,3,FALSE)),"")</f>
        <v>LPA not known to MCLHG</v>
      </c>
      <c r="AZ350" s="115" t="str">
        <f t="shared" si="23"/>
        <v>Feb 22</v>
      </c>
      <c r="BA350" s="115" t="str">
        <f t="shared" si="22"/>
        <v>Feb 24</v>
      </c>
    </row>
    <row r="351" spans="1:53" s="51" customFormat="1" ht="14" x14ac:dyDescent="0.15">
      <c r="A351" s="35" t="s">
        <v>53</v>
      </c>
      <c r="B351" s="170">
        <v>2153</v>
      </c>
      <c r="C351" s="61" t="s">
        <v>61</v>
      </c>
      <c r="D351" s="180" t="s">
        <v>686</v>
      </c>
      <c r="E351" s="180" t="s">
        <v>687</v>
      </c>
      <c r="F351" s="180" t="s">
        <v>57</v>
      </c>
      <c r="G351" s="180">
        <v>3</v>
      </c>
      <c r="H351" s="190">
        <v>44459</v>
      </c>
      <c r="I351" s="180"/>
      <c r="J351" s="190">
        <v>44606</v>
      </c>
      <c r="K351" s="180"/>
      <c r="L351" s="180"/>
      <c r="M351" s="190">
        <v>44623</v>
      </c>
      <c r="N351" s="190"/>
      <c r="O351" s="190">
        <v>44734</v>
      </c>
      <c r="P351" s="180" t="s">
        <v>688</v>
      </c>
      <c r="Q351" s="190">
        <v>44862</v>
      </c>
      <c r="R351" s="180"/>
      <c r="S351" s="180">
        <v>0</v>
      </c>
      <c r="T351" s="180">
        <v>0</v>
      </c>
      <c r="U351" s="180">
        <v>0</v>
      </c>
      <c r="V351" s="180">
        <v>0</v>
      </c>
      <c r="W351" s="180">
        <v>0</v>
      </c>
      <c r="X351" s="180">
        <v>50.13</v>
      </c>
      <c r="Y351" s="180">
        <v>15.58</v>
      </c>
      <c r="Z351" s="180">
        <v>0</v>
      </c>
      <c r="AA351" s="180">
        <v>1.01</v>
      </c>
      <c r="AB351" s="180">
        <v>1.35</v>
      </c>
      <c r="AC351" s="180">
        <v>0</v>
      </c>
      <c r="AD351" s="180">
        <v>36.69</v>
      </c>
      <c r="AE351" s="198">
        <v>104.76</v>
      </c>
      <c r="AF351" s="180"/>
      <c r="AG351" s="190">
        <v>45548</v>
      </c>
      <c r="AH351" s="180"/>
      <c r="AI351" s="190">
        <v>45523</v>
      </c>
      <c r="AJ351" s="180"/>
      <c r="AK351" s="190">
        <v>45537</v>
      </c>
      <c r="AL351" s="180"/>
      <c r="AM351" s="190">
        <v>45546</v>
      </c>
      <c r="AN351" s="180"/>
      <c r="AO351" s="190">
        <v>45553</v>
      </c>
      <c r="AP351" s="180"/>
      <c r="AQ351" s="190">
        <v>45580</v>
      </c>
      <c r="AR351" s="180"/>
      <c r="AS351" s="190"/>
      <c r="AT351" s="180"/>
      <c r="AU351" s="180" t="s">
        <v>59</v>
      </c>
      <c r="AV351" s="38">
        <f t="shared" si="24"/>
        <v>135.28571428571428</v>
      </c>
      <c r="AW351" s="180"/>
      <c r="AX351" s="180"/>
      <c r="AY351" s="77" t="str">
        <f>IF(D351&lt;&gt;"",IF(LEFT(IFERROR(VLOOKUP(D351,'LPA Lookup'!$A$100:$B$470,2,FALSE),"LPA not known to MCLHG"),3)&lt;&gt;"JSP",IFERROR(VLOOKUP(D351,'LPA Lookup'!$A$100:$B$470,2,FALSE),"LPA not known to MCLHG"),VLOOKUP(D351&amp;B351,#REF!,3,FALSE)),"")</f>
        <v>E07000210</v>
      </c>
      <c r="AZ351" s="41" t="str">
        <f t="shared" si="23"/>
        <v>Feb 22</v>
      </c>
      <c r="BA351" s="41" t="str">
        <f t="shared" ref="BA351:BA414" si="25">TEXT(AO351,"MMM YY")</f>
        <v>Sep 24</v>
      </c>
    </row>
    <row r="352" spans="1:53" ht="14" x14ac:dyDescent="0.15">
      <c r="A352" s="35" t="s">
        <v>53</v>
      </c>
      <c r="B352" s="170">
        <v>2000</v>
      </c>
      <c r="C352" s="180" t="s">
        <v>54</v>
      </c>
      <c r="D352" s="180" t="s">
        <v>689</v>
      </c>
      <c r="E352" s="180" t="s">
        <v>530</v>
      </c>
      <c r="F352" s="180" t="s">
        <v>80</v>
      </c>
      <c r="G352" s="180">
        <v>2</v>
      </c>
      <c r="H352" s="190">
        <v>44298</v>
      </c>
      <c r="I352" s="180"/>
      <c r="J352" s="190">
        <v>44642</v>
      </c>
      <c r="K352" s="180"/>
      <c r="L352" s="180"/>
      <c r="M352" s="190">
        <v>44662</v>
      </c>
      <c r="N352" s="190"/>
      <c r="O352" s="190">
        <v>44873</v>
      </c>
      <c r="P352" s="180"/>
      <c r="Q352" s="190">
        <v>44880</v>
      </c>
      <c r="R352" s="180"/>
      <c r="S352" s="180">
        <v>0</v>
      </c>
      <c r="T352" s="180">
        <v>0</v>
      </c>
      <c r="U352" s="180">
        <v>0</v>
      </c>
      <c r="V352" s="180">
        <v>0</v>
      </c>
      <c r="W352" s="180">
        <v>0</v>
      </c>
      <c r="X352" s="180">
        <v>25.03</v>
      </c>
      <c r="Y352" s="180">
        <v>2.41</v>
      </c>
      <c r="Z352" s="180">
        <v>0</v>
      </c>
      <c r="AA352" s="180">
        <v>0.47</v>
      </c>
      <c r="AB352" s="180">
        <v>2.2200000000000002</v>
      </c>
      <c r="AC352" s="180">
        <v>0</v>
      </c>
      <c r="AD352" s="180">
        <v>15.66</v>
      </c>
      <c r="AE352" s="198">
        <v>45.79</v>
      </c>
      <c r="AF352" s="180"/>
      <c r="AG352" s="190">
        <v>45223</v>
      </c>
      <c r="AH352" s="180"/>
      <c r="AI352" s="190">
        <v>45184</v>
      </c>
      <c r="AJ352" s="180"/>
      <c r="AK352" s="190">
        <v>45216</v>
      </c>
      <c r="AL352" s="180"/>
      <c r="AM352" s="190">
        <v>45222</v>
      </c>
      <c r="AN352" s="180"/>
      <c r="AO352" s="190">
        <v>45230</v>
      </c>
      <c r="AP352" s="180"/>
      <c r="AQ352" s="190">
        <v>45359</v>
      </c>
      <c r="AR352" s="180"/>
      <c r="AS352" s="190"/>
      <c r="AT352" s="180"/>
      <c r="AU352" s="180" t="s">
        <v>59</v>
      </c>
      <c r="AV352" s="38">
        <f t="shared" si="24"/>
        <v>84</v>
      </c>
      <c r="AW352" s="180"/>
      <c r="AX352" s="63"/>
      <c r="AY352" s="77" t="str">
        <f>IF(D352&lt;&gt;"",IF(LEFT(IFERROR(VLOOKUP(D352,'LPA Lookup'!$A$100:$B$470,2,FALSE),"LPA not known to MCLHG"),3)&lt;&gt;"JSP",IFERROR(VLOOKUP(D352,'LPA Lookup'!$A$100:$B$470,2,FALSE),"LPA not known to MCLHG"),VLOOKUP(D352&amp;B352,#REF!,3,FALSE)),"")</f>
        <v>LPA not known to MCLHG</v>
      </c>
      <c r="AZ352" s="115" t="str">
        <f t="shared" si="23"/>
        <v>Mar 22</v>
      </c>
      <c r="BA352" s="115" t="str">
        <f t="shared" si="25"/>
        <v>Oct 23</v>
      </c>
    </row>
    <row r="353" spans="1:53" ht="28" x14ac:dyDescent="0.15">
      <c r="A353" s="35" t="s">
        <v>53</v>
      </c>
      <c r="B353" s="170">
        <v>2105</v>
      </c>
      <c r="C353" s="180" t="s">
        <v>71</v>
      </c>
      <c r="D353" s="180" t="s">
        <v>111</v>
      </c>
      <c r="E353" s="180" t="s">
        <v>92</v>
      </c>
      <c r="F353" s="180" t="s">
        <v>57</v>
      </c>
      <c r="G353" s="180">
        <v>3</v>
      </c>
      <c r="H353" s="190">
        <v>44410</v>
      </c>
      <c r="I353" s="180"/>
      <c r="J353" s="190">
        <v>44649</v>
      </c>
      <c r="K353" s="180"/>
      <c r="L353" s="180"/>
      <c r="M353" s="190">
        <v>44657</v>
      </c>
      <c r="N353" s="190"/>
      <c r="O353" s="190">
        <v>44901</v>
      </c>
      <c r="P353" s="180" t="s">
        <v>690</v>
      </c>
      <c r="Q353" s="190">
        <v>45538</v>
      </c>
      <c r="R353" s="180"/>
      <c r="S353" s="180">
        <v>0</v>
      </c>
      <c r="T353" s="180">
        <v>0</v>
      </c>
      <c r="U353" s="180">
        <v>0</v>
      </c>
      <c r="V353" s="180">
        <v>0</v>
      </c>
      <c r="W353" s="180">
        <v>0</v>
      </c>
      <c r="X353" s="180">
        <v>158.16</v>
      </c>
      <c r="Y353" s="180">
        <v>22.03</v>
      </c>
      <c r="Z353" s="180">
        <v>0</v>
      </c>
      <c r="AA353" s="180">
        <v>3.32</v>
      </c>
      <c r="AB353" s="180">
        <v>5.19</v>
      </c>
      <c r="AC353" s="180">
        <v>0</v>
      </c>
      <c r="AD353" s="180" t="s">
        <v>691</v>
      </c>
      <c r="AE353" s="198">
        <v>188.7</v>
      </c>
      <c r="AF353" s="180"/>
      <c r="AG353" s="190">
        <v>45698</v>
      </c>
      <c r="AH353" s="180"/>
      <c r="AI353" s="190">
        <v>45691</v>
      </c>
      <c r="AJ353" s="180"/>
      <c r="AK353" s="190">
        <v>45327</v>
      </c>
      <c r="AL353" s="180"/>
      <c r="AM353" s="190">
        <v>45694</v>
      </c>
      <c r="AN353" s="180"/>
      <c r="AO353" s="190">
        <v>45709</v>
      </c>
      <c r="AP353" s="180"/>
      <c r="AQ353" s="190">
        <v>45743</v>
      </c>
      <c r="AR353" s="180"/>
      <c r="AS353" s="190"/>
      <c r="AT353" s="180"/>
      <c r="AU353" s="180" t="s">
        <v>59</v>
      </c>
      <c r="AV353" s="38">
        <f>DATEDIF(J353,AO353, "d")/7</f>
        <v>151.42857142857142</v>
      </c>
      <c r="AW353" s="180"/>
      <c r="AX353" s="180"/>
      <c r="AY353" s="77" t="str">
        <f>IF(D353&lt;&gt;"",IF(LEFT(IFERROR(VLOOKUP(D353,'LPA Lookup'!$A$100:$B$470,2,FALSE),"LPA not known to MCLHG"),3)&lt;&gt;"JSP",IFERROR(VLOOKUP(D353,'LPA Lookup'!$A$100:$B$470,2,FALSE),"LPA not known to MCLHG"),VLOOKUP(D353&amp;B353,#REF!,3,FALSE)),"")</f>
        <v>E07000146</v>
      </c>
      <c r="AZ353" s="115" t="str">
        <f t="shared" si="23"/>
        <v>Mar 22</v>
      </c>
      <c r="BA353" s="115" t="str">
        <f t="shared" si="25"/>
        <v>Feb 25</v>
      </c>
    </row>
    <row r="354" spans="1:53" ht="14" x14ac:dyDescent="0.15">
      <c r="A354" s="35" t="s">
        <v>53</v>
      </c>
      <c r="B354" s="111">
        <v>2125</v>
      </c>
      <c r="C354" s="61" t="s">
        <v>61</v>
      </c>
      <c r="D354" s="61" t="s">
        <v>248</v>
      </c>
      <c r="E354" s="61" t="s">
        <v>692</v>
      </c>
      <c r="F354" s="61" t="s">
        <v>57</v>
      </c>
      <c r="G354" s="61">
        <v>3</v>
      </c>
      <c r="H354" s="62">
        <v>44498</v>
      </c>
      <c r="I354" s="61"/>
      <c r="J354" s="62">
        <v>44651</v>
      </c>
      <c r="K354" s="61"/>
      <c r="L354" s="61"/>
      <c r="M354" s="62">
        <v>44663</v>
      </c>
      <c r="N354" s="62"/>
      <c r="O354" s="62">
        <v>44810</v>
      </c>
      <c r="P354" s="61"/>
      <c r="Q354" s="62">
        <v>45086</v>
      </c>
      <c r="R354" s="61"/>
      <c r="S354" s="61">
        <v>0</v>
      </c>
      <c r="T354" s="61">
        <v>0</v>
      </c>
      <c r="U354" s="61">
        <v>0</v>
      </c>
      <c r="V354" s="61">
        <v>0</v>
      </c>
      <c r="W354" s="61">
        <v>0</v>
      </c>
      <c r="X354" s="61">
        <v>63.24</v>
      </c>
      <c r="Y354" s="61">
        <v>18.38</v>
      </c>
      <c r="Z354" s="61">
        <v>0</v>
      </c>
      <c r="AA354" s="61">
        <v>3.08</v>
      </c>
      <c r="AB354" s="61">
        <v>5.51</v>
      </c>
      <c r="AC354" s="61">
        <v>0</v>
      </c>
      <c r="AD354" s="61">
        <v>44.5</v>
      </c>
      <c r="AE354" s="48">
        <v>134.71</v>
      </c>
      <c r="AF354" s="61"/>
      <c r="AG354" s="62">
        <v>45358</v>
      </c>
      <c r="AH354" s="61"/>
      <c r="AI354" s="62">
        <v>45343</v>
      </c>
      <c r="AJ354" s="61"/>
      <c r="AK354" s="62">
        <v>45355</v>
      </c>
      <c r="AL354" s="61"/>
      <c r="AM354" s="62">
        <v>45357</v>
      </c>
      <c r="AN354" s="61"/>
      <c r="AO354" s="62">
        <v>45359</v>
      </c>
      <c r="AP354" s="61"/>
      <c r="AQ354" s="62">
        <v>45371</v>
      </c>
      <c r="AR354" s="61"/>
      <c r="AS354" s="62"/>
      <c r="AT354" s="61"/>
      <c r="AU354" s="61" t="s">
        <v>59</v>
      </c>
      <c r="AV354" s="38">
        <f t="shared" ref="AV354:AV362" si="26">SUM(AO354-J354)/7</f>
        <v>101.14285714285714</v>
      </c>
      <c r="AW354" s="61"/>
      <c r="AX354" s="69"/>
      <c r="AY354" s="77" t="str">
        <f>IF(D354&lt;&gt;"",IF(LEFT(IFERROR(VLOOKUP(D354,'LPA Lookup'!$A$100:$B$470,2,FALSE),"LPA not known to MCLHG"),3)&lt;&gt;"JSP",IFERROR(VLOOKUP(D354,'LPA Lookup'!$A$100:$B$470,2,FALSE),"LPA not known to MCLHG"),VLOOKUP(D354&amp;B354,#REF!,3,FALSE)),"")</f>
        <v>E07000110</v>
      </c>
      <c r="AZ354" s="115" t="str">
        <f t="shared" si="23"/>
        <v>Mar 22</v>
      </c>
      <c r="BA354" s="115" t="str">
        <f t="shared" si="25"/>
        <v>Mar 24</v>
      </c>
    </row>
    <row r="355" spans="1:53" ht="28" x14ac:dyDescent="0.15">
      <c r="A355" s="35" t="s">
        <v>53</v>
      </c>
      <c r="B355" s="170">
        <v>2268</v>
      </c>
      <c r="C355" s="47" t="s">
        <v>83</v>
      </c>
      <c r="D355" s="61" t="s">
        <v>248</v>
      </c>
      <c r="E355" s="180" t="s">
        <v>693</v>
      </c>
      <c r="F355" s="180" t="s">
        <v>102</v>
      </c>
      <c r="G355" s="180">
        <v>3</v>
      </c>
      <c r="H355" s="190">
        <v>44592</v>
      </c>
      <c r="I355" s="180"/>
      <c r="J355" s="190">
        <v>44651</v>
      </c>
      <c r="K355" s="180"/>
      <c r="L355" s="180"/>
      <c r="M355" s="190">
        <v>44672</v>
      </c>
      <c r="N355" s="190"/>
      <c r="O355" s="190">
        <v>44838</v>
      </c>
      <c r="P355" s="180"/>
      <c r="Q355" s="190">
        <v>44841</v>
      </c>
      <c r="R355" s="180"/>
      <c r="S355" s="180">
        <v>0</v>
      </c>
      <c r="T355" s="180">
        <v>0</v>
      </c>
      <c r="U355" s="180">
        <v>0</v>
      </c>
      <c r="V355" s="180">
        <v>0</v>
      </c>
      <c r="W355" s="180">
        <v>0</v>
      </c>
      <c r="X355" s="180">
        <v>17.46</v>
      </c>
      <c r="Y355" s="180">
        <v>3.51</v>
      </c>
      <c r="Z355" s="180">
        <v>0</v>
      </c>
      <c r="AA355" s="180">
        <v>0</v>
      </c>
      <c r="AB355" s="180">
        <v>0</v>
      </c>
      <c r="AC355" s="180">
        <v>0</v>
      </c>
      <c r="AD355" s="180">
        <v>16.62</v>
      </c>
      <c r="AE355" s="198">
        <v>37.590000000000003</v>
      </c>
      <c r="AF355" s="180"/>
      <c r="AG355" s="190">
        <v>45618</v>
      </c>
      <c r="AH355" s="180"/>
      <c r="AI355" s="190">
        <v>45580</v>
      </c>
      <c r="AJ355" s="180"/>
      <c r="AK355" s="190">
        <v>45615</v>
      </c>
      <c r="AL355" s="180"/>
      <c r="AM355" s="190">
        <v>45617</v>
      </c>
      <c r="AN355" s="180"/>
      <c r="AO355" s="190">
        <v>45628</v>
      </c>
      <c r="AP355" s="180"/>
      <c r="AQ355" s="190">
        <v>45679</v>
      </c>
      <c r="AR355" s="180"/>
      <c r="AS355" s="190"/>
      <c r="AT355" s="180"/>
      <c r="AU355" s="180" t="s">
        <v>59</v>
      </c>
      <c r="AV355" s="38">
        <f t="shared" si="26"/>
        <v>139.57142857142858</v>
      </c>
      <c r="AW355" s="180"/>
      <c r="AX355" s="63"/>
      <c r="AY355" s="77" t="str">
        <f>IF(D355&lt;&gt;"",IF(LEFT(IFERROR(VLOOKUP(D355,'LPA Lookup'!$A$100:$B$470,2,FALSE),"LPA not known to MCLHG"),3)&lt;&gt;"JSP",IFERROR(VLOOKUP(D355,'LPA Lookup'!$A$100:$B$470,2,FALSE),"LPA not known to MCLHG"),VLOOKUP(D355&amp;B355,#REF!,3,FALSE)),"")</f>
        <v>E07000110</v>
      </c>
      <c r="AZ355" s="41" t="str">
        <f t="shared" si="23"/>
        <v>Mar 22</v>
      </c>
      <c r="BA355" s="41" t="str">
        <f t="shared" si="25"/>
        <v>Dec 24</v>
      </c>
    </row>
    <row r="356" spans="1:53" ht="28" x14ac:dyDescent="0.15">
      <c r="A356" s="35" t="s">
        <v>53</v>
      </c>
      <c r="B356" s="111">
        <v>2258</v>
      </c>
      <c r="C356" s="29" t="s">
        <v>83</v>
      </c>
      <c r="D356" s="61" t="s">
        <v>478</v>
      </c>
      <c r="E356" s="61" t="s">
        <v>694</v>
      </c>
      <c r="F356" s="61" t="s">
        <v>57</v>
      </c>
      <c r="G356" s="61">
        <v>3</v>
      </c>
      <c r="H356" s="62">
        <v>44592</v>
      </c>
      <c r="I356" s="61"/>
      <c r="J356" s="62">
        <v>44651</v>
      </c>
      <c r="K356" s="61"/>
      <c r="L356" s="61"/>
      <c r="M356" s="62">
        <v>44672</v>
      </c>
      <c r="N356" s="62"/>
      <c r="O356" s="62">
        <v>44838</v>
      </c>
      <c r="P356" s="61"/>
      <c r="Q356" s="62">
        <v>44841</v>
      </c>
      <c r="R356" s="61"/>
      <c r="S356" s="61">
        <v>0</v>
      </c>
      <c r="T356" s="61">
        <v>0</v>
      </c>
      <c r="U356" s="61">
        <v>0</v>
      </c>
      <c r="V356" s="61">
        <v>0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0</v>
      </c>
      <c r="AE356" s="48">
        <v>0</v>
      </c>
      <c r="AF356" s="61"/>
      <c r="AG356" s="62">
        <v>45618</v>
      </c>
      <c r="AH356" s="61"/>
      <c r="AI356" s="62">
        <v>45580</v>
      </c>
      <c r="AJ356" s="61"/>
      <c r="AK356" s="62">
        <v>45615</v>
      </c>
      <c r="AL356" s="61"/>
      <c r="AM356" s="62">
        <v>45617</v>
      </c>
      <c r="AN356" s="61"/>
      <c r="AO356" s="62">
        <v>45628</v>
      </c>
      <c r="AP356" s="61"/>
      <c r="AQ356" s="62">
        <v>45679</v>
      </c>
      <c r="AR356" s="61"/>
      <c r="AS356" s="62"/>
      <c r="AT356" s="61"/>
      <c r="AU356" s="61" t="s">
        <v>59</v>
      </c>
      <c r="AV356" s="38">
        <f t="shared" si="26"/>
        <v>139.57142857142858</v>
      </c>
      <c r="AW356" s="61"/>
      <c r="AX356" s="69"/>
      <c r="AY356" s="77" t="str">
        <f>IF(D356&lt;&gt;"",IF(LEFT(IFERROR(VLOOKUP(D356,'LPA Lookup'!$A$100:$B$470,2,FALSE),"LPA not known to MCLHG"),3)&lt;&gt;"JSP",IFERROR(VLOOKUP(D356,'LPA Lookup'!$A$100:$B$470,2,FALSE),"LPA not known to MCLHG"),VLOOKUP(D356&amp;B356,#REF!,3,FALSE)),"")</f>
        <v>E07000121</v>
      </c>
      <c r="AZ356" s="41" t="str">
        <f t="shared" si="23"/>
        <v>Mar 22</v>
      </c>
      <c r="BA356" s="41" t="str">
        <f t="shared" si="25"/>
        <v>Dec 24</v>
      </c>
    </row>
    <row r="357" spans="1:53" ht="14" x14ac:dyDescent="0.15">
      <c r="A357" s="35" t="s">
        <v>53</v>
      </c>
      <c r="B357" s="247">
        <v>2092</v>
      </c>
      <c r="C357" s="27" t="s">
        <v>83</v>
      </c>
      <c r="D357" s="251" t="s">
        <v>695</v>
      </c>
      <c r="E357" s="253" t="s">
        <v>696</v>
      </c>
      <c r="F357" s="251" t="s">
        <v>57</v>
      </c>
      <c r="G357" s="251">
        <v>3</v>
      </c>
      <c r="H357" s="255">
        <v>43570</v>
      </c>
      <c r="I357" s="251"/>
      <c r="J357" s="259">
        <v>44673</v>
      </c>
      <c r="K357" s="251"/>
      <c r="L357" s="251"/>
      <c r="M357" s="259">
        <v>44687</v>
      </c>
      <c r="N357" s="259"/>
      <c r="O357" s="259">
        <v>44810</v>
      </c>
      <c r="P357" s="251"/>
      <c r="Q357" s="259">
        <v>45120</v>
      </c>
      <c r="R357" s="251"/>
      <c r="S357" s="251"/>
      <c r="T357" s="251"/>
      <c r="U357" s="251"/>
      <c r="V357" s="251"/>
      <c r="W357" s="251"/>
      <c r="X357" s="251">
        <v>57.63</v>
      </c>
      <c r="Y357" s="251">
        <v>17.350000000000001</v>
      </c>
      <c r="Z357" s="247">
        <v>0</v>
      </c>
      <c r="AA357" s="247">
        <v>3.96</v>
      </c>
      <c r="AB357" s="251">
        <v>5.08</v>
      </c>
      <c r="AC357" s="251">
        <v>0</v>
      </c>
      <c r="AD357" s="251">
        <v>55.46</v>
      </c>
      <c r="AE357" s="266">
        <v>139.47999999999999</v>
      </c>
      <c r="AF357" s="251"/>
      <c r="AG357" s="259">
        <v>45217</v>
      </c>
      <c r="AH357" s="251"/>
      <c r="AI357" s="259">
        <v>45203</v>
      </c>
      <c r="AJ357" s="251"/>
      <c r="AK357" s="259">
        <v>45208</v>
      </c>
      <c r="AL357" s="251"/>
      <c r="AM357" s="259">
        <v>45217</v>
      </c>
      <c r="AN357" s="251"/>
      <c r="AO357" s="259">
        <v>45222</v>
      </c>
      <c r="AP357" s="251"/>
      <c r="AQ357" s="259">
        <v>45264</v>
      </c>
      <c r="AR357" s="251"/>
      <c r="AS357" s="259"/>
      <c r="AT357" s="251"/>
      <c r="AU357" s="251" t="s">
        <v>59</v>
      </c>
      <c r="AV357" s="38">
        <f t="shared" si="26"/>
        <v>78.428571428571431</v>
      </c>
      <c r="AW357" s="274">
        <f>SUM(AO357-Q357)/7</f>
        <v>14.571428571428571</v>
      </c>
      <c r="AX357" s="136"/>
      <c r="AY357" s="77" t="str">
        <f>IF(D357&lt;&gt;"",IF(LEFT(IFERROR(VLOOKUP(D357,'LPA Lookup'!$A$100:$B$470,2,FALSE),"LPA not known to MCLHG"),3)&lt;&gt;"JSP",IFERROR(VLOOKUP(D357,'LPA Lookup'!$A$100:$B$470,2,FALSE),"LPA not known to MCLHG"),VLOOKUP(D357&amp;B357,#REF!,3,FALSE)),"")</f>
        <v>E06000007</v>
      </c>
      <c r="AZ357" s="115" t="str">
        <f t="shared" si="23"/>
        <v>Apr 22</v>
      </c>
      <c r="BA357" s="115" t="str">
        <f t="shared" si="25"/>
        <v>Oct 23</v>
      </c>
    </row>
    <row r="358" spans="1:53" ht="28" x14ac:dyDescent="0.15">
      <c r="A358" s="35" t="s">
        <v>53</v>
      </c>
      <c r="B358" s="111">
        <v>2248</v>
      </c>
      <c r="C358" s="27" t="s">
        <v>83</v>
      </c>
      <c r="D358" s="61" t="s">
        <v>697</v>
      </c>
      <c r="E358" s="61" t="s">
        <v>698</v>
      </c>
      <c r="F358" s="61" t="s">
        <v>57</v>
      </c>
      <c r="G358" s="61">
        <v>3</v>
      </c>
      <c r="H358" s="62">
        <v>44530</v>
      </c>
      <c r="I358" s="61"/>
      <c r="J358" s="62">
        <v>44676</v>
      </c>
      <c r="K358" s="61"/>
      <c r="L358" s="61" t="s">
        <v>699</v>
      </c>
      <c r="M358" s="62">
        <v>44690</v>
      </c>
      <c r="N358" s="62"/>
      <c r="O358" s="62">
        <v>44831</v>
      </c>
      <c r="P358" s="61" t="s">
        <v>700</v>
      </c>
      <c r="Q358" s="62">
        <v>44832</v>
      </c>
      <c r="R358" s="61"/>
      <c r="S358" s="61">
        <v>0</v>
      </c>
      <c r="T358" s="61">
        <v>0</v>
      </c>
      <c r="U358" s="61">
        <v>0</v>
      </c>
      <c r="V358" s="61">
        <v>0</v>
      </c>
      <c r="W358" s="61">
        <v>0</v>
      </c>
      <c r="X358" s="61">
        <v>6.19</v>
      </c>
      <c r="Y358" s="61">
        <v>0.72</v>
      </c>
      <c r="Z358" s="61">
        <v>0</v>
      </c>
      <c r="AA358" s="61">
        <v>0</v>
      </c>
      <c r="AB358" s="61">
        <v>0.88</v>
      </c>
      <c r="AC358" s="61">
        <v>0</v>
      </c>
      <c r="AD358" s="61">
        <v>3.19</v>
      </c>
      <c r="AE358" s="48">
        <v>47.12</v>
      </c>
      <c r="AF358" s="61"/>
      <c r="AG358" s="62">
        <v>44914</v>
      </c>
      <c r="AH358" s="61"/>
      <c r="AI358" s="62">
        <v>44899</v>
      </c>
      <c r="AJ358" s="61"/>
      <c r="AK358" s="62">
        <v>44900</v>
      </c>
      <c r="AL358" s="61"/>
      <c r="AM358" s="62">
        <v>44914</v>
      </c>
      <c r="AN358" s="61"/>
      <c r="AO358" s="62">
        <v>44915</v>
      </c>
      <c r="AP358" s="61"/>
      <c r="AQ358" s="62">
        <v>44952</v>
      </c>
      <c r="AR358" s="61"/>
      <c r="AS358" s="62"/>
      <c r="AT358" s="61"/>
      <c r="AU358" s="61" t="s">
        <v>59</v>
      </c>
      <c r="AV358" s="38">
        <f t="shared" si="26"/>
        <v>34.142857142857146</v>
      </c>
      <c r="AW358" s="61"/>
      <c r="AX358" s="69"/>
      <c r="AY358" s="77" t="str">
        <f>IF(D358&lt;&gt;"",IF(LEFT(IFERROR(VLOOKUP(D358,'LPA Lookup'!$A$100:$B$470,2,FALSE),"LPA not known to MCLHG"),3)&lt;&gt;"JSP",IFERROR(VLOOKUP(D358,'LPA Lookup'!$A$100:$B$470,2,FALSE),"LPA not known to MCLHG"),VLOOKUP(D358&amp;B358,#REF!,3,FALSE)),"")</f>
        <v>LPA not known to MCLHG</v>
      </c>
      <c r="AZ358" s="41" t="str">
        <f t="shared" si="23"/>
        <v>Apr 22</v>
      </c>
      <c r="BA358" s="41" t="str">
        <f t="shared" si="25"/>
        <v>Dec 22</v>
      </c>
    </row>
    <row r="359" spans="1:53" ht="36.75" customHeight="1" x14ac:dyDescent="0.15">
      <c r="A359" s="35" t="s">
        <v>53</v>
      </c>
      <c r="B359" s="170">
        <v>2266</v>
      </c>
      <c r="C359" s="180" t="s">
        <v>90</v>
      </c>
      <c r="D359" s="180" t="s">
        <v>91</v>
      </c>
      <c r="E359" s="187" t="s">
        <v>92</v>
      </c>
      <c r="F359" s="180" t="s">
        <v>57</v>
      </c>
      <c r="G359" s="180">
        <v>3</v>
      </c>
      <c r="H359" s="194">
        <v>44571</v>
      </c>
      <c r="I359" s="63"/>
      <c r="J359" s="190">
        <v>44680</v>
      </c>
      <c r="K359" s="63"/>
      <c r="L359" s="180"/>
      <c r="M359" s="190">
        <v>44699</v>
      </c>
      <c r="N359" s="64"/>
      <c r="O359" s="190">
        <v>44880</v>
      </c>
      <c r="P359" s="180" t="s">
        <v>701</v>
      </c>
      <c r="Q359" s="190">
        <v>44894</v>
      </c>
      <c r="R359" s="63"/>
      <c r="S359" s="63">
        <v>0</v>
      </c>
      <c r="T359" s="180">
        <v>0</v>
      </c>
      <c r="U359" s="180">
        <v>0</v>
      </c>
      <c r="V359" s="180">
        <v>0</v>
      </c>
      <c r="W359" s="180">
        <v>0</v>
      </c>
      <c r="X359" s="180">
        <v>35.54</v>
      </c>
      <c r="Y359" s="180">
        <v>4.04</v>
      </c>
      <c r="Z359" s="170">
        <v>0</v>
      </c>
      <c r="AA359" s="170">
        <v>0.5</v>
      </c>
      <c r="AB359" s="180">
        <v>8.09</v>
      </c>
      <c r="AC359" s="180">
        <v>0</v>
      </c>
      <c r="AD359" s="180">
        <v>42.15</v>
      </c>
      <c r="AE359" s="198">
        <v>90.32</v>
      </c>
      <c r="AF359" s="180"/>
      <c r="AG359" s="190">
        <v>45098</v>
      </c>
      <c r="AH359" s="63"/>
      <c r="AI359" s="190">
        <v>45086</v>
      </c>
      <c r="AJ359" s="63"/>
      <c r="AK359" s="190">
        <v>45093</v>
      </c>
      <c r="AL359" s="63"/>
      <c r="AM359" s="190">
        <v>45098</v>
      </c>
      <c r="AN359" s="63"/>
      <c r="AO359" s="190">
        <v>45100</v>
      </c>
      <c r="AP359" s="63"/>
      <c r="AQ359" s="190">
        <v>45126</v>
      </c>
      <c r="AR359" s="180"/>
      <c r="AS359" s="190"/>
      <c r="AT359" s="63"/>
      <c r="AU359" s="180" t="s">
        <v>59</v>
      </c>
      <c r="AV359" s="38">
        <f t="shared" si="26"/>
        <v>60</v>
      </c>
      <c r="AW359" s="180"/>
      <c r="AX359" s="63"/>
      <c r="AY359" s="77" t="str">
        <f>IF(D359&lt;&gt;"",IF(LEFT(IFERROR(VLOOKUP(D359,'LPA Lookup'!$A$100:$B$470,2,FALSE),"LPA not known to MCLHG"),3)&lt;&gt;"JSP",IFERROR(VLOOKUP(D359,'LPA Lookup'!$A$100:$B$470,2,FALSE),"LPA not known to MCLHG"),VLOOKUP(D359&amp;B359,#REF!,3,FALSE)),"")</f>
        <v>E09000032</v>
      </c>
      <c r="AZ359" s="115" t="str">
        <f t="shared" si="23"/>
        <v>Apr 22</v>
      </c>
      <c r="BA359" s="115" t="str">
        <f t="shared" si="25"/>
        <v>Jun 23</v>
      </c>
    </row>
    <row r="360" spans="1:53" ht="28" x14ac:dyDescent="0.15">
      <c r="A360" s="35" t="s">
        <v>53</v>
      </c>
      <c r="B360" s="170">
        <v>2264</v>
      </c>
      <c r="C360" s="180" t="s">
        <v>61</v>
      </c>
      <c r="D360" s="180" t="s">
        <v>702</v>
      </c>
      <c r="E360" s="180" t="s">
        <v>703</v>
      </c>
      <c r="F360" s="180" t="s">
        <v>80</v>
      </c>
      <c r="G360" s="180">
        <v>2</v>
      </c>
      <c r="H360" s="190">
        <v>44498</v>
      </c>
      <c r="I360" s="180"/>
      <c r="J360" s="190">
        <v>44694</v>
      </c>
      <c r="K360" s="180"/>
      <c r="L360" s="180"/>
      <c r="M360" s="190">
        <v>44732</v>
      </c>
      <c r="N360" s="190"/>
      <c r="O360" s="190">
        <v>44873</v>
      </c>
      <c r="P360" s="180"/>
      <c r="Q360" s="190">
        <v>44874</v>
      </c>
      <c r="R360" s="180"/>
      <c r="S360" s="180">
        <v>0</v>
      </c>
      <c r="T360" s="180">
        <v>0</v>
      </c>
      <c r="U360" s="180">
        <v>0</v>
      </c>
      <c r="V360" s="180">
        <v>0</v>
      </c>
      <c r="W360" s="180">
        <v>0</v>
      </c>
      <c r="X360" s="180">
        <v>13.12</v>
      </c>
      <c r="Y360" s="180">
        <v>1.49</v>
      </c>
      <c r="Z360" s="180">
        <v>0</v>
      </c>
      <c r="AA360" s="180">
        <v>0</v>
      </c>
      <c r="AB360" s="180">
        <v>1.76</v>
      </c>
      <c r="AC360" s="180">
        <v>0</v>
      </c>
      <c r="AD360" s="180">
        <v>12.88</v>
      </c>
      <c r="AE360" s="198">
        <v>29.25</v>
      </c>
      <c r="AF360" s="180"/>
      <c r="AG360" s="190">
        <v>45378</v>
      </c>
      <c r="AH360" s="180"/>
      <c r="AI360" s="190">
        <v>45350</v>
      </c>
      <c r="AJ360" s="180"/>
      <c r="AK360" s="190">
        <v>45369</v>
      </c>
      <c r="AL360" s="180"/>
      <c r="AM360" s="190">
        <v>45377</v>
      </c>
      <c r="AN360" s="180"/>
      <c r="AO360" s="190">
        <v>45385</v>
      </c>
      <c r="AP360" s="180"/>
      <c r="AQ360" s="190">
        <v>45589</v>
      </c>
      <c r="AR360" s="180"/>
      <c r="AS360" s="190"/>
      <c r="AT360" s="180"/>
      <c r="AU360" s="180" t="s">
        <v>59</v>
      </c>
      <c r="AV360" s="38">
        <f t="shared" si="26"/>
        <v>98.714285714285708</v>
      </c>
      <c r="AW360" s="180"/>
      <c r="AX360" s="63"/>
      <c r="AY360" s="77" t="str">
        <f>IF(D360&lt;&gt;"",IF(LEFT(IFERROR(VLOOKUP(D360,'LPA Lookup'!$A$100:$B$470,2,FALSE),"LPA not known to MCLHG"),3)&lt;&gt;"JSP",IFERROR(VLOOKUP(D360,'LPA Lookup'!$A$100:$B$470,2,FALSE),"LPA not known to MCLHG"),VLOOKUP(D360&amp;B360,#REF!,3,FALSE)),"")</f>
        <v>LPA not known to MCLHG</v>
      </c>
      <c r="AZ360" s="115" t="str">
        <f t="shared" si="23"/>
        <v>May 22</v>
      </c>
      <c r="BA360" s="115" t="str">
        <f t="shared" si="25"/>
        <v>Apr 24</v>
      </c>
    </row>
    <row r="361" spans="1:53" ht="28" x14ac:dyDescent="0.15">
      <c r="A361" s="35" t="s">
        <v>53</v>
      </c>
      <c r="B361" s="170">
        <v>2265</v>
      </c>
      <c r="C361" s="180" t="s">
        <v>61</v>
      </c>
      <c r="D361" s="180" t="s">
        <v>420</v>
      </c>
      <c r="E361" s="187" t="s">
        <v>704</v>
      </c>
      <c r="F361" s="180" t="s">
        <v>136</v>
      </c>
      <c r="G361" s="180">
        <v>2</v>
      </c>
      <c r="H361" s="194">
        <v>44568</v>
      </c>
      <c r="I361" s="180"/>
      <c r="J361" s="190">
        <v>44729</v>
      </c>
      <c r="K361" s="180"/>
      <c r="L361" s="180"/>
      <c r="M361" s="190">
        <v>44732</v>
      </c>
      <c r="N361" s="190"/>
      <c r="O361" s="190">
        <v>44880</v>
      </c>
      <c r="P361" s="180"/>
      <c r="Q361" s="190">
        <v>44882</v>
      </c>
      <c r="R361" s="180"/>
      <c r="S361" s="180">
        <v>0</v>
      </c>
      <c r="T361" s="180">
        <v>0</v>
      </c>
      <c r="U361" s="180">
        <v>0</v>
      </c>
      <c r="V361" s="180">
        <v>0</v>
      </c>
      <c r="W361" s="180">
        <v>0</v>
      </c>
      <c r="X361" s="180">
        <v>8.6199999999999992</v>
      </c>
      <c r="Y361" s="180">
        <v>3</v>
      </c>
      <c r="Z361" s="170">
        <v>0</v>
      </c>
      <c r="AA361" s="170">
        <v>0</v>
      </c>
      <c r="AB361" s="180">
        <v>0.54</v>
      </c>
      <c r="AC361" s="180">
        <v>0</v>
      </c>
      <c r="AD361" s="180">
        <v>5.68</v>
      </c>
      <c r="AE361" s="198">
        <v>17.84</v>
      </c>
      <c r="AF361" s="180"/>
      <c r="AG361" s="190">
        <v>44979</v>
      </c>
      <c r="AH361" s="180"/>
      <c r="AI361" s="190">
        <v>44972</v>
      </c>
      <c r="AJ361" s="180"/>
      <c r="AK361" s="190">
        <v>44977</v>
      </c>
      <c r="AL361" s="180"/>
      <c r="AM361" s="190">
        <v>44979</v>
      </c>
      <c r="AN361" s="180"/>
      <c r="AO361" s="190">
        <v>44984</v>
      </c>
      <c r="AP361" s="180"/>
      <c r="AQ361" s="190">
        <v>45007</v>
      </c>
      <c r="AR361" s="180"/>
      <c r="AS361" s="190"/>
      <c r="AT361" s="180"/>
      <c r="AU361" s="180" t="s">
        <v>59</v>
      </c>
      <c r="AV361" s="38">
        <f t="shared" si="26"/>
        <v>36.428571428571431</v>
      </c>
      <c r="AW361" s="180"/>
      <c r="AX361" s="63"/>
      <c r="AY361" s="77" t="str">
        <f>IF(D361&lt;&gt;"",IF(LEFT(IFERROR(VLOOKUP(D361,'LPA Lookup'!$A$100:$B$470,2,FALSE),"LPA not known to MCLHG"),3)&lt;&gt;"JSP",IFERROR(VLOOKUP(D361,'LPA Lookup'!$A$100:$B$470,2,FALSE),"LPA not known to MCLHG"),VLOOKUP(D361&amp;B361,#REF!,3,FALSE)),"")</f>
        <v>E07000209</v>
      </c>
      <c r="AZ361" s="115" t="str">
        <f t="shared" si="23"/>
        <v>Jun 22</v>
      </c>
      <c r="BA361" s="115" t="str">
        <f t="shared" si="25"/>
        <v>Feb 23</v>
      </c>
    </row>
    <row r="362" spans="1:53" ht="14" x14ac:dyDescent="0.15">
      <c r="A362" s="35" t="s">
        <v>53</v>
      </c>
      <c r="B362" s="177">
        <v>2278</v>
      </c>
      <c r="C362" s="177" t="s">
        <v>54</v>
      </c>
      <c r="D362" s="61" t="s">
        <v>379</v>
      </c>
      <c r="E362" s="177" t="s">
        <v>705</v>
      </c>
      <c r="F362" s="61" t="s">
        <v>102</v>
      </c>
      <c r="G362" s="61">
        <v>2</v>
      </c>
      <c r="H362" s="245">
        <v>44589</v>
      </c>
      <c r="I362" s="115"/>
      <c r="J362" s="62">
        <v>44742</v>
      </c>
      <c r="K362" s="69"/>
      <c r="L362" s="61"/>
      <c r="M362" s="62">
        <v>44742</v>
      </c>
      <c r="N362" s="70"/>
      <c r="O362" s="62">
        <v>44861</v>
      </c>
      <c r="P362" s="61"/>
      <c r="Q362" s="62">
        <v>44861</v>
      </c>
      <c r="R362" s="69"/>
      <c r="S362" s="69">
        <v>0</v>
      </c>
      <c r="T362" s="61">
        <v>0</v>
      </c>
      <c r="U362" s="61">
        <v>0</v>
      </c>
      <c r="V362" s="61">
        <v>0</v>
      </c>
      <c r="W362" s="61">
        <v>0.41</v>
      </c>
      <c r="X362" s="61">
        <v>13.59</v>
      </c>
      <c r="Y362" s="61">
        <v>6.3</v>
      </c>
      <c r="Z362" s="177">
        <v>0</v>
      </c>
      <c r="AA362" s="177">
        <v>0.68</v>
      </c>
      <c r="AB362" s="177">
        <v>2.92</v>
      </c>
      <c r="AC362" s="177">
        <v>0</v>
      </c>
      <c r="AD362" s="177">
        <v>24.64</v>
      </c>
      <c r="AE362" s="48">
        <v>48.54</v>
      </c>
      <c r="AF362" s="177"/>
      <c r="AG362" s="245"/>
      <c r="AH362" s="115"/>
      <c r="AI362" s="245">
        <v>45254</v>
      </c>
      <c r="AJ362" s="115"/>
      <c r="AK362" s="245">
        <v>45264</v>
      </c>
      <c r="AL362" s="115"/>
      <c r="AM362" s="245">
        <v>45274</v>
      </c>
      <c r="AN362" s="115"/>
      <c r="AO362" s="245">
        <v>45278</v>
      </c>
      <c r="AP362" s="115"/>
      <c r="AQ362" s="245">
        <v>45309</v>
      </c>
      <c r="AR362" s="177"/>
      <c r="AS362" s="245"/>
      <c r="AT362" s="115"/>
      <c r="AU362" s="177" t="s">
        <v>59</v>
      </c>
      <c r="AV362" s="38">
        <f t="shared" si="26"/>
        <v>76.571428571428569</v>
      </c>
      <c r="AW362" s="177"/>
      <c r="AX362" s="115"/>
      <c r="AY362" s="77" t="str">
        <f>IF(D362&lt;&gt;"",IF(LEFT(IFERROR(VLOOKUP(D362,'LPA Lookup'!$A$100:$B$470,2,FALSE),"LPA not known to MCLHG"),3)&lt;&gt;"JSP",IFERROR(VLOOKUP(D362,'LPA Lookup'!$A$100:$B$470,2,FALSE),"LPA not known to MCLHG"),VLOOKUP(D362&amp;B362,#REF!,3,FALSE)),"")</f>
        <v>E07000219</v>
      </c>
      <c r="AZ362" s="115" t="str">
        <f t="shared" si="23"/>
        <v>Jun 22</v>
      </c>
      <c r="BA362" s="115" t="str">
        <f t="shared" si="25"/>
        <v>Dec 23</v>
      </c>
    </row>
    <row r="363" spans="1:53" ht="14" x14ac:dyDescent="0.15">
      <c r="A363" s="35" t="s">
        <v>53</v>
      </c>
      <c r="B363" s="127">
        <v>2152</v>
      </c>
      <c r="C363" s="71" t="s">
        <v>54</v>
      </c>
      <c r="D363" s="244" t="s">
        <v>490</v>
      </c>
      <c r="E363" s="71" t="s">
        <v>56</v>
      </c>
      <c r="F363" s="71" t="s">
        <v>57</v>
      </c>
      <c r="G363" s="71">
        <v>3</v>
      </c>
      <c r="H363" s="72">
        <v>44382</v>
      </c>
      <c r="I363" s="71"/>
      <c r="J363" s="258">
        <v>44742</v>
      </c>
      <c r="K363" s="244"/>
      <c r="L363" s="244"/>
      <c r="M363" s="72">
        <v>44750</v>
      </c>
      <c r="N363" s="72"/>
      <c r="O363" s="72"/>
      <c r="P363" s="71"/>
      <c r="Q363" s="72"/>
      <c r="R363" s="71"/>
      <c r="S363" s="71"/>
      <c r="T363" s="71"/>
      <c r="U363" s="71"/>
      <c r="V363" s="71"/>
      <c r="W363" s="71"/>
      <c r="X363" s="71">
        <v>15.61</v>
      </c>
      <c r="Y363" s="71"/>
      <c r="Z363" s="71"/>
      <c r="AA363" s="71"/>
      <c r="AB363" s="71"/>
      <c r="AC363" s="71"/>
      <c r="AD363" s="71"/>
      <c r="AE363" s="137">
        <f>AllPlans[[#This Row],[Prep days*]]+AllPlans[[#This Row],[Hearing days*]]+AllPlans[[#This Row],[SV days*]]+AllPlans[[#This Row],[Travel days]]+AllPlans[[#This Row],[Reptg days*]]</f>
        <v>15.61</v>
      </c>
      <c r="AF363" s="71"/>
      <c r="AG363" s="72"/>
      <c r="AH363" s="71"/>
      <c r="AI363" s="72"/>
      <c r="AJ363" s="71"/>
      <c r="AK363" s="72"/>
      <c r="AL363" s="71"/>
      <c r="AM363" s="72"/>
      <c r="AN363" s="71"/>
      <c r="AO363" s="72"/>
      <c r="AP363" s="71"/>
      <c r="AQ363" s="72"/>
      <c r="AR363" s="71"/>
      <c r="AS363" s="72">
        <v>45216</v>
      </c>
      <c r="AT363" s="71"/>
      <c r="AU363" s="71" t="s">
        <v>278</v>
      </c>
      <c r="AV363" s="38" t="e">
        <f>DATEDIF(J363,AO363, "d")/7</f>
        <v>#NUM!</v>
      </c>
      <c r="AW363" s="71"/>
      <c r="AX363" s="63"/>
      <c r="AY363" s="77" t="str">
        <f>IF(D363&lt;&gt;"",IF(LEFT(IFERROR(VLOOKUP(D363,'LPA Lookup'!$A$100:$B$470,2,FALSE),"LPA not known to MCLHG"),3)&lt;&gt;"JSP",IFERROR(VLOOKUP(D363,'LPA Lookup'!$A$100:$B$470,2,FALSE),"LPA not known to MCLHG"),VLOOKUP(D363&amp;B363,#REF!,3,FALSE)),"")</f>
        <v>E07000194</v>
      </c>
      <c r="AZ363" s="41" t="str">
        <f t="shared" si="23"/>
        <v>Jun 22</v>
      </c>
      <c r="BA363" s="41" t="str">
        <f t="shared" si="25"/>
        <v>Jan 00</v>
      </c>
    </row>
    <row r="364" spans="1:53" ht="28" x14ac:dyDescent="0.15">
      <c r="A364" s="35" t="s">
        <v>53</v>
      </c>
      <c r="B364" s="170">
        <v>2110</v>
      </c>
      <c r="C364" s="180" t="s">
        <v>104</v>
      </c>
      <c r="D364" s="180" t="s">
        <v>706</v>
      </c>
      <c r="E364" s="180" t="s">
        <v>707</v>
      </c>
      <c r="F364" s="180" t="s">
        <v>57</v>
      </c>
      <c r="G364" s="180">
        <v>3</v>
      </c>
      <c r="H364" s="190">
        <v>44636</v>
      </c>
      <c r="I364" s="180"/>
      <c r="J364" s="190">
        <v>44750</v>
      </c>
      <c r="K364" s="180"/>
      <c r="L364" s="180"/>
      <c r="M364" s="190">
        <v>44764</v>
      </c>
      <c r="N364" s="190"/>
      <c r="O364" s="190">
        <v>44880</v>
      </c>
      <c r="P364" s="180" t="s">
        <v>708</v>
      </c>
      <c r="Q364" s="190">
        <v>44911</v>
      </c>
      <c r="R364" s="180"/>
      <c r="S364" s="180">
        <v>0</v>
      </c>
      <c r="T364" s="180">
        <v>0</v>
      </c>
      <c r="U364" s="180">
        <v>0</v>
      </c>
      <c r="V364" s="180">
        <v>0</v>
      </c>
      <c r="W364" s="180">
        <v>0</v>
      </c>
      <c r="X364" s="180">
        <v>35.79</v>
      </c>
      <c r="Y364" s="180">
        <v>9.61</v>
      </c>
      <c r="Z364" s="180">
        <v>0</v>
      </c>
      <c r="AA364" s="180">
        <v>1.55</v>
      </c>
      <c r="AB364" s="180">
        <v>9.07</v>
      </c>
      <c r="AC364" s="180">
        <v>0</v>
      </c>
      <c r="AD364" s="180">
        <v>34.020000000000003</v>
      </c>
      <c r="AE364" s="198">
        <v>108.01</v>
      </c>
      <c r="AF364" s="180"/>
      <c r="AG364" s="190">
        <v>45009</v>
      </c>
      <c r="AH364" s="180"/>
      <c r="AI364" s="190">
        <v>44994</v>
      </c>
      <c r="AJ364" s="180"/>
      <c r="AK364" s="190">
        <v>45005</v>
      </c>
      <c r="AL364" s="180"/>
      <c r="AM364" s="190">
        <v>45009</v>
      </c>
      <c r="AN364" s="180"/>
      <c r="AO364" s="190">
        <v>45013</v>
      </c>
      <c r="AP364" s="180"/>
      <c r="AQ364" s="190">
        <v>45029</v>
      </c>
      <c r="AR364" s="180"/>
      <c r="AS364" s="190"/>
      <c r="AT364" s="180"/>
      <c r="AU364" s="180" t="s">
        <v>59</v>
      </c>
      <c r="AV364" s="38">
        <f>SUM(AO364-J364)/7</f>
        <v>37.571428571428569</v>
      </c>
      <c r="AW364" s="180"/>
      <c r="AX364" s="63"/>
      <c r="AY364" s="77" t="str">
        <f>IF(D364&lt;&gt;"",IF(LEFT(IFERROR(VLOOKUP(D364,'LPA Lookup'!$A$100:$B$470,2,FALSE),"LPA not known to MCLHG"),3)&lt;&gt;"JSP",IFERROR(VLOOKUP(D364,'LPA Lookup'!$A$100:$B$470,2,FALSE),"LPA not known to MCLHG"),VLOOKUP(D364&amp;B364,#REF!,3,FALSE)),"")</f>
        <v>LPA not known to MCLHG</v>
      </c>
      <c r="AZ364" s="115" t="str">
        <f t="shared" si="23"/>
        <v>Jul 22</v>
      </c>
      <c r="BA364" s="115" t="str">
        <f t="shared" si="25"/>
        <v>Mar 23</v>
      </c>
    </row>
    <row r="365" spans="1:53" ht="14" x14ac:dyDescent="0.15">
      <c r="A365" s="35" t="s">
        <v>53</v>
      </c>
      <c r="B365" s="111">
        <v>2102</v>
      </c>
      <c r="C365" s="61" t="s">
        <v>104</v>
      </c>
      <c r="D365" s="61" t="s">
        <v>709</v>
      </c>
      <c r="E365" s="61" t="s">
        <v>710</v>
      </c>
      <c r="F365" s="61" t="s">
        <v>57</v>
      </c>
      <c r="G365" s="61">
        <v>3</v>
      </c>
      <c r="H365" s="62">
        <v>44441</v>
      </c>
      <c r="I365" s="61"/>
      <c r="J365" s="62">
        <v>44760</v>
      </c>
      <c r="K365" s="61"/>
      <c r="L365" s="61"/>
      <c r="M365" s="62">
        <v>44767</v>
      </c>
      <c r="N365" s="62"/>
      <c r="O365" s="62">
        <v>44894</v>
      </c>
      <c r="P365" s="61"/>
      <c r="Q365" s="62">
        <v>44950</v>
      </c>
      <c r="R365" s="61"/>
      <c r="S365" s="61">
        <v>0</v>
      </c>
      <c r="T365" s="61">
        <v>0</v>
      </c>
      <c r="U365" s="61">
        <v>0</v>
      </c>
      <c r="V365" s="61">
        <v>0</v>
      </c>
      <c r="W365" s="61">
        <v>0</v>
      </c>
      <c r="X365" s="61">
        <v>65.81</v>
      </c>
      <c r="Y365" s="61">
        <v>9.51</v>
      </c>
      <c r="Z365" s="61">
        <v>0</v>
      </c>
      <c r="AA365" s="61">
        <v>4.05</v>
      </c>
      <c r="AB365" s="61">
        <v>3.93</v>
      </c>
      <c r="AC365" s="61">
        <v>0</v>
      </c>
      <c r="AD365" s="61">
        <v>57.66</v>
      </c>
      <c r="AE365" s="48">
        <v>140.96</v>
      </c>
      <c r="AF365" s="61"/>
      <c r="AG365" s="62">
        <v>45320</v>
      </c>
      <c r="AH365" s="61"/>
      <c r="AI365" s="62">
        <v>45295</v>
      </c>
      <c r="AJ365" s="61"/>
      <c r="AK365" s="62">
        <v>45313</v>
      </c>
      <c r="AL365" s="61"/>
      <c r="AM365" s="62">
        <v>45320</v>
      </c>
      <c r="AN365" s="61"/>
      <c r="AO365" s="62">
        <v>45343</v>
      </c>
      <c r="AP365" s="61"/>
      <c r="AQ365" s="62">
        <v>45441</v>
      </c>
      <c r="AR365" s="61"/>
      <c r="AS365" s="62"/>
      <c r="AT365" s="61"/>
      <c r="AU365" s="61" t="s">
        <v>59</v>
      </c>
      <c r="AV365" s="38">
        <f>SUM(AO365-J365)/7</f>
        <v>83.285714285714292</v>
      </c>
      <c r="AW365" s="61"/>
      <c r="AX365" s="69"/>
      <c r="AY365" s="77" t="str">
        <f>IF(D365&lt;&gt;"",IF(LEFT(IFERROR(VLOOKUP(D365,'LPA Lookup'!$A$100:$B$470,2,FALSE),"LPA not known to MCLHG"),3)&lt;&gt;"JSP",IFERROR(VLOOKUP(D365,'LPA Lookup'!$A$100:$B$470,2,FALSE),"LPA not known to MCLHG"),VLOOKUP(D365&amp;B365,#REF!,3,FALSE)),"")</f>
        <v>LPA not known to MCLHG</v>
      </c>
      <c r="AZ365" s="115" t="str">
        <f t="shared" si="23"/>
        <v>Jul 22</v>
      </c>
      <c r="BA365" s="115" t="str">
        <f t="shared" si="25"/>
        <v>Feb 24</v>
      </c>
    </row>
    <row r="366" spans="1:53" ht="28" x14ac:dyDescent="0.15">
      <c r="A366" s="35" t="s">
        <v>53</v>
      </c>
      <c r="B366" s="170">
        <v>2181</v>
      </c>
      <c r="C366" s="180" t="s">
        <v>71</v>
      </c>
      <c r="D366" s="180" t="s">
        <v>432</v>
      </c>
      <c r="E366" s="180" t="s">
        <v>711</v>
      </c>
      <c r="F366" s="180" t="s">
        <v>57</v>
      </c>
      <c r="G366" s="180">
        <v>3</v>
      </c>
      <c r="H366" s="190">
        <v>44684</v>
      </c>
      <c r="I366" s="180"/>
      <c r="J366" s="190">
        <v>44761</v>
      </c>
      <c r="K366" s="180"/>
      <c r="L366" s="180"/>
      <c r="M366" s="190">
        <v>44767</v>
      </c>
      <c r="N366" s="190"/>
      <c r="O366" s="190">
        <v>44873</v>
      </c>
      <c r="P366" s="180"/>
      <c r="Q366" s="190">
        <v>45013</v>
      </c>
      <c r="R366" s="180"/>
      <c r="S366" s="180">
        <v>0</v>
      </c>
      <c r="T366" s="180">
        <v>0</v>
      </c>
      <c r="U366" s="180">
        <v>0</v>
      </c>
      <c r="V366" s="180">
        <v>0</v>
      </c>
      <c r="W366" s="180">
        <v>0</v>
      </c>
      <c r="X366" s="180">
        <v>12.5</v>
      </c>
      <c r="Y366" s="180">
        <v>0.54</v>
      </c>
      <c r="Z366" s="180">
        <v>0</v>
      </c>
      <c r="AA366" s="180">
        <v>0</v>
      </c>
      <c r="AB366" s="180">
        <v>0</v>
      </c>
      <c r="AC366" s="180">
        <v>0</v>
      </c>
      <c r="AD366" s="180">
        <v>7.76</v>
      </c>
      <c r="AE366" s="198">
        <v>20.8</v>
      </c>
      <c r="AF366" s="180"/>
      <c r="AG366" s="190">
        <v>45201</v>
      </c>
      <c r="AH366" s="180"/>
      <c r="AI366" s="190">
        <v>45188</v>
      </c>
      <c r="AJ366" s="180"/>
      <c r="AK366" s="190">
        <v>45196</v>
      </c>
      <c r="AL366" s="180"/>
      <c r="AM366" s="190">
        <v>45201</v>
      </c>
      <c r="AN366" s="180"/>
      <c r="AO366" s="190">
        <v>45204</v>
      </c>
      <c r="AP366" s="180"/>
      <c r="AQ366" s="190">
        <v>45218</v>
      </c>
      <c r="AR366" s="180"/>
      <c r="AS366" s="190"/>
      <c r="AT366" s="180"/>
      <c r="AU366" s="180" t="s">
        <v>59</v>
      </c>
      <c r="AV366" s="40">
        <f t="shared" ref="AV366:AV371" si="27">DATEDIF(J366,AO366, "d")/7</f>
        <v>63.285714285714285</v>
      </c>
      <c r="AW366" s="180"/>
      <c r="AX366" s="63"/>
      <c r="AY366" s="77" t="str">
        <f>IF(D366&lt;&gt;"",IF(LEFT(IFERROR(VLOOKUP(D366,'LPA Lookup'!$A$100:$B$470,2,FALSE),"LPA not known to MCLHG"),3)&lt;&gt;"JSP",IFERROR(VLOOKUP(D366,'LPA Lookup'!$A$100:$B$470,2,FALSE),"LPA not known to MCLHG"),VLOOKUP(D366&amp;B366,#REF!,3,FALSE)),"")</f>
        <v>E07000009</v>
      </c>
      <c r="AZ366" s="41" t="str">
        <f t="shared" si="23"/>
        <v>Jul 22</v>
      </c>
      <c r="BA366" s="41" t="str">
        <f t="shared" si="25"/>
        <v>Oct 23</v>
      </c>
    </row>
    <row r="367" spans="1:53" ht="14" x14ac:dyDescent="0.15">
      <c r="A367" s="35" t="s">
        <v>53</v>
      </c>
      <c r="B367" s="170">
        <v>2104</v>
      </c>
      <c r="C367" s="27" t="s">
        <v>83</v>
      </c>
      <c r="D367" s="180" t="s">
        <v>712</v>
      </c>
      <c r="E367" s="180" t="s">
        <v>713</v>
      </c>
      <c r="F367" s="180" t="s">
        <v>57</v>
      </c>
      <c r="G367" s="180">
        <v>3</v>
      </c>
      <c r="H367" s="190">
        <v>44596</v>
      </c>
      <c r="I367" s="180"/>
      <c r="J367" s="190">
        <v>44778</v>
      </c>
      <c r="K367" s="180"/>
      <c r="L367" s="180"/>
      <c r="M367" s="190">
        <v>44783</v>
      </c>
      <c r="N367" s="190"/>
      <c r="O367" s="190">
        <v>44957</v>
      </c>
      <c r="P367" s="180"/>
      <c r="Q367" s="190">
        <v>44987</v>
      </c>
      <c r="R367" s="180"/>
      <c r="S367" s="180">
        <v>0</v>
      </c>
      <c r="T367" s="180">
        <v>0</v>
      </c>
      <c r="U367" s="180">
        <v>0</v>
      </c>
      <c r="V367" s="180">
        <v>0</v>
      </c>
      <c r="W367" s="180">
        <v>0</v>
      </c>
      <c r="X367" s="180">
        <v>67.650000000000006</v>
      </c>
      <c r="Y367" s="180">
        <v>7.31</v>
      </c>
      <c r="Z367" s="180">
        <v>0</v>
      </c>
      <c r="AA367" s="180">
        <v>2.0699999999999998</v>
      </c>
      <c r="AB367" s="180">
        <v>5.91</v>
      </c>
      <c r="AC367" s="180">
        <v>0</v>
      </c>
      <c r="AD367" s="180">
        <v>33.86</v>
      </c>
      <c r="AE367" s="198">
        <v>116.8</v>
      </c>
      <c r="AF367" s="180"/>
      <c r="AG367" s="190">
        <v>45266</v>
      </c>
      <c r="AH367" s="180"/>
      <c r="AI367" s="190">
        <v>45237</v>
      </c>
      <c r="AJ367" s="180"/>
      <c r="AK367" s="190">
        <v>45259</v>
      </c>
      <c r="AL367" s="180"/>
      <c r="AM367" s="190">
        <v>45264</v>
      </c>
      <c r="AN367" s="180"/>
      <c r="AO367" s="190">
        <v>45271</v>
      </c>
      <c r="AP367" s="180"/>
      <c r="AQ367" s="190">
        <v>45316</v>
      </c>
      <c r="AR367" s="180"/>
      <c r="AS367" s="190"/>
      <c r="AT367" s="180"/>
      <c r="AU367" s="180" t="s">
        <v>59</v>
      </c>
      <c r="AV367" s="40">
        <f t="shared" si="27"/>
        <v>70.428571428571431</v>
      </c>
      <c r="AW367" s="180"/>
      <c r="AX367" s="63"/>
      <c r="AY367" s="77" t="str">
        <f>IF(D367&lt;&gt;"",IF(LEFT(IFERROR(VLOOKUP(D367,'LPA Lookup'!$A$100:$B$470,2,FALSE),"LPA not known to MCLHG"),3)&lt;&gt;"JSP",IFERROR(VLOOKUP(D367,'LPA Lookup'!$A$100:$B$470,2,FALSE),"LPA not known to MCLHG"),VLOOKUP(D367&amp;B367,#REF!,3,FALSE)),"")</f>
        <v>LPA not known to MCLHG</v>
      </c>
      <c r="AZ367" s="115" t="str">
        <f t="shared" si="23"/>
        <v>Aug 22</v>
      </c>
      <c r="BA367" s="115" t="str">
        <f t="shared" si="25"/>
        <v>Dec 23</v>
      </c>
    </row>
    <row r="368" spans="1:53" ht="28" x14ac:dyDescent="0.15">
      <c r="A368" s="35" t="s">
        <v>53</v>
      </c>
      <c r="B368" s="170">
        <v>2008</v>
      </c>
      <c r="C368" s="27" t="s">
        <v>83</v>
      </c>
      <c r="D368" s="180" t="s">
        <v>714</v>
      </c>
      <c r="E368" s="180" t="s">
        <v>715</v>
      </c>
      <c r="F368" s="180" t="s">
        <v>57</v>
      </c>
      <c r="G368" s="180">
        <v>3</v>
      </c>
      <c r="H368" s="190">
        <v>44571</v>
      </c>
      <c r="I368" s="180"/>
      <c r="J368" s="190">
        <v>44820</v>
      </c>
      <c r="K368" s="180"/>
      <c r="L368" s="180"/>
      <c r="M368" s="190">
        <v>44824</v>
      </c>
      <c r="N368" s="190"/>
      <c r="O368" s="190">
        <v>44957</v>
      </c>
      <c r="P368" s="180" t="s">
        <v>716</v>
      </c>
      <c r="Q368" s="190">
        <v>45146</v>
      </c>
      <c r="R368" s="180"/>
      <c r="S368" s="180">
        <v>0</v>
      </c>
      <c r="T368" s="180">
        <v>0</v>
      </c>
      <c r="U368" s="180">
        <v>0</v>
      </c>
      <c r="V368" s="180">
        <v>0</v>
      </c>
      <c r="W368" s="180">
        <v>0</v>
      </c>
      <c r="X368" s="180">
        <v>27.77</v>
      </c>
      <c r="Y368" s="180">
        <v>12</v>
      </c>
      <c r="Z368" s="180">
        <v>0</v>
      </c>
      <c r="AA368" s="180">
        <v>3</v>
      </c>
      <c r="AB368" s="180">
        <v>7.5</v>
      </c>
      <c r="AC368" s="180">
        <v>0</v>
      </c>
      <c r="AD368" s="180">
        <v>35.31</v>
      </c>
      <c r="AE368" s="198">
        <f>AllPlans[[#This Row],[Prep days*]]+AllPlans[[#This Row],[Hearing days*]]+AllPlans[[#This Row],[SV days*]]+AllPlans[[#This Row],[Travel days]]+AllPlans[[#This Row],[Reptg days*]]</f>
        <v>85.58</v>
      </c>
      <c r="AF368" s="180"/>
      <c r="AG368" s="190"/>
      <c r="AH368" s="180"/>
      <c r="AI368" s="190">
        <v>45453</v>
      </c>
      <c r="AJ368" s="180"/>
      <c r="AK368" s="190">
        <v>45506</v>
      </c>
      <c r="AL368" s="180"/>
      <c r="AM368" s="190">
        <v>45539</v>
      </c>
      <c r="AN368" s="180"/>
      <c r="AO368" s="190">
        <v>45558</v>
      </c>
      <c r="AP368" s="180"/>
      <c r="AQ368" s="190">
        <v>45601</v>
      </c>
      <c r="AR368" s="180"/>
      <c r="AS368" s="190"/>
      <c r="AT368" s="180"/>
      <c r="AU368" s="180" t="s">
        <v>59</v>
      </c>
      <c r="AV368" s="38">
        <f t="shared" si="27"/>
        <v>105.42857142857143</v>
      </c>
      <c r="AW368" s="180"/>
      <c r="AX368" s="180"/>
      <c r="AY368" s="77" t="str">
        <f>IF(D368&lt;&gt;"",IF(LEFT(IFERROR(VLOOKUP(D368,'LPA Lookup'!$A$100:$B$470,2,FALSE),"LPA not known to MCLHG"),3)&lt;&gt;"JSP",IFERROR(VLOOKUP(D368,'LPA Lookup'!$A$100:$B$470,2,FALSE),"LPA not known to MCLHG"),VLOOKUP(D368&amp;B368,#REF!,3,FALSE)),"")</f>
        <v>LPA not known to MCLHG</v>
      </c>
      <c r="AZ368" s="115" t="str">
        <f t="shared" si="23"/>
        <v>Sep 22</v>
      </c>
      <c r="BA368" s="115" t="str">
        <f t="shared" si="25"/>
        <v>Sep 24</v>
      </c>
    </row>
    <row r="369" spans="1:53" ht="14" x14ac:dyDescent="0.15">
      <c r="A369" s="35" t="s">
        <v>53</v>
      </c>
      <c r="B369" s="170">
        <v>2231</v>
      </c>
      <c r="C369" s="180" t="s">
        <v>54</v>
      </c>
      <c r="D369" s="180" t="s">
        <v>55</v>
      </c>
      <c r="E369" s="180" t="s">
        <v>717</v>
      </c>
      <c r="F369" s="180" t="s">
        <v>102</v>
      </c>
      <c r="G369" s="180">
        <v>2</v>
      </c>
      <c r="H369" s="190">
        <v>44678</v>
      </c>
      <c r="I369" s="180"/>
      <c r="J369" s="190">
        <v>44851</v>
      </c>
      <c r="K369" s="180"/>
      <c r="L369" s="180"/>
      <c r="M369" s="190">
        <v>44872</v>
      </c>
      <c r="N369" s="190"/>
      <c r="O369" s="190">
        <v>44992</v>
      </c>
      <c r="P369" s="180"/>
      <c r="Q369" s="190">
        <v>44994</v>
      </c>
      <c r="R369" s="180"/>
      <c r="S369" s="180">
        <v>0</v>
      </c>
      <c r="T369" s="180">
        <v>0</v>
      </c>
      <c r="U369" s="180">
        <v>0</v>
      </c>
      <c r="V369" s="180">
        <v>0</v>
      </c>
      <c r="W369" s="180">
        <v>0</v>
      </c>
      <c r="X369" s="180">
        <v>21.53</v>
      </c>
      <c r="Y369" s="180">
        <v>7.1</v>
      </c>
      <c r="Z369" s="180">
        <v>0</v>
      </c>
      <c r="AA369" s="180">
        <v>0</v>
      </c>
      <c r="AB369" s="180">
        <v>1.08</v>
      </c>
      <c r="AC369" s="180">
        <v>0</v>
      </c>
      <c r="AD369" s="180">
        <v>18.53</v>
      </c>
      <c r="AE369" s="198">
        <v>79.75</v>
      </c>
      <c r="AF369" s="180"/>
      <c r="AG369" s="190">
        <v>45378</v>
      </c>
      <c r="AH369" s="180"/>
      <c r="AI369" s="190">
        <v>45334</v>
      </c>
      <c r="AJ369" s="180"/>
      <c r="AK369" s="190">
        <v>45365</v>
      </c>
      <c r="AL369" s="180"/>
      <c r="AM369" s="190">
        <v>45378</v>
      </c>
      <c r="AN369" s="180"/>
      <c r="AO369" s="190">
        <v>45391</v>
      </c>
      <c r="AP369" s="180"/>
      <c r="AQ369" s="190">
        <v>45428</v>
      </c>
      <c r="AR369" s="180"/>
      <c r="AS369" s="190"/>
      <c r="AT369" s="180"/>
      <c r="AU369" s="180" t="s">
        <v>59</v>
      </c>
      <c r="AV369" s="40">
        <f t="shared" si="27"/>
        <v>77.142857142857139</v>
      </c>
      <c r="AW369" s="180"/>
      <c r="AX369" s="63"/>
      <c r="AY369" s="77" t="str">
        <f>IF(D369&lt;&gt;"",IF(LEFT(IFERROR(VLOOKUP(D369,'LPA Lookup'!$A$100:$B$470,2,FALSE),"LPA not known to MCLHG"),3)&lt;&gt;"JSP",IFERROR(VLOOKUP(D369,'LPA Lookup'!$A$100:$B$470,2,FALSE),"LPA not known to MCLHG"),VLOOKUP(D369&amp;B369,#REF!,3,FALSE)),"")</f>
        <v>E07000222</v>
      </c>
      <c r="AZ369" s="115" t="str">
        <f t="shared" si="23"/>
        <v>Oct 22</v>
      </c>
      <c r="BA369" s="115" t="str">
        <f t="shared" si="25"/>
        <v>Apr 24</v>
      </c>
    </row>
    <row r="370" spans="1:53" ht="14" x14ac:dyDescent="0.15">
      <c r="A370" s="35" t="s">
        <v>53</v>
      </c>
      <c r="B370" s="170">
        <v>2025</v>
      </c>
      <c r="C370" s="180" t="s">
        <v>83</v>
      </c>
      <c r="D370" s="180" t="s">
        <v>718</v>
      </c>
      <c r="E370" s="180" t="s">
        <v>713</v>
      </c>
      <c r="F370" s="180" t="s">
        <v>57</v>
      </c>
      <c r="G370" s="180">
        <v>3</v>
      </c>
      <c r="H370" s="190">
        <v>44690</v>
      </c>
      <c r="I370" s="180"/>
      <c r="J370" s="190">
        <v>44860</v>
      </c>
      <c r="K370" s="180"/>
      <c r="L370" s="180"/>
      <c r="M370" s="190">
        <v>44881</v>
      </c>
      <c r="N370" s="190"/>
      <c r="O370" s="190">
        <v>45034</v>
      </c>
      <c r="P370" s="180" t="s">
        <v>719</v>
      </c>
      <c r="Q370" s="190">
        <v>45239</v>
      </c>
      <c r="R370" s="180"/>
      <c r="S370" s="180">
        <v>0</v>
      </c>
      <c r="T370" s="180">
        <v>0</v>
      </c>
      <c r="U370" s="180">
        <v>0</v>
      </c>
      <c r="V370" s="180">
        <v>0</v>
      </c>
      <c r="W370" s="180">
        <v>0</v>
      </c>
      <c r="X370" s="180">
        <v>32.35</v>
      </c>
      <c r="Y370" s="180">
        <v>35.35</v>
      </c>
      <c r="Z370" s="180">
        <v>0</v>
      </c>
      <c r="AA370" s="180">
        <v>3.68</v>
      </c>
      <c r="AB370" s="180">
        <v>11.7</v>
      </c>
      <c r="AC370" s="180">
        <v>0</v>
      </c>
      <c r="AD370" s="180">
        <v>56.82</v>
      </c>
      <c r="AE370" s="198">
        <f>AllPlans[[#This Row],[Prep days*]]+AllPlans[[#This Row],[Hearing days*]]+AllPlans[[#This Row],[SV days*]]+AllPlans[[#This Row],[Travel days]]+AllPlans[[#This Row],[Reptg days*]]</f>
        <v>139.9</v>
      </c>
      <c r="AF370" s="180"/>
      <c r="AG370" s="190">
        <v>45723</v>
      </c>
      <c r="AH370" s="180"/>
      <c r="AI370" s="190">
        <v>45699</v>
      </c>
      <c r="AJ370" s="180"/>
      <c r="AK370" s="190">
        <v>45720</v>
      </c>
      <c r="AL370" s="180"/>
      <c r="AM370" s="190">
        <v>45720</v>
      </c>
      <c r="AN370" s="180"/>
      <c r="AO370" s="190">
        <v>45729</v>
      </c>
      <c r="AP370" s="180"/>
      <c r="AQ370" s="190">
        <v>45747</v>
      </c>
      <c r="AR370" s="180"/>
      <c r="AS370" s="190"/>
      <c r="AT370" s="180"/>
      <c r="AU370" s="180" t="s">
        <v>59</v>
      </c>
      <c r="AV370" s="38">
        <f t="shared" si="27"/>
        <v>124.14285714285714</v>
      </c>
      <c r="AW370" s="180"/>
      <c r="AX370" s="180"/>
      <c r="AY370" s="77" t="str">
        <f>IF(D370&lt;&gt;"",IF(LEFT(IFERROR(VLOOKUP(D370,'LPA Lookup'!$A$100:$B$470,2,FALSE),"LPA not known to MCLHG"),3)&lt;&gt;"JSP",IFERROR(VLOOKUP(D370,'LPA Lookup'!$A$100:$B$470,2,FALSE),"LPA not known to MCLHG"),VLOOKUP(D370&amp;B370,#REF!,3,FALSE)),"")</f>
        <v>E08000015</v>
      </c>
      <c r="AZ370" s="115" t="str">
        <f t="shared" si="23"/>
        <v>Oct 22</v>
      </c>
      <c r="BA370" s="115" t="str">
        <f t="shared" si="25"/>
        <v>Mar 25</v>
      </c>
    </row>
    <row r="371" spans="1:53" ht="28" x14ac:dyDescent="0.15">
      <c r="A371" s="35" t="s">
        <v>53</v>
      </c>
      <c r="B371" s="127">
        <v>2154</v>
      </c>
      <c r="C371" s="71" t="s">
        <v>83</v>
      </c>
      <c r="D371" s="71" t="s">
        <v>97</v>
      </c>
      <c r="E371" s="71" t="s">
        <v>56</v>
      </c>
      <c r="F371" s="71" t="s">
        <v>57</v>
      </c>
      <c r="G371" s="71">
        <v>3</v>
      </c>
      <c r="H371" s="72">
        <v>44484</v>
      </c>
      <c r="I371" s="71"/>
      <c r="J371" s="72">
        <v>44876</v>
      </c>
      <c r="K371" s="71"/>
      <c r="L371" s="71"/>
      <c r="M371" s="72">
        <v>44886</v>
      </c>
      <c r="N371" s="72"/>
      <c r="O371" s="72"/>
      <c r="P371" s="71" t="s">
        <v>720</v>
      </c>
      <c r="Q371" s="72"/>
      <c r="R371" s="71"/>
      <c r="S371" s="71">
        <v>0</v>
      </c>
      <c r="T371" s="71">
        <v>0</v>
      </c>
      <c r="U371" s="71">
        <v>0</v>
      </c>
      <c r="V371" s="71">
        <v>0</v>
      </c>
      <c r="W371" s="71">
        <v>0</v>
      </c>
      <c r="X371" s="71">
        <v>57.57</v>
      </c>
      <c r="Y371" s="71">
        <v>0.73</v>
      </c>
      <c r="Z371" s="71">
        <v>0</v>
      </c>
      <c r="AA371" s="71">
        <v>0</v>
      </c>
      <c r="AB371" s="71">
        <v>1.36</v>
      </c>
      <c r="AC371" s="71">
        <v>0</v>
      </c>
      <c r="AD371" s="71">
        <v>2.91</v>
      </c>
      <c r="AE371" s="137">
        <f>AllPlans[[#This Row],[Prep days*]]+AllPlans[[#This Row],[Hearing days*]]+AllPlans[[#This Row],[SV days*]]+AllPlans[[#This Row],[Travel days]]+AllPlans[[#This Row],[Reptg days*]]</f>
        <v>62.569999999999993</v>
      </c>
      <c r="AF371" s="71"/>
      <c r="AG371" s="72"/>
      <c r="AH371" s="71"/>
      <c r="AI371" s="72"/>
      <c r="AJ371" s="71"/>
      <c r="AK371" s="72"/>
      <c r="AL371" s="71"/>
      <c r="AM371" s="72"/>
      <c r="AN371" s="71"/>
      <c r="AO371" s="72"/>
      <c r="AP371" s="71"/>
      <c r="AQ371" s="72"/>
      <c r="AR371" s="71"/>
      <c r="AS371" s="72">
        <v>45569</v>
      </c>
      <c r="AT371" s="71"/>
      <c r="AU371" s="71" t="s">
        <v>278</v>
      </c>
      <c r="AV371" s="38" t="e">
        <f t="shared" si="27"/>
        <v>#NUM!</v>
      </c>
      <c r="AW371" s="71"/>
      <c r="AX371" s="71"/>
      <c r="AY371" s="77" t="str">
        <f>IF(D371&lt;&gt;"",IF(LEFT(IFERROR(VLOOKUP(D371,'LPA Lookup'!$A$100:$B$470,2,FALSE),"LPA not known to MCLHG"),3)&lt;&gt;"JSP",IFERROR(VLOOKUP(D371,'LPA Lookup'!$A$100:$B$470,2,FALSE),"LPA not known to MCLHG"),VLOOKUP(D371&amp;B371,#REF!,3,FALSE)),"")</f>
        <v>E06000013</v>
      </c>
      <c r="AZ371" s="115" t="str">
        <f t="shared" si="23"/>
        <v>Nov 22</v>
      </c>
      <c r="BA371" s="115" t="str">
        <f t="shared" si="25"/>
        <v>Jan 00</v>
      </c>
    </row>
    <row r="372" spans="1:53" ht="42" x14ac:dyDescent="0.15">
      <c r="A372" s="118">
        <v>3312218</v>
      </c>
      <c r="B372" s="118">
        <v>2141</v>
      </c>
      <c r="C372" s="63" t="s">
        <v>61</v>
      </c>
      <c r="D372" s="128" t="s">
        <v>721</v>
      </c>
      <c r="E372" s="63" t="s">
        <v>56</v>
      </c>
      <c r="F372" s="63" t="s">
        <v>57</v>
      </c>
      <c r="G372" s="63">
        <v>3</v>
      </c>
      <c r="H372" s="64">
        <v>44727</v>
      </c>
      <c r="I372" s="63"/>
      <c r="J372" s="64">
        <v>44890</v>
      </c>
      <c r="K372" s="63"/>
      <c r="L372" s="63"/>
      <c r="M372" s="64">
        <v>44911</v>
      </c>
      <c r="N372" s="64"/>
      <c r="O372" s="64">
        <v>45069</v>
      </c>
      <c r="P372" s="63" t="s">
        <v>722</v>
      </c>
      <c r="Q372" s="64"/>
      <c r="R372" s="63"/>
      <c r="S372" s="63">
        <v>0</v>
      </c>
      <c r="T372" s="63">
        <v>0</v>
      </c>
      <c r="U372" s="63">
        <v>0</v>
      </c>
      <c r="V372" s="63">
        <v>0</v>
      </c>
      <c r="W372" s="63">
        <v>0.99</v>
      </c>
      <c r="X372" s="63">
        <v>39.700000000000003</v>
      </c>
      <c r="Y372" s="63">
        <v>9.26</v>
      </c>
      <c r="Z372" s="63">
        <v>0</v>
      </c>
      <c r="AA372" s="63">
        <v>1</v>
      </c>
      <c r="AB372" s="63">
        <v>6.22</v>
      </c>
      <c r="AC372" s="63">
        <v>0</v>
      </c>
      <c r="AD372" s="63">
        <v>19.3</v>
      </c>
      <c r="AE372" s="119">
        <v>76.47</v>
      </c>
      <c r="AF372" s="63"/>
      <c r="AG372" s="64"/>
      <c r="AH372" s="63"/>
      <c r="AI372" s="64"/>
      <c r="AJ372" s="63"/>
      <c r="AK372" s="64"/>
      <c r="AL372" s="63"/>
      <c r="AM372" s="64"/>
      <c r="AN372" s="63"/>
      <c r="AO372" s="64"/>
      <c r="AP372" s="63"/>
      <c r="AQ372" s="64"/>
      <c r="AR372" s="63"/>
      <c r="AS372" s="64"/>
      <c r="AT372" s="63"/>
      <c r="AU372" s="63"/>
      <c r="AV372" s="63"/>
      <c r="AW372" s="63"/>
      <c r="AX372" s="63"/>
      <c r="AY372" s="77" t="str">
        <f>IF(D372&lt;&gt;"",IF(LEFT(IFERROR(VLOOKUP(D372,'LPA Lookup'!$A$100:$B$470,2,FALSE),"LPA not known to MCLHG"),3)&lt;&gt;"JSP",IFERROR(VLOOKUP(D372,'LPA Lookup'!$A$100:$B$470,2,FALSE),"LPA not known to MCLHG"),VLOOKUP(D372&amp;B372,#REF!,3,FALSE)),"")</f>
        <v>E07000213</v>
      </c>
      <c r="AZ372" s="115" t="str">
        <f t="shared" si="23"/>
        <v>Nov 22</v>
      </c>
      <c r="BA372" s="115" t="str">
        <f t="shared" si="25"/>
        <v>Jan 00</v>
      </c>
    </row>
    <row r="373" spans="1:53" s="101" customFormat="1" ht="14" x14ac:dyDescent="0.15">
      <c r="A373" s="35" t="s">
        <v>53</v>
      </c>
      <c r="B373" s="111">
        <v>2184</v>
      </c>
      <c r="C373" s="61" t="s">
        <v>71</v>
      </c>
      <c r="D373" s="61" t="s">
        <v>419</v>
      </c>
      <c r="E373" s="61" t="s">
        <v>623</v>
      </c>
      <c r="F373" s="61" t="s">
        <v>102</v>
      </c>
      <c r="G373" s="61">
        <v>2</v>
      </c>
      <c r="H373" s="62">
        <v>44834</v>
      </c>
      <c r="I373" s="61"/>
      <c r="J373" s="62">
        <v>44894</v>
      </c>
      <c r="K373" s="61"/>
      <c r="L373" s="61"/>
      <c r="M373" s="62">
        <v>44910</v>
      </c>
      <c r="N373" s="62"/>
      <c r="O373" s="62">
        <v>45034</v>
      </c>
      <c r="P373" s="61"/>
      <c r="Q373" s="62">
        <v>45034</v>
      </c>
      <c r="R373" s="61"/>
      <c r="S373" s="61">
        <v>0</v>
      </c>
      <c r="T373" s="61">
        <v>0</v>
      </c>
      <c r="U373" s="61">
        <v>0</v>
      </c>
      <c r="V373" s="61">
        <v>0</v>
      </c>
      <c r="W373" s="61">
        <v>0</v>
      </c>
      <c r="X373" s="61">
        <v>14.42</v>
      </c>
      <c r="Y373" s="61">
        <v>1.08</v>
      </c>
      <c r="Z373" s="61">
        <v>0</v>
      </c>
      <c r="AA373" s="61">
        <v>0</v>
      </c>
      <c r="AB373" s="61">
        <v>2.09</v>
      </c>
      <c r="AC373" s="61">
        <v>0</v>
      </c>
      <c r="AD373" s="61">
        <v>12.76</v>
      </c>
      <c r="AE373" s="48">
        <v>30.33</v>
      </c>
      <c r="AF373" s="61"/>
      <c r="AG373" s="62">
        <v>45156</v>
      </c>
      <c r="AH373" s="61"/>
      <c r="AI373" s="62">
        <v>45139</v>
      </c>
      <c r="AJ373" s="61"/>
      <c r="AK373" s="62">
        <v>45148</v>
      </c>
      <c r="AL373" s="61"/>
      <c r="AM373" s="62">
        <v>45154</v>
      </c>
      <c r="AN373" s="61"/>
      <c r="AO373" s="62">
        <v>45167</v>
      </c>
      <c r="AP373" s="61"/>
      <c r="AQ373" s="62">
        <v>45190</v>
      </c>
      <c r="AR373" s="61"/>
      <c r="AS373" s="62"/>
      <c r="AT373" s="61"/>
      <c r="AU373" s="61" t="s">
        <v>59</v>
      </c>
      <c r="AV373" s="40">
        <f>DATEDIF(J373,AO373, "d")/7</f>
        <v>39</v>
      </c>
      <c r="AW373" s="61"/>
      <c r="AX373" s="69"/>
      <c r="AY373" s="77" t="str">
        <f>IF(D373&lt;&gt;"",IF(LEFT(IFERROR(VLOOKUP(D373,'LPA Lookup'!$A$100:$B$470,2,FALSE),"LPA not known to MCLHG"),3)&lt;&gt;"JSP",IFERROR(VLOOKUP(D373,'LPA Lookup'!$A$100:$B$470,2,FALSE),"LPA not known to MCLHG"),VLOOKUP(D373&amp;B373,#REF!,3,FALSE)),"")</f>
        <v>LPA not known to MCLHG</v>
      </c>
      <c r="AZ373" s="115" t="str">
        <f t="shared" si="23"/>
        <v>Nov 22</v>
      </c>
      <c r="BA373" s="115" t="str">
        <f t="shared" si="25"/>
        <v>Aug 23</v>
      </c>
    </row>
    <row r="374" spans="1:53" ht="42" x14ac:dyDescent="0.15">
      <c r="A374" s="118">
        <v>3312282</v>
      </c>
      <c r="B374" s="118">
        <v>2113</v>
      </c>
      <c r="C374" s="63" t="s">
        <v>104</v>
      </c>
      <c r="D374" s="154" t="s">
        <v>723</v>
      </c>
      <c r="E374" s="63" t="s">
        <v>724</v>
      </c>
      <c r="F374" s="63" t="s">
        <v>57</v>
      </c>
      <c r="G374" s="63">
        <v>3</v>
      </c>
      <c r="H374" s="64">
        <v>44634</v>
      </c>
      <c r="I374" s="63"/>
      <c r="J374" s="64">
        <v>44895</v>
      </c>
      <c r="K374" s="63"/>
      <c r="L374" s="63"/>
      <c r="M374" s="64">
        <v>44909</v>
      </c>
      <c r="N374" s="64"/>
      <c r="O374" s="64">
        <v>45307</v>
      </c>
      <c r="P374" s="63" t="s">
        <v>725</v>
      </c>
      <c r="Q374" s="64"/>
      <c r="R374" s="63"/>
      <c r="S374" s="63">
        <v>0</v>
      </c>
      <c r="T374" s="63">
        <v>0</v>
      </c>
      <c r="U374" s="63">
        <v>0</v>
      </c>
      <c r="V374" s="63">
        <v>0</v>
      </c>
      <c r="W374" s="63">
        <v>0</v>
      </c>
      <c r="X374" s="63">
        <v>51.3</v>
      </c>
      <c r="Y374" s="63">
        <v>6</v>
      </c>
      <c r="Z374" s="63">
        <v>0</v>
      </c>
      <c r="AA374" s="63">
        <v>0.68</v>
      </c>
      <c r="AB374" s="63">
        <v>0</v>
      </c>
      <c r="AC374" s="63">
        <v>0</v>
      </c>
      <c r="AD374" s="63">
        <v>6.81</v>
      </c>
      <c r="AE374" s="119">
        <f>AllPlans[[#This Row],[Prep days*]]+AllPlans[[#This Row],[Hearing days*]]+AllPlans[[#This Row],[SV days*]]+AllPlans[[#This Row],[Travel days]]+AllPlans[[#This Row],[Reptg days*]]</f>
        <v>64.789999999999992</v>
      </c>
      <c r="AF374" s="63"/>
      <c r="AG374" s="64"/>
      <c r="AH374" s="63"/>
      <c r="AI374" s="64"/>
      <c r="AJ374" s="63"/>
      <c r="AK374" s="64"/>
      <c r="AL374" s="63"/>
      <c r="AM374" s="64"/>
      <c r="AN374" s="63"/>
      <c r="AO374" s="64"/>
      <c r="AP374" s="63"/>
      <c r="AQ374" s="64"/>
      <c r="AR374" s="63"/>
      <c r="AS374" s="64"/>
      <c r="AT374" s="63"/>
      <c r="AU374" s="63"/>
      <c r="AV374" s="69"/>
      <c r="AW374" s="63"/>
      <c r="AX374" s="63"/>
      <c r="AY374" s="77" t="str">
        <f>IF(D374&lt;&gt;"",IF(LEFT(IFERROR(VLOOKUP(D374,'LPA Lookup'!$A$100:$B$470,2,FALSE),"LPA not known to MCLHG"),3)&lt;&gt;"JSP",IFERROR(VLOOKUP(D374,'LPA Lookup'!$A$100:$B$470,2,FALSE),"LPA not known to MCLHG"),VLOOKUP(D374&amp;B374,#REF!,3,FALSE)),"")</f>
        <v>E07000036</v>
      </c>
      <c r="AZ374" s="41" t="str">
        <f t="shared" si="23"/>
        <v>Nov 22</v>
      </c>
      <c r="BA374" s="41" t="str">
        <f t="shared" si="25"/>
        <v>Jan 00</v>
      </c>
    </row>
    <row r="375" spans="1:53" s="101" customFormat="1" ht="24.75" customHeight="1" x14ac:dyDescent="0.15">
      <c r="A375" s="127">
        <v>3315690</v>
      </c>
      <c r="B375" s="127">
        <v>2183</v>
      </c>
      <c r="C375" s="71" t="s">
        <v>71</v>
      </c>
      <c r="D375" s="71" t="s">
        <v>522</v>
      </c>
      <c r="E375" s="71" t="s">
        <v>92</v>
      </c>
      <c r="F375" s="71" t="s">
        <v>57</v>
      </c>
      <c r="G375" s="71">
        <v>3</v>
      </c>
      <c r="H375" s="72">
        <v>44727</v>
      </c>
      <c r="I375" s="71"/>
      <c r="J375" s="72">
        <v>44938</v>
      </c>
      <c r="K375" s="71"/>
      <c r="L375" s="71"/>
      <c r="M375" s="72">
        <v>44956</v>
      </c>
      <c r="N375" s="72"/>
      <c r="O375" s="72">
        <v>45090</v>
      </c>
      <c r="P375" s="71" t="s">
        <v>726</v>
      </c>
      <c r="Q375" s="72"/>
      <c r="R375" s="71"/>
      <c r="S375" s="71"/>
      <c r="T375" s="71"/>
      <c r="U375" s="71"/>
      <c r="V375" s="71"/>
      <c r="W375" s="71"/>
      <c r="X375" s="71">
        <v>34.97</v>
      </c>
      <c r="Y375" s="71">
        <v>12.33</v>
      </c>
      <c r="Z375" s="71"/>
      <c r="AA375" s="71">
        <v>1.9</v>
      </c>
      <c r="AB375" s="71">
        <v>3.28</v>
      </c>
      <c r="AC375" s="71"/>
      <c r="AD375" s="71">
        <v>9.6199999999999992</v>
      </c>
      <c r="AE375" s="137">
        <f>AllPlans[[#This Row],[Prep days*]]+AllPlans[[#This Row],[Hearing days*]]+AllPlans[[#This Row],[SV days*]]+AllPlans[[#This Row],[Travel days]]+AllPlans[[#This Row],[Reptg days*]]</f>
        <v>62.099999999999994</v>
      </c>
      <c r="AF375" s="71"/>
      <c r="AG375" s="72"/>
      <c r="AH375" s="71"/>
      <c r="AI375" s="72"/>
      <c r="AJ375" s="71"/>
      <c r="AK375" s="72"/>
      <c r="AL375" s="71"/>
      <c r="AM375" s="72"/>
      <c r="AN375" s="71"/>
      <c r="AO375" s="72"/>
      <c r="AP375" s="71"/>
      <c r="AQ375" s="72"/>
      <c r="AR375" s="71"/>
      <c r="AS375" s="72">
        <v>45946</v>
      </c>
      <c r="AT375" s="71"/>
      <c r="AU375" s="71" t="s">
        <v>278</v>
      </c>
      <c r="AV375" s="38" t="e">
        <f t="shared" ref="AV375:AV385" si="28">DATEDIF(J375,AO375, "d")/7</f>
        <v>#NUM!</v>
      </c>
      <c r="AW375" s="71"/>
      <c r="AX375" s="71"/>
      <c r="AY375" s="77" t="str">
        <f>IF(D375&lt;&gt;"",IF(LEFT(IFERROR(VLOOKUP(D375,'LPA Lookup'!$A$100:$B$470,2,FALSE),"LPA not known to MCLHG"),3)&lt;&gt;"JSP",IFERROR(VLOOKUP(D375,'LPA Lookup'!$A$100:$B$470,2,FALSE),"LPA not known to MCLHG"),VLOOKUP(D375&amp;B375,#REF!,3,FALSE)),"")</f>
        <v>LPA not known to MCLHG</v>
      </c>
      <c r="AZ375" s="123" t="str">
        <f t="shared" si="23"/>
        <v>Jan 23</v>
      </c>
      <c r="BA375" s="123" t="str">
        <f t="shared" si="25"/>
        <v>Jan 00</v>
      </c>
    </row>
    <row r="376" spans="1:53" ht="14" x14ac:dyDescent="0.15">
      <c r="A376" s="35" t="s">
        <v>53</v>
      </c>
      <c r="B376" s="170">
        <v>1813</v>
      </c>
      <c r="C376" s="180" t="s">
        <v>90</v>
      </c>
      <c r="D376" s="180" t="s">
        <v>372</v>
      </c>
      <c r="E376" s="180" t="s">
        <v>727</v>
      </c>
      <c r="F376" s="180" t="s">
        <v>57</v>
      </c>
      <c r="G376" s="180">
        <v>3</v>
      </c>
      <c r="H376" s="190">
        <v>44861</v>
      </c>
      <c r="I376" s="180"/>
      <c r="J376" s="190">
        <v>44965</v>
      </c>
      <c r="K376" s="180"/>
      <c r="L376" s="180"/>
      <c r="M376" s="190">
        <v>44977</v>
      </c>
      <c r="N376" s="190"/>
      <c r="O376" s="190">
        <v>45097</v>
      </c>
      <c r="P376" s="180" t="s">
        <v>728</v>
      </c>
      <c r="Q376" s="190">
        <v>45127</v>
      </c>
      <c r="R376" s="180"/>
      <c r="S376" s="180">
        <v>0</v>
      </c>
      <c r="T376" s="180">
        <v>0</v>
      </c>
      <c r="U376" s="180">
        <v>0</v>
      </c>
      <c r="V376" s="180">
        <v>0</v>
      </c>
      <c r="W376" s="180">
        <v>0</v>
      </c>
      <c r="X376" s="180">
        <v>38.090000000000003</v>
      </c>
      <c r="Y376" s="180">
        <v>3.09</v>
      </c>
      <c r="Z376" s="180">
        <v>0</v>
      </c>
      <c r="AA376" s="180">
        <v>2.27</v>
      </c>
      <c r="AB376" s="180">
        <v>2.76</v>
      </c>
      <c r="AC376" s="180">
        <v>0</v>
      </c>
      <c r="AD376" s="180">
        <v>55.15</v>
      </c>
      <c r="AE376" s="198">
        <f>AllPlans[[#This Row],[Prep days*]]+AllPlans[[#This Row],[Hearing days*]]+AllPlans[[#This Row],[SV days*]]+AllPlans[[#This Row],[Travel days]]+AllPlans[[#This Row],[Reptg days*]]</f>
        <v>101.36000000000001</v>
      </c>
      <c r="AF376" s="180"/>
      <c r="AG376" s="190">
        <v>45436</v>
      </c>
      <c r="AH376" s="180"/>
      <c r="AI376" s="190">
        <v>45406</v>
      </c>
      <c r="AJ376" s="180"/>
      <c r="AK376" s="190">
        <v>45427</v>
      </c>
      <c r="AL376" s="180"/>
      <c r="AM376" s="190">
        <v>45433</v>
      </c>
      <c r="AN376" s="180"/>
      <c r="AO376" s="190">
        <v>45478</v>
      </c>
      <c r="AP376" s="180"/>
      <c r="AQ376" s="190">
        <v>45497</v>
      </c>
      <c r="AR376" s="180"/>
      <c r="AS376" s="190"/>
      <c r="AT376" s="180"/>
      <c r="AU376" s="180" t="s">
        <v>59</v>
      </c>
      <c r="AV376" s="40">
        <f t="shared" si="28"/>
        <v>73.285714285714292</v>
      </c>
      <c r="AW376" s="180"/>
      <c r="AX376" s="63"/>
      <c r="AY376" s="77" t="str">
        <f>IF(D376&lt;&gt;"",IF(LEFT(IFERROR(VLOOKUP(D376,'LPA Lookup'!$A$100:$B$470,2,FALSE),"LPA not known to MCLHG"),3)&lt;&gt;"JSP",IFERROR(VLOOKUP(D376,'LPA Lookup'!$A$100:$B$470,2,FALSE),"LPA not known to MCLHG"),VLOOKUP(D376&amp;B376,#REF!,3,FALSE)),"")</f>
        <v>E09000020</v>
      </c>
      <c r="AZ376" s="115" t="str">
        <f t="shared" si="23"/>
        <v>Feb 23</v>
      </c>
      <c r="BA376" s="115" t="str">
        <f t="shared" si="25"/>
        <v>Jul 24</v>
      </c>
    </row>
    <row r="377" spans="1:53" ht="14" x14ac:dyDescent="0.15">
      <c r="A377" s="35" t="s">
        <v>53</v>
      </c>
      <c r="B377" s="111">
        <v>2117</v>
      </c>
      <c r="C377" s="61" t="s">
        <v>61</v>
      </c>
      <c r="D377" s="61" t="s">
        <v>729</v>
      </c>
      <c r="E377" s="61" t="s">
        <v>506</v>
      </c>
      <c r="F377" s="61" t="s">
        <v>57</v>
      </c>
      <c r="G377" s="61">
        <v>3</v>
      </c>
      <c r="H377" s="62">
        <v>44855</v>
      </c>
      <c r="I377" s="61"/>
      <c r="J377" s="62">
        <v>45016</v>
      </c>
      <c r="K377" s="61"/>
      <c r="L377" s="61"/>
      <c r="M377" s="62">
        <v>45034</v>
      </c>
      <c r="N377" s="62"/>
      <c r="O377" s="62">
        <v>45245</v>
      </c>
      <c r="P377" s="208"/>
      <c r="Q377" s="62">
        <v>45276</v>
      </c>
      <c r="R377" s="61"/>
      <c r="S377" s="61">
        <v>0</v>
      </c>
      <c r="T377" s="61">
        <v>0</v>
      </c>
      <c r="U377" s="61">
        <v>0</v>
      </c>
      <c r="V377" s="61">
        <v>0</v>
      </c>
      <c r="W377" s="61">
        <v>0</v>
      </c>
      <c r="X377" s="61">
        <v>37.57</v>
      </c>
      <c r="Y377" s="61">
        <v>12</v>
      </c>
      <c r="Z377" s="61">
        <v>0</v>
      </c>
      <c r="AA377" s="61">
        <v>2.5499999999999998</v>
      </c>
      <c r="AB377" s="61">
        <v>9.41</v>
      </c>
      <c r="AC377" s="61">
        <v>0</v>
      </c>
      <c r="AD377" s="61">
        <v>33.5</v>
      </c>
      <c r="AE377" s="48">
        <v>95</v>
      </c>
      <c r="AF377" s="61"/>
      <c r="AG377" s="62">
        <v>45539</v>
      </c>
      <c r="AH377" s="61"/>
      <c r="AI377" s="62">
        <v>45509</v>
      </c>
      <c r="AJ377" s="61"/>
      <c r="AK377" s="62">
        <v>45527</v>
      </c>
      <c r="AL377" s="61"/>
      <c r="AM377" s="62">
        <v>45539</v>
      </c>
      <c r="AN377" s="61"/>
      <c r="AO377" s="62">
        <v>45555</v>
      </c>
      <c r="AP377" s="61"/>
      <c r="AQ377" s="62">
        <v>45581</v>
      </c>
      <c r="AR377" s="61"/>
      <c r="AS377" s="62"/>
      <c r="AT377" s="61"/>
      <c r="AU377" s="61" t="s">
        <v>59</v>
      </c>
      <c r="AV377" s="50">
        <f t="shared" si="28"/>
        <v>77</v>
      </c>
      <c r="AW377" s="61"/>
      <c r="AX377" s="69"/>
      <c r="AY377" s="77" t="str">
        <f>IF(D377&lt;&gt;"",IF(LEFT(IFERROR(VLOOKUP(D377,'LPA Lookup'!$A$100:$B$470,2,FALSE),"LPA not known to MCLHG"),3)&lt;&gt;"JSP",IFERROR(VLOOKUP(D377,'LPA Lookup'!$A$100:$B$470,2,FALSE),"LPA not known to MCLHG"),VLOOKUP(D377&amp;B377,#REF!,3,FALSE)),"")</f>
        <v>E07000108</v>
      </c>
      <c r="AZ377" s="115" t="str">
        <f t="shared" si="23"/>
        <v>Mar 23</v>
      </c>
      <c r="BA377" s="115" t="str">
        <f t="shared" si="25"/>
        <v>Sep 24</v>
      </c>
    </row>
    <row r="378" spans="1:53" ht="14" x14ac:dyDescent="0.15">
      <c r="A378" s="35" t="s">
        <v>53</v>
      </c>
      <c r="B378" s="170">
        <v>2036</v>
      </c>
      <c r="C378" s="180" t="s">
        <v>77</v>
      </c>
      <c r="D378" s="180" t="s">
        <v>730</v>
      </c>
      <c r="E378" s="180" t="s">
        <v>623</v>
      </c>
      <c r="F378" s="180" t="s">
        <v>57</v>
      </c>
      <c r="G378" s="188">
        <v>3</v>
      </c>
      <c r="H378" s="190">
        <v>44858</v>
      </c>
      <c r="I378" s="180"/>
      <c r="J378" s="190">
        <v>45016</v>
      </c>
      <c r="K378" s="180"/>
      <c r="L378" s="180"/>
      <c r="M378" s="190">
        <v>45033</v>
      </c>
      <c r="N378" s="190"/>
      <c r="O378" s="190">
        <v>45230</v>
      </c>
      <c r="P378" s="180"/>
      <c r="Q378" s="190">
        <v>45489</v>
      </c>
      <c r="R378" s="180"/>
      <c r="S378" s="180">
        <v>0</v>
      </c>
      <c r="T378" s="180">
        <v>0</v>
      </c>
      <c r="U378" s="180">
        <v>0</v>
      </c>
      <c r="V378" s="180">
        <v>0</v>
      </c>
      <c r="W378" s="180">
        <v>0</v>
      </c>
      <c r="X378" s="180">
        <v>43.2</v>
      </c>
      <c r="Y378" s="180">
        <v>10.29</v>
      </c>
      <c r="Z378" s="180"/>
      <c r="AA378" s="180">
        <v>1.08</v>
      </c>
      <c r="AB378" s="180">
        <v>3.31</v>
      </c>
      <c r="AC378" s="180"/>
      <c r="AD378" s="180">
        <v>28.93</v>
      </c>
      <c r="AE378" s="198">
        <f>AllPlans[[#This Row],[Prep days*]]+AllPlans[[#This Row],[Hearing days*]]+AllPlans[[#This Row],[SV days*]]+AllPlans[[#This Row],[Travel days]]+AllPlans[[#This Row],[Reptg days*]]</f>
        <v>86.81</v>
      </c>
      <c r="AF378" s="180"/>
      <c r="AG378" s="190">
        <v>45646</v>
      </c>
      <c r="AH378" s="180"/>
      <c r="AI378" s="190">
        <v>45637</v>
      </c>
      <c r="AJ378" s="180"/>
      <c r="AK378" s="190">
        <v>45642</v>
      </c>
      <c r="AL378" s="180"/>
      <c r="AM378" s="190">
        <v>45643</v>
      </c>
      <c r="AN378" s="180"/>
      <c r="AO378" s="190">
        <v>45656</v>
      </c>
      <c r="AP378" s="180"/>
      <c r="AQ378" s="190">
        <v>45749</v>
      </c>
      <c r="AR378" s="180"/>
      <c r="AS378" s="190"/>
      <c r="AT378" s="180"/>
      <c r="AU378" s="180" t="s">
        <v>59</v>
      </c>
      <c r="AV378" s="38">
        <f t="shared" si="28"/>
        <v>91.428571428571431</v>
      </c>
      <c r="AW378" s="180"/>
      <c r="AX378" s="63"/>
      <c r="AY378" s="77" t="str">
        <f>IF(D378&lt;&gt;"",IF(LEFT(IFERROR(VLOOKUP(D378,'LPA Lookup'!$A$100:$B$470,2,FALSE),"LPA not known to MCLHG"),3)&lt;&gt;"JSP",IFERROR(VLOOKUP(D378,'LPA Lookup'!$A$100:$B$470,2,FALSE),"LPA not known to MCLHG"),VLOOKUP(D378&amp;B378,#REF!,3,FALSE)),"")</f>
        <v>E06000011</v>
      </c>
      <c r="AZ378" s="41" t="str">
        <f t="shared" si="23"/>
        <v>Mar 23</v>
      </c>
      <c r="BA378" s="41" t="str">
        <f t="shared" si="25"/>
        <v>Dec 24</v>
      </c>
    </row>
    <row r="379" spans="1:53" ht="84" x14ac:dyDescent="0.15">
      <c r="A379" s="35" t="s">
        <v>53</v>
      </c>
      <c r="B379" s="170">
        <v>2162</v>
      </c>
      <c r="C379" s="180" t="s">
        <v>71</v>
      </c>
      <c r="D379" s="180" t="s">
        <v>221</v>
      </c>
      <c r="E379" s="180" t="s">
        <v>731</v>
      </c>
      <c r="F379" s="180" t="s">
        <v>57</v>
      </c>
      <c r="G379" s="180">
        <v>3</v>
      </c>
      <c r="H379" s="190">
        <v>44946</v>
      </c>
      <c r="I379" s="180"/>
      <c r="J379" s="190">
        <v>45016</v>
      </c>
      <c r="K379" s="180"/>
      <c r="L379" s="180"/>
      <c r="M379" s="190">
        <v>45037</v>
      </c>
      <c r="N379" s="190"/>
      <c r="O379" s="190">
        <v>45420</v>
      </c>
      <c r="P379" s="180" t="s">
        <v>732</v>
      </c>
      <c r="Q379" s="190">
        <v>45568</v>
      </c>
      <c r="R379" s="180"/>
      <c r="S379" s="180">
        <v>0</v>
      </c>
      <c r="T379" s="180">
        <v>0</v>
      </c>
      <c r="U379" s="180">
        <v>0</v>
      </c>
      <c r="V379" s="180">
        <v>0</v>
      </c>
      <c r="W379" s="180">
        <v>0</v>
      </c>
      <c r="X379" s="180">
        <v>86.16</v>
      </c>
      <c r="Y379" s="180">
        <v>14</v>
      </c>
      <c r="Z379" s="180">
        <v>0</v>
      </c>
      <c r="AA379" s="180">
        <v>0</v>
      </c>
      <c r="AB379" s="180">
        <v>6.62</v>
      </c>
      <c r="AC379" s="180">
        <v>0</v>
      </c>
      <c r="AD379" s="180">
        <v>26.54</v>
      </c>
      <c r="AE379" s="198">
        <f>AllPlans[[#This Row],[Prep days*]]+AllPlans[[#This Row],[Hearing days*]]+AllPlans[[#This Row],[SV days*]]+AllPlans[[#This Row],[Travel days]]+AllPlans[[#This Row],[Reptg days*]]</f>
        <v>133.32</v>
      </c>
      <c r="AF379" s="180"/>
      <c r="AG379" s="190">
        <v>45737</v>
      </c>
      <c r="AH379" s="180"/>
      <c r="AI379" s="190">
        <v>45726</v>
      </c>
      <c r="AJ379" s="180"/>
      <c r="AK379" s="190">
        <v>45733</v>
      </c>
      <c r="AL379" s="180"/>
      <c r="AM379" s="190">
        <v>45735</v>
      </c>
      <c r="AN379" s="180"/>
      <c r="AO379" s="190">
        <v>45755</v>
      </c>
      <c r="AP379" s="180"/>
      <c r="AQ379" s="190">
        <v>45818</v>
      </c>
      <c r="AR379" s="180"/>
      <c r="AS379" s="190"/>
      <c r="AT379" s="180"/>
      <c r="AU379" s="180" t="s">
        <v>59</v>
      </c>
      <c r="AV379" s="38">
        <f t="shared" si="28"/>
        <v>105.57142857142857</v>
      </c>
      <c r="AW379" s="180"/>
      <c r="AX379" s="63"/>
      <c r="AY379" s="77" t="str">
        <f>IF(D379&lt;&gt;"",IF(LEFT(IFERROR(VLOOKUP(D379,'LPA Lookup'!$A$100:$B$470,2,FALSE),"LPA not known to MCLHG"),3)&lt;&gt;"JSP",IFERROR(VLOOKUP(D379,'LPA Lookup'!$A$100:$B$470,2,FALSE),"LPA not known to MCLHG"),VLOOKUP(D379&amp;B379,#REF!,3,FALSE)),"")</f>
        <v>E06000037</v>
      </c>
      <c r="AZ379" s="115" t="str">
        <f t="shared" si="23"/>
        <v>Mar 23</v>
      </c>
      <c r="BA379" s="115" t="str">
        <f t="shared" si="25"/>
        <v>Apr 25</v>
      </c>
    </row>
    <row r="380" spans="1:53" ht="56" x14ac:dyDescent="0.15">
      <c r="A380" s="170">
        <v>3324003</v>
      </c>
      <c r="B380" s="170">
        <v>2122</v>
      </c>
      <c r="C380" s="180" t="s">
        <v>71</v>
      </c>
      <c r="D380" s="180" t="s">
        <v>733</v>
      </c>
      <c r="E380" s="180" t="s">
        <v>56</v>
      </c>
      <c r="F380" s="180" t="s">
        <v>57</v>
      </c>
      <c r="G380" s="180">
        <v>3</v>
      </c>
      <c r="H380" s="190">
        <v>44578</v>
      </c>
      <c r="I380" s="180"/>
      <c r="J380" s="190">
        <v>45057</v>
      </c>
      <c r="K380" s="180"/>
      <c r="L380" s="180" t="s">
        <v>699</v>
      </c>
      <c r="M380" s="190">
        <v>45076</v>
      </c>
      <c r="N380" s="190"/>
      <c r="O380" s="190">
        <v>45314</v>
      </c>
      <c r="P380" s="180" t="s">
        <v>734</v>
      </c>
      <c r="Q380" s="190">
        <v>45757</v>
      </c>
      <c r="R380" s="180"/>
      <c r="S380" s="180">
        <v>0</v>
      </c>
      <c r="T380" s="180">
        <v>0</v>
      </c>
      <c r="U380" s="180">
        <v>0</v>
      </c>
      <c r="V380" s="180">
        <v>0</v>
      </c>
      <c r="W380" s="180"/>
      <c r="X380" s="180">
        <v>24.62</v>
      </c>
      <c r="Y380" s="180">
        <v>13</v>
      </c>
      <c r="Z380" s="180">
        <v>0</v>
      </c>
      <c r="AA380" s="180">
        <v>2.19</v>
      </c>
      <c r="AB380" s="180">
        <v>0</v>
      </c>
      <c r="AC380" s="180">
        <v>0</v>
      </c>
      <c r="AD380" s="180">
        <v>17.190000000000001</v>
      </c>
      <c r="AE380" s="198">
        <f>AllPlans[[#This Row],[Prep days*]]+AllPlans[[#This Row],[Hearing days*]]+AllPlans[[#This Row],[SV days*]]+AllPlans[[#This Row],[Travel days]]+AllPlans[[#This Row],[Reptg days*]]</f>
        <v>57</v>
      </c>
      <c r="AF380" s="180"/>
      <c r="AG380" s="190">
        <v>45957</v>
      </c>
      <c r="AH380" s="197">
        <v>45957</v>
      </c>
      <c r="AI380" s="190">
        <v>45951</v>
      </c>
      <c r="AJ380" s="180"/>
      <c r="AK380" s="190">
        <v>45957</v>
      </c>
      <c r="AL380" s="197">
        <v>45957</v>
      </c>
      <c r="AM380" s="190">
        <v>45957</v>
      </c>
      <c r="AN380" s="180"/>
      <c r="AO380" s="190">
        <v>45961</v>
      </c>
      <c r="AP380" s="180"/>
      <c r="AQ380" s="190">
        <v>46008</v>
      </c>
      <c r="AR380" s="180"/>
      <c r="AS380" s="190"/>
      <c r="AT380" s="180"/>
      <c r="AU380" s="180" t="s">
        <v>59</v>
      </c>
      <c r="AV380" s="38">
        <f t="shared" si="28"/>
        <v>129.14285714285714</v>
      </c>
      <c r="AW380" s="180"/>
      <c r="AX380" s="180"/>
      <c r="AY380" s="77" t="str">
        <f>IF(D380&lt;&gt;"",IF(LEFT(IFERROR(VLOOKUP(D380,'LPA Lookup'!$A$100:$B$470,2,FALSE),"LPA not known to MCLHG"),3)&lt;&gt;"JSP",IFERROR(VLOOKUP(D380,'LPA Lookup'!$A$100:$B$470,2,FALSE),"LPA not known to MCLHG"),VLOOKUP(D380&amp;B380,#REF!,3,FALSE)),"")</f>
        <v>E07000147</v>
      </c>
      <c r="AZ380" s="115" t="str">
        <f t="shared" si="23"/>
        <v>May 23</v>
      </c>
      <c r="BA380" s="115" t="str">
        <f t="shared" si="25"/>
        <v>Oct 25</v>
      </c>
    </row>
    <row r="381" spans="1:53" ht="14" x14ac:dyDescent="0.15">
      <c r="A381" s="35" t="s">
        <v>53</v>
      </c>
      <c r="B381" s="170">
        <v>2392</v>
      </c>
      <c r="C381" s="180" t="s">
        <v>270</v>
      </c>
      <c r="D381" s="180" t="s">
        <v>571</v>
      </c>
      <c r="E381" s="180" t="s">
        <v>455</v>
      </c>
      <c r="F381" s="180" t="s">
        <v>80</v>
      </c>
      <c r="G381" s="180">
        <v>2</v>
      </c>
      <c r="H381" s="190">
        <v>44893</v>
      </c>
      <c r="I381" s="180"/>
      <c r="J381" s="190">
        <v>45110</v>
      </c>
      <c r="K381" s="180"/>
      <c r="L381" s="180"/>
      <c r="M381" s="190">
        <v>45113</v>
      </c>
      <c r="N381" s="190"/>
      <c r="O381" s="190">
        <v>45195</v>
      </c>
      <c r="P381" s="180"/>
      <c r="Q381" s="190">
        <v>45204</v>
      </c>
      <c r="R381" s="180"/>
      <c r="S381" s="180">
        <v>0</v>
      </c>
      <c r="T381" s="180">
        <v>0</v>
      </c>
      <c r="U381" s="180">
        <v>0</v>
      </c>
      <c r="V381" s="180">
        <v>0</v>
      </c>
      <c r="W381" s="180">
        <v>0</v>
      </c>
      <c r="X381" s="180">
        <v>20.53</v>
      </c>
      <c r="Y381" s="180">
        <v>3.7</v>
      </c>
      <c r="Z381" s="180">
        <v>0</v>
      </c>
      <c r="AA381" s="180">
        <v>0.57999999999999996</v>
      </c>
      <c r="AB381" s="180">
        <v>2.0699999999999998</v>
      </c>
      <c r="AC381" s="180">
        <v>0</v>
      </c>
      <c r="AD381" s="180">
        <v>13.27</v>
      </c>
      <c r="AE381" s="198">
        <v>40.15</v>
      </c>
      <c r="AF381" s="180"/>
      <c r="AG381" s="190"/>
      <c r="AH381" s="180"/>
      <c r="AI381" s="190">
        <v>45411</v>
      </c>
      <c r="AJ381" s="180"/>
      <c r="AK381" s="190">
        <v>45425</v>
      </c>
      <c r="AL381" s="180"/>
      <c r="AM381" s="190">
        <v>45426</v>
      </c>
      <c r="AN381" s="180"/>
      <c r="AO381" s="190">
        <v>45432</v>
      </c>
      <c r="AP381" s="180"/>
      <c r="AQ381" s="190">
        <v>45490</v>
      </c>
      <c r="AR381" s="180"/>
      <c r="AS381" s="190"/>
      <c r="AT381" s="180"/>
      <c r="AU381" s="180" t="s">
        <v>59</v>
      </c>
      <c r="AV381" s="40">
        <f t="shared" si="28"/>
        <v>46</v>
      </c>
      <c r="AW381" s="180"/>
      <c r="AX381" s="63"/>
      <c r="AY381" s="77" t="str">
        <f>IF(D381&lt;&gt;"",IF(LEFT(IFERROR(VLOOKUP(D381,'LPA Lookup'!$A$100:$B$470,2,FALSE),"LPA not known to MCLHG"),3)&lt;&gt;"JSP",IFERROR(VLOOKUP(D381,'LPA Lookup'!$A$100:$B$470,2,FALSE),"LPA not known to MCLHG"),VLOOKUP(D381&amp;B381,#REF!,3,FALSE)),"")</f>
        <v>LPA not known to MCLHG</v>
      </c>
      <c r="AZ381" s="115" t="str">
        <f t="shared" si="23"/>
        <v>Jul 23</v>
      </c>
      <c r="BA381" s="115" t="str">
        <f t="shared" si="25"/>
        <v>May 24</v>
      </c>
    </row>
    <row r="382" spans="1:53" ht="14" x14ac:dyDescent="0.15">
      <c r="A382" s="35" t="s">
        <v>53</v>
      </c>
      <c r="B382" s="170">
        <v>2211</v>
      </c>
      <c r="C382" s="180" t="s">
        <v>61</v>
      </c>
      <c r="D382" s="180" t="s">
        <v>735</v>
      </c>
      <c r="E382" s="180" t="s">
        <v>92</v>
      </c>
      <c r="F382" s="180" t="s">
        <v>57</v>
      </c>
      <c r="G382" s="180">
        <v>3</v>
      </c>
      <c r="H382" s="190">
        <v>43850</v>
      </c>
      <c r="I382" s="180"/>
      <c r="J382" s="190">
        <v>45138</v>
      </c>
      <c r="K382" s="180"/>
      <c r="L382" s="180" t="s">
        <v>584</v>
      </c>
      <c r="M382" s="190">
        <v>45147</v>
      </c>
      <c r="N382" s="190"/>
      <c r="O382" s="190">
        <v>45251</v>
      </c>
      <c r="P382" s="180"/>
      <c r="Q382" s="190">
        <v>45307</v>
      </c>
      <c r="R382" s="180"/>
      <c r="S382" s="180">
        <v>0</v>
      </c>
      <c r="T382" s="180">
        <v>0</v>
      </c>
      <c r="U382" s="180">
        <v>0</v>
      </c>
      <c r="V382" s="180">
        <v>0</v>
      </c>
      <c r="W382" s="180">
        <v>0</v>
      </c>
      <c r="X382" s="180">
        <v>51.49</v>
      </c>
      <c r="Y382" s="180">
        <v>13.31</v>
      </c>
      <c r="Z382" s="180">
        <v>0</v>
      </c>
      <c r="AA382" s="180">
        <v>3.04</v>
      </c>
      <c r="AB382" s="180">
        <v>6.64</v>
      </c>
      <c r="AC382" s="180">
        <v>0</v>
      </c>
      <c r="AD382" s="180">
        <v>34.11</v>
      </c>
      <c r="AE382" s="198">
        <v>108.59</v>
      </c>
      <c r="AF382" s="180"/>
      <c r="AG382" s="190">
        <v>45534</v>
      </c>
      <c r="AH382" s="180"/>
      <c r="AI382" s="190">
        <v>45484</v>
      </c>
      <c r="AJ382" s="180"/>
      <c r="AK382" s="190">
        <v>45516</v>
      </c>
      <c r="AL382" s="180"/>
      <c r="AM382" s="190">
        <v>45539</v>
      </c>
      <c r="AN382" s="180"/>
      <c r="AO382" s="190">
        <v>45541</v>
      </c>
      <c r="AP382" s="180"/>
      <c r="AQ382" s="190">
        <v>45581</v>
      </c>
      <c r="AR382" s="180"/>
      <c r="AS382" s="190"/>
      <c r="AT382" s="180"/>
      <c r="AU382" s="180" t="s">
        <v>59</v>
      </c>
      <c r="AV382" s="40">
        <f t="shared" si="28"/>
        <v>57.571428571428569</v>
      </c>
      <c r="AW382" s="203">
        <f>SUM(AO382-Q382)/7</f>
        <v>33.428571428571431</v>
      </c>
      <c r="AX382" s="63"/>
      <c r="AY382" s="77" t="str">
        <f>IF(D382&lt;&gt;"",IF(LEFT(IFERROR(VLOOKUP(D382,'LPA Lookup'!$A$100:$B$470,2,FALSE),"LPA not known to MCLHG"),3)&lt;&gt;"JSP",IFERROR(VLOOKUP(D382,'LPA Lookup'!$A$100:$B$470,2,FALSE),"LPA not known to MCLHG"),VLOOKUP(D382&amp;B382,#REF!,3,FALSE)),"")</f>
        <v>LPA not known to MCLHG</v>
      </c>
      <c r="AZ382" s="115" t="str">
        <f t="shared" si="23"/>
        <v>Jul 23</v>
      </c>
      <c r="BA382" s="115" t="str">
        <f t="shared" si="25"/>
        <v>Sep 24</v>
      </c>
    </row>
    <row r="383" spans="1:53" s="69" customFormat="1" ht="14" x14ac:dyDescent="0.15">
      <c r="A383" s="35" t="s">
        <v>53</v>
      </c>
      <c r="B383" s="172">
        <v>2147</v>
      </c>
      <c r="C383" s="179" t="s">
        <v>61</v>
      </c>
      <c r="D383" s="179" t="s">
        <v>736</v>
      </c>
      <c r="E383" s="179" t="s">
        <v>56</v>
      </c>
      <c r="F383" s="179" t="s">
        <v>57</v>
      </c>
      <c r="G383" s="179">
        <v>3</v>
      </c>
      <c r="H383" s="189">
        <v>44729</v>
      </c>
      <c r="I383" s="179"/>
      <c r="J383" s="189">
        <v>45148</v>
      </c>
      <c r="K383" s="179"/>
      <c r="L383" s="179"/>
      <c r="M383" s="189">
        <v>45152</v>
      </c>
      <c r="N383" s="189"/>
      <c r="O383" s="189">
        <v>45349</v>
      </c>
      <c r="P383" s="179" t="s">
        <v>737</v>
      </c>
      <c r="Q383" s="189"/>
      <c r="R383" s="179"/>
      <c r="S383" s="179">
        <v>0</v>
      </c>
      <c r="T383" s="179">
        <v>0</v>
      </c>
      <c r="U383" s="179">
        <v>0</v>
      </c>
      <c r="V383" s="179">
        <v>0</v>
      </c>
      <c r="W383" s="179">
        <v>0</v>
      </c>
      <c r="X383" s="179">
        <v>56.04</v>
      </c>
      <c r="Y383" s="179">
        <v>9.86</v>
      </c>
      <c r="Z383" s="179">
        <v>0</v>
      </c>
      <c r="AA383" s="179">
        <v>1.62</v>
      </c>
      <c r="AB383" s="179">
        <v>2.98</v>
      </c>
      <c r="AC383" s="179">
        <v>0</v>
      </c>
      <c r="AD383" s="179">
        <v>5.42</v>
      </c>
      <c r="AE383" s="100">
        <f>AllPlans[[#This Row],[Prep days*]]+AllPlans[[#This Row],[Hearing days*]]+AllPlans[[#This Row],[SV days*]]+AllPlans[[#This Row],[Travel days]]+AllPlans[[#This Row],[Reptg days*]]</f>
        <v>75.920000000000016</v>
      </c>
      <c r="AF383" s="179"/>
      <c r="AG383" s="189"/>
      <c r="AH383" s="179"/>
      <c r="AI383" s="189"/>
      <c r="AJ383" s="179"/>
      <c r="AK383" s="189"/>
      <c r="AL383" s="179"/>
      <c r="AM383" s="189"/>
      <c r="AN383" s="179"/>
      <c r="AO383" s="189"/>
      <c r="AP383" s="179"/>
      <c r="AQ383" s="189"/>
      <c r="AR383" s="179"/>
      <c r="AS383" s="189">
        <v>45715</v>
      </c>
      <c r="AT383" s="179"/>
      <c r="AU383" s="179" t="s">
        <v>278</v>
      </c>
      <c r="AV383" s="38" t="e">
        <f t="shared" si="28"/>
        <v>#NUM!</v>
      </c>
      <c r="AW383" s="179"/>
      <c r="AY383" s="77" t="str">
        <f>IF(D383&lt;&gt;"",IF(LEFT(IFERROR(VLOOKUP(D383,'LPA Lookup'!$A$100:$B$470,2,FALSE),"LPA not known to MCLHG"),3)&lt;&gt;"JSP",IFERROR(VLOOKUP(D383,'LPA Lookup'!$A$100:$B$470,2,FALSE),"LPA not known to MCLHG"),VLOOKUP(D383&amp;B383,#REF!,3,FALSE)),"")</f>
        <v>E07000207</v>
      </c>
      <c r="AZ383" s="69" t="str">
        <f t="shared" si="23"/>
        <v>Aug 23</v>
      </c>
      <c r="BA383" s="69" t="str">
        <f t="shared" si="25"/>
        <v>Jan 00</v>
      </c>
    </row>
    <row r="384" spans="1:53" s="138" customFormat="1" ht="15" thickBot="1" x14ac:dyDescent="0.2">
      <c r="A384" s="35" t="s">
        <v>53</v>
      </c>
      <c r="B384" s="169">
        <v>2390</v>
      </c>
      <c r="C384" s="178" t="s">
        <v>54</v>
      </c>
      <c r="D384" s="178" t="s">
        <v>738</v>
      </c>
      <c r="E384" s="178" t="s">
        <v>739</v>
      </c>
      <c r="F384" s="178" t="s">
        <v>102</v>
      </c>
      <c r="G384" s="178">
        <v>2</v>
      </c>
      <c r="H384" s="193">
        <v>45012</v>
      </c>
      <c r="I384" s="178"/>
      <c r="J384" s="193">
        <v>45163</v>
      </c>
      <c r="K384" s="178"/>
      <c r="L384" s="178"/>
      <c r="M384" s="193">
        <v>45175</v>
      </c>
      <c r="N384" s="193"/>
      <c r="O384" s="193">
        <v>45314</v>
      </c>
      <c r="P384" s="178"/>
      <c r="Q384" s="193">
        <v>45314</v>
      </c>
      <c r="R384" s="178"/>
      <c r="S384" s="178">
        <v>0</v>
      </c>
      <c r="T384" s="178">
        <v>0</v>
      </c>
      <c r="U384" s="178">
        <v>0</v>
      </c>
      <c r="V384" s="178">
        <v>0</v>
      </c>
      <c r="W384" s="178">
        <v>7.0000000000000007E-2</v>
      </c>
      <c r="X384" s="178">
        <v>26.05</v>
      </c>
      <c r="Y384" s="178">
        <v>0.88</v>
      </c>
      <c r="Z384" s="178">
        <v>0</v>
      </c>
      <c r="AA384" s="178">
        <v>0.68</v>
      </c>
      <c r="AB384" s="178">
        <v>1.35</v>
      </c>
      <c r="AC384" s="178">
        <v>0</v>
      </c>
      <c r="AD384" s="178">
        <v>4.05</v>
      </c>
      <c r="AE384" s="266">
        <f>AllPlans[[#This Row],[Prep days*]]+AllPlans[[#This Row],[Hearing days*]]+AllPlans[[#This Row],[SV days*]]+AllPlans[[#This Row],[Travel days]]+AllPlans[[#This Row],[Reptg days*]]</f>
        <v>33.01</v>
      </c>
      <c r="AF384" s="178"/>
      <c r="AG384" s="193">
        <v>45600</v>
      </c>
      <c r="AH384" s="178"/>
      <c r="AI384" s="193">
        <v>45587</v>
      </c>
      <c r="AJ384" s="178"/>
      <c r="AK384" s="193">
        <v>45588</v>
      </c>
      <c r="AL384" s="178"/>
      <c r="AM384" s="193">
        <v>45594</v>
      </c>
      <c r="AN384" s="178"/>
      <c r="AO384" s="193">
        <v>45600</v>
      </c>
      <c r="AP384" s="178"/>
      <c r="AQ384" s="193">
        <v>45742</v>
      </c>
      <c r="AR384" s="178"/>
      <c r="AS384" s="193"/>
      <c r="AT384" s="178"/>
      <c r="AU384" s="178" t="s">
        <v>59</v>
      </c>
      <c r="AV384" s="38">
        <f t="shared" si="28"/>
        <v>62.428571428571431</v>
      </c>
      <c r="AW384" s="178"/>
      <c r="AX384" s="65"/>
      <c r="AY384" s="77" t="str">
        <f>IF(D384&lt;&gt;"",IF(LEFT(IFERROR(VLOOKUP(D384,'LPA Lookup'!$A$100:$B$470,2,FALSE),"LPA not known to MCLHG"),3)&lt;&gt;"JSP",IFERROR(VLOOKUP(D384,'LPA Lookup'!$A$100:$B$470,2,FALSE),"LPA not known to MCLHG"),VLOOKUP(D384&amp;B384,#REF!,3,FALSE)),"")</f>
        <v>LPA not known to MCLHG</v>
      </c>
      <c r="AZ384" s="41" t="str">
        <f t="shared" si="23"/>
        <v>Aug 23</v>
      </c>
      <c r="BA384" s="41" t="str">
        <f t="shared" si="25"/>
        <v>Nov 24</v>
      </c>
    </row>
    <row r="385" spans="1:53" ht="14" x14ac:dyDescent="0.15">
      <c r="A385" s="35" t="s">
        <v>53</v>
      </c>
      <c r="B385" s="170">
        <v>2395</v>
      </c>
      <c r="C385" s="180" t="s">
        <v>71</v>
      </c>
      <c r="D385" s="180" t="s">
        <v>740</v>
      </c>
      <c r="E385" s="180" t="s">
        <v>741</v>
      </c>
      <c r="F385" s="180" t="s">
        <v>74</v>
      </c>
      <c r="G385" s="180">
        <v>2</v>
      </c>
      <c r="H385" s="190">
        <v>45061</v>
      </c>
      <c r="I385" s="180"/>
      <c r="J385" s="190">
        <v>45190</v>
      </c>
      <c r="K385" s="180"/>
      <c r="L385" s="180"/>
      <c r="M385" s="190">
        <v>45212</v>
      </c>
      <c r="N385" s="190"/>
      <c r="O385" s="190">
        <v>45419</v>
      </c>
      <c r="P385" s="180"/>
      <c r="Q385" s="190">
        <v>45422</v>
      </c>
      <c r="R385" s="180"/>
      <c r="S385" s="180">
        <v>0</v>
      </c>
      <c r="T385" s="180">
        <v>0</v>
      </c>
      <c r="U385" s="180">
        <v>0</v>
      </c>
      <c r="V385" s="180">
        <v>0</v>
      </c>
      <c r="W385" s="180">
        <v>0</v>
      </c>
      <c r="X385" s="180">
        <v>20.23</v>
      </c>
      <c r="Y385" s="180">
        <v>2.68</v>
      </c>
      <c r="Z385" s="180">
        <v>0</v>
      </c>
      <c r="AA385" s="180">
        <v>0</v>
      </c>
      <c r="AB385" s="180">
        <v>0.81</v>
      </c>
      <c r="AC385" s="180">
        <v>0</v>
      </c>
      <c r="AD385" s="180">
        <v>43.68</v>
      </c>
      <c r="AE385" s="268">
        <f>AllPlans[[#This Row],[Prep days*]]+AllPlans[[#This Row],[Hearing days*]]+AllPlans[[#This Row],[SV days*]]+AllPlans[[#This Row],[Travel days]]+AllPlans[[#This Row],[Reptg days*]]</f>
        <v>67.400000000000006</v>
      </c>
      <c r="AF385" s="180"/>
      <c r="AG385" s="190">
        <v>45737</v>
      </c>
      <c r="AH385" s="180"/>
      <c r="AI385" s="190"/>
      <c r="AJ385" s="180"/>
      <c r="AK385" s="190">
        <v>45733</v>
      </c>
      <c r="AL385" s="180"/>
      <c r="AM385" s="190">
        <v>45735</v>
      </c>
      <c r="AN385" s="180"/>
      <c r="AO385" s="190">
        <v>45747</v>
      </c>
      <c r="AP385" s="180"/>
      <c r="AQ385" s="190">
        <v>45825</v>
      </c>
      <c r="AR385" s="180"/>
      <c r="AS385" s="190"/>
      <c r="AT385" s="180"/>
      <c r="AU385" s="180" t="s">
        <v>59</v>
      </c>
      <c r="AV385" s="38">
        <f t="shared" si="28"/>
        <v>79.571428571428569</v>
      </c>
      <c r="AW385" s="180"/>
      <c r="AX385" s="63"/>
      <c r="AY385" s="77" t="str">
        <f>IF(D385&lt;&gt;"",IF(LEFT(IFERROR(VLOOKUP(D385,'LPA Lookup'!$A$100:$B$470,2,FALSE),"LPA not known to MCLHG"),3)&lt;&gt;"JSP",IFERROR(VLOOKUP(D385,'LPA Lookup'!$A$100:$B$470,2,FALSE),"LPA not known to MCLHG"),VLOOKUP(D385&amp;B385,#REF!,3,FALSE)),"")</f>
        <v>LPA not known to MCLHG</v>
      </c>
      <c r="AZ385" s="115" t="str">
        <f t="shared" si="23"/>
        <v>Sep 23</v>
      </c>
      <c r="BA385" s="115" t="str">
        <f t="shared" si="25"/>
        <v>Mar 25</v>
      </c>
    </row>
    <row r="386" spans="1:53" s="133" customFormat="1" ht="14" x14ac:dyDescent="0.15">
      <c r="A386" s="124">
        <v>3330302</v>
      </c>
      <c r="B386" s="124">
        <v>1378</v>
      </c>
      <c r="C386" s="69" t="s">
        <v>104</v>
      </c>
      <c r="D386" s="155" t="s">
        <v>742</v>
      </c>
      <c r="E386" s="69" t="s">
        <v>56</v>
      </c>
      <c r="F386" s="69" t="s">
        <v>743</v>
      </c>
      <c r="G386" s="69">
        <v>3</v>
      </c>
      <c r="H386" s="70">
        <v>44942</v>
      </c>
      <c r="I386" s="69"/>
      <c r="J386" s="70">
        <v>45195</v>
      </c>
      <c r="K386" s="69"/>
      <c r="L386" s="69" t="s">
        <v>584</v>
      </c>
      <c r="M386" s="70">
        <v>45208</v>
      </c>
      <c r="N386" s="70"/>
      <c r="O386" s="70">
        <v>45475</v>
      </c>
      <c r="P386" s="69"/>
      <c r="Q386" s="70"/>
      <c r="R386" s="69"/>
      <c r="S386" s="69">
        <v>0</v>
      </c>
      <c r="T386" s="69">
        <v>0</v>
      </c>
      <c r="U386" s="69">
        <v>0</v>
      </c>
      <c r="V386" s="69">
        <v>0</v>
      </c>
      <c r="W386" s="69">
        <v>0</v>
      </c>
      <c r="X386" s="69">
        <v>125.63</v>
      </c>
      <c r="Y386" s="69">
        <v>28.76</v>
      </c>
      <c r="Z386" s="69">
        <v>0</v>
      </c>
      <c r="AA386" s="69">
        <v>1.62</v>
      </c>
      <c r="AB386" s="69">
        <v>10.41</v>
      </c>
      <c r="AC386" s="69">
        <v>8.7799999999999994</v>
      </c>
      <c r="AD386" s="69">
        <v>46.36</v>
      </c>
      <c r="AE386" s="37">
        <v>221.56</v>
      </c>
      <c r="AF386" s="69"/>
      <c r="AG386" s="70"/>
      <c r="AH386" s="69"/>
      <c r="AI386" s="70">
        <v>46013</v>
      </c>
      <c r="AJ386" s="69"/>
      <c r="AK386" s="70"/>
      <c r="AL386" s="69"/>
      <c r="AM386" s="70"/>
      <c r="AN386" s="69"/>
      <c r="AO386" s="70"/>
      <c r="AP386" s="69"/>
      <c r="AQ386" s="70"/>
      <c r="AR386" s="69"/>
      <c r="AS386" s="70"/>
      <c r="AT386" s="69"/>
      <c r="AU386" s="69"/>
      <c r="AV386" s="69"/>
      <c r="AW386" s="69"/>
      <c r="AX386" s="69"/>
      <c r="AY386" s="77" t="str">
        <f>IF(D386&lt;&gt;"",IF(LEFT(IFERROR(VLOOKUP(D386,'LPA Lookup'!$A$100:$B$470,2,FALSE),"LPA not known to MCLHG"),3)&lt;&gt;"JSP",IFERROR(VLOOKUP(D386,'LPA Lookup'!$A$100:$B$470,2,FALSE),"LPA not known to MCLHG"),VLOOKUP(D386&amp;B386,#REF!,3,FALSE)),"")</f>
        <v>E06000016</v>
      </c>
      <c r="AZ386" s="134" t="str">
        <f t="shared" ref="AZ386:AZ454" si="29">TEXT(J386,"MMM YY")</f>
        <v>Sep 23</v>
      </c>
      <c r="BA386" s="134" t="str">
        <f t="shared" si="25"/>
        <v>Jan 00</v>
      </c>
    </row>
    <row r="387" spans="1:53" s="138" customFormat="1" ht="29" thickBot="1" x14ac:dyDescent="0.25">
      <c r="A387" s="121">
        <v>3330502</v>
      </c>
      <c r="B387" s="121">
        <v>2137</v>
      </c>
      <c r="C387" s="65" t="s">
        <v>54</v>
      </c>
      <c r="D387" s="160" t="s">
        <v>744</v>
      </c>
      <c r="E387" s="65" t="s">
        <v>745</v>
      </c>
      <c r="F387" s="65" t="s">
        <v>57</v>
      </c>
      <c r="G387" s="65">
        <v>3</v>
      </c>
      <c r="H387" s="66">
        <v>44866</v>
      </c>
      <c r="I387" s="65"/>
      <c r="J387" s="66">
        <v>45196</v>
      </c>
      <c r="K387" s="65"/>
      <c r="L387" s="65"/>
      <c r="M387" s="66">
        <v>45209</v>
      </c>
      <c r="N387" s="66"/>
      <c r="O387" s="66">
        <v>45720</v>
      </c>
      <c r="P387" s="65" t="s">
        <v>746</v>
      </c>
      <c r="Q387" s="66"/>
      <c r="R387" s="65"/>
      <c r="S387" s="65">
        <v>0</v>
      </c>
      <c r="T387" s="65">
        <v>0</v>
      </c>
      <c r="U387" s="65">
        <v>0</v>
      </c>
      <c r="V387" s="65">
        <v>0</v>
      </c>
      <c r="W387" s="65">
        <v>0</v>
      </c>
      <c r="X387" s="65">
        <v>41.42</v>
      </c>
      <c r="Y387" s="65">
        <v>8.5399999999999991</v>
      </c>
      <c r="Z387" s="65">
        <v>0</v>
      </c>
      <c r="AA387" s="65">
        <v>2.27</v>
      </c>
      <c r="AB387" s="65">
        <v>11.46</v>
      </c>
      <c r="AC387" s="65">
        <v>0</v>
      </c>
      <c r="AD387" s="65">
        <v>13.16</v>
      </c>
      <c r="AE387" s="139">
        <f>AllPlans[[#This Row],[Prep days*]]+AllPlans[[#This Row],[Hearing days*]]+AllPlans[[#This Row],[SV days*]]+AllPlans[[#This Row],[Travel days]]+AllPlans[[#This Row],[Reptg days*]]</f>
        <v>76.850000000000009</v>
      </c>
      <c r="AF387" s="65"/>
      <c r="AG387" s="66"/>
      <c r="AH387" s="65"/>
      <c r="AI387" s="66"/>
      <c r="AJ387" s="65"/>
      <c r="AK387" s="66"/>
      <c r="AL387" s="65"/>
      <c r="AM387" s="66"/>
      <c r="AN387" s="65"/>
      <c r="AO387" s="66"/>
      <c r="AP387" s="65"/>
      <c r="AQ387" s="66"/>
      <c r="AR387" s="65"/>
      <c r="AS387" s="66"/>
      <c r="AT387" s="65"/>
      <c r="AU387" s="65"/>
      <c r="AV387" s="65"/>
      <c r="AW387" s="65"/>
      <c r="AX387" s="65"/>
      <c r="AY387" s="297" t="s">
        <v>747</v>
      </c>
      <c r="AZ387" s="41" t="str">
        <f t="shared" si="29"/>
        <v>Sep 23</v>
      </c>
      <c r="BA387" s="41" t="str">
        <f t="shared" si="25"/>
        <v>Jan 00</v>
      </c>
    </row>
    <row r="388" spans="1:53" s="133" customFormat="1" ht="112" x14ac:dyDescent="0.15">
      <c r="A388" s="124">
        <v>3330905</v>
      </c>
      <c r="B388" s="124">
        <v>2155</v>
      </c>
      <c r="C388" s="69" t="s">
        <v>77</v>
      </c>
      <c r="D388" s="129" t="s">
        <v>748</v>
      </c>
      <c r="E388" s="69" t="s">
        <v>749</v>
      </c>
      <c r="F388" s="69" t="s">
        <v>57</v>
      </c>
      <c r="G388" s="69">
        <v>3</v>
      </c>
      <c r="H388" s="70">
        <v>44935</v>
      </c>
      <c r="I388" s="69"/>
      <c r="J388" s="70">
        <v>45205</v>
      </c>
      <c r="K388" s="69"/>
      <c r="L388" s="69" t="s">
        <v>699</v>
      </c>
      <c r="M388" s="76">
        <v>45209</v>
      </c>
      <c r="N388" s="140"/>
      <c r="O388" s="70">
        <v>45468</v>
      </c>
      <c r="P388" s="69" t="s">
        <v>750</v>
      </c>
      <c r="Q388" s="70"/>
      <c r="R388" s="69"/>
      <c r="S388" s="69">
        <v>0</v>
      </c>
      <c r="T388" s="69">
        <v>0</v>
      </c>
      <c r="U388" s="69">
        <v>0</v>
      </c>
      <c r="V388" s="69">
        <v>0</v>
      </c>
      <c r="W388" s="69">
        <v>2.8</v>
      </c>
      <c r="X388" s="69">
        <v>252.51</v>
      </c>
      <c r="Y388" s="69">
        <v>39.229999999999997</v>
      </c>
      <c r="Z388" s="69">
        <v>0</v>
      </c>
      <c r="AA388" s="69">
        <v>12.15</v>
      </c>
      <c r="AB388" s="69">
        <v>17.89</v>
      </c>
      <c r="AC388" s="69">
        <v>0</v>
      </c>
      <c r="AD388" s="69">
        <v>20.28</v>
      </c>
      <c r="AE388" s="37">
        <v>344.86</v>
      </c>
      <c r="AF388" s="69"/>
      <c r="AG388" s="70"/>
      <c r="AH388" s="69"/>
      <c r="AI388" s="70"/>
      <c r="AJ388" s="69"/>
      <c r="AK388" s="70"/>
      <c r="AL388" s="69"/>
      <c r="AM388" s="70"/>
      <c r="AN388" s="69"/>
      <c r="AO388" s="70"/>
      <c r="AP388" s="69"/>
      <c r="AQ388" s="70"/>
      <c r="AR388" s="69"/>
      <c r="AS388" s="70"/>
      <c r="AT388" s="69"/>
      <c r="AU388" s="69"/>
      <c r="AV388" s="69"/>
      <c r="AW388" s="69"/>
      <c r="AX388" s="69"/>
      <c r="AY388" s="77" t="str">
        <f>IF(D388&lt;&gt;"",IF(LEFT(IFERROR(VLOOKUP(D388,'LPA Lookup'!$A$100:$B$470,2,FALSE),"LPA not known to MCLHG"),3)&lt;&gt;"JSP",IFERROR(VLOOKUP(D388,'LPA Lookup'!$A$100:$B$470,2,FALSE),"LPA not known to MCLHG"),VLOOKUP(D388&amp;B388,#REF!,3,FALSE)),"")</f>
        <v>E08000019</v>
      </c>
      <c r="AZ388" s="134" t="str">
        <f t="shared" si="29"/>
        <v>Oct 23</v>
      </c>
      <c r="BA388" s="134" t="str">
        <f t="shared" si="25"/>
        <v>Jan 00</v>
      </c>
    </row>
    <row r="389" spans="1:53" s="138" customFormat="1" ht="15" thickBot="1" x14ac:dyDescent="0.2">
      <c r="A389" s="169">
        <v>3332496</v>
      </c>
      <c r="B389" s="169">
        <v>2114</v>
      </c>
      <c r="C389" s="178" t="s">
        <v>90</v>
      </c>
      <c r="D389" s="178" t="s">
        <v>751</v>
      </c>
      <c r="E389" s="178" t="s">
        <v>56</v>
      </c>
      <c r="F389" s="178" t="s">
        <v>57</v>
      </c>
      <c r="G389" s="178">
        <v>3</v>
      </c>
      <c r="H389" s="193">
        <v>44986</v>
      </c>
      <c r="I389" s="178"/>
      <c r="J389" s="193">
        <v>45233</v>
      </c>
      <c r="K389" s="178"/>
      <c r="L389" s="178"/>
      <c r="M389" s="193">
        <v>45254</v>
      </c>
      <c r="N389" s="193"/>
      <c r="O389" s="193">
        <v>45461</v>
      </c>
      <c r="P389" s="178"/>
      <c r="Q389" s="193">
        <v>45491</v>
      </c>
      <c r="R389" s="178"/>
      <c r="S389" s="178">
        <v>0</v>
      </c>
      <c r="T389" s="178">
        <v>0</v>
      </c>
      <c r="U389" s="178">
        <v>0</v>
      </c>
      <c r="V389" s="178">
        <v>0</v>
      </c>
      <c r="W389" s="178">
        <v>0</v>
      </c>
      <c r="X389" s="178">
        <v>85.23</v>
      </c>
      <c r="Y389" s="178">
        <v>24.86</v>
      </c>
      <c r="Z389" s="178">
        <v>0</v>
      </c>
      <c r="AA389" s="178">
        <v>4.8099999999999996</v>
      </c>
      <c r="AB389" s="178">
        <v>13.53</v>
      </c>
      <c r="AC389" s="178">
        <v>0</v>
      </c>
      <c r="AD389" s="178">
        <v>74.23</v>
      </c>
      <c r="AE389" s="266">
        <f>AllPlans[[#This Row],[Prep days*]]+AllPlans[[#This Row],[Hearing days*]]+AllPlans[[#This Row],[SV days*]]+AllPlans[[#This Row],[Travel days]]+AllPlans[[#This Row],[Reptg days*]]</f>
        <v>202.66000000000003</v>
      </c>
      <c r="AF389" s="178"/>
      <c r="AG389" s="193">
        <v>45821</v>
      </c>
      <c r="AH389" s="178"/>
      <c r="AI389" s="193">
        <v>45799</v>
      </c>
      <c r="AJ389" s="178"/>
      <c r="AK389" s="193">
        <v>45807</v>
      </c>
      <c r="AL389" s="178"/>
      <c r="AM389" s="193">
        <v>45821</v>
      </c>
      <c r="AN389" s="178"/>
      <c r="AO389" s="193">
        <v>45833</v>
      </c>
      <c r="AP389" s="178"/>
      <c r="AQ389" s="193">
        <v>45854</v>
      </c>
      <c r="AR389" s="178"/>
      <c r="AS389" s="193"/>
      <c r="AT389" s="178"/>
      <c r="AU389" s="178" t="s">
        <v>59</v>
      </c>
      <c r="AV389" s="38">
        <f>DATEDIF(J389,AO389, "d")/7</f>
        <v>85.714285714285708</v>
      </c>
      <c r="AW389" s="178"/>
      <c r="AX389" s="65"/>
      <c r="AY389" s="77" t="str">
        <f>IF(D389&lt;&gt;"",IF(LEFT(IFERROR(VLOOKUP(D389,'LPA Lookup'!$A$100:$B$470,2,FALSE),"LPA not known to MCLHG"),3)&lt;&gt;"JSP",IFERROR(VLOOKUP(D389,'LPA Lookup'!$A$100:$B$470,2,FALSE),"LPA not known to MCLHG"),VLOOKUP(D389&amp;B389,#REF!,3,FALSE)),"")</f>
        <v>E09000023</v>
      </c>
      <c r="AZ389" s="41" t="str">
        <f t="shared" si="29"/>
        <v>Nov 23</v>
      </c>
      <c r="BA389" s="41" t="str">
        <f t="shared" si="25"/>
        <v>Jun 25</v>
      </c>
    </row>
    <row r="390" spans="1:53" ht="14" x14ac:dyDescent="0.15">
      <c r="A390" s="35" t="s">
        <v>53</v>
      </c>
      <c r="B390" s="170">
        <v>2228</v>
      </c>
      <c r="C390" s="180" t="s">
        <v>71</v>
      </c>
      <c r="D390" s="180" t="s">
        <v>304</v>
      </c>
      <c r="E390" s="180" t="s">
        <v>752</v>
      </c>
      <c r="F390" s="180" t="s">
        <v>80</v>
      </c>
      <c r="G390" s="180">
        <v>2</v>
      </c>
      <c r="H390" s="190">
        <v>44832</v>
      </c>
      <c r="I390" s="180"/>
      <c r="J390" s="190">
        <v>45280</v>
      </c>
      <c r="K390" s="180"/>
      <c r="L390" s="180"/>
      <c r="M390" s="190">
        <v>45300</v>
      </c>
      <c r="N390" s="190"/>
      <c r="O390" s="190">
        <v>45475</v>
      </c>
      <c r="P390" s="180"/>
      <c r="Q390" s="190">
        <v>45476</v>
      </c>
      <c r="R390" s="180"/>
      <c r="S390" s="180">
        <v>0</v>
      </c>
      <c r="T390" s="180">
        <v>0</v>
      </c>
      <c r="U390" s="180">
        <v>0</v>
      </c>
      <c r="V390" s="180">
        <v>0</v>
      </c>
      <c r="W390" s="180">
        <v>0</v>
      </c>
      <c r="X390" s="180">
        <v>11.18</v>
      </c>
      <c r="Y390" s="180">
        <v>2.19</v>
      </c>
      <c r="Z390" s="180">
        <v>0</v>
      </c>
      <c r="AA390" s="180">
        <v>0</v>
      </c>
      <c r="AB390" s="180">
        <v>1.35</v>
      </c>
      <c r="AC390" s="180">
        <v>0</v>
      </c>
      <c r="AD390" s="180">
        <v>4.37</v>
      </c>
      <c r="AE390" s="198">
        <f>AllPlans[[#This Row],[Prep days*]]+AllPlans[[#This Row],[Hearing days*]]+AllPlans[[#This Row],[SV days*]]+AllPlans[[#This Row],[Travel days]]+AllPlans[[#This Row],[Reptg days*]]</f>
        <v>19.09</v>
      </c>
      <c r="AF390" s="180"/>
      <c r="AG390" s="190">
        <v>45730</v>
      </c>
      <c r="AH390" s="180"/>
      <c r="AI390" s="190">
        <v>45720</v>
      </c>
      <c r="AJ390" s="180"/>
      <c r="AK390" s="190">
        <v>45723</v>
      </c>
      <c r="AL390" s="180"/>
      <c r="AM390" s="190">
        <v>45727</v>
      </c>
      <c r="AN390" s="180"/>
      <c r="AO390" s="190">
        <v>45740</v>
      </c>
      <c r="AP390" s="180"/>
      <c r="AQ390" s="190">
        <v>45797</v>
      </c>
      <c r="AR390" s="180"/>
      <c r="AS390" s="190"/>
      <c r="AT390" s="180"/>
      <c r="AU390" s="180" t="s">
        <v>59</v>
      </c>
      <c r="AV390" s="38">
        <f>DATEDIF(J390,AO390, "d")/7</f>
        <v>65.714285714285708</v>
      </c>
      <c r="AW390" s="180"/>
      <c r="AX390" s="63"/>
      <c r="AY390" s="77" t="str">
        <f>IF(D390&lt;&gt;"",IF(LEFT(IFERROR(VLOOKUP(D390,'LPA Lookup'!$A$100:$B$470,2,FALSE),"LPA not known to MCLHG"),3)&lt;&gt;"JSP",IFERROR(VLOOKUP(D390,'LPA Lookup'!$A$100:$B$470,2,FALSE),"LPA not known to MCLHG"),VLOOKUP(D390&amp;B390,#REF!,3,FALSE)),"")</f>
        <v>E10000020</v>
      </c>
      <c r="AZ390" s="115" t="str">
        <f t="shared" si="29"/>
        <v>Dec 23</v>
      </c>
      <c r="BA390" s="115" t="str">
        <f t="shared" si="25"/>
        <v>Mar 25</v>
      </c>
    </row>
    <row r="391" spans="1:53" s="133" customFormat="1" ht="28" x14ac:dyDescent="0.15">
      <c r="A391" s="124">
        <v>3337206</v>
      </c>
      <c r="B391" s="124">
        <v>1944</v>
      </c>
      <c r="C391" s="69" t="s">
        <v>104</v>
      </c>
      <c r="D391" s="155" t="s">
        <v>398</v>
      </c>
      <c r="E391" s="69" t="s">
        <v>753</v>
      </c>
      <c r="F391" s="69" t="s">
        <v>107</v>
      </c>
      <c r="G391" s="69">
        <v>2</v>
      </c>
      <c r="H391" s="70">
        <v>44879</v>
      </c>
      <c r="I391" s="69"/>
      <c r="J391" s="70">
        <v>45309</v>
      </c>
      <c r="K391" s="69"/>
      <c r="L391" s="69"/>
      <c r="M391" s="70">
        <v>45344</v>
      </c>
      <c r="N391" s="70"/>
      <c r="O391" s="70">
        <v>45601</v>
      </c>
      <c r="P391" s="69"/>
      <c r="Q391" s="70"/>
      <c r="R391" s="69"/>
      <c r="S391" s="69">
        <v>0</v>
      </c>
      <c r="T391" s="69">
        <v>0</v>
      </c>
      <c r="U391" s="69">
        <v>0</v>
      </c>
      <c r="V391" s="69">
        <v>0</v>
      </c>
      <c r="W391" s="69">
        <v>1.46</v>
      </c>
      <c r="X391" s="69">
        <v>61.11</v>
      </c>
      <c r="Y391" s="69">
        <v>1.76</v>
      </c>
      <c r="Z391" s="69">
        <v>0</v>
      </c>
      <c r="AA391" s="69">
        <v>1.22</v>
      </c>
      <c r="AB391" s="69">
        <v>1.89</v>
      </c>
      <c r="AC391" s="69">
        <v>2</v>
      </c>
      <c r="AD391" s="69">
        <v>2.76</v>
      </c>
      <c r="AE391" s="37">
        <f>AllPlans[[#This Row],[Prep days*]]+AllPlans[[#This Row],[Hearing days*]]+AllPlans[[#This Row],[SV days*]]+AllPlans[[#This Row],[Travel days]]+AllPlans[[#This Row],[Reptg days*]]</f>
        <v>68.740000000000009</v>
      </c>
      <c r="AF391" s="69"/>
      <c r="AG391" s="70"/>
      <c r="AH391" s="69"/>
      <c r="AI391" s="70"/>
      <c r="AJ391" s="69"/>
      <c r="AK391" s="70"/>
      <c r="AL391" s="69"/>
      <c r="AM391" s="70"/>
      <c r="AN391" s="69"/>
      <c r="AO391" s="70"/>
      <c r="AP391" s="69"/>
      <c r="AQ391" s="70"/>
      <c r="AR391" s="69"/>
      <c r="AS391" s="70"/>
      <c r="AT391" s="69"/>
      <c r="AU391" s="69"/>
      <c r="AV391" s="69"/>
      <c r="AW391" s="69"/>
      <c r="AX391" s="69"/>
      <c r="AY391" s="77" t="str">
        <f>IF(D391&lt;&gt;"",IF(LEFT(IFERROR(VLOOKUP(D391,'LPA Lookup'!$A$100:$B$470,2,FALSE),"LPA not known to MCLHG"),3)&lt;&gt;"JSP",IFERROR(VLOOKUP(D391,'LPA Lookup'!$A$100:$B$470,2,FALSE),"LPA not known to MCLHG"),VLOOKUP(D391&amp;B391,#REF!,3,FALSE)),"")</f>
        <v>E07000175</v>
      </c>
      <c r="AZ391" s="134" t="str">
        <f t="shared" si="29"/>
        <v>Jan 24</v>
      </c>
      <c r="BA391" s="134" t="str">
        <f t="shared" si="25"/>
        <v>Jan 00</v>
      </c>
    </row>
    <row r="392" spans="1:53" s="134" customFormat="1" ht="14" x14ac:dyDescent="0.15">
      <c r="A392" s="169">
        <v>3337952</v>
      </c>
      <c r="B392" s="111">
        <v>2284</v>
      </c>
      <c r="C392" s="178" t="s">
        <v>90</v>
      </c>
      <c r="D392" s="61" t="s">
        <v>376</v>
      </c>
      <c r="E392" s="61" t="s">
        <v>56</v>
      </c>
      <c r="F392" s="61" t="s">
        <v>57</v>
      </c>
      <c r="G392" s="61">
        <v>3</v>
      </c>
      <c r="H392" s="62">
        <v>45086</v>
      </c>
      <c r="I392" s="61"/>
      <c r="J392" s="62">
        <v>45310</v>
      </c>
      <c r="K392" s="61"/>
      <c r="L392" s="61"/>
      <c r="M392" s="260">
        <v>45323</v>
      </c>
      <c r="N392" s="62"/>
      <c r="O392" s="62">
        <v>45468</v>
      </c>
      <c r="P392" s="61"/>
      <c r="Q392" s="62">
        <v>45483</v>
      </c>
      <c r="R392" s="61"/>
      <c r="S392" s="61">
        <v>0</v>
      </c>
      <c r="T392" s="61">
        <v>0</v>
      </c>
      <c r="U392" s="61">
        <v>0</v>
      </c>
      <c r="V392" s="61">
        <v>0</v>
      </c>
      <c r="W392" s="61">
        <v>0.27</v>
      </c>
      <c r="X392" s="61">
        <v>21.08</v>
      </c>
      <c r="Y392" s="61">
        <v>7.19</v>
      </c>
      <c r="Z392" s="61">
        <v>0</v>
      </c>
      <c r="AA392" s="61">
        <v>0.54</v>
      </c>
      <c r="AB392" s="61">
        <v>6.64</v>
      </c>
      <c r="AC392" s="61">
        <v>0</v>
      </c>
      <c r="AD392" s="61">
        <v>43.5</v>
      </c>
      <c r="AE392" s="48">
        <f>AllPlans[[#This Row],[Prep days*]]+AllPlans[[#This Row],[Hearing days*]]+AllPlans[[#This Row],[SV days*]]+AllPlans[[#This Row],[Travel days]]+AllPlans[[#This Row],[Reptg days*]]</f>
        <v>78.949999999999989</v>
      </c>
      <c r="AF392" s="61"/>
      <c r="AG392" s="62">
        <v>45856</v>
      </c>
      <c r="AH392" s="61"/>
      <c r="AI392" s="62">
        <v>45839</v>
      </c>
      <c r="AJ392" s="61"/>
      <c r="AK392" s="62">
        <v>45852</v>
      </c>
      <c r="AL392" s="61"/>
      <c r="AM392" s="62">
        <v>45854</v>
      </c>
      <c r="AN392" s="61"/>
      <c r="AO392" s="62">
        <v>45888</v>
      </c>
      <c r="AP392" s="61"/>
      <c r="AQ392" s="62">
        <v>45937</v>
      </c>
      <c r="AR392" s="61"/>
      <c r="AS392" s="62"/>
      <c r="AT392" s="61"/>
      <c r="AU392" s="61" t="s">
        <v>59</v>
      </c>
      <c r="AV392" s="38">
        <f>DATEDIF(J392,AO392, "d")/7</f>
        <v>82.571428571428569</v>
      </c>
      <c r="AW392" s="61"/>
      <c r="AX392" s="61"/>
      <c r="AY392" s="77" t="str">
        <f>IF(D392&lt;&gt;"",IF(LEFT(IFERROR(VLOOKUP(D392,'LPA Lookup'!$A$100:$B$470,2,FALSE),"LPA not known to MCLHG"),3)&lt;&gt;"JSP",IFERROR(VLOOKUP(D392,'LPA Lookup'!$A$100:$B$470,2,FALSE),"LPA not known to MCLHG"),VLOOKUP(D392&amp;B392,#REF!,3,FALSE)),"")</f>
        <v>E09000027</v>
      </c>
      <c r="AZ392" s="199" t="str">
        <f t="shared" si="29"/>
        <v>Jan 24</v>
      </c>
      <c r="BA392" s="199" t="str">
        <f t="shared" si="25"/>
        <v>Aug 25</v>
      </c>
    </row>
    <row r="393" spans="1:53" s="138" customFormat="1" ht="85" thickBot="1" x14ac:dyDescent="0.2">
      <c r="A393" s="169">
        <v>3338814</v>
      </c>
      <c r="B393" s="169">
        <v>2261</v>
      </c>
      <c r="C393" s="178" t="s">
        <v>754</v>
      </c>
      <c r="D393" s="178" t="s">
        <v>379</v>
      </c>
      <c r="E393" s="178" t="s">
        <v>755</v>
      </c>
      <c r="F393" s="178" t="s">
        <v>57</v>
      </c>
      <c r="G393" s="178">
        <v>3</v>
      </c>
      <c r="H393" s="193">
        <v>45173</v>
      </c>
      <c r="I393" s="178"/>
      <c r="J393" s="193">
        <v>45334</v>
      </c>
      <c r="K393" s="178"/>
      <c r="L393" s="178"/>
      <c r="M393" s="193">
        <v>45348</v>
      </c>
      <c r="N393" s="193"/>
      <c r="O393" s="193">
        <v>45482</v>
      </c>
      <c r="P393" s="178" t="s">
        <v>756</v>
      </c>
      <c r="Q393" s="193">
        <v>45573</v>
      </c>
      <c r="R393" s="178"/>
      <c r="S393" s="178">
        <v>0</v>
      </c>
      <c r="T393" s="178">
        <v>0</v>
      </c>
      <c r="U393" s="178">
        <v>0</v>
      </c>
      <c r="V393" s="178">
        <v>0</v>
      </c>
      <c r="W393" s="178">
        <v>0.41</v>
      </c>
      <c r="X393" s="178">
        <v>13.59</v>
      </c>
      <c r="Y393" s="178">
        <v>6.3</v>
      </c>
      <c r="Z393" s="178">
        <v>0</v>
      </c>
      <c r="AA393" s="178">
        <v>0.68</v>
      </c>
      <c r="AB393" s="178">
        <v>2.92</v>
      </c>
      <c r="AC393" s="178">
        <v>0</v>
      </c>
      <c r="AD393" s="178">
        <v>24.64</v>
      </c>
      <c r="AE393" s="266">
        <v>48.54</v>
      </c>
      <c r="AF393" s="178"/>
      <c r="AG393" s="193">
        <v>45925</v>
      </c>
      <c r="AH393" s="178"/>
      <c r="AI393" s="193">
        <v>45904</v>
      </c>
      <c r="AJ393" s="178"/>
      <c r="AK393" s="193">
        <v>45918</v>
      </c>
      <c r="AL393" s="178"/>
      <c r="AM393" s="193">
        <v>45923</v>
      </c>
      <c r="AN393" s="178"/>
      <c r="AO393" s="193">
        <v>45938</v>
      </c>
      <c r="AP393" s="178"/>
      <c r="AQ393" s="193">
        <v>46001</v>
      </c>
      <c r="AR393" s="178"/>
      <c r="AS393" s="193"/>
      <c r="AT393" s="178"/>
      <c r="AU393" s="178" t="s">
        <v>59</v>
      </c>
      <c r="AV393" s="38">
        <f>DATEDIF(J393,AO393, "d")/7</f>
        <v>86.285714285714292</v>
      </c>
      <c r="AW393" s="178"/>
      <c r="AX393" s="178"/>
      <c r="AY393" s="77" t="str">
        <f>IF(D393&lt;&gt;"",IF(LEFT(IFERROR(VLOOKUP(D393,'LPA Lookup'!$A$100:$B$470,2,FALSE),"LPA not known to MCLHG"),3)&lt;&gt;"JSP",IFERROR(VLOOKUP(D393,'LPA Lookup'!$A$100:$B$470,2,FALSE),"LPA not known to MCLHG"),VLOOKUP(D393&amp;B393,#REF!,3,FALSE)),"")</f>
        <v>E07000219</v>
      </c>
      <c r="AZ393" s="51" t="str">
        <f t="shared" si="29"/>
        <v>Feb 24</v>
      </c>
      <c r="BA393" s="51" t="str">
        <f t="shared" si="25"/>
        <v>Oct 25</v>
      </c>
    </row>
    <row r="394" spans="1:53" s="133" customFormat="1" ht="84" x14ac:dyDescent="0.15">
      <c r="A394" s="111">
        <v>3340112</v>
      </c>
      <c r="B394" s="111">
        <v>2087</v>
      </c>
      <c r="C394" s="61" t="s">
        <v>104</v>
      </c>
      <c r="D394" s="61" t="s">
        <v>757</v>
      </c>
      <c r="E394" s="61" t="s">
        <v>758</v>
      </c>
      <c r="F394" s="61" t="s">
        <v>80</v>
      </c>
      <c r="G394" s="61">
        <v>2</v>
      </c>
      <c r="H394" s="62">
        <v>45168</v>
      </c>
      <c r="I394" s="69"/>
      <c r="J394" s="62">
        <v>45356</v>
      </c>
      <c r="K394" s="69"/>
      <c r="L394" s="69"/>
      <c r="M394" s="62">
        <v>45377</v>
      </c>
      <c r="N394" s="70"/>
      <c r="O394" s="62">
        <v>45580</v>
      </c>
      <c r="P394" s="61"/>
      <c r="Q394" s="62">
        <v>45581</v>
      </c>
      <c r="R394" s="69"/>
      <c r="S394" s="69">
        <v>0</v>
      </c>
      <c r="T394" s="61">
        <v>0</v>
      </c>
      <c r="U394" s="61">
        <v>0</v>
      </c>
      <c r="V394" s="61">
        <v>0</v>
      </c>
      <c r="W394" s="61">
        <v>0</v>
      </c>
      <c r="X394" s="61">
        <v>10.8</v>
      </c>
      <c r="Y394" s="61">
        <v>1.65</v>
      </c>
      <c r="Z394" s="61">
        <v>0</v>
      </c>
      <c r="AA394" s="61">
        <v>0</v>
      </c>
      <c r="AB394" s="61">
        <v>0.88</v>
      </c>
      <c r="AC394" s="61">
        <v>0</v>
      </c>
      <c r="AD394" s="61">
        <v>6.14</v>
      </c>
      <c r="AE394" s="48">
        <f>AllPlans[[#This Row],[Prep days*]]+AllPlans[[#This Row],[Hearing days*]]+AllPlans[[#This Row],[SV days*]]+AllPlans[[#This Row],[Travel days]]+AllPlans[[#This Row],[Reptg days*]]</f>
        <v>19.470000000000002</v>
      </c>
      <c r="AF394" s="61"/>
      <c r="AG394" s="62">
        <v>45807</v>
      </c>
      <c r="AH394" s="69"/>
      <c r="AI394" s="62">
        <v>45776</v>
      </c>
      <c r="AJ394" s="69"/>
      <c r="AK394" s="62">
        <v>45800</v>
      </c>
      <c r="AL394" s="69"/>
      <c r="AM394" s="62">
        <v>45806</v>
      </c>
      <c r="AN394" s="69"/>
      <c r="AO394" s="62">
        <v>45817</v>
      </c>
      <c r="AP394" s="69"/>
      <c r="AQ394" s="62">
        <v>45918</v>
      </c>
      <c r="AR394" s="61" t="s">
        <v>759</v>
      </c>
      <c r="AS394" s="62"/>
      <c r="AT394" s="69"/>
      <c r="AU394" s="61" t="s">
        <v>59</v>
      </c>
      <c r="AV394" s="38">
        <f>DATEDIF(J394,AO394, "d")/7</f>
        <v>65.857142857142861</v>
      </c>
      <c r="AW394" s="61"/>
      <c r="AX394" s="69"/>
      <c r="AY394" s="77" t="str">
        <f>IF(D394&lt;&gt;"",IF(LEFT(IFERROR(VLOOKUP(D394,'LPA Lookup'!$A$100:$B$470,2,FALSE),"LPA not known to MCLHG"),3)&lt;&gt;"JSP",IFERROR(VLOOKUP(D394,'LPA Lookup'!$A$100:$B$470,2,FALSE),"LPA not known to MCLHG"),VLOOKUP(D394&amp;B394,#REF!,3,FALSE)),"")</f>
        <v>LPA not known to MCLHG</v>
      </c>
      <c r="AZ394" s="199" t="str">
        <f t="shared" si="29"/>
        <v>Mar 24</v>
      </c>
      <c r="BA394" s="199" t="str">
        <f t="shared" si="25"/>
        <v>Jun 25</v>
      </c>
    </row>
    <row r="395" spans="1:53" s="138" customFormat="1" ht="43" thickBot="1" x14ac:dyDescent="0.2">
      <c r="A395" s="121">
        <v>3340809</v>
      </c>
      <c r="B395" s="121">
        <v>2217</v>
      </c>
      <c r="C395" s="65" t="s">
        <v>67</v>
      </c>
      <c r="D395" s="183" t="s">
        <v>760</v>
      </c>
      <c r="E395" s="65" t="s">
        <v>761</v>
      </c>
      <c r="F395" s="65" t="s">
        <v>57</v>
      </c>
      <c r="G395" s="65">
        <v>3</v>
      </c>
      <c r="H395" s="66" t="s">
        <v>762</v>
      </c>
      <c r="I395" s="65"/>
      <c r="J395" s="66">
        <v>45365</v>
      </c>
      <c r="K395" s="65"/>
      <c r="L395" s="65"/>
      <c r="M395" s="66">
        <v>45386</v>
      </c>
      <c r="N395" s="66"/>
      <c r="O395" s="66">
        <v>45552</v>
      </c>
      <c r="P395" s="65" t="s">
        <v>763</v>
      </c>
      <c r="Q395" s="66"/>
      <c r="R395" s="65"/>
      <c r="S395" s="65">
        <v>0</v>
      </c>
      <c r="T395" s="65"/>
      <c r="U395" s="65">
        <v>0</v>
      </c>
      <c r="V395" s="65">
        <v>2.87</v>
      </c>
      <c r="W395" s="65">
        <v>7.0000000000000007E-2</v>
      </c>
      <c r="X395" s="65">
        <v>75.97</v>
      </c>
      <c r="Y395" s="65">
        <v>15.84</v>
      </c>
      <c r="Z395" s="65">
        <v>0</v>
      </c>
      <c r="AA395" s="65">
        <v>3.97</v>
      </c>
      <c r="AB395" s="65">
        <v>11.88</v>
      </c>
      <c r="AC395" s="65">
        <v>2.23</v>
      </c>
      <c r="AD395" s="65">
        <v>7.49</v>
      </c>
      <c r="AE395" s="139">
        <v>120.32</v>
      </c>
      <c r="AF395" s="65"/>
      <c r="AG395" s="66"/>
      <c r="AH395" s="65"/>
      <c r="AI395" s="66"/>
      <c r="AJ395" s="65"/>
      <c r="AK395" s="66"/>
      <c r="AL395" s="65"/>
      <c r="AM395" s="66"/>
      <c r="AN395" s="65"/>
      <c r="AO395" s="66"/>
      <c r="AP395" s="65"/>
      <c r="AQ395" s="66"/>
      <c r="AR395" s="65"/>
      <c r="AS395" s="66"/>
      <c r="AT395" s="65"/>
      <c r="AU395" s="65"/>
      <c r="AV395" s="65"/>
      <c r="AW395" s="65"/>
      <c r="AX395" s="65"/>
      <c r="AY395" s="77" t="str">
        <f>IF(D395&lt;&gt;"",IF(LEFT(IFERROR(VLOOKUP(D395,'LPA Lookup'!$A$100:$B$470,2,FALSE),"LPA not known to MCLHG"),3)&lt;&gt;"JSP",IFERROR(VLOOKUP(D395,'LPA Lookup'!$A$100:$B$470,2,FALSE),"LPA not known to MCLHG"),VLOOKUP(D395&amp;B395,#REF!,3,FALSE)),"")</f>
        <v>E07000045</v>
      </c>
      <c r="AZ395" s="41" t="str">
        <f t="shared" si="29"/>
        <v>Mar 24</v>
      </c>
      <c r="BA395" s="41" t="str">
        <f t="shared" si="25"/>
        <v>Jan 00</v>
      </c>
    </row>
    <row r="396" spans="1:53" ht="14" x14ac:dyDescent="0.15">
      <c r="A396" s="170">
        <v>3341715</v>
      </c>
      <c r="B396" s="170">
        <v>2203</v>
      </c>
      <c r="C396" s="180" t="s">
        <v>77</v>
      </c>
      <c r="D396" s="180" t="s">
        <v>764</v>
      </c>
      <c r="E396" s="180" t="s">
        <v>765</v>
      </c>
      <c r="F396" s="180" t="s">
        <v>107</v>
      </c>
      <c r="G396" s="180">
        <v>2</v>
      </c>
      <c r="H396" s="190">
        <v>44837</v>
      </c>
      <c r="I396" s="180"/>
      <c r="J396" s="190">
        <v>45378</v>
      </c>
      <c r="K396" s="180"/>
      <c r="L396" s="180"/>
      <c r="M396" s="190">
        <v>45397</v>
      </c>
      <c r="N396" s="190"/>
      <c r="O396" s="190">
        <v>45552</v>
      </c>
      <c r="P396" s="180"/>
      <c r="Q396" s="190">
        <v>45555</v>
      </c>
      <c r="R396" s="180"/>
      <c r="S396" s="180">
        <v>0</v>
      </c>
      <c r="T396" s="180">
        <v>0</v>
      </c>
      <c r="U396" s="180">
        <v>0</v>
      </c>
      <c r="V396" s="180">
        <v>0</v>
      </c>
      <c r="W396" s="180">
        <v>0</v>
      </c>
      <c r="X396" s="180">
        <v>22</v>
      </c>
      <c r="Y396" s="180">
        <v>2.5</v>
      </c>
      <c r="Z396" s="180">
        <v>0</v>
      </c>
      <c r="AA396" s="180">
        <v>0.81</v>
      </c>
      <c r="AB396" s="180">
        <v>1</v>
      </c>
      <c r="AC396" s="180">
        <v>3</v>
      </c>
      <c r="AD396" s="180">
        <v>19</v>
      </c>
      <c r="AE396" s="198">
        <f>AllPlans[[#This Row],[Prep days*]]+AllPlans[[#This Row],[Hearing days*]]+AllPlans[[#This Row],[SV days*]]+AllPlans[[#This Row],[Travel days]]+AllPlans[[#This Row],[Reptg days*]]</f>
        <v>45.31</v>
      </c>
      <c r="AF396" s="180"/>
      <c r="AG396" s="190">
        <v>45853</v>
      </c>
      <c r="AH396" s="180"/>
      <c r="AI396" s="190">
        <v>45817</v>
      </c>
      <c r="AJ396" s="180"/>
      <c r="AK396" s="190">
        <v>45835</v>
      </c>
      <c r="AL396" s="180"/>
      <c r="AM396" s="190">
        <v>45853</v>
      </c>
      <c r="AN396" s="180"/>
      <c r="AO396" s="190">
        <v>45876</v>
      </c>
      <c r="AP396" s="180"/>
      <c r="AQ396" s="190">
        <v>45973</v>
      </c>
      <c r="AR396" s="180"/>
      <c r="AS396" s="190"/>
      <c r="AT396" s="180"/>
      <c r="AU396" s="180" t="s">
        <v>59</v>
      </c>
      <c r="AV396" s="38">
        <f>DATEDIF(J396,AO396, "d")/7</f>
        <v>71.142857142857139</v>
      </c>
      <c r="AW396" s="180"/>
      <c r="AX396" s="180"/>
      <c r="AY396" s="77" t="str">
        <f>IF(D396&lt;&gt;"",IF(LEFT(IFERROR(VLOOKUP(D396,'LPA Lookup'!$A$100:$B$470,2,FALSE),"LPA not known to MCLHG"),3)&lt;&gt;"JSP",IFERROR(VLOOKUP(D396,'LPA Lookup'!$A$100:$B$470,2,FALSE),"LPA not known to MCLHG"),VLOOKUP(D396&amp;B396,#REF!,3,FALSE)),"")</f>
        <v>LPA not known to MCLHG</v>
      </c>
      <c r="AZ396" s="177" t="str">
        <f t="shared" si="29"/>
        <v>Mar 24</v>
      </c>
      <c r="BA396" s="177" t="str">
        <f t="shared" si="25"/>
        <v>Aug 25</v>
      </c>
    </row>
    <row r="397" spans="1:53" ht="14" x14ac:dyDescent="0.15">
      <c r="A397" s="35" t="s">
        <v>53</v>
      </c>
      <c r="B397" s="127">
        <v>2398</v>
      </c>
      <c r="C397" s="71" t="s">
        <v>61</v>
      </c>
      <c r="D397" s="71" t="s">
        <v>550</v>
      </c>
      <c r="E397" s="71" t="s">
        <v>761</v>
      </c>
      <c r="F397" s="71" t="s">
        <v>57</v>
      </c>
      <c r="G397" s="71">
        <v>3</v>
      </c>
      <c r="H397" s="72">
        <v>45240</v>
      </c>
      <c r="I397" s="71"/>
      <c r="J397" s="72">
        <v>45379</v>
      </c>
      <c r="K397" s="71"/>
      <c r="L397" s="71"/>
      <c r="M397" s="72">
        <v>45390</v>
      </c>
      <c r="N397" s="72"/>
      <c r="O397" s="72"/>
      <c r="P397" s="71"/>
      <c r="Q397" s="72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137">
        <f>AllPlans[[#This Row],[Prep days*]]+AllPlans[[#This Row],[Hearing days*]]+AllPlans[[#This Row],[SV days*]]+AllPlans[[#This Row],[Travel days]]+AllPlans[[#This Row],[Reptg days*]]</f>
        <v>0</v>
      </c>
      <c r="AF397" s="71"/>
      <c r="AG397" s="72"/>
      <c r="AH397" s="71"/>
      <c r="AI397" s="72"/>
      <c r="AJ397" s="71"/>
      <c r="AK397" s="72"/>
      <c r="AL397" s="71"/>
      <c r="AM397" s="72"/>
      <c r="AN397" s="71"/>
      <c r="AO397" s="72"/>
      <c r="AP397" s="71"/>
      <c r="AQ397" s="72"/>
      <c r="AR397" s="71"/>
      <c r="AS397" s="72">
        <v>45684</v>
      </c>
      <c r="AT397" s="71"/>
      <c r="AU397" s="71" t="s">
        <v>278</v>
      </c>
      <c r="AV397" s="38" t="e">
        <f>DATEDIF(J397,AO397, "d")/7</f>
        <v>#NUM!</v>
      </c>
      <c r="AW397" s="71"/>
      <c r="AX397" s="71"/>
      <c r="AY397" s="77" t="str">
        <f>IF(D397&lt;&gt;"",IF(LEFT(IFERROR(VLOOKUP(D397,'LPA Lookup'!$A$100:$B$470,2,FALSE),"LPA not known to MCLHG"),3)&lt;&gt;"JSP",IFERROR(VLOOKUP(D397,'LPA Lookup'!$A$100:$B$470,2,FALSE),"LPA not known to MCLHG"),VLOOKUP(D397&amp;B397,#REF!,3,FALSE)),"")</f>
        <v>E07000178</v>
      </c>
      <c r="AZ397" s="123" t="str">
        <f t="shared" si="29"/>
        <v>Mar 24</v>
      </c>
      <c r="BA397" s="123" t="str">
        <f t="shared" si="25"/>
        <v>Jan 00</v>
      </c>
    </row>
    <row r="398" spans="1:53" ht="28" x14ac:dyDescent="0.15">
      <c r="A398" s="118">
        <v>3342382</v>
      </c>
      <c r="B398" s="118">
        <v>2405</v>
      </c>
      <c r="C398" s="63" t="s">
        <v>61</v>
      </c>
      <c r="D398" s="128" t="s">
        <v>132</v>
      </c>
      <c r="E398" s="63" t="s">
        <v>766</v>
      </c>
      <c r="F398" s="63" t="s">
        <v>74</v>
      </c>
      <c r="G398" s="63">
        <v>2</v>
      </c>
      <c r="H398" s="64">
        <v>44071</v>
      </c>
      <c r="I398" s="63"/>
      <c r="J398" s="64">
        <v>45384</v>
      </c>
      <c r="K398" s="63"/>
      <c r="L398" s="63"/>
      <c r="M398" s="64">
        <v>45404</v>
      </c>
      <c r="N398" s="64"/>
      <c r="O398" s="64">
        <v>45838</v>
      </c>
      <c r="P398" s="63"/>
      <c r="Q398" s="64"/>
      <c r="R398" s="63"/>
      <c r="S398" s="63">
        <v>0</v>
      </c>
      <c r="T398" s="63">
        <v>0</v>
      </c>
      <c r="U398" s="63">
        <v>0</v>
      </c>
      <c r="V398" s="63">
        <v>0</v>
      </c>
      <c r="W398" s="63">
        <v>0.2</v>
      </c>
      <c r="X398" s="63">
        <v>11.09</v>
      </c>
      <c r="Y398" s="63">
        <v>1.05</v>
      </c>
      <c r="Z398" s="63">
        <v>0</v>
      </c>
      <c r="AA398" s="63">
        <v>0</v>
      </c>
      <c r="AB398" s="63">
        <v>0</v>
      </c>
      <c r="AC398" s="63">
        <v>1.82</v>
      </c>
      <c r="AD398" s="63">
        <v>7.09</v>
      </c>
      <c r="AE398" s="119">
        <v>21.25</v>
      </c>
      <c r="AF398" s="63"/>
      <c r="AG398" s="64">
        <v>46015</v>
      </c>
      <c r="AH398" s="63"/>
      <c r="AI398" s="64">
        <v>45996</v>
      </c>
      <c r="AJ398" s="63"/>
      <c r="AK398" s="64">
        <v>46006</v>
      </c>
      <c r="AL398" s="63"/>
      <c r="AM398" s="64">
        <v>46014</v>
      </c>
      <c r="AN398" s="63"/>
      <c r="AO398" s="64"/>
      <c r="AP398" s="63"/>
      <c r="AQ398" s="64"/>
      <c r="AR398" s="63"/>
      <c r="AS398" s="64"/>
      <c r="AT398" s="63"/>
      <c r="AU398" s="63"/>
      <c r="AV398" s="63"/>
      <c r="AW398" s="63"/>
      <c r="AX398" s="63"/>
      <c r="AY398" s="77" t="str">
        <f>IF(D398&lt;&gt;"",IF(LEFT(IFERROR(VLOOKUP(D398,'LPA Lookup'!$A$100:$B$470,2,FALSE),"LPA not known to MCLHG"),3)&lt;&gt;"JSP",IFERROR(VLOOKUP(D398,'LPA Lookup'!$A$100:$B$470,2,FALSE),"LPA not known to MCLHG"),VLOOKUP(D398&amp;B398,#REF!,3,FALSE)),"")</f>
        <v>E07000181</v>
      </c>
      <c r="AZ398" s="115" t="str">
        <f t="shared" si="29"/>
        <v>Apr 24</v>
      </c>
      <c r="BA398" s="115" t="str">
        <f t="shared" si="25"/>
        <v>Jan 00</v>
      </c>
    </row>
    <row r="399" spans="1:53" ht="98" x14ac:dyDescent="0.15">
      <c r="A399" s="118">
        <v>3344213</v>
      </c>
      <c r="B399" s="118">
        <v>2007</v>
      </c>
      <c r="C399" s="63" t="s">
        <v>67</v>
      </c>
      <c r="D399" s="163" t="s">
        <v>767</v>
      </c>
      <c r="E399" s="63" t="s">
        <v>92</v>
      </c>
      <c r="F399" s="63" t="s">
        <v>57</v>
      </c>
      <c r="G399" s="63">
        <v>3</v>
      </c>
      <c r="H399" s="64">
        <v>45251</v>
      </c>
      <c r="I399" s="63"/>
      <c r="J399" s="64">
        <v>45407</v>
      </c>
      <c r="K399" s="63"/>
      <c r="L399" s="63"/>
      <c r="M399" s="64">
        <v>45425</v>
      </c>
      <c r="N399" s="64"/>
      <c r="O399" s="64">
        <v>45713</v>
      </c>
      <c r="P399" s="63" t="s">
        <v>768</v>
      </c>
      <c r="Q399" s="64"/>
      <c r="R399" s="63"/>
      <c r="S399" s="63">
        <v>0</v>
      </c>
      <c r="T399" s="63">
        <v>0</v>
      </c>
      <c r="U399" s="63">
        <v>0</v>
      </c>
      <c r="V399" s="63">
        <v>0</v>
      </c>
      <c r="W399" s="63">
        <v>3.69</v>
      </c>
      <c r="X399" s="63">
        <v>154.66</v>
      </c>
      <c r="Y399" s="63">
        <v>27.26</v>
      </c>
      <c r="Z399" s="63">
        <v>0.03</v>
      </c>
      <c r="AA399" s="63">
        <v>2.0699999999999998</v>
      </c>
      <c r="AB399" s="63">
        <v>15.29</v>
      </c>
      <c r="AC399" s="63">
        <v>3.72</v>
      </c>
      <c r="AD399" s="63">
        <v>12.79</v>
      </c>
      <c r="AE399" s="141">
        <v>219.51</v>
      </c>
      <c r="AF399" s="63"/>
      <c r="AG399" s="64"/>
      <c r="AH399" s="63"/>
      <c r="AI399" s="64"/>
      <c r="AJ399" s="63"/>
      <c r="AK399" s="64"/>
      <c r="AL399" s="63"/>
      <c r="AM399" s="64"/>
      <c r="AN399" s="63"/>
      <c r="AO399" s="64"/>
      <c r="AP399" s="63"/>
      <c r="AQ399" s="64"/>
      <c r="AR399" s="63"/>
      <c r="AS399" s="64"/>
      <c r="AT399" s="63"/>
      <c r="AU399" s="63"/>
      <c r="AV399" s="63"/>
      <c r="AW399" s="63"/>
      <c r="AX399" s="63"/>
      <c r="AY399" s="77" t="str">
        <f>IF(D399&lt;&gt;"",IF(LEFT(IFERROR(VLOOKUP(D399,'LPA Lookup'!$A$100:$B$470,2,FALSE),"LPA not known to MCLHG"),3)&lt;&gt;"JSP",IFERROR(VLOOKUP(D399,'LPA Lookup'!$A$100:$B$470,2,FALSE),"LPA not known to MCLHG"),VLOOKUP(D399&amp;B399,#REF!,3,FALSE)),"")</f>
        <v>LPA not known to MCLHG</v>
      </c>
      <c r="AZ399" s="115" t="str">
        <f t="shared" si="29"/>
        <v>Apr 24</v>
      </c>
      <c r="BA399" s="115" t="str">
        <f t="shared" si="25"/>
        <v>Jan 00</v>
      </c>
    </row>
    <row r="400" spans="1:53" ht="14" x14ac:dyDescent="0.15">
      <c r="A400" s="124">
        <v>3343469</v>
      </c>
      <c r="B400" s="124">
        <v>2131</v>
      </c>
      <c r="C400" s="69" t="s">
        <v>71</v>
      </c>
      <c r="D400" s="157" t="s">
        <v>333</v>
      </c>
      <c r="E400" s="69" t="s">
        <v>56</v>
      </c>
      <c r="F400" s="69" t="s">
        <v>57</v>
      </c>
      <c r="G400" s="69">
        <v>3</v>
      </c>
      <c r="H400" s="70">
        <v>45261</v>
      </c>
      <c r="I400" s="69"/>
      <c r="J400" s="70">
        <v>45411</v>
      </c>
      <c r="K400" s="69"/>
      <c r="L400" s="69"/>
      <c r="M400" s="70">
        <v>45432</v>
      </c>
      <c r="N400" s="70"/>
      <c r="O400" s="70">
        <v>45608</v>
      </c>
      <c r="P400" s="69"/>
      <c r="Q400" s="70"/>
      <c r="R400" s="69"/>
      <c r="S400" s="69">
        <v>0</v>
      </c>
      <c r="T400" s="69">
        <v>0</v>
      </c>
      <c r="U400" s="69">
        <v>0</v>
      </c>
      <c r="V400" s="69">
        <v>0</v>
      </c>
      <c r="W400" s="69">
        <v>0</v>
      </c>
      <c r="X400" s="69">
        <v>59.05</v>
      </c>
      <c r="Y400" s="69">
        <v>2.5</v>
      </c>
      <c r="Z400" s="69">
        <v>0</v>
      </c>
      <c r="AA400" s="69">
        <v>0</v>
      </c>
      <c r="AB400" s="69">
        <v>1.81</v>
      </c>
      <c r="AC400" s="69">
        <v>0</v>
      </c>
      <c r="AD400" s="69">
        <v>2</v>
      </c>
      <c r="AE400" s="37">
        <f>AllPlans[[#This Row],[Prep days*]]+AllPlans[[#This Row],[Hearing days*]]+AllPlans[[#This Row],[SV days*]]+AllPlans[[#This Row],[Travel days]]+AllPlans[[#This Row],[Reptg days*]]</f>
        <v>65.36</v>
      </c>
      <c r="AF400" s="69"/>
      <c r="AG400" s="70"/>
      <c r="AH400" s="69"/>
      <c r="AI400" s="70"/>
      <c r="AJ400" s="69"/>
      <c r="AK400" s="70"/>
      <c r="AL400" s="69"/>
      <c r="AM400" s="70"/>
      <c r="AN400" s="69"/>
      <c r="AO400" s="70"/>
      <c r="AP400" s="69"/>
      <c r="AQ400" s="70"/>
      <c r="AR400" s="69"/>
      <c r="AS400" s="70"/>
      <c r="AT400" s="69"/>
      <c r="AU400" s="69"/>
      <c r="AV400" s="69"/>
      <c r="AW400" s="69"/>
      <c r="AX400" s="69"/>
      <c r="AY400" s="77" t="str">
        <f>IF(D400&lt;&gt;"",IF(LEFT(IFERROR(VLOOKUP(D400,'LPA Lookup'!$A$100:$B$470,2,FALSE),"LPA not known to MCLHG"),3)&lt;&gt;"JSP",IFERROR(VLOOKUP(D400,'LPA Lookup'!$A$100:$B$470,2,FALSE),"LPA not known to MCLHG"),VLOOKUP(D400&amp;B400,#REF!,3,FALSE)),"")</f>
        <v>LPA not known to MCLHG</v>
      </c>
      <c r="AZ400" s="115" t="str">
        <f t="shared" si="29"/>
        <v>Apr 24</v>
      </c>
      <c r="BA400" s="115" t="str">
        <f t="shared" si="25"/>
        <v>Jan 00</v>
      </c>
    </row>
    <row r="401" spans="1:53" ht="14" x14ac:dyDescent="0.15">
      <c r="A401" s="170">
        <v>3343791</v>
      </c>
      <c r="B401" s="170">
        <v>2213</v>
      </c>
      <c r="C401" s="180" t="s">
        <v>61</v>
      </c>
      <c r="D401" s="180" t="s">
        <v>353</v>
      </c>
      <c r="E401" s="180" t="s">
        <v>696</v>
      </c>
      <c r="F401" s="180" t="s">
        <v>57</v>
      </c>
      <c r="G401" s="180">
        <v>3</v>
      </c>
      <c r="H401" s="190">
        <v>44960</v>
      </c>
      <c r="I401" s="180"/>
      <c r="J401" s="190">
        <v>45415</v>
      </c>
      <c r="K401" s="180"/>
      <c r="L401" s="180"/>
      <c r="M401" s="190">
        <v>45436</v>
      </c>
      <c r="N401" s="190"/>
      <c r="O401" s="190">
        <v>45566</v>
      </c>
      <c r="P401" s="197"/>
      <c r="Q401" s="190">
        <v>45609</v>
      </c>
      <c r="R401" s="180"/>
      <c r="S401" s="180">
        <v>0</v>
      </c>
      <c r="T401" s="180">
        <v>0</v>
      </c>
      <c r="U401" s="180">
        <v>0</v>
      </c>
      <c r="V401" s="180">
        <v>0</v>
      </c>
      <c r="W401" s="180">
        <v>0.68</v>
      </c>
      <c r="X401" s="180">
        <v>42.61</v>
      </c>
      <c r="Y401" s="180">
        <v>12.97</v>
      </c>
      <c r="Z401" s="180">
        <v>0</v>
      </c>
      <c r="AA401" s="180">
        <v>2.7</v>
      </c>
      <c r="AB401" s="180">
        <v>10.27</v>
      </c>
      <c r="AC401" s="180">
        <v>0</v>
      </c>
      <c r="AD401" s="180">
        <v>30.54</v>
      </c>
      <c r="AE401" s="198">
        <f>AllPlans[[#This Row],[Prep days*]]+AllPlans[[#This Row],[Hearing days*]]+AllPlans[[#This Row],[SV days*]]+AllPlans[[#This Row],[Travel days]]+AllPlans[[#This Row],[Reptg days*]]</f>
        <v>99.09</v>
      </c>
      <c r="AF401" s="180"/>
      <c r="AG401" s="190">
        <v>45849</v>
      </c>
      <c r="AH401" s="180"/>
      <c r="AI401" s="190">
        <v>45833</v>
      </c>
      <c r="AJ401" s="180"/>
      <c r="AK401" s="190">
        <v>45842</v>
      </c>
      <c r="AL401" s="180"/>
      <c r="AM401" s="190">
        <v>45852</v>
      </c>
      <c r="AN401" s="180"/>
      <c r="AO401" s="190">
        <v>45859</v>
      </c>
      <c r="AP401" s="180"/>
      <c r="AQ401" s="190">
        <v>45888</v>
      </c>
      <c r="AR401" s="180"/>
      <c r="AS401" s="190"/>
      <c r="AT401" s="180"/>
      <c r="AU401" s="180" t="s">
        <v>59</v>
      </c>
      <c r="AV401" s="38">
        <f>DATEDIF(J401,AO401, "d")/7</f>
        <v>63.428571428571431</v>
      </c>
      <c r="AW401" s="180"/>
      <c r="AX401" s="180"/>
      <c r="AY401" s="77" t="str">
        <f>IF(D401&lt;&gt;"",IF(LEFT(IFERROR(VLOOKUP(D401,'LPA Lookup'!$A$100:$B$470,2,FALSE),"LPA not known to MCLHG"),3)&lt;&gt;"JSP",IFERROR(VLOOKUP(D401,'LPA Lookup'!$A$100:$B$470,2,FALSE),"LPA not known to MCLHG"),VLOOKUP(D401&amp;B401,#REF!,3,FALSE)),"")</f>
        <v>LPA not known to MCLHG</v>
      </c>
      <c r="AZ401" s="51" t="str">
        <f t="shared" si="29"/>
        <v>May 24</v>
      </c>
      <c r="BA401" s="51" t="str">
        <f t="shared" si="25"/>
        <v>Jul 25</v>
      </c>
    </row>
    <row r="402" spans="1:53" ht="14" x14ac:dyDescent="0.15">
      <c r="A402" s="35" t="s">
        <v>53</v>
      </c>
      <c r="B402" s="170">
        <v>2401</v>
      </c>
      <c r="C402" s="180" t="s">
        <v>61</v>
      </c>
      <c r="D402" s="180" t="s">
        <v>563</v>
      </c>
      <c r="E402" s="180" t="s">
        <v>769</v>
      </c>
      <c r="F402" s="180" t="s">
        <v>80</v>
      </c>
      <c r="G402" s="180">
        <v>2</v>
      </c>
      <c r="H402" s="190">
        <v>45308</v>
      </c>
      <c r="I402" s="180"/>
      <c r="J402" s="190">
        <v>45429</v>
      </c>
      <c r="K402" s="180"/>
      <c r="L402" s="180"/>
      <c r="M402" s="190">
        <v>45446</v>
      </c>
      <c r="N402" s="190"/>
      <c r="O402" s="190">
        <v>45545</v>
      </c>
      <c r="P402" s="180"/>
      <c r="Q402" s="190">
        <v>45552</v>
      </c>
      <c r="R402" s="180"/>
      <c r="S402" s="180"/>
      <c r="T402" s="180"/>
      <c r="U402" s="180"/>
      <c r="V402" s="180"/>
      <c r="W402" s="180"/>
      <c r="X402" s="180">
        <v>33.520000000000003</v>
      </c>
      <c r="Y402" s="180">
        <v>3.25</v>
      </c>
      <c r="Z402" s="180"/>
      <c r="AA402" s="180"/>
      <c r="AB402" s="180">
        <v>1.49</v>
      </c>
      <c r="AC402" s="180"/>
      <c r="AD402" s="180">
        <v>8.58</v>
      </c>
      <c r="AE402" s="198">
        <f>AllPlans[[#This Row],[Prep days*]]+AllPlans[[#This Row],[Hearing days*]]+AllPlans[[#This Row],[SV days*]]+AllPlans[[#This Row],[Travel days]]+AllPlans[[#This Row],[Reptg days*]]</f>
        <v>46.84</v>
      </c>
      <c r="AF402" s="180"/>
      <c r="AG402" s="190"/>
      <c r="AH402" s="180"/>
      <c r="AI402" s="190">
        <v>45691</v>
      </c>
      <c r="AJ402" s="180"/>
      <c r="AK402" s="190">
        <v>45686</v>
      </c>
      <c r="AL402" s="180"/>
      <c r="AM402" s="190">
        <v>45687</v>
      </c>
      <c r="AN402" s="180"/>
      <c r="AO402" s="190">
        <v>45694</v>
      </c>
      <c r="AP402" s="180"/>
      <c r="AQ402" s="190">
        <v>45729</v>
      </c>
      <c r="AR402" s="180"/>
      <c r="AS402" s="190"/>
      <c r="AT402" s="180"/>
      <c r="AU402" s="180" t="s">
        <v>59</v>
      </c>
      <c r="AV402" s="38">
        <f>DATEDIF(J402,AO402, "d")/7</f>
        <v>37.857142857142854</v>
      </c>
      <c r="AW402" s="180"/>
      <c r="AX402" s="180"/>
      <c r="AY402" s="77" t="str">
        <f>IF(D402&lt;&gt;"",IF(LEFT(IFERROR(VLOOKUP(D402,'LPA Lookup'!$A$100:$B$470,2,FALSE),"LPA not known to MCLHG"),3)&lt;&gt;"JSP",IFERROR(VLOOKUP(D402,'LPA Lookup'!$A$100:$B$470,2,FALSE),"LPA not known to MCLHG"),VLOOKUP(D402&amp;B402,#REF!,3,FALSE)),"")</f>
        <v>LPA not known to MCLHG</v>
      </c>
      <c r="AZ402" s="177" t="str">
        <f t="shared" si="29"/>
        <v>May 24</v>
      </c>
      <c r="BA402" s="177" t="str">
        <f t="shared" si="25"/>
        <v>Feb 25</v>
      </c>
    </row>
    <row r="403" spans="1:53" ht="14" x14ac:dyDescent="0.15">
      <c r="A403" s="170">
        <v>3345284</v>
      </c>
      <c r="B403" s="170">
        <v>2172</v>
      </c>
      <c r="C403" s="180" t="s">
        <v>71</v>
      </c>
      <c r="D403" s="180" t="s">
        <v>770</v>
      </c>
      <c r="E403" s="180" t="s">
        <v>771</v>
      </c>
      <c r="F403" s="180" t="s">
        <v>57</v>
      </c>
      <c r="G403" s="180">
        <v>3</v>
      </c>
      <c r="H403" s="190">
        <v>45321</v>
      </c>
      <c r="I403" s="180"/>
      <c r="J403" s="190">
        <v>45436</v>
      </c>
      <c r="K403" s="180"/>
      <c r="L403" s="180"/>
      <c r="M403" s="190">
        <v>45457</v>
      </c>
      <c r="N403" s="190"/>
      <c r="O403" s="190">
        <v>45601</v>
      </c>
      <c r="P403" s="180"/>
      <c r="Q403" s="190">
        <v>45637</v>
      </c>
      <c r="R403" s="180"/>
      <c r="S403" s="180">
        <v>0</v>
      </c>
      <c r="T403" s="180">
        <v>0</v>
      </c>
      <c r="U403" s="180">
        <v>0</v>
      </c>
      <c r="V403" s="180">
        <v>0</v>
      </c>
      <c r="W403" s="180">
        <v>0</v>
      </c>
      <c r="X403" s="180">
        <v>63.35</v>
      </c>
      <c r="Y403" s="180">
        <v>10.46</v>
      </c>
      <c r="Z403" s="180">
        <v>0</v>
      </c>
      <c r="AA403" s="180">
        <v>5.15</v>
      </c>
      <c r="AB403" s="180">
        <v>11.53</v>
      </c>
      <c r="AC403" s="180">
        <v>0</v>
      </c>
      <c r="AD403" s="180">
        <v>24.33</v>
      </c>
      <c r="AE403" s="198">
        <f>AllPlans[[#This Row],[Prep days*]]+AllPlans[[#This Row],[Hearing days*]]+AllPlans[[#This Row],[SV days*]]+AllPlans[[#This Row],[Travel days]]+AllPlans[[#This Row],[Reptg days*]]</f>
        <v>114.82000000000001</v>
      </c>
      <c r="AF403" s="180"/>
      <c r="AG403" s="190">
        <v>45835</v>
      </c>
      <c r="AH403" s="180"/>
      <c r="AI403" s="190">
        <v>45811</v>
      </c>
      <c r="AJ403" s="197"/>
      <c r="AK403" s="190">
        <v>45834</v>
      </c>
      <c r="AL403" s="180"/>
      <c r="AM403" s="190">
        <v>45834</v>
      </c>
      <c r="AN403" s="180"/>
      <c r="AO403" s="190">
        <v>45839</v>
      </c>
      <c r="AP403" s="180"/>
      <c r="AQ403" s="190">
        <v>45853</v>
      </c>
      <c r="AR403" s="180"/>
      <c r="AS403" s="190"/>
      <c r="AT403" s="180"/>
      <c r="AU403" s="180" t="s">
        <v>59</v>
      </c>
      <c r="AV403" s="38">
        <f>DATEDIF(J403,AO403, "d")/7</f>
        <v>57.571428571428569</v>
      </c>
      <c r="AW403" s="180"/>
      <c r="AX403" s="180"/>
      <c r="AY403" s="77" t="str">
        <f>IF(D403&lt;&gt;"",IF(LEFT(IFERROR(VLOOKUP(D403,'LPA Lookup'!$A$100:$B$470,2,FALSE),"LPA not known to MCLHG"),3)&lt;&gt;"JSP",IFERROR(VLOOKUP(D403,'LPA Lookup'!$A$100:$B$470,2,FALSE),"LPA not known to MCLHG"),VLOOKUP(D403&amp;B403,#REF!,3,FALSE)),"")</f>
        <v>LPA not known to MCLHG</v>
      </c>
      <c r="AZ403" s="177" t="str">
        <f t="shared" si="29"/>
        <v>May 24</v>
      </c>
      <c r="BA403" s="177" t="str">
        <f t="shared" si="25"/>
        <v>Jul 25</v>
      </c>
    </row>
    <row r="404" spans="1:53" ht="14" x14ac:dyDescent="0.15">
      <c r="A404" s="127">
        <v>3347279</v>
      </c>
      <c r="B404" s="127">
        <v>2143</v>
      </c>
      <c r="C404" s="71" t="s">
        <v>67</v>
      </c>
      <c r="D404" s="71" t="s">
        <v>772</v>
      </c>
      <c r="E404" s="71" t="s">
        <v>773</v>
      </c>
      <c r="F404" s="71" t="s">
        <v>57</v>
      </c>
      <c r="G404" s="71">
        <v>3</v>
      </c>
      <c r="H404" s="72">
        <v>45371</v>
      </c>
      <c r="I404" s="63"/>
      <c r="J404" s="72">
        <v>45470</v>
      </c>
      <c r="K404" s="63"/>
      <c r="L404" s="63"/>
      <c r="M404" s="72">
        <v>45474</v>
      </c>
      <c r="N404" s="64"/>
      <c r="O404" s="72">
        <v>45678</v>
      </c>
      <c r="P404" s="71"/>
      <c r="Q404" s="72"/>
      <c r="R404" s="63"/>
      <c r="S404" s="63">
        <v>0</v>
      </c>
      <c r="T404" s="71">
        <v>0</v>
      </c>
      <c r="U404" s="71">
        <v>0</v>
      </c>
      <c r="V404" s="71">
        <v>0</v>
      </c>
      <c r="W404" s="71">
        <v>0</v>
      </c>
      <c r="X404" s="71">
        <v>28.86</v>
      </c>
      <c r="Y404" s="71">
        <v>2.74</v>
      </c>
      <c r="Z404" s="71">
        <v>0</v>
      </c>
      <c r="AA404" s="71">
        <v>0</v>
      </c>
      <c r="AB404" s="71">
        <v>1.96</v>
      </c>
      <c r="AC404" s="71">
        <v>0</v>
      </c>
      <c r="AD404" s="71">
        <v>6.51</v>
      </c>
      <c r="AE404" s="137">
        <f>AllPlans[[#This Row],[Prep days*]]+AllPlans[[#This Row],[Hearing days*]]+AllPlans[[#This Row],[SV days*]]+AllPlans[[#This Row],[Travel days]]+AllPlans[[#This Row],[Reptg days*]]</f>
        <v>40.07</v>
      </c>
      <c r="AF404" s="71"/>
      <c r="AG404" s="72"/>
      <c r="AH404" s="63"/>
      <c r="AI404" s="72"/>
      <c r="AJ404" s="63"/>
      <c r="AK404" s="72"/>
      <c r="AL404" s="63"/>
      <c r="AM404" s="72"/>
      <c r="AN404" s="63"/>
      <c r="AO404" s="72"/>
      <c r="AP404" s="63"/>
      <c r="AQ404" s="72"/>
      <c r="AR404" s="71"/>
      <c r="AS404" s="72">
        <v>45811</v>
      </c>
      <c r="AT404" s="63"/>
      <c r="AU404" s="71" t="s">
        <v>278</v>
      </c>
      <c r="AV404" s="38" t="e">
        <f>DATEDIF(J404,AO404, "d")/7</f>
        <v>#NUM!</v>
      </c>
      <c r="AW404" s="71"/>
      <c r="AX404" s="63"/>
      <c r="AY404" s="77" t="str">
        <f>IF(D404&lt;&gt;"",IF(LEFT(IFERROR(VLOOKUP(D404,'LPA Lookup'!$A$100:$B$470,2,FALSE),"LPA not known to MCLHG"),3)&lt;&gt;"JSP",IFERROR(VLOOKUP(D404,'LPA Lookup'!$A$100:$B$470,2,FALSE),"LPA not known to MCLHG"),VLOOKUP(D404&amp;B404,#REF!,3,FALSE)),"")</f>
        <v>LPA not known to MCLHG</v>
      </c>
      <c r="AZ404" s="123" t="str">
        <f t="shared" si="29"/>
        <v>Jun 24</v>
      </c>
      <c r="BA404" s="123" t="str">
        <f t="shared" si="25"/>
        <v>Jan 00</v>
      </c>
    </row>
    <row r="405" spans="1:53" ht="14" x14ac:dyDescent="0.15">
      <c r="A405" s="118">
        <v>3347752</v>
      </c>
      <c r="B405" s="118">
        <v>2402</v>
      </c>
      <c r="C405" s="63" t="s">
        <v>61</v>
      </c>
      <c r="D405" s="128" t="s">
        <v>280</v>
      </c>
      <c r="E405" s="63" t="s">
        <v>774</v>
      </c>
      <c r="F405" s="63" t="s">
        <v>57</v>
      </c>
      <c r="G405" s="63">
        <v>3</v>
      </c>
      <c r="H405" s="64">
        <v>45303</v>
      </c>
      <c r="I405" s="63"/>
      <c r="J405" s="64">
        <v>45481</v>
      </c>
      <c r="K405" s="63"/>
      <c r="L405" s="63"/>
      <c r="M405" s="64">
        <v>45490</v>
      </c>
      <c r="N405" s="64"/>
      <c r="O405" s="64">
        <v>45587</v>
      </c>
      <c r="P405" s="63"/>
      <c r="Q405" s="64"/>
      <c r="R405" s="63">
        <v>0</v>
      </c>
      <c r="S405" s="63">
        <v>0</v>
      </c>
      <c r="T405" s="63">
        <v>0</v>
      </c>
      <c r="U405" s="63">
        <v>0</v>
      </c>
      <c r="V405" s="63">
        <v>0</v>
      </c>
      <c r="W405" s="63">
        <v>5.8</v>
      </c>
      <c r="X405" s="63">
        <v>35.31</v>
      </c>
      <c r="Y405" s="63">
        <v>4.97</v>
      </c>
      <c r="Z405" s="63">
        <v>0</v>
      </c>
      <c r="AA405" s="63">
        <v>2.36</v>
      </c>
      <c r="AB405" s="63">
        <v>3.42</v>
      </c>
      <c r="AC405" s="63">
        <v>0</v>
      </c>
      <c r="AD405" s="63">
        <v>23.3</v>
      </c>
      <c r="AE405" s="37">
        <v>75.16</v>
      </c>
      <c r="AF405" s="63"/>
      <c r="AG405" s="64"/>
      <c r="AH405" s="63"/>
      <c r="AI405" s="64"/>
      <c r="AJ405" s="63"/>
      <c r="AK405" s="64"/>
      <c r="AL405" s="63"/>
      <c r="AM405" s="64"/>
      <c r="AN405" s="63"/>
      <c r="AO405" s="64"/>
      <c r="AP405" s="63"/>
      <c r="AQ405" s="64"/>
      <c r="AR405" s="63"/>
      <c r="AS405" s="64"/>
      <c r="AT405" s="63"/>
      <c r="AU405" s="63"/>
      <c r="AV405" s="63"/>
      <c r="AW405" s="63"/>
      <c r="AX405" s="63"/>
      <c r="AY405" s="77" t="str">
        <f>IF(D405&lt;&gt;"",IF(LEFT(IFERROR(VLOOKUP(D405,'LPA Lookup'!$A$100:$B$470,2,FALSE),"LPA not known to MCLHG"),3)&lt;&gt;"JSP",IFERROR(VLOOKUP(D405,'LPA Lookup'!$A$100:$B$470,2,FALSE),"LPA not known to MCLHG"),VLOOKUP(D405&amp;B405,#REF!,3,FALSE)),"")</f>
        <v>E07000228</v>
      </c>
      <c r="AZ405" s="115" t="str">
        <f t="shared" si="29"/>
        <v>Jul 24</v>
      </c>
      <c r="BA405" s="115" t="str">
        <f t="shared" si="25"/>
        <v>Jan 00</v>
      </c>
    </row>
    <row r="406" spans="1:53" ht="14" x14ac:dyDescent="0.15">
      <c r="A406" s="124">
        <v>3349135</v>
      </c>
      <c r="B406" s="124">
        <v>2116</v>
      </c>
      <c r="C406" s="69" t="s">
        <v>61</v>
      </c>
      <c r="D406" s="129" t="s">
        <v>775</v>
      </c>
      <c r="E406" s="124" t="s">
        <v>92</v>
      </c>
      <c r="F406" s="69" t="s">
        <v>57</v>
      </c>
      <c r="G406" s="69">
        <v>3</v>
      </c>
      <c r="H406" s="70">
        <v>45310</v>
      </c>
      <c r="I406" s="69"/>
      <c r="J406" s="70">
        <v>45499</v>
      </c>
      <c r="K406" s="69"/>
      <c r="L406" s="69"/>
      <c r="M406" s="70">
        <v>45503</v>
      </c>
      <c r="N406" s="70"/>
      <c r="O406" s="70">
        <v>45636</v>
      </c>
      <c r="P406" s="69"/>
      <c r="Q406" s="70"/>
      <c r="R406" s="69"/>
      <c r="S406" s="69">
        <v>0</v>
      </c>
      <c r="T406" s="69">
        <v>0</v>
      </c>
      <c r="U406" s="69">
        <v>0</v>
      </c>
      <c r="V406" s="69">
        <v>0</v>
      </c>
      <c r="W406" s="69">
        <v>0</v>
      </c>
      <c r="X406" s="69">
        <v>47.52</v>
      </c>
      <c r="Y406" s="69">
        <v>2.85</v>
      </c>
      <c r="Z406" s="69">
        <v>0</v>
      </c>
      <c r="AA406" s="69">
        <v>0.95</v>
      </c>
      <c r="AB406" s="69">
        <v>2.58</v>
      </c>
      <c r="AC406" s="69">
        <v>0</v>
      </c>
      <c r="AD406" s="69">
        <v>5.95</v>
      </c>
      <c r="AE406" s="27">
        <f>AllPlans[[#This Row],[Prep days*]]+AllPlans[[#This Row],[Hearing days*]]+AllPlans[[#This Row],[SV days*]]+AllPlans[[#This Row],[Travel days]]+AllPlans[[#This Row],[Reptg days*]]</f>
        <v>59.850000000000009</v>
      </c>
      <c r="AF406" s="69"/>
      <c r="AG406" s="70"/>
      <c r="AH406" s="69"/>
      <c r="AI406" s="70"/>
      <c r="AJ406" s="69"/>
      <c r="AK406" s="70"/>
      <c r="AL406" s="69"/>
      <c r="AM406" s="70"/>
      <c r="AN406" s="69"/>
      <c r="AO406" s="70"/>
      <c r="AP406" s="69"/>
      <c r="AQ406" s="70"/>
      <c r="AR406" s="69"/>
      <c r="AS406" s="70"/>
      <c r="AT406" s="69"/>
      <c r="AU406" s="69"/>
      <c r="AV406" s="69"/>
      <c r="AW406" s="69"/>
      <c r="AX406" s="69"/>
      <c r="AY406" s="115" t="s">
        <v>776</v>
      </c>
      <c r="AZ406" s="115" t="str">
        <f t="shared" si="29"/>
        <v>Jul 24</v>
      </c>
      <c r="BA406" s="115" t="str">
        <f t="shared" si="25"/>
        <v>Jan 00</v>
      </c>
    </row>
    <row r="407" spans="1:53" ht="14" x14ac:dyDescent="0.15">
      <c r="A407" s="124">
        <v>3349250</v>
      </c>
      <c r="B407" s="124">
        <v>2191</v>
      </c>
      <c r="C407" s="69" t="s">
        <v>104</v>
      </c>
      <c r="D407" s="155" t="s">
        <v>444</v>
      </c>
      <c r="E407" s="124" t="s">
        <v>777</v>
      </c>
      <c r="F407" s="69" t="s">
        <v>57</v>
      </c>
      <c r="G407" s="69">
        <v>3</v>
      </c>
      <c r="H407" s="70">
        <v>45338</v>
      </c>
      <c r="I407" s="69"/>
      <c r="J407" s="70">
        <v>45502</v>
      </c>
      <c r="K407" s="69"/>
      <c r="L407" s="69"/>
      <c r="M407" s="70">
        <v>45509</v>
      </c>
      <c r="N407" s="70"/>
      <c r="O407" s="70">
        <v>45636</v>
      </c>
      <c r="P407" s="69" t="s">
        <v>778</v>
      </c>
      <c r="Q407" s="70"/>
      <c r="R407" s="69"/>
      <c r="S407" s="69"/>
      <c r="T407" s="69"/>
      <c r="U407" s="69"/>
      <c r="V407" s="69"/>
      <c r="W407" s="69"/>
      <c r="X407" s="69">
        <v>44.51</v>
      </c>
      <c r="Y407" s="69">
        <v>5</v>
      </c>
      <c r="Z407" s="69"/>
      <c r="AA407" s="69">
        <v>1.1499999999999999</v>
      </c>
      <c r="AB407" s="69">
        <v>4.18</v>
      </c>
      <c r="AC407" s="69"/>
      <c r="AD407" s="69">
        <v>20.32</v>
      </c>
      <c r="AE407" s="37">
        <f>AllPlans[[#This Row],[Prep days*]]+AllPlans[[#This Row],[Hearing days*]]+AllPlans[[#This Row],[SV days*]]+AllPlans[[#This Row],[Travel days]]+AllPlans[[#This Row],[Reptg days*]]</f>
        <v>75.16</v>
      </c>
      <c r="AF407" s="69"/>
      <c r="AG407" s="70"/>
      <c r="AH407" s="69"/>
      <c r="AI407" s="70">
        <v>45989</v>
      </c>
      <c r="AJ407" s="69"/>
      <c r="AK407" s="70"/>
      <c r="AL407" s="69"/>
      <c r="AM407" s="70"/>
      <c r="AN407" s="69"/>
      <c r="AO407" s="70"/>
      <c r="AP407" s="69"/>
      <c r="AQ407" s="70"/>
      <c r="AR407" s="69"/>
      <c r="AS407" s="70"/>
      <c r="AT407" s="69"/>
      <c r="AU407" s="69"/>
      <c r="AV407" s="69"/>
      <c r="AW407" s="69"/>
      <c r="AX407" s="69"/>
      <c r="AY407" s="41" t="s">
        <v>779</v>
      </c>
      <c r="AZ407" s="41" t="str">
        <f t="shared" si="29"/>
        <v>Jul 24</v>
      </c>
      <c r="BA407" s="41" t="str">
        <f t="shared" si="25"/>
        <v>Jan 00</v>
      </c>
    </row>
    <row r="408" spans="1:53" ht="28" x14ac:dyDescent="0.15">
      <c r="A408" s="121">
        <v>3349249</v>
      </c>
      <c r="B408" s="118">
        <v>2400</v>
      </c>
      <c r="C408" s="65" t="s">
        <v>61</v>
      </c>
      <c r="D408" s="128" t="s">
        <v>780</v>
      </c>
      <c r="E408" s="63" t="s">
        <v>781</v>
      </c>
      <c r="F408" s="63" t="s">
        <v>80</v>
      </c>
      <c r="G408" s="63">
        <v>2</v>
      </c>
      <c r="H408" s="64">
        <v>45300</v>
      </c>
      <c r="I408" s="63"/>
      <c r="J408" s="64">
        <v>45502</v>
      </c>
      <c r="K408" s="63"/>
      <c r="L408" s="63"/>
      <c r="M408" s="64">
        <v>45539</v>
      </c>
      <c r="N408" s="64"/>
      <c r="O408" s="64">
        <v>45692</v>
      </c>
      <c r="P408" s="63"/>
      <c r="Q408" s="64"/>
      <c r="R408" s="63"/>
      <c r="S408" s="63"/>
      <c r="T408" s="63"/>
      <c r="U408" s="63"/>
      <c r="V408" s="63"/>
      <c r="W408" s="63"/>
      <c r="X408" s="63">
        <v>26.88</v>
      </c>
      <c r="Y408" s="63">
        <v>9.42</v>
      </c>
      <c r="Z408" s="63"/>
      <c r="AA408" s="63"/>
      <c r="AB408" s="63">
        <v>2.37</v>
      </c>
      <c r="AC408" s="63"/>
      <c r="AD408" s="63">
        <v>3.24</v>
      </c>
      <c r="AE408" s="119">
        <f>AllPlans[[#This Row],[Prep days*]]+AllPlans[[#This Row],[Hearing days*]]+AllPlans[[#This Row],[SV days*]]+AllPlans[[#This Row],[Travel days]]+AllPlans[[#This Row],[Reptg days*]]</f>
        <v>41.91</v>
      </c>
      <c r="AF408" s="63"/>
      <c r="AG408" s="64"/>
      <c r="AH408" s="63"/>
      <c r="AI408" s="64"/>
      <c r="AJ408" s="63"/>
      <c r="AK408" s="64"/>
      <c r="AL408" s="63"/>
      <c r="AM408" s="64"/>
      <c r="AN408" s="63"/>
      <c r="AO408" s="64"/>
      <c r="AP408" s="63"/>
      <c r="AQ408" s="64"/>
      <c r="AR408" s="63"/>
      <c r="AS408" s="64"/>
      <c r="AT408" s="63"/>
      <c r="AU408" s="63"/>
      <c r="AV408" s="63"/>
      <c r="AW408" s="63"/>
      <c r="AX408" s="63"/>
      <c r="AY408" s="41" t="s">
        <v>782</v>
      </c>
      <c r="AZ408" s="41" t="str">
        <f t="shared" si="29"/>
        <v>Jul 24</v>
      </c>
      <c r="BA408" s="41" t="str">
        <f t="shared" si="25"/>
        <v>Jan 00</v>
      </c>
    </row>
    <row r="409" spans="1:53" ht="14" x14ac:dyDescent="0.15">
      <c r="A409" s="118">
        <v>3349589</v>
      </c>
      <c r="B409" s="118">
        <v>1980</v>
      </c>
      <c r="C409" s="63" t="s">
        <v>90</v>
      </c>
      <c r="D409" s="110" t="s">
        <v>473</v>
      </c>
      <c r="E409" s="63" t="s">
        <v>56</v>
      </c>
      <c r="F409" s="63" t="s">
        <v>57</v>
      </c>
      <c r="G409" s="63">
        <v>3</v>
      </c>
      <c r="H409" s="64">
        <v>45379</v>
      </c>
      <c r="I409" s="63"/>
      <c r="J409" s="64">
        <v>45510</v>
      </c>
      <c r="K409" s="63"/>
      <c r="L409" s="63"/>
      <c r="M409" s="64">
        <v>45516</v>
      </c>
      <c r="N409" s="64"/>
      <c r="O409" s="64">
        <v>45679</v>
      </c>
      <c r="P409" s="63" t="s">
        <v>783</v>
      </c>
      <c r="Q409" s="64"/>
      <c r="R409" s="63"/>
      <c r="S409" s="63"/>
      <c r="T409" s="63"/>
      <c r="U409" s="63"/>
      <c r="V409" s="63"/>
      <c r="W409" s="63"/>
      <c r="X409" s="63">
        <v>40.24</v>
      </c>
      <c r="Y409" s="63">
        <v>5.17</v>
      </c>
      <c r="Z409" s="63"/>
      <c r="AA409" s="63"/>
      <c r="AB409" s="63">
        <v>1.7</v>
      </c>
      <c r="AC409" s="63"/>
      <c r="AD409" s="63">
        <v>3.78</v>
      </c>
      <c r="AE409" s="119">
        <f>AllPlans[[#This Row],[Prep days*]]+AllPlans[[#This Row],[Hearing days*]]+AllPlans[[#This Row],[SV days*]]+AllPlans[[#This Row],[Travel days]]+AllPlans[[#This Row],[Reptg days*]]</f>
        <v>50.890000000000008</v>
      </c>
      <c r="AF409" s="63"/>
      <c r="AG409" s="64"/>
      <c r="AH409" s="63"/>
      <c r="AI409" s="64"/>
      <c r="AJ409" s="63"/>
      <c r="AK409" s="64"/>
      <c r="AL409" s="63"/>
      <c r="AM409" s="64"/>
      <c r="AN409" s="63"/>
      <c r="AO409" s="64"/>
      <c r="AP409" s="63"/>
      <c r="AQ409" s="64"/>
      <c r="AR409" s="63"/>
      <c r="AS409" s="64"/>
      <c r="AT409" s="63"/>
      <c r="AU409" s="63"/>
      <c r="AV409" s="63"/>
      <c r="AW409" s="63"/>
      <c r="AX409" s="63"/>
      <c r="AY409" s="41" t="s">
        <v>784</v>
      </c>
      <c r="AZ409" s="115" t="str">
        <f t="shared" si="29"/>
        <v>Aug 24</v>
      </c>
      <c r="BA409" s="115" t="str">
        <f t="shared" si="25"/>
        <v>Jan 00</v>
      </c>
    </row>
    <row r="410" spans="1:53" ht="14" x14ac:dyDescent="0.15">
      <c r="A410" s="124">
        <v>3352121</v>
      </c>
      <c r="B410" s="124">
        <v>1994</v>
      </c>
      <c r="C410" s="69" t="s">
        <v>90</v>
      </c>
      <c r="D410" s="132" t="s">
        <v>785</v>
      </c>
      <c r="E410" s="69" t="s">
        <v>786</v>
      </c>
      <c r="F410" s="69" t="s">
        <v>57</v>
      </c>
      <c r="G410" s="69">
        <v>3</v>
      </c>
      <c r="H410" s="70">
        <v>45400</v>
      </c>
      <c r="I410" s="69"/>
      <c r="J410" s="70">
        <v>45533</v>
      </c>
      <c r="K410" s="69"/>
      <c r="L410" s="69"/>
      <c r="M410" s="70">
        <v>45553</v>
      </c>
      <c r="N410" s="70"/>
      <c r="O410" s="70">
        <v>45741</v>
      </c>
      <c r="P410" s="79" t="s">
        <v>787</v>
      </c>
      <c r="Q410" s="70"/>
      <c r="R410" s="69"/>
      <c r="S410" s="69"/>
      <c r="T410" s="69"/>
      <c r="U410" s="69"/>
      <c r="V410" s="69"/>
      <c r="W410" s="69"/>
      <c r="X410" s="69">
        <v>22.76</v>
      </c>
      <c r="Y410" s="69">
        <v>2.23</v>
      </c>
      <c r="Z410" s="69"/>
      <c r="AA410" s="69">
        <v>2.63</v>
      </c>
      <c r="AB410" s="69">
        <v>2.58</v>
      </c>
      <c r="AC410" s="69"/>
      <c r="AD410" s="69"/>
      <c r="AE410" s="37">
        <f>AllPlans[[#This Row],[Prep days*]]+AllPlans[[#This Row],[Hearing days*]]+AllPlans[[#This Row],[SV days*]]+AllPlans[[#This Row],[Travel days]]+AllPlans[[#This Row],[Reptg days*]]</f>
        <v>30.200000000000003</v>
      </c>
      <c r="AF410" s="69"/>
      <c r="AG410" s="70"/>
      <c r="AH410" s="69"/>
      <c r="AI410" s="70"/>
      <c r="AJ410" s="69"/>
      <c r="AK410" s="70"/>
      <c r="AL410" s="69"/>
      <c r="AM410" s="70"/>
      <c r="AN410" s="69"/>
      <c r="AO410" s="70"/>
      <c r="AP410" s="69"/>
      <c r="AQ410" s="70"/>
      <c r="AR410" s="69"/>
      <c r="AS410" s="70"/>
      <c r="AT410" s="69"/>
      <c r="AU410" s="69"/>
      <c r="AV410" s="69"/>
      <c r="AW410" s="69"/>
      <c r="AX410" s="69"/>
      <c r="AY410" s="41" t="s">
        <v>788</v>
      </c>
      <c r="AZ410" s="41" t="str">
        <f t="shared" si="29"/>
        <v>Aug 24</v>
      </c>
      <c r="BA410" s="41" t="str">
        <f t="shared" si="25"/>
        <v>Jan 00</v>
      </c>
    </row>
    <row r="411" spans="1:53" ht="28" x14ac:dyDescent="0.15">
      <c r="A411" s="169">
        <v>3353163</v>
      </c>
      <c r="B411" s="170">
        <v>2407</v>
      </c>
      <c r="C411" s="178" t="s">
        <v>67</v>
      </c>
      <c r="D411" s="180" t="s">
        <v>789</v>
      </c>
      <c r="E411" s="180" t="s">
        <v>790</v>
      </c>
      <c r="F411" s="180" t="s">
        <v>107</v>
      </c>
      <c r="G411" s="180">
        <v>2</v>
      </c>
      <c r="H411" s="190">
        <v>45471</v>
      </c>
      <c r="I411" s="180"/>
      <c r="J411" s="190">
        <v>45565</v>
      </c>
      <c r="K411" s="180"/>
      <c r="L411" s="180"/>
      <c r="M411" s="190">
        <v>45569</v>
      </c>
      <c r="N411" s="190"/>
      <c r="O411" s="190">
        <v>45727</v>
      </c>
      <c r="P411" s="180"/>
      <c r="Q411" s="190">
        <v>45729</v>
      </c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98">
        <f>AllPlans[[#This Row],[Prep days*]]+AllPlans[[#This Row],[Hearing days*]]+AllPlans[[#This Row],[SV days*]]+AllPlans[[#This Row],[Travel days]]+AllPlans[[#This Row],[Reptg days*]]</f>
        <v>0</v>
      </c>
      <c r="AF411" s="180"/>
      <c r="AG411" s="190">
        <v>45869</v>
      </c>
      <c r="AH411" s="180"/>
      <c r="AI411" s="190">
        <v>45839</v>
      </c>
      <c r="AJ411" s="180"/>
      <c r="AK411" s="190">
        <v>45862</v>
      </c>
      <c r="AL411" s="180"/>
      <c r="AM411" s="190">
        <v>45867</v>
      </c>
      <c r="AN411" s="180"/>
      <c r="AO411" s="190">
        <v>45876</v>
      </c>
      <c r="AP411" s="180"/>
      <c r="AQ411" s="190">
        <v>45925</v>
      </c>
      <c r="AR411" s="180"/>
      <c r="AS411" s="190"/>
      <c r="AT411" s="180"/>
      <c r="AU411" s="180" t="s">
        <v>59</v>
      </c>
      <c r="AV411" s="38">
        <f>DATEDIF(J411,AO411, "d")/7</f>
        <v>44.428571428571431</v>
      </c>
      <c r="AW411" s="180"/>
      <c r="AX411" s="180"/>
      <c r="AY411" s="51"/>
      <c r="AZ411" s="51" t="str">
        <f t="shared" si="29"/>
        <v>Sep 24</v>
      </c>
      <c r="BA411" s="51" t="str">
        <f t="shared" si="25"/>
        <v>Aug 25</v>
      </c>
    </row>
    <row r="412" spans="1:53" ht="14" x14ac:dyDescent="0.15">
      <c r="A412" s="118">
        <v>3355816</v>
      </c>
      <c r="B412" s="118">
        <v>2204</v>
      </c>
      <c r="C412" s="63" t="s">
        <v>61</v>
      </c>
      <c r="D412" s="128" t="s">
        <v>791</v>
      </c>
      <c r="E412" s="63" t="s">
        <v>792</v>
      </c>
      <c r="F412" s="63" t="s">
        <v>57</v>
      </c>
      <c r="G412" s="63">
        <v>2</v>
      </c>
      <c r="H412" s="64">
        <v>45481</v>
      </c>
      <c r="I412" s="63"/>
      <c r="J412" s="64">
        <v>45596</v>
      </c>
      <c r="K412" s="63"/>
      <c r="L412" s="63"/>
      <c r="M412" s="64">
        <v>45611</v>
      </c>
      <c r="N412" s="64"/>
      <c r="O412" s="64">
        <v>45713</v>
      </c>
      <c r="P412" s="63" t="s">
        <v>793</v>
      </c>
      <c r="Q412" s="64"/>
      <c r="R412" s="63"/>
      <c r="S412" s="63"/>
      <c r="T412" s="63"/>
      <c r="U412" s="63"/>
      <c r="V412" s="63"/>
      <c r="W412" s="63"/>
      <c r="X412" s="63">
        <v>31.21</v>
      </c>
      <c r="Y412" s="63">
        <v>6.1</v>
      </c>
      <c r="Z412" s="63"/>
      <c r="AA412" s="63">
        <v>2.02</v>
      </c>
      <c r="AB412" s="63">
        <v>5.54</v>
      </c>
      <c r="AC412" s="63"/>
      <c r="AD412" s="63">
        <v>8.42</v>
      </c>
      <c r="AE412" s="119">
        <f>AllPlans[[#This Row],[Prep days*]]+AllPlans[[#This Row],[Hearing days*]]+AllPlans[[#This Row],[SV days*]]+AllPlans[[#This Row],[Travel days]]+AllPlans[[#This Row],[Reptg days*]]</f>
        <v>53.290000000000006</v>
      </c>
      <c r="AF412" s="63"/>
      <c r="AG412" s="64"/>
      <c r="AH412" s="63"/>
      <c r="AI412" s="64"/>
      <c r="AJ412" s="63"/>
      <c r="AK412" s="64"/>
      <c r="AL412" s="63"/>
      <c r="AM412" s="64"/>
      <c r="AN412" s="63"/>
      <c r="AO412" s="64"/>
      <c r="AP412" s="63"/>
      <c r="AQ412" s="64"/>
      <c r="AR412" s="63"/>
      <c r="AS412" s="64"/>
      <c r="AT412" s="63"/>
      <c r="AU412" s="63"/>
      <c r="AV412" s="63"/>
      <c r="AW412" s="63"/>
      <c r="AX412" s="63"/>
      <c r="AY412" s="115" t="s">
        <v>794</v>
      </c>
      <c r="AZ412" s="115" t="str">
        <f t="shared" si="29"/>
        <v>Oct 24</v>
      </c>
      <c r="BA412" s="115" t="str">
        <f t="shared" si="25"/>
        <v>Jan 00</v>
      </c>
    </row>
    <row r="413" spans="1:53" ht="56" x14ac:dyDescent="0.15">
      <c r="A413" s="124">
        <v>3355807</v>
      </c>
      <c r="B413" s="124">
        <v>2256</v>
      </c>
      <c r="C413" s="69" t="s">
        <v>90</v>
      </c>
      <c r="D413" s="132" t="s">
        <v>616</v>
      </c>
      <c r="E413" s="69" t="s">
        <v>627</v>
      </c>
      <c r="F413" s="69" t="s">
        <v>107</v>
      </c>
      <c r="G413" s="69">
        <v>2</v>
      </c>
      <c r="H413" s="70">
        <v>45461</v>
      </c>
      <c r="I413" s="69"/>
      <c r="J413" s="70">
        <v>45596</v>
      </c>
      <c r="K413" s="69"/>
      <c r="L413" s="69"/>
      <c r="M413" s="70">
        <v>45607</v>
      </c>
      <c r="N413" s="70"/>
      <c r="O413" s="70">
        <v>45706</v>
      </c>
      <c r="P413" s="69" t="s">
        <v>795</v>
      </c>
      <c r="Q413" s="70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37">
        <f>AllPlans[[#This Row],[Prep days*]]+AllPlans[[#This Row],[Hearing days*]]+AllPlans[[#This Row],[SV days*]]+AllPlans[[#This Row],[Travel days]]+AllPlans[[#This Row],[Reptg days*]]</f>
        <v>0</v>
      </c>
      <c r="AF413" s="69"/>
      <c r="AG413" s="70"/>
      <c r="AH413" s="69"/>
      <c r="AI413" s="70">
        <v>46007</v>
      </c>
      <c r="AJ413" s="69"/>
      <c r="AK413" s="70"/>
      <c r="AL413" s="69"/>
      <c r="AM413" s="70"/>
      <c r="AN413" s="69"/>
      <c r="AO413" s="70"/>
      <c r="AP413" s="69"/>
      <c r="AQ413" s="70"/>
      <c r="AR413" s="69"/>
      <c r="AS413" s="70"/>
      <c r="AT413" s="69"/>
      <c r="AU413" s="69"/>
      <c r="AV413" s="69"/>
      <c r="AW413" s="69"/>
      <c r="AX413" s="69"/>
      <c r="AY413" s="115" t="s">
        <v>796</v>
      </c>
      <c r="AZ413" s="115" t="str">
        <f t="shared" si="29"/>
        <v>Oct 24</v>
      </c>
      <c r="BA413" s="115" t="str">
        <f t="shared" si="25"/>
        <v>Jan 00</v>
      </c>
    </row>
    <row r="414" spans="1:53" ht="42" x14ac:dyDescent="0.15">
      <c r="A414" s="118">
        <v>3355818</v>
      </c>
      <c r="B414" s="118">
        <v>2163</v>
      </c>
      <c r="C414" s="63" t="s">
        <v>61</v>
      </c>
      <c r="D414" s="128" t="s">
        <v>211</v>
      </c>
      <c r="E414" s="63" t="s">
        <v>56</v>
      </c>
      <c r="F414" s="63" t="s">
        <v>57</v>
      </c>
      <c r="G414" s="63">
        <v>3</v>
      </c>
      <c r="H414" s="64">
        <v>45533</v>
      </c>
      <c r="I414" s="63"/>
      <c r="J414" s="64">
        <v>45611</v>
      </c>
      <c r="K414" s="63"/>
      <c r="L414" s="63"/>
      <c r="M414" s="64">
        <v>45632</v>
      </c>
      <c r="N414" s="64"/>
      <c r="O414" s="64">
        <v>45769</v>
      </c>
      <c r="P414" s="63" t="s">
        <v>797</v>
      </c>
      <c r="Q414" s="64"/>
      <c r="R414" s="63"/>
      <c r="S414" s="63"/>
      <c r="T414" s="63"/>
      <c r="U414" s="63"/>
      <c r="V414" s="63"/>
      <c r="W414" s="63"/>
      <c r="X414" s="63">
        <v>33.090000000000003</v>
      </c>
      <c r="Y414" s="63">
        <v>5.72</v>
      </c>
      <c r="Z414" s="63"/>
      <c r="AA414" s="63">
        <v>0.95</v>
      </c>
      <c r="AB414" s="63">
        <v>0.7</v>
      </c>
      <c r="AC414" s="63"/>
      <c r="AD414" s="63"/>
      <c r="AE414" s="119">
        <f>AllPlans[[#This Row],[Prep days*]]+AllPlans[[#This Row],[Hearing days*]]+AllPlans[[#This Row],[SV days*]]+AllPlans[[#This Row],[Travel days]]+AllPlans[[#This Row],[Reptg days*]]</f>
        <v>40.460000000000008</v>
      </c>
      <c r="AF414" s="63"/>
      <c r="AG414" s="64"/>
      <c r="AH414" s="63"/>
      <c r="AI414" s="64"/>
      <c r="AJ414" s="63"/>
      <c r="AK414" s="64"/>
      <c r="AL414" s="63"/>
      <c r="AM414" s="64"/>
      <c r="AN414" s="63"/>
      <c r="AO414" s="64"/>
      <c r="AP414" s="63"/>
      <c r="AQ414" s="64"/>
      <c r="AR414" s="63"/>
      <c r="AS414" s="64"/>
      <c r="AT414" s="63"/>
      <c r="AU414" s="63"/>
      <c r="AV414" s="63"/>
      <c r="AW414" s="63"/>
      <c r="AX414" s="63"/>
      <c r="AY414" s="41" t="s">
        <v>213</v>
      </c>
      <c r="AZ414" s="41" t="str">
        <f t="shared" si="29"/>
        <v>Nov 24</v>
      </c>
      <c r="BA414" s="41" t="str">
        <f t="shared" si="25"/>
        <v>Jan 00</v>
      </c>
    </row>
    <row r="415" spans="1:53" ht="84" x14ac:dyDescent="0.15">
      <c r="A415" s="118">
        <v>3355900</v>
      </c>
      <c r="B415" s="118">
        <v>2296</v>
      </c>
      <c r="C415" s="63" t="s">
        <v>90</v>
      </c>
      <c r="D415" s="110" t="s">
        <v>126</v>
      </c>
      <c r="E415" s="63" t="s">
        <v>798</v>
      </c>
      <c r="F415" s="63" t="s">
        <v>57</v>
      </c>
      <c r="G415" s="63">
        <v>3</v>
      </c>
      <c r="H415" s="64">
        <v>45350</v>
      </c>
      <c r="I415" s="63"/>
      <c r="J415" s="64">
        <v>45615</v>
      </c>
      <c r="K415" s="63"/>
      <c r="L415" s="63"/>
      <c r="M415" s="64">
        <v>45635</v>
      </c>
      <c r="N415" s="64"/>
      <c r="O415" s="64">
        <v>45824</v>
      </c>
      <c r="P415" s="63" t="s">
        <v>799</v>
      </c>
      <c r="Q415" s="64"/>
      <c r="R415" s="63"/>
      <c r="S415" s="63"/>
      <c r="T415" s="63"/>
      <c r="U415" s="63"/>
      <c r="V415" s="63"/>
      <c r="W415" s="63"/>
      <c r="X415" s="63">
        <v>23.55</v>
      </c>
      <c r="Y415" s="63"/>
      <c r="Z415" s="63"/>
      <c r="AA415" s="63"/>
      <c r="AB415" s="63"/>
      <c r="AC415" s="63"/>
      <c r="AD415" s="63"/>
      <c r="AE415" s="119">
        <f>AllPlans[[#This Row],[Prep days*]]+AllPlans[[#This Row],[Hearing days*]]+AllPlans[[#This Row],[SV days*]]+AllPlans[[#This Row],[Travel days]]+AllPlans[[#This Row],[Reptg days*]]</f>
        <v>23.55</v>
      </c>
      <c r="AF415" s="63"/>
      <c r="AG415" s="64"/>
      <c r="AH415" s="63"/>
      <c r="AI415" s="64"/>
      <c r="AJ415" s="63"/>
      <c r="AK415" s="64"/>
      <c r="AL415" s="63"/>
      <c r="AM415" s="64"/>
      <c r="AN415" s="63"/>
      <c r="AO415" s="64"/>
      <c r="AP415" s="63"/>
      <c r="AQ415" s="64"/>
      <c r="AR415" s="63"/>
      <c r="AS415" s="64"/>
      <c r="AT415" s="63"/>
      <c r="AU415" s="63"/>
      <c r="AV415" s="63"/>
      <c r="AW415" s="63"/>
      <c r="AX415" s="63"/>
      <c r="AY415" s="115" t="s">
        <v>128</v>
      </c>
      <c r="AZ415" s="115" t="str">
        <f t="shared" si="29"/>
        <v>Nov 24</v>
      </c>
      <c r="BA415" s="115" t="str">
        <f t="shared" ref="BA415:BA478" si="30">TEXT(AO415,"MMM YY")</f>
        <v>Jan 00</v>
      </c>
    </row>
    <row r="416" spans="1:53" ht="15" x14ac:dyDescent="0.15">
      <c r="A416" s="170">
        <v>3356441</v>
      </c>
      <c r="B416" s="170">
        <v>2404</v>
      </c>
      <c r="C416" s="180" t="s">
        <v>90</v>
      </c>
      <c r="D416" s="180" t="s">
        <v>160</v>
      </c>
      <c r="E416" s="180" t="s">
        <v>800</v>
      </c>
      <c r="F416" s="180" t="s">
        <v>57</v>
      </c>
      <c r="G416" s="180">
        <v>3</v>
      </c>
      <c r="H416" s="190">
        <v>45365</v>
      </c>
      <c r="I416" s="63"/>
      <c r="J416" s="190">
        <v>45624</v>
      </c>
      <c r="K416" s="63"/>
      <c r="L416" s="180"/>
      <c r="M416" s="190">
        <v>45635</v>
      </c>
      <c r="N416" s="64"/>
      <c r="O416" s="190">
        <v>45776</v>
      </c>
      <c r="P416" s="180" t="s">
        <v>801</v>
      </c>
      <c r="Q416" s="190">
        <v>45778</v>
      </c>
      <c r="R416" s="180"/>
      <c r="S416" s="180"/>
      <c r="T416" s="180"/>
      <c r="U416" s="180"/>
      <c r="V416" s="180"/>
      <c r="W416" s="180"/>
      <c r="X416" s="180">
        <v>12.53</v>
      </c>
      <c r="Y416" s="180"/>
      <c r="Z416" s="180"/>
      <c r="AA416" s="180">
        <v>1</v>
      </c>
      <c r="AB416" s="180"/>
      <c r="AC416" s="180"/>
      <c r="AD416" s="180"/>
      <c r="AE416" s="198">
        <f>AllPlans[[#This Row],[Prep days*]]+AllPlans[[#This Row],[Hearing days*]]+AllPlans[[#This Row],[SV days*]]+AllPlans[[#This Row],[Travel days]]+AllPlans[[#This Row],[Reptg days*]]</f>
        <v>13.53</v>
      </c>
      <c r="AF416" s="180"/>
      <c r="AG416" s="190">
        <v>45964</v>
      </c>
      <c r="AH416" s="180"/>
      <c r="AI416" s="190">
        <v>45930</v>
      </c>
      <c r="AJ416" s="63"/>
      <c r="AK416" s="190">
        <v>45958</v>
      </c>
      <c r="AL416" s="180"/>
      <c r="AM416" s="190">
        <v>45964</v>
      </c>
      <c r="AN416" s="197">
        <v>45972</v>
      </c>
      <c r="AO416" s="190">
        <v>45974</v>
      </c>
      <c r="AP416" s="63"/>
      <c r="AQ416" s="190"/>
      <c r="AR416" s="180"/>
      <c r="AS416" s="190"/>
      <c r="AT416" s="63"/>
      <c r="AU416" s="180" t="s">
        <v>59</v>
      </c>
      <c r="AV416" s="180"/>
      <c r="AW416" s="180"/>
      <c r="AX416" s="63"/>
      <c r="AY416" s="301" t="s">
        <v>163</v>
      </c>
      <c r="AZ416" s="177" t="str">
        <f t="shared" si="29"/>
        <v>Nov 24</v>
      </c>
      <c r="BA416" s="177" t="str">
        <f t="shared" si="30"/>
        <v>Nov 25</v>
      </c>
    </row>
    <row r="417" spans="1:53" ht="56" x14ac:dyDescent="0.15">
      <c r="A417" s="121">
        <v>3356440</v>
      </c>
      <c r="B417" s="118">
        <v>2091</v>
      </c>
      <c r="C417" s="65" t="s">
        <v>67</v>
      </c>
      <c r="D417" s="163" t="s">
        <v>143</v>
      </c>
      <c r="E417" s="63" t="s">
        <v>92</v>
      </c>
      <c r="F417" s="63" t="s">
        <v>57</v>
      </c>
      <c r="G417" s="63">
        <v>3</v>
      </c>
      <c r="H417" s="64">
        <v>45562</v>
      </c>
      <c r="I417" s="63"/>
      <c r="J417" s="64">
        <v>45624</v>
      </c>
      <c r="K417" s="63"/>
      <c r="L417" s="63"/>
      <c r="M417" s="64">
        <v>45639</v>
      </c>
      <c r="N417" s="64"/>
      <c r="O417" s="64">
        <v>45832</v>
      </c>
      <c r="P417" s="63" t="s">
        <v>802</v>
      </c>
      <c r="Q417" s="64"/>
      <c r="R417" s="63"/>
      <c r="S417" s="63"/>
      <c r="T417" s="63"/>
      <c r="U417" s="63"/>
      <c r="V417" s="63"/>
      <c r="W417" s="63"/>
      <c r="X417" s="63">
        <v>20.440000000000001</v>
      </c>
      <c r="Y417" s="63"/>
      <c r="Z417" s="63"/>
      <c r="AA417" s="63"/>
      <c r="AB417" s="63"/>
      <c r="AC417" s="63"/>
      <c r="AD417" s="63"/>
      <c r="AE417" s="119">
        <f>AllPlans[[#This Row],[Prep days*]]+AllPlans[[#This Row],[Hearing days*]]+AllPlans[[#This Row],[SV days*]]+AllPlans[[#This Row],[Travel days]]+AllPlans[[#This Row],[Reptg days*]]</f>
        <v>20.440000000000001</v>
      </c>
      <c r="AF417" s="63"/>
      <c r="AG417" s="64"/>
      <c r="AH417" s="63"/>
      <c r="AI417" s="64"/>
      <c r="AJ417" s="63"/>
      <c r="AK417" s="64"/>
      <c r="AL417" s="63"/>
      <c r="AM417" s="64"/>
      <c r="AN417" s="63"/>
      <c r="AO417" s="64"/>
      <c r="AP417" s="63"/>
      <c r="AQ417" s="64"/>
      <c r="AR417" s="63"/>
      <c r="AS417" s="64"/>
      <c r="AT417" s="63"/>
      <c r="AU417" s="63"/>
      <c r="AV417" s="63"/>
      <c r="AW417" s="63"/>
      <c r="AX417" s="63"/>
      <c r="AY417" s="115" t="s">
        <v>145</v>
      </c>
      <c r="AZ417" s="115" t="str">
        <f t="shared" si="29"/>
        <v>Nov 24</v>
      </c>
      <c r="BA417" s="115" t="str">
        <f t="shared" si="30"/>
        <v>Jan 00</v>
      </c>
    </row>
    <row r="418" spans="1:53" ht="28" x14ac:dyDescent="0.15">
      <c r="A418" s="118">
        <v>3356691</v>
      </c>
      <c r="B418" s="118">
        <v>2047</v>
      </c>
      <c r="C418" s="63" t="s">
        <v>54</v>
      </c>
      <c r="D418" s="158" t="s">
        <v>803</v>
      </c>
      <c r="E418" s="63" t="s">
        <v>56</v>
      </c>
      <c r="F418" s="63" t="s">
        <v>57</v>
      </c>
      <c r="G418" s="63">
        <v>3</v>
      </c>
      <c r="H418" s="64">
        <v>45327</v>
      </c>
      <c r="I418" s="63"/>
      <c r="J418" s="64">
        <v>45625</v>
      </c>
      <c r="K418" s="63"/>
      <c r="L418" s="63"/>
      <c r="M418" s="64">
        <v>45644</v>
      </c>
      <c r="N418" s="64"/>
      <c r="O418" s="64">
        <v>45790</v>
      </c>
      <c r="P418" s="63" t="s">
        <v>804</v>
      </c>
      <c r="Q418" s="64"/>
      <c r="R418" s="63"/>
      <c r="S418" s="63"/>
      <c r="T418" s="63"/>
      <c r="U418" s="63"/>
      <c r="V418" s="63"/>
      <c r="W418" s="63"/>
      <c r="X418" s="63">
        <v>5.33</v>
      </c>
      <c r="Y418" s="63"/>
      <c r="Z418" s="63"/>
      <c r="AA418" s="63"/>
      <c r="AB418" s="63"/>
      <c r="AC418" s="63"/>
      <c r="AD418" s="63"/>
      <c r="AE418" s="119">
        <f>AllPlans[[#This Row],[Prep days*]]+AllPlans[[#This Row],[Hearing days*]]+AllPlans[[#This Row],[SV days*]]+AllPlans[[#This Row],[Travel days]]+AllPlans[[#This Row],[Reptg days*]]</f>
        <v>5.33</v>
      </c>
      <c r="AF418" s="63"/>
      <c r="AG418" s="64"/>
      <c r="AH418" s="63"/>
      <c r="AI418" s="64"/>
      <c r="AJ418" s="63"/>
      <c r="AK418" s="64"/>
      <c r="AL418" s="63"/>
      <c r="AM418" s="64"/>
      <c r="AN418" s="63"/>
      <c r="AO418" s="64"/>
      <c r="AP418" s="63"/>
      <c r="AQ418" s="64"/>
      <c r="AR418" s="63"/>
      <c r="AS418" s="64"/>
      <c r="AT418" s="63"/>
      <c r="AU418" s="63"/>
      <c r="AV418" s="63"/>
      <c r="AW418" s="63"/>
      <c r="AX418" s="63"/>
      <c r="AY418" s="302" t="s">
        <v>805</v>
      </c>
      <c r="AZ418" s="115" t="str">
        <f t="shared" si="29"/>
        <v>Nov 24</v>
      </c>
      <c r="BA418" s="115" t="str">
        <f t="shared" si="30"/>
        <v>Jan 00</v>
      </c>
    </row>
    <row r="419" spans="1:53" ht="15" x14ac:dyDescent="0.15">
      <c r="A419" s="118">
        <v>3357242</v>
      </c>
      <c r="B419" s="118">
        <v>2144</v>
      </c>
      <c r="C419" s="63" t="s">
        <v>90</v>
      </c>
      <c r="D419" s="110" t="s">
        <v>325</v>
      </c>
      <c r="E419" s="63" t="s">
        <v>806</v>
      </c>
      <c r="F419" s="63" t="s">
        <v>57</v>
      </c>
      <c r="G419" s="63">
        <v>3</v>
      </c>
      <c r="H419" s="64">
        <v>45474</v>
      </c>
      <c r="I419" s="63"/>
      <c r="J419" s="64">
        <v>45625</v>
      </c>
      <c r="K419" s="63"/>
      <c r="L419" s="63"/>
      <c r="M419" s="64">
        <v>45632</v>
      </c>
      <c r="N419" s="64"/>
      <c r="O419" s="64">
        <v>45903</v>
      </c>
      <c r="P419" s="63" t="s">
        <v>807</v>
      </c>
      <c r="Q419" s="64"/>
      <c r="R419" s="63"/>
      <c r="S419" s="63"/>
      <c r="T419" s="63"/>
      <c r="U419" s="63"/>
      <c r="V419" s="63"/>
      <c r="W419" s="63"/>
      <c r="X419" s="63">
        <v>24.74</v>
      </c>
      <c r="Y419" s="63"/>
      <c r="Z419" s="63"/>
      <c r="AA419" s="63"/>
      <c r="AB419" s="63"/>
      <c r="AC419" s="63"/>
      <c r="AD419" s="63"/>
      <c r="AE419" s="119">
        <f>AllPlans[[#This Row],[Prep days*]]+AllPlans[[#This Row],[Hearing days*]]+AllPlans[[#This Row],[SV days*]]+AllPlans[[#This Row],[Travel days]]+AllPlans[[#This Row],[Reptg days*]]</f>
        <v>24.74</v>
      </c>
      <c r="AF419" s="63"/>
      <c r="AG419" s="64"/>
      <c r="AH419" s="63"/>
      <c r="AI419" s="64"/>
      <c r="AJ419" s="63"/>
      <c r="AK419" s="64"/>
      <c r="AL419" s="63"/>
      <c r="AM419" s="64"/>
      <c r="AN419" s="63"/>
      <c r="AO419" s="64"/>
      <c r="AP419" s="63"/>
      <c r="AQ419" s="64"/>
      <c r="AR419" s="63"/>
      <c r="AS419" s="64"/>
      <c r="AT419" s="63"/>
      <c r="AU419" s="63"/>
      <c r="AV419" s="63"/>
      <c r="AW419" s="63"/>
      <c r="AX419" s="63"/>
      <c r="AY419" s="302" t="s">
        <v>327</v>
      </c>
      <c r="AZ419" s="115" t="str">
        <f t="shared" si="29"/>
        <v>Nov 24</v>
      </c>
      <c r="BA419" s="115" t="str">
        <f t="shared" si="30"/>
        <v>Jan 00</v>
      </c>
    </row>
    <row r="420" spans="1:53" ht="28" x14ac:dyDescent="0.15">
      <c r="A420" s="121">
        <v>3356676</v>
      </c>
      <c r="B420" s="118">
        <v>1911</v>
      </c>
      <c r="C420" s="65" t="s">
        <v>104</v>
      </c>
      <c r="D420" s="154" t="s">
        <v>808</v>
      </c>
      <c r="E420" s="63" t="s">
        <v>809</v>
      </c>
      <c r="F420" s="63" t="s">
        <v>80</v>
      </c>
      <c r="G420" s="63">
        <v>2</v>
      </c>
      <c r="H420" s="64">
        <v>44992</v>
      </c>
      <c r="I420" s="63"/>
      <c r="J420" s="64">
        <v>45625</v>
      </c>
      <c r="K420" s="63"/>
      <c r="L420" s="63"/>
      <c r="M420" s="64">
        <v>45646</v>
      </c>
      <c r="N420" s="64"/>
      <c r="O420" s="64">
        <v>45797</v>
      </c>
      <c r="P420" s="63"/>
      <c r="Q420" s="64"/>
      <c r="R420" s="63"/>
      <c r="S420" s="63"/>
      <c r="T420" s="63"/>
      <c r="U420" s="63"/>
      <c r="V420" s="63"/>
      <c r="W420" s="63"/>
      <c r="X420" s="63">
        <v>11.68</v>
      </c>
      <c r="Y420" s="63"/>
      <c r="Z420" s="63"/>
      <c r="AA420" s="63"/>
      <c r="AB420" s="63"/>
      <c r="AC420" s="63"/>
      <c r="AD420" s="63"/>
      <c r="AE420" s="119">
        <f>AllPlans[[#This Row],[Prep days*]]+AllPlans[[#This Row],[Hearing days*]]+AllPlans[[#This Row],[SV days*]]+AllPlans[[#This Row],[Travel days]]+AllPlans[[#This Row],[Reptg days*]]</f>
        <v>11.68</v>
      </c>
      <c r="AF420" s="63"/>
      <c r="AG420" s="64"/>
      <c r="AH420" s="63"/>
      <c r="AI420" s="64"/>
      <c r="AJ420" s="63"/>
      <c r="AK420" s="64"/>
      <c r="AL420" s="63"/>
      <c r="AM420" s="64"/>
      <c r="AN420" s="63"/>
      <c r="AO420" s="64"/>
      <c r="AP420" s="63"/>
      <c r="AQ420" s="64"/>
      <c r="AR420" s="63"/>
      <c r="AS420" s="64"/>
      <c r="AT420" s="63"/>
      <c r="AU420" s="63"/>
      <c r="AV420" s="63"/>
      <c r="AW420" s="63"/>
      <c r="AX420" s="63"/>
      <c r="AY420" s="142" t="s">
        <v>810</v>
      </c>
      <c r="AZ420" s="115" t="str">
        <f t="shared" si="29"/>
        <v>Nov 24</v>
      </c>
      <c r="BA420" s="115" t="str">
        <f t="shared" si="30"/>
        <v>Jan 00</v>
      </c>
    </row>
    <row r="421" spans="1:53" ht="15" x14ac:dyDescent="0.15">
      <c r="A421" s="118">
        <v>3356731</v>
      </c>
      <c r="B421" s="118">
        <v>2338</v>
      </c>
      <c r="C421" s="63" t="s">
        <v>71</v>
      </c>
      <c r="D421" s="158" t="s">
        <v>277</v>
      </c>
      <c r="E421" s="63" t="s">
        <v>56</v>
      </c>
      <c r="F421" s="63" t="s">
        <v>57</v>
      </c>
      <c r="G421" s="63">
        <v>3</v>
      </c>
      <c r="H421" s="64">
        <v>45561</v>
      </c>
      <c r="I421" s="63"/>
      <c r="J421" s="64">
        <v>45625</v>
      </c>
      <c r="K421" s="63"/>
      <c r="L421" s="63"/>
      <c r="M421" s="64">
        <v>45646</v>
      </c>
      <c r="N421" s="64"/>
      <c r="O421" s="64">
        <v>45776</v>
      </c>
      <c r="P421" s="63" t="s">
        <v>811</v>
      </c>
      <c r="Q421" s="64"/>
      <c r="R421" s="63"/>
      <c r="S421" s="63"/>
      <c r="T421" s="63"/>
      <c r="U421" s="63"/>
      <c r="V421" s="63"/>
      <c r="W421" s="63"/>
      <c r="X421" s="63">
        <v>12.41</v>
      </c>
      <c r="Y421" s="63"/>
      <c r="Z421" s="63"/>
      <c r="AA421" s="63"/>
      <c r="AB421" s="63"/>
      <c r="AC421" s="63"/>
      <c r="AD421" s="63"/>
      <c r="AE421" s="119"/>
      <c r="AF421" s="63"/>
      <c r="AG421" s="64"/>
      <c r="AH421" s="63"/>
      <c r="AI421" s="64"/>
      <c r="AJ421" s="63"/>
      <c r="AK421" s="64"/>
      <c r="AL421" s="63"/>
      <c r="AM421" s="64"/>
      <c r="AN421" s="63"/>
      <c r="AO421" s="64"/>
      <c r="AP421" s="63"/>
      <c r="AQ421" s="64"/>
      <c r="AR421" s="63"/>
      <c r="AS421" s="64"/>
      <c r="AT421" s="63"/>
      <c r="AU421" s="63"/>
      <c r="AV421" s="63"/>
      <c r="AW421" s="63"/>
      <c r="AX421" s="63"/>
      <c r="AY421" s="302" t="s">
        <v>279</v>
      </c>
      <c r="AZ421" s="115" t="str">
        <f t="shared" si="29"/>
        <v>Nov 24</v>
      </c>
      <c r="BA421" s="115" t="str">
        <f t="shared" si="30"/>
        <v>Jan 00</v>
      </c>
    </row>
    <row r="422" spans="1:53" ht="14" x14ac:dyDescent="0.15">
      <c r="A422" s="118">
        <v>3357247</v>
      </c>
      <c r="B422" s="118">
        <v>2168</v>
      </c>
      <c r="C422" s="63" t="s">
        <v>61</v>
      </c>
      <c r="D422" s="128" t="s">
        <v>812</v>
      </c>
      <c r="E422" s="63" t="s">
        <v>56</v>
      </c>
      <c r="F422" s="63" t="s">
        <v>57</v>
      </c>
      <c r="G422" s="63">
        <v>3</v>
      </c>
      <c r="H422" s="64">
        <v>45566</v>
      </c>
      <c r="I422" s="63"/>
      <c r="J422" s="64">
        <v>45635</v>
      </c>
      <c r="K422" s="63"/>
      <c r="L422" s="63"/>
      <c r="M422" s="64">
        <v>45657</v>
      </c>
      <c r="N422" s="64"/>
      <c r="O422" s="64">
        <v>45811</v>
      </c>
      <c r="P422" s="63" t="s">
        <v>813</v>
      </c>
      <c r="Q422" s="64"/>
      <c r="R422" s="63"/>
      <c r="S422" s="63"/>
      <c r="T422" s="63"/>
      <c r="U422" s="63"/>
      <c r="V422" s="63"/>
      <c r="W422" s="63"/>
      <c r="X422" s="63">
        <v>46.97</v>
      </c>
      <c r="Y422" s="63">
        <v>2.98</v>
      </c>
      <c r="Z422" s="63"/>
      <c r="AA422" s="63"/>
      <c r="AB422" s="63">
        <v>2.73</v>
      </c>
      <c r="AC422" s="63"/>
      <c r="AD422" s="63">
        <v>6.77</v>
      </c>
      <c r="AE422" s="119">
        <f>AllPlans[[#This Row],[Prep days*]]+AllPlans[[#This Row],[Hearing days*]]+AllPlans[[#This Row],[SV days*]]+AllPlans[[#This Row],[Travel days]]+AllPlans[[#This Row],[Reptg days*]]</f>
        <v>59.449999999999989</v>
      </c>
      <c r="AF422" s="63"/>
      <c r="AG422" s="64"/>
      <c r="AH422" s="63"/>
      <c r="AI422" s="64"/>
      <c r="AJ422" s="63"/>
      <c r="AK422" s="64"/>
      <c r="AL422" s="63"/>
      <c r="AM422" s="64"/>
      <c r="AN422" s="63"/>
      <c r="AO422" s="64"/>
      <c r="AP422" s="63"/>
      <c r="AQ422" s="64"/>
      <c r="AR422" s="63"/>
      <c r="AS422" s="64"/>
      <c r="AT422" s="63"/>
      <c r="AU422" s="63"/>
      <c r="AV422" s="63"/>
      <c r="AW422" s="63"/>
      <c r="AX422" s="63"/>
      <c r="AY422" s="115" t="s">
        <v>96</v>
      </c>
      <c r="AZ422" s="115" t="str">
        <f t="shared" si="29"/>
        <v>Dec 24</v>
      </c>
      <c r="BA422" s="115" t="str">
        <f t="shared" si="30"/>
        <v>Jan 00</v>
      </c>
    </row>
    <row r="423" spans="1:53" ht="14" x14ac:dyDescent="0.15">
      <c r="A423" s="118">
        <v>3357252</v>
      </c>
      <c r="B423" s="118">
        <v>2160</v>
      </c>
      <c r="C423" s="63" t="s">
        <v>61</v>
      </c>
      <c r="D423" s="128" t="s">
        <v>814</v>
      </c>
      <c r="E423" s="63" t="s">
        <v>56</v>
      </c>
      <c r="F423" s="63" t="s">
        <v>57</v>
      </c>
      <c r="G423" s="63">
        <v>3</v>
      </c>
      <c r="H423" s="64">
        <v>45511</v>
      </c>
      <c r="I423" s="63"/>
      <c r="J423" s="64">
        <v>45636</v>
      </c>
      <c r="K423" s="63"/>
      <c r="L423" s="63"/>
      <c r="M423" s="64">
        <v>45644</v>
      </c>
      <c r="N423" s="64"/>
      <c r="O423" s="64">
        <v>45916</v>
      </c>
      <c r="P423" s="143" t="s">
        <v>815</v>
      </c>
      <c r="Q423" s="64"/>
      <c r="R423" s="63"/>
      <c r="S423" s="63"/>
      <c r="T423" s="63"/>
      <c r="U423" s="63"/>
      <c r="V423" s="63"/>
      <c r="W423" s="63"/>
      <c r="X423" s="63">
        <v>7.51</v>
      </c>
      <c r="Y423" s="63"/>
      <c r="Z423" s="63"/>
      <c r="AA423" s="63"/>
      <c r="AB423" s="63"/>
      <c r="AC423" s="63"/>
      <c r="AD423" s="63"/>
      <c r="AE423" s="119">
        <f>AllPlans[[#This Row],[Prep days*]]+AllPlans[[#This Row],[Hearing days*]]+AllPlans[[#This Row],[SV days*]]+AllPlans[[#This Row],[Travel days]]+AllPlans[[#This Row],[Reptg days*]]</f>
        <v>7.51</v>
      </c>
      <c r="AF423" s="63"/>
      <c r="AG423" s="64"/>
      <c r="AH423" s="63"/>
      <c r="AI423" s="64"/>
      <c r="AJ423" s="63"/>
      <c r="AK423" s="64"/>
      <c r="AL423" s="63"/>
      <c r="AM423" s="64"/>
      <c r="AN423" s="63"/>
      <c r="AO423" s="64"/>
      <c r="AP423" s="63"/>
      <c r="AQ423" s="64"/>
      <c r="AR423" s="63"/>
      <c r="AS423" s="64"/>
      <c r="AT423" s="63"/>
      <c r="AU423" s="63"/>
      <c r="AV423" s="63"/>
      <c r="AW423" s="63"/>
      <c r="AX423" s="63"/>
      <c r="AY423" s="115" t="s">
        <v>816</v>
      </c>
      <c r="AZ423" s="115" t="str">
        <f t="shared" si="29"/>
        <v>Dec 24</v>
      </c>
      <c r="BA423" s="115" t="str">
        <f t="shared" si="30"/>
        <v>Jan 00</v>
      </c>
    </row>
    <row r="424" spans="1:53" ht="70" x14ac:dyDescent="0.15">
      <c r="A424" s="118">
        <v>3357307</v>
      </c>
      <c r="B424" s="118">
        <v>2410</v>
      </c>
      <c r="C424" s="63" t="s">
        <v>54</v>
      </c>
      <c r="D424" s="158" t="s">
        <v>817</v>
      </c>
      <c r="E424" s="63" t="s">
        <v>56</v>
      </c>
      <c r="F424" s="63" t="s">
        <v>57</v>
      </c>
      <c r="G424" s="63">
        <v>3</v>
      </c>
      <c r="H424" s="64">
        <v>45558</v>
      </c>
      <c r="I424" s="63"/>
      <c r="J424" s="64">
        <v>45637</v>
      </c>
      <c r="K424" s="63"/>
      <c r="L424" s="63"/>
      <c r="M424" s="64">
        <v>45657</v>
      </c>
      <c r="N424" s="64"/>
      <c r="O424" s="64">
        <v>45853</v>
      </c>
      <c r="P424" s="63" t="s">
        <v>818</v>
      </c>
      <c r="Q424" s="64"/>
      <c r="R424" s="63"/>
      <c r="S424" s="63"/>
      <c r="T424" s="63"/>
      <c r="U424" s="63"/>
      <c r="V424" s="63"/>
      <c r="W424" s="63"/>
      <c r="X424" s="63">
        <v>12.2</v>
      </c>
      <c r="Y424" s="63"/>
      <c r="Z424" s="63"/>
      <c r="AA424" s="63"/>
      <c r="AB424" s="63"/>
      <c r="AC424" s="63"/>
      <c r="AD424" s="63"/>
      <c r="AE424" s="119">
        <f>AllPlans[[#This Row],[Prep days*]]+AllPlans[[#This Row],[Hearing days*]]+AllPlans[[#This Row],[SV days*]]+AllPlans[[#This Row],[Travel days]]+AllPlans[[#This Row],[Reptg days*]]</f>
        <v>12.2</v>
      </c>
      <c r="AF424" s="63"/>
      <c r="AG424" s="64"/>
      <c r="AH424" s="63"/>
      <c r="AI424" s="64"/>
      <c r="AJ424" s="63"/>
      <c r="AK424" s="64"/>
      <c r="AL424" s="63"/>
      <c r="AM424" s="64"/>
      <c r="AN424" s="63"/>
      <c r="AO424" s="64"/>
      <c r="AP424" s="63"/>
      <c r="AQ424" s="64"/>
      <c r="AR424" s="63"/>
      <c r="AS424" s="64"/>
      <c r="AT424" s="63"/>
      <c r="AU424" s="63"/>
      <c r="AV424" s="63"/>
      <c r="AW424" s="63"/>
      <c r="AX424" s="63"/>
      <c r="AY424" s="115" t="s">
        <v>819</v>
      </c>
      <c r="AZ424" s="115" t="str">
        <f t="shared" si="29"/>
        <v>Dec 24</v>
      </c>
      <c r="BA424" s="115" t="str">
        <f t="shared" si="30"/>
        <v>Jan 00</v>
      </c>
    </row>
    <row r="425" spans="1:53" ht="42" x14ac:dyDescent="0.15">
      <c r="A425" s="118">
        <v>3357308</v>
      </c>
      <c r="B425" s="118">
        <v>2159</v>
      </c>
      <c r="C425" s="63" t="s">
        <v>54</v>
      </c>
      <c r="D425" s="158" t="s">
        <v>397</v>
      </c>
      <c r="E425" s="63" t="s">
        <v>92</v>
      </c>
      <c r="F425" s="63" t="s">
        <v>57</v>
      </c>
      <c r="G425" s="63">
        <v>3</v>
      </c>
      <c r="H425" s="64" t="s">
        <v>820</v>
      </c>
      <c r="I425" s="63"/>
      <c r="J425" s="64">
        <v>45637</v>
      </c>
      <c r="K425" s="63"/>
      <c r="L425" s="63"/>
      <c r="M425" s="64">
        <v>45657</v>
      </c>
      <c r="N425" s="64"/>
      <c r="O425" s="64">
        <v>45804</v>
      </c>
      <c r="P425" s="63" t="s">
        <v>821</v>
      </c>
      <c r="Q425" s="64"/>
      <c r="R425" s="63"/>
      <c r="S425" s="63"/>
      <c r="T425" s="63"/>
      <c r="U425" s="63"/>
      <c r="V425" s="63"/>
      <c r="W425" s="63"/>
      <c r="X425" s="63">
        <v>39.549999999999997</v>
      </c>
      <c r="Y425" s="63">
        <v>3.66</v>
      </c>
      <c r="Z425" s="63"/>
      <c r="AA425" s="63"/>
      <c r="AB425" s="63"/>
      <c r="AC425" s="63"/>
      <c r="AD425" s="63">
        <v>3.91</v>
      </c>
      <c r="AE425" s="119">
        <f>AllPlans[[#This Row],[Prep days*]]+AllPlans[[#This Row],[Hearing days*]]+AllPlans[[#This Row],[SV days*]]+AllPlans[[#This Row],[Travel days]]+AllPlans[[#This Row],[Reptg days*]]</f>
        <v>47.11999999999999</v>
      </c>
      <c r="AF425" s="63"/>
      <c r="AG425" s="64"/>
      <c r="AH425" s="63"/>
      <c r="AI425" s="64"/>
      <c r="AJ425" s="63"/>
      <c r="AK425" s="64"/>
      <c r="AL425" s="63"/>
      <c r="AM425" s="64"/>
      <c r="AN425" s="63"/>
      <c r="AO425" s="64"/>
      <c r="AP425" s="63"/>
      <c r="AQ425" s="64"/>
      <c r="AR425" s="63"/>
      <c r="AS425" s="64"/>
      <c r="AT425" s="63"/>
      <c r="AU425" s="63"/>
      <c r="AV425" s="63"/>
      <c r="AW425" s="63"/>
      <c r="AX425" s="63"/>
      <c r="AY425" s="115" t="s">
        <v>822</v>
      </c>
      <c r="AZ425" s="115" t="str">
        <f t="shared" si="29"/>
        <v>Dec 24</v>
      </c>
      <c r="BA425" s="115" t="str">
        <f t="shared" si="30"/>
        <v>Jan 00</v>
      </c>
    </row>
    <row r="426" spans="1:53" ht="14" x14ac:dyDescent="0.15">
      <c r="A426" s="118">
        <v>3357379</v>
      </c>
      <c r="B426" s="118">
        <v>2014</v>
      </c>
      <c r="C426" s="63" t="s">
        <v>90</v>
      </c>
      <c r="D426" s="110" t="s">
        <v>541</v>
      </c>
      <c r="E426" s="63" t="s">
        <v>823</v>
      </c>
      <c r="F426" s="63" t="s">
        <v>74</v>
      </c>
      <c r="G426" s="63">
        <v>2</v>
      </c>
      <c r="H426" s="64">
        <v>45419</v>
      </c>
      <c r="I426" s="63"/>
      <c r="J426" s="64">
        <v>45638</v>
      </c>
      <c r="K426" s="63"/>
      <c r="L426" s="63"/>
      <c r="M426" s="64">
        <v>45639</v>
      </c>
      <c r="N426" s="64"/>
      <c r="O426" s="64">
        <v>45909</v>
      </c>
      <c r="P426" s="117" t="s">
        <v>824</v>
      </c>
      <c r="Q426" s="64"/>
      <c r="R426" s="63"/>
      <c r="S426" s="63"/>
      <c r="T426" s="63"/>
      <c r="U426" s="63"/>
      <c r="V426" s="63"/>
      <c r="W426" s="63"/>
      <c r="X426" s="63">
        <v>10.36</v>
      </c>
      <c r="Y426" s="63"/>
      <c r="Z426" s="63"/>
      <c r="AA426" s="63">
        <v>1.1499999999999999</v>
      </c>
      <c r="AB426" s="63">
        <v>0.82</v>
      </c>
      <c r="AC426" s="63"/>
      <c r="AD426" s="63"/>
      <c r="AE426" s="119">
        <f>AllPlans[[#This Row],[Prep days*]]+AllPlans[[#This Row],[Hearing days*]]+AllPlans[[#This Row],[SV days*]]+AllPlans[[#This Row],[Travel days]]+AllPlans[[#This Row],[Reptg days*]]</f>
        <v>12.33</v>
      </c>
      <c r="AF426" s="63"/>
      <c r="AG426" s="64"/>
      <c r="AH426" s="63"/>
      <c r="AI426" s="64"/>
      <c r="AJ426" s="63"/>
      <c r="AK426" s="64"/>
      <c r="AL426" s="63"/>
      <c r="AM426" s="64"/>
      <c r="AN426" s="63"/>
      <c r="AO426" s="64"/>
      <c r="AP426" s="63"/>
      <c r="AQ426" s="64"/>
      <c r="AR426" s="63"/>
      <c r="AS426" s="64"/>
      <c r="AT426" s="63"/>
      <c r="AU426" s="63"/>
      <c r="AV426" s="63"/>
      <c r="AW426" s="63"/>
      <c r="AX426" s="63"/>
      <c r="AY426" s="115" t="s">
        <v>825</v>
      </c>
      <c r="AZ426" s="115" t="str">
        <f t="shared" si="29"/>
        <v>Dec 24</v>
      </c>
      <c r="BA426" s="115" t="str">
        <f t="shared" si="30"/>
        <v>Jan 00</v>
      </c>
    </row>
    <row r="427" spans="1:53" ht="14" x14ac:dyDescent="0.15">
      <c r="A427" s="170">
        <v>3357643</v>
      </c>
      <c r="B427" s="170">
        <v>2273</v>
      </c>
      <c r="C427" s="180" t="s">
        <v>83</v>
      </c>
      <c r="D427" s="180" t="s">
        <v>146</v>
      </c>
      <c r="E427" s="180" t="s">
        <v>826</v>
      </c>
      <c r="F427" s="180" t="s">
        <v>74</v>
      </c>
      <c r="G427" s="180">
        <v>2</v>
      </c>
      <c r="H427" s="190">
        <v>45548</v>
      </c>
      <c r="I427" s="63"/>
      <c r="J427" s="190">
        <v>45642</v>
      </c>
      <c r="K427" s="63"/>
      <c r="L427" s="180"/>
      <c r="M427" s="190">
        <v>45677</v>
      </c>
      <c r="N427" s="64"/>
      <c r="O427" s="190">
        <v>45825</v>
      </c>
      <c r="P427" s="180"/>
      <c r="Q427" s="190"/>
      <c r="R427" s="180"/>
      <c r="S427" s="180"/>
      <c r="T427" s="180"/>
      <c r="U427" s="180"/>
      <c r="V427" s="180"/>
      <c r="W427" s="180"/>
      <c r="X427" s="180">
        <v>12.67</v>
      </c>
      <c r="Y427" s="180">
        <v>0.68</v>
      </c>
      <c r="Z427" s="180"/>
      <c r="AA427" s="180">
        <v>0.37</v>
      </c>
      <c r="AB427" s="180">
        <v>1.45</v>
      </c>
      <c r="AC427" s="180"/>
      <c r="AD427" s="180">
        <v>2.94</v>
      </c>
      <c r="AE427" s="198">
        <f>AllPlans[[#This Row],[Prep days*]]+AllPlans[[#This Row],[Hearing days*]]+AllPlans[[#This Row],[SV days*]]+AllPlans[[#This Row],[Travel days]]+AllPlans[[#This Row],[Reptg days*]]</f>
        <v>18.11</v>
      </c>
      <c r="AF427" s="180"/>
      <c r="AG427" s="190"/>
      <c r="AH427" s="180"/>
      <c r="AI427" s="190"/>
      <c r="AJ427" s="63"/>
      <c r="AK427" s="190"/>
      <c r="AL427" s="197">
        <v>45937</v>
      </c>
      <c r="AM427" s="190">
        <v>45940</v>
      </c>
      <c r="AN427" s="180"/>
      <c r="AO427" s="190">
        <v>45945</v>
      </c>
      <c r="AP427" s="63"/>
      <c r="AQ427" s="190"/>
      <c r="AR427" s="180"/>
      <c r="AS427" s="190"/>
      <c r="AT427" s="63"/>
      <c r="AU427" s="180" t="s">
        <v>59</v>
      </c>
      <c r="AV427" s="180"/>
      <c r="AW427" s="180"/>
      <c r="AX427" s="63"/>
      <c r="AY427" s="177" t="s">
        <v>148</v>
      </c>
      <c r="AZ427" s="115" t="str">
        <f t="shared" si="29"/>
        <v>Dec 24</v>
      </c>
      <c r="BA427" s="115" t="str">
        <f t="shared" si="30"/>
        <v>Oct 25</v>
      </c>
    </row>
    <row r="428" spans="1:53" ht="14" x14ac:dyDescent="0.15">
      <c r="A428" s="118">
        <v>3357802</v>
      </c>
      <c r="B428" s="124">
        <v>2192</v>
      </c>
      <c r="C428" s="63" t="s">
        <v>71</v>
      </c>
      <c r="D428" s="157" t="s">
        <v>539</v>
      </c>
      <c r="E428" s="69" t="s">
        <v>56</v>
      </c>
      <c r="F428" s="69" t="s">
        <v>57</v>
      </c>
      <c r="G428" s="69">
        <v>3</v>
      </c>
      <c r="H428" s="70">
        <v>45512</v>
      </c>
      <c r="I428" s="69"/>
      <c r="J428" s="70">
        <v>45644</v>
      </c>
      <c r="K428" s="69"/>
      <c r="L428" s="69"/>
      <c r="M428" s="70">
        <v>45665</v>
      </c>
      <c r="N428" s="70"/>
      <c r="O428" s="70">
        <v>45818</v>
      </c>
      <c r="P428" s="69" t="s">
        <v>827</v>
      </c>
      <c r="Q428" s="70"/>
      <c r="R428" s="69"/>
      <c r="S428" s="69"/>
      <c r="T428" s="69"/>
      <c r="U428" s="69"/>
      <c r="V428" s="69"/>
      <c r="W428" s="69"/>
      <c r="X428" s="69">
        <v>51.55</v>
      </c>
      <c r="Y428" s="69">
        <v>6.51</v>
      </c>
      <c r="Z428" s="69"/>
      <c r="AA428" s="69">
        <v>3.98</v>
      </c>
      <c r="AB428" s="69">
        <v>7.56</v>
      </c>
      <c r="AC428" s="69"/>
      <c r="AD428" s="69">
        <v>1.83</v>
      </c>
      <c r="AE428" s="37">
        <f>AllPlans[[#This Row],[Prep days*]]+AllPlans[[#This Row],[Hearing days*]]+AllPlans[[#This Row],[SV days*]]+AllPlans[[#This Row],[Travel days]]+AllPlans[[#This Row],[Reptg days*]]</f>
        <v>71.429999999999993</v>
      </c>
      <c r="AF428" s="69"/>
      <c r="AG428" s="70"/>
      <c r="AH428" s="69"/>
      <c r="AI428" s="70"/>
      <c r="AJ428" s="69"/>
      <c r="AK428" s="70"/>
      <c r="AL428" s="69"/>
      <c r="AM428" s="70"/>
      <c r="AN428" s="69"/>
      <c r="AO428" s="70"/>
      <c r="AP428" s="69"/>
      <c r="AQ428" s="70"/>
      <c r="AR428" s="69"/>
      <c r="AS428" s="70"/>
      <c r="AT428" s="69"/>
      <c r="AU428" s="69"/>
      <c r="AV428" s="69"/>
      <c r="AW428" s="69"/>
      <c r="AX428" s="69"/>
      <c r="AY428" s="115" t="s">
        <v>828</v>
      </c>
      <c r="AZ428" s="115" t="str">
        <f t="shared" si="29"/>
        <v>Dec 24</v>
      </c>
      <c r="BA428" s="115" t="str">
        <f t="shared" si="30"/>
        <v>Jan 00</v>
      </c>
    </row>
    <row r="429" spans="1:53" ht="15" x14ac:dyDescent="0.15">
      <c r="A429" s="124">
        <v>3357833</v>
      </c>
      <c r="B429" s="124">
        <v>2416</v>
      </c>
      <c r="C429" s="69" t="s">
        <v>90</v>
      </c>
      <c r="D429" s="132" t="s">
        <v>648</v>
      </c>
      <c r="E429" s="69" t="s">
        <v>829</v>
      </c>
      <c r="F429" s="69" t="s">
        <v>107</v>
      </c>
      <c r="G429" s="69">
        <v>2</v>
      </c>
      <c r="H429" s="70">
        <v>45510</v>
      </c>
      <c r="I429" s="69"/>
      <c r="J429" s="70">
        <v>45645</v>
      </c>
      <c r="K429" s="69"/>
      <c r="L429" s="69"/>
      <c r="M429" s="70">
        <v>45672</v>
      </c>
      <c r="N429" s="70"/>
      <c r="O429" s="70">
        <v>45811</v>
      </c>
      <c r="P429" s="69" t="s">
        <v>830</v>
      </c>
      <c r="Q429" s="70"/>
      <c r="R429" s="69"/>
      <c r="S429" s="69"/>
      <c r="T429" s="69"/>
      <c r="U429" s="69"/>
      <c r="V429" s="69"/>
      <c r="W429" s="69"/>
      <c r="X429" s="69">
        <v>14.54</v>
      </c>
      <c r="Y429" s="69"/>
      <c r="Z429" s="69"/>
      <c r="AA429" s="69"/>
      <c r="AB429" s="69"/>
      <c r="AC429" s="69"/>
      <c r="AD429" s="69"/>
      <c r="AE429" s="37"/>
      <c r="AF429" s="69"/>
      <c r="AG429" s="70"/>
      <c r="AH429" s="69"/>
      <c r="AI429" s="70"/>
      <c r="AJ429" s="69"/>
      <c r="AK429" s="70"/>
      <c r="AL429" s="69"/>
      <c r="AM429" s="70"/>
      <c r="AN429" s="69"/>
      <c r="AO429" s="70"/>
      <c r="AP429" s="69"/>
      <c r="AQ429" s="70"/>
      <c r="AR429" s="69"/>
      <c r="AS429" s="70"/>
      <c r="AT429" s="69"/>
      <c r="AU429" s="69"/>
      <c r="AV429" s="69"/>
      <c r="AW429" s="69"/>
      <c r="AX429" s="69"/>
      <c r="AY429" s="298" t="s">
        <v>831</v>
      </c>
      <c r="AZ429" s="41" t="str">
        <f t="shared" si="29"/>
        <v>Dec 24</v>
      </c>
      <c r="BA429" s="41" t="str">
        <f t="shared" si="30"/>
        <v>Jan 00</v>
      </c>
    </row>
    <row r="430" spans="1:53" ht="42" x14ac:dyDescent="0.15">
      <c r="A430" s="124">
        <v>3358066</v>
      </c>
      <c r="B430" s="124">
        <v>2186</v>
      </c>
      <c r="C430" s="69" t="s">
        <v>54</v>
      </c>
      <c r="D430" s="157" t="s">
        <v>832</v>
      </c>
      <c r="E430" s="69" t="s">
        <v>425</v>
      </c>
      <c r="F430" s="69" t="s">
        <v>57</v>
      </c>
      <c r="G430" s="69">
        <v>3</v>
      </c>
      <c r="H430" s="70">
        <v>45516</v>
      </c>
      <c r="I430" s="69"/>
      <c r="J430" s="70">
        <v>45646</v>
      </c>
      <c r="K430" s="69"/>
      <c r="L430" s="69"/>
      <c r="M430" s="70">
        <v>45667</v>
      </c>
      <c r="N430" s="70"/>
      <c r="O430" s="70">
        <v>45797</v>
      </c>
      <c r="P430" s="69" t="s">
        <v>833</v>
      </c>
      <c r="Q430" s="70"/>
      <c r="R430" s="69"/>
      <c r="S430" s="69"/>
      <c r="T430" s="69"/>
      <c r="U430" s="69"/>
      <c r="V430" s="69"/>
      <c r="W430" s="69"/>
      <c r="X430" s="69">
        <v>32.270000000000003</v>
      </c>
      <c r="Y430" s="69">
        <v>6.22</v>
      </c>
      <c r="Z430" s="69"/>
      <c r="AA430" s="69">
        <v>0.88</v>
      </c>
      <c r="AB430" s="69">
        <v>2.4</v>
      </c>
      <c r="AC430" s="69"/>
      <c r="AD430" s="69">
        <v>1.1100000000000001</v>
      </c>
      <c r="AE430" s="37">
        <f>AllPlans[[#This Row],[Prep days*]]+AllPlans[[#This Row],[Hearing days*]]+AllPlans[[#This Row],[SV days*]]+AllPlans[[#This Row],[Travel days]]+AllPlans[[#This Row],[Reptg days*]]</f>
        <v>42.88</v>
      </c>
      <c r="AF430" s="69"/>
      <c r="AG430" s="70"/>
      <c r="AH430" s="69"/>
      <c r="AI430" s="70"/>
      <c r="AJ430" s="69"/>
      <c r="AK430" s="70"/>
      <c r="AL430" s="69"/>
      <c r="AM430" s="70"/>
      <c r="AN430" s="69"/>
      <c r="AO430" s="70"/>
      <c r="AP430" s="69"/>
      <c r="AQ430" s="70"/>
      <c r="AR430" s="69"/>
      <c r="AS430" s="70"/>
      <c r="AT430" s="69"/>
      <c r="AU430" s="69"/>
      <c r="AV430" s="69"/>
      <c r="AW430" s="69"/>
      <c r="AX430" s="69"/>
      <c r="AY430" s="41" t="s">
        <v>834</v>
      </c>
      <c r="AZ430" s="41" t="str">
        <f t="shared" si="29"/>
        <v>Dec 24</v>
      </c>
      <c r="BA430" s="41" t="str">
        <f t="shared" si="30"/>
        <v>Jan 00</v>
      </c>
    </row>
    <row r="431" spans="1:53" ht="42" x14ac:dyDescent="0.15">
      <c r="A431" s="144">
        <v>3360845</v>
      </c>
      <c r="B431" s="144">
        <v>2417</v>
      </c>
      <c r="C431" s="74" t="s">
        <v>54</v>
      </c>
      <c r="D431" s="159" t="s">
        <v>205</v>
      </c>
      <c r="E431" s="74" t="s">
        <v>92</v>
      </c>
      <c r="F431" s="74" t="s">
        <v>57</v>
      </c>
      <c r="G431" s="74">
        <v>3</v>
      </c>
      <c r="H431" s="70">
        <v>45583</v>
      </c>
      <c r="I431" s="70"/>
      <c r="J431" s="70">
        <v>45702</v>
      </c>
      <c r="K431" s="74"/>
      <c r="L431" s="74"/>
      <c r="M431" s="70">
        <v>45719</v>
      </c>
      <c r="N431" s="74"/>
      <c r="O431" s="70">
        <v>45818</v>
      </c>
      <c r="P431" s="74" t="s">
        <v>835</v>
      </c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145">
        <f>AllPlans[[#This Row],[Prep days*]]+AllPlans[[#This Row],[Hearing days*]]+AllPlans[[#This Row],[SV days*]]+AllPlans[[#This Row],[Travel days]]+AllPlans[[#This Row],[Reptg days*]]</f>
        <v>0</v>
      </c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146" t="s">
        <v>207</v>
      </c>
      <c r="AZ431" s="146" t="str">
        <f t="shared" si="29"/>
        <v>Feb 25</v>
      </c>
      <c r="BA431" s="146" t="str">
        <f t="shared" si="30"/>
        <v>Jan 00</v>
      </c>
    </row>
    <row r="432" spans="1:53" ht="14" x14ac:dyDescent="0.15">
      <c r="A432" s="169">
        <v>3361109</v>
      </c>
      <c r="B432" s="170">
        <v>2276</v>
      </c>
      <c r="C432" s="178" t="s">
        <v>83</v>
      </c>
      <c r="D432" s="180" t="s">
        <v>836</v>
      </c>
      <c r="E432" s="180" t="s">
        <v>56</v>
      </c>
      <c r="F432" s="180" t="s">
        <v>57</v>
      </c>
      <c r="G432" s="180">
        <v>3</v>
      </c>
      <c r="H432" s="190">
        <v>45590</v>
      </c>
      <c r="I432" s="180"/>
      <c r="J432" s="190">
        <v>45706</v>
      </c>
      <c r="K432" s="180"/>
      <c r="L432" s="180"/>
      <c r="M432" s="190">
        <v>45709</v>
      </c>
      <c r="N432" s="190"/>
      <c r="O432" s="190">
        <v>45825</v>
      </c>
      <c r="P432" s="190">
        <v>45854</v>
      </c>
      <c r="Q432" s="190">
        <v>45854</v>
      </c>
      <c r="R432" s="180"/>
      <c r="S432" s="180"/>
      <c r="T432" s="180"/>
      <c r="U432" s="180"/>
      <c r="V432" s="180"/>
      <c r="W432" s="180"/>
      <c r="X432" s="180">
        <v>5</v>
      </c>
      <c r="Y432" s="180"/>
      <c r="Z432" s="180"/>
      <c r="AA432" s="180"/>
      <c r="AB432" s="180"/>
      <c r="AC432" s="180"/>
      <c r="AD432" s="180"/>
      <c r="AE432" s="198">
        <f>AllPlans[[#This Row],[Prep days*]]+AllPlans[[#This Row],[Hearing days*]]+AllPlans[[#This Row],[SV days*]]+AllPlans[[#This Row],[Travel days]]+AllPlans[[#This Row],[Reptg days*]]</f>
        <v>5</v>
      </c>
      <c r="AF432" s="180"/>
      <c r="AG432" s="190">
        <v>45978</v>
      </c>
      <c r="AH432" s="180"/>
      <c r="AI432" s="190">
        <v>45971</v>
      </c>
      <c r="AJ432" s="180"/>
      <c r="AK432" s="190">
        <v>45974</v>
      </c>
      <c r="AL432" s="197"/>
      <c r="AM432" s="190">
        <v>45975</v>
      </c>
      <c r="AN432" s="180"/>
      <c r="AO432" s="190">
        <v>45981</v>
      </c>
      <c r="AP432" s="180"/>
      <c r="AQ432" s="190">
        <v>46009</v>
      </c>
      <c r="AR432" s="180"/>
      <c r="AS432" s="190"/>
      <c r="AT432" s="180"/>
      <c r="AU432" s="180" t="s">
        <v>59</v>
      </c>
      <c r="AV432" s="180"/>
      <c r="AW432" s="180"/>
      <c r="AX432" s="180"/>
      <c r="AY432" s="51" t="s">
        <v>837</v>
      </c>
      <c r="AZ432" s="51" t="str">
        <f t="shared" si="29"/>
        <v>Feb 25</v>
      </c>
      <c r="BA432" s="51" t="str">
        <f t="shared" si="30"/>
        <v>Nov 25</v>
      </c>
    </row>
    <row r="433" spans="1:53" ht="14" x14ac:dyDescent="0.15">
      <c r="A433" s="124">
        <v>3361314</v>
      </c>
      <c r="B433" s="124">
        <v>2283</v>
      </c>
      <c r="C433" s="69" t="s">
        <v>71</v>
      </c>
      <c r="D433" s="157" t="s">
        <v>620</v>
      </c>
      <c r="E433" s="69" t="s">
        <v>773</v>
      </c>
      <c r="F433" s="69" t="s">
        <v>57</v>
      </c>
      <c r="G433" s="69">
        <v>3</v>
      </c>
      <c r="H433" s="70">
        <v>45632</v>
      </c>
      <c r="I433" s="69"/>
      <c r="J433" s="70">
        <v>45712</v>
      </c>
      <c r="K433" s="69"/>
      <c r="L433" s="69"/>
      <c r="M433" s="70">
        <v>45735</v>
      </c>
      <c r="N433" s="70"/>
      <c r="O433" s="70">
        <v>45937</v>
      </c>
      <c r="P433" s="69" t="s">
        <v>838</v>
      </c>
      <c r="Q433" s="70"/>
      <c r="R433" s="69"/>
      <c r="S433" s="69"/>
      <c r="T433" s="69"/>
      <c r="U433" s="69"/>
      <c r="V433" s="69"/>
      <c r="W433" s="69"/>
      <c r="X433" s="69">
        <v>20.059999999999999</v>
      </c>
      <c r="Y433" s="69"/>
      <c r="Z433" s="69"/>
      <c r="AA433" s="69"/>
      <c r="AB433" s="69"/>
      <c r="AC433" s="69"/>
      <c r="AD433" s="69"/>
      <c r="AE433" s="37">
        <f>AllPlans[[#This Row],[Prep days*]]+AllPlans[[#This Row],[Hearing days*]]+AllPlans[[#This Row],[SV days*]]+AllPlans[[#This Row],[Travel days]]+AllPlans[[#This Row],[Reptg days*]]</f>
        <v>20.059999999999999</v>
      </c>
      <c r="AF433" s="69"/>
      <c r="AG433" s="70"/>
      <c r="AH433" s="69"/>
      <c r="AI433" s="70"/>
      <c r="AJ433" s="69"/>
      <c r="AK433" s="70"/>
      <c r="AL433" s="69"/>
      <c r="AM433" s="70"/>
      <c r="AN433" s="69"/>
      <c r="AO433" s="70"/>
      <c r="AP433" s="69"/>
      <c r="AQ433" s="70"/>
      <c r="AR433" s="69"/>
      <c r="AS433" s="70"/>
      <c r="AT433" s="69"/>
      <c r="AU433" s="69"/>
      <c r="AV433" s="69"/>
      <c r="AW433" s="69"/>
      <c r="AX433" s="69"/>
      <c r="AY433" s="115" t="s">
        <v>839</v>
      </c>
      <c r="AZ433" s="115" t="str">
        <f t="shared" si="29"/>
        <v>Feb 25</v>
      </c>
      <c r="BA433" s="115" t="str">
        <f t="shared" si="30"/>
        <v>Jan 00</v>
      </c>
    </row>
    <row r="434" spans="1:53" ht="28" x14ac:dyDescent="0.15">
      <c r="A434" s="147" t="s">
        <v>840</v>
      </c>
      <c r="B434" s="124">
        <v>2335</v>
      </c>
      <c r="C434" s="63" t="s">
        <v>90</v>
      </c>
      <c r="D434" s="132" t="s">
        <v>841</v>
      </c>
      <c r="E434" s="69" t="s">
        <v>92</v>
      </c>
      <c r="F434" s="69" t="s">
        <v>57</v>
      </c>
      <c r="G434" s="69">
        <v>3</v>
      </c>
      <c r="H434" s="70">
        <v>45600</v>
      </c>
      <c r="I434" s="69"/>
      <c r="J434" s="70">
        <v>45714</v>
      </c>
      <c r="K434" s="69"/>
      <c r="L434" s="69"/>
      <c r="M434" s="70">
        <v>45716</v>
      </c>
      <c r="N434" s="70"/>
      <c r="O434" s="70">
        <v>45832</v>
      </c>
      <c r="P434" s="69" t="s">
        <v>842</v>
      </c>
      <c r="Q434" s="70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37">
        <f>AllPlans[[#This Row],[Prep days*]]+AllPlans[[#This Row],[Hearing days*]]+AllPlans[[#This Row],[SV days*]]+AllPlans[[#This Row],[Travel days]]+AllPlans[[#This Row],[Reptg days*]]</f>
        <v>0</v>
      </c>
      <c r="AF434" s="69"/>
      <c r="AG434" s="70"/>
      <c r="AH434" s="69"/>
      <c r="AI434" s="70"/>
      <c r="AJ434" s="69"/>
      <c r="AK434" s="70"/>
      <c r="AL434" s="69"/>
      <c r="AM434" s="70"/>
      <c r="AN434" s="69"/>
      <c r="AO434" s="70"/>
      <c r="AP434" s="69"/>
      <c r="AQ434" s="70"/>
      <c r="AR434" s="69"/>
      <c r="AS434" s="70"/>
      <c r="AT434" s="69"/>
      <c r="AU434" s="69"/>
      <c r="AV434" s="69"/>
      <c r="AW434" s="69"/>
      <c r="AX434" s="69"/>
      <c r="AY434" s="41" t="s">
        <v>843</v>
      </c>
      <c r="AZ434" s="41" t="str">
        <f t="shared" si="29"/>
        <v>Feb 25</v>
      </c>
      <c r="BA434" s="41" t="str">
        <f t="shared" si="30"/>
        <v>Jan 00</v>
      </c>
    </row>
    <row r="435" spans="1:53" ht="14" x14ac:dyDescent="0.15">
      <c r="A435" s="118">
        <v>3361764</v>
      </c>
      <c r="B435" s="124">
        <v>2415</v>
      </c>
      <c r="C435" s="63" t="s">
        <v>104</v>
      </c>
      <c r="D435" s="155" t="s">
        <v>633</v>
      </c>
      <c r="E435" s="69" t="s">
        <v>56</v>
      </c>
      <c r="F435" s="69" t="s">
        <v>57</v>
      </c>
      <c r="G435" s="69">
        <v>3</v>
      </c>
      <c r="H435" s="70">
        <v>45586</v>
      </c>
      <c r="I435" s="69"/>
      <c r="J435" s="70">
        <v>45716</v>
      </c>
      <c r="K435" s="69"/>
      <c r="L435" s="69"/>
      <c r="M435" s="70">
        <v>45720</v>
      </c>
      <c r="N435" s="70"/>
      <c r="O435" s="70">
        <v>45910</v>
      </c>
      <c r="P435" s="70"/>
      <c r="Q435" s="70"/>
      <c r="R435" s="69"/>
      <c r="S435" s="69"/>
      <c r="T435" s="69"/>
      <c r="U435" s="69"/>
      <c r="V435" s="69"/>
      <c r="W435" s="69"/>
      <c r="X435" s="69">
        <v>15.24</v>
      </c>
      <c r="Y435" s="69"/>
      <c r="Z435" s="69"/>
      <c r="AA435" s="69"/>
      <c r="AB435" s="69"/>
      <c r="AC435" s="69"/>
      <c r="AD435" s="69"/>
      <c r="AE435" s="37">
        <f>AllPlans[[#This Row],[Prep days*]]+AllPlans[[#This Row],[Hearing days*]]+AllPlans[[#This Row],[SV days*]]+AllPlans[[#This Row],[Travel days]]+AllPlans[[#This Row],[Reptg days*]]</f>
        <v>15.24</v>
      </c>
      <c r="AF435" s="69"/>
      <c r="AG435" s="70"/>
      <c r="AH435" s="69"/>
      <c r="AI435" s="70"/>
      <c r="AJ435" s="69"/>
      <c r="AK435" s="70"/>
      <c r="AL435" s="69"/>
      <c r="AM435" s="70"/>
      <c r="AN435" s="69"/>
      <c r="AO435" s="70"/>
      <c r="AP435" s="69"/>
      <c r="AQ435" s="70"/>
      <c r="AR435" s="69"/>
      <c r="AS435" s="70"/>
      <c r="AT435" s="69"/>
      <c r="AU435" s="69"/>
      <c r="AV435" s="69"/>
      <c r="AW435" s="69"/>
      <c r="AX435" s="69"/>
      <c r="AY435" s="41" t="s">
        <v>844</v>
      </c>
      <c r="AZ435" s="41" t="str">
        <f t="shared" si="29"/>
        <v>Feb 25</v>
      </c>
      <c r="BA435" s="41" t="str">
        <f t="shared" si="30"/>
        <v>Jan 00</v>
      </c>
    </row>
    <row r="436" spans="1:53" ht="14" x14ac:dyDescent="0.15">
      <c r="A436" s="124">
        <v>3361671</v>
      </c>
      <c r="B436" s="124">
        <v>1932</v>
      </c>
      <c r="C436" s="69" t="s">
        <v>61</v>
      </c>
      <c r="D436" s="129" t="s">
        <v>845</v>
      </c>
      <c r="E436" s="69" t="s">
        <v>56</v>
      </c>
      <c r="F436" s="69" t="s">
        <v>57</v>
      </c>
      <c r="G436" s="69">
        <v>3</v>
      </c>
      <c r="H436" s="70">
        <v>45565</v>
      </c>
      <c r="I436" s="69"/>
      <c r="J436" s="70">
        <v>45716</v>
      </c>
      <c r="K436" s="69"/>
      <c r="L436" s="69"/>
      <c r="M436" s="70">
        <v>45722</v>
      </c>
      <c r="N436" s="70"/>
      <c r="O436" s="70">
        <v>45978</v>
      </c>
      <c r="P436" s="41"/>
      <c r="Q436" s="70"/>
      <c r="R436" s="69"/>
      <c r="S436" s="69"/>
      <c r="T436" s="69"/>
      <c r="U436" s="69"/>
      <c r="V436" s="69"/>
      <c r="W436" s="69"/>
      <c r="X436" s="69">
        <v>31.64</v>
      </c>
      <c r="Y436" s="69"/>
      <c r="Z436" s="69"/>
      <c r="AA436" s="69"/>
      <c r="AB436" s="69"/>
      <c r="AC436" s="69"/>
      <c r="AD436" s="69"/>
      <c r="AE436" s="37">
        <f>AllPlans[[#This Row],[Prep days*]]+AllPlans[[#This Row],[Hearing days*]]+AllPlans[[#This Row],[SV days*]]+AllPlans[[#This Row],[Travel days]]+AllPlans[[#This Row],[Reptg days*]]</f>
        <v>31.64</v>
      </c>
      <c r="AF436" s="69"/>
      <c r="AG436" s="70"/>
      <c r="AH436" s="69"/>
      <c r="AI436" s="70"/>
      <c r="AJ436" s="69"/>
      <c r="AK436" s="70"/>
      <c r="AL436" s="69"/>
      <c r="AM436" s="70"/>
      <c r="AN436" s="69"/>
      <c r="AO436" s="70"/>
      <c r="AP436" s="69"/>
      <c r="AQ436" s="70"/>
      <c r="AR436" s="69"/>
      <c r="AS436" s="70"/>
      <c r="AT436" s="69"/>
      <c r="AU436" s="69"/>
      <c r="AV436" s="69"/>
      <c r="AW436" s="69"/>
      <c r="AX436" s="69"/>
      <c r="AY436" s="41" t="s">
        <v>846</v>
      </c>
      <c r="AZ436" s="41" t="str">
        <f t="shared" si="29"/>
        <v>Feb 25</v>
      </c>
      <c r="BA436" s="41" t="str">
        <f t="shared" si="30"/>
        <v>Jan 00</v>
      </c>
    </row>
    <row r="437" spans="1:53" ht="28" x14ac:dyDescent="0.15">
      <c r="A437" s="124">
        <v>3363737</v>
      </c>
      <c r="B437" s="124">
        <v>2326</v>
      </c>
      <c r="C437" s="69" t="s">
        <v>54</v>
      </c>
      <c r="D437" s="157" t="s">
        <v>152</v>
      </c>
      <c r="E437" s="69" t="s">
        <v>56</v>
      </c>
      <c r="F437" s="69" t="s">
        <v>57</v>
      </c>
      <c r="G437" s="69">
        <v>3</v>
      </c>
      <c r="H437" s="70">
        <v>45621</v>
      </c>
      <c r="I437" s="69"/>
      <c r="J437" s="70">
        <v>45723</v>
      </c>
      <c r="K437" s="69"/>
      <c r="L437" s="69"/>
      <c r="M437" s="70">
        <v>45743</v>
      </c>
      <c r="N437" s="70"/>
      <c r="O437" s="70">
        <v>46007</v>
      </c>
      <c r="P437" s="69" t="s">
        <v>847</v>
      </c>
      <c r="Q437" s="70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37">
        <f>AllPlans[[#This Row],[Prep days*]]+AllPlans[[#This Row],[Hearing days*]]+AllPlans[[#This Row],[SV days*]]+AllPlans[[#This Row],[Travel days]]+AllPlans[[#This Row],[Reptg days*]]</f>
        <v>0</v>
      </c>
      <c r="AF437" s="69"/>
      <c r="AG437" s="70"/>
      <c r="AH437" s="69"/>
      <c r="AI437" s="70"/>
      <c r="AJ437" s="69"/>
      <c r="AK437" s="70"/>
      <c r="AL437" s="69"/>
      <c r="AM437" s="70"/>
      <c r="AN437" s="69"/>
      <c r="AO437" s="70"/>
      <c r="AP437" s="69"/>
      <c r="AQ437" s="70"/>
      <c r="AR437" s="69"/>
      <c r="AS437" s="70"/>
      <c r="AT437" s="69"/>
      <c r="AU437" s="69"/>
      <c r="AV437" s="69"/>
      <c r="AW437" s="69"/>
      <c r="AX437" s="69"/>
      <c r="AY437" s="41" t="s">
        <v>154</v>
      </c>
      <c r="AZ437" s="41" t="str">
        <f t="shared" si="29"/>
        <v>Mar 25</v>
      </c>
      <c r="BA437" s="41" t="str">
        <f t="shared" si="30"/>
        <v>Jan 00</v>
      </c>
    </row>
    <row r="438" spans="1:53" ht="14" x14ac:dyDescent="0.15">
      <c r="A438" s="148">
        <v>3374830</v>
      </c>
      <c r="B438" s="84">
        <v>2148</v>
      </c>
      <c r="C438" s="136" t="s">
        <v>61</v>
      </c>
      <c r="D438" s="36" t="s">
        <v>848</v>
      </c>
      <c r="E438" s="27" t="s">
        <v>56</v>
      </c>
      <c r="F438" s="27" t="s">
        <v>57</v>
      </c>
      <c r="G438" s="27">
        <v>3</v>
      </c>
      <c r="H438" s="28">
        <v>45646</v>
      </c>
      <c r="I438" s="27"/>
      <c r="J438" s="28">
        <v>45726</v>
      </c>
      <c r="K438" s="27"/>
      <c r="L438" s="27"/>
      <c r="M438" s="28">
        <v>45748</v>
      </c>
      <c r="N438" s="28"/>
      <c r="O438" s="28">
        <v>45897</v>
      </c>
      <c r="P438" s="149">
        <v>45901</v>
      </c>
      <c r="Q438" s="28"/>
      <c r="R438" s="27"/>
      <c r="S438" s="27"/>
      <c r="T438" s="27"/>
      <c r="U438" s="27"/>
      <c r="V438" s="27"/>
      <c r="W438" s="27"/>
      <c r="X438" s="27">
        <v>12.89</v>
      </c>
      <c r="Y438" s="27"/>
      <c r="Z438" s="27"/>
      <c r="AA438" s="27"/>
      <c r="AB438" s="27"/>
      <c r="AC438" s="27"/>
      <c r="AD438" s="27"/>
      <c r="AE438" s="37">
        <f>AllPlans[[#This Row],[Prep days*]]+AllPlans[[#This Row],[Hearing days*]]+AllPlans[[#This Row],[SV days*]]+AllPlans[[#This Row],[Travel days]]+AllPlans[[#This Row],[Reptg days*]]</f>
        <v>12.89</v>
      </c>
      <c r="AF438" s="27"/>
      <c r="AG438" s="28"/>
      <c r="AH438" s="27"/>
      <c r="AI438" s="28"/>
      <c r="AJ438" s="27"/>
      <c r="AK438" s="28"/>
      <c r="AL438" s="27"/>
      <c r="AM438" s="28"/>
      <c r="AN438" s="27"/>
      <c r="AO438" s="28"/>
      <c r="AP438" s="27"/>
      <c r="AQ438" s="28"/>
      <c r="AR438" s="27"/>
      <c r="AS438" s="28"/>
      <c r="AT438" s="27"/>
      <c r="AU438" s="27"/>
      <c r="AV438" s="40">
        <f>SUM(AO438-J438)/7</f>
        <v>-6532.2857142857147</v>
      </c>
      <c r="AW438" s="39">
        <f>SUM(AO438-Q438)/7</f>
        <v>0</v>
      </c>
      <c r="AX438" s="27"/>
      <c r="AY438" s="168" t="str">
        <f>IF(D438&lt;&gt;"",IF(LEFT(IFERROR(VLOOKUP(D438,#REF!,2,FALSE),"LPA not known to MCLHG"),3)&lt;&gt;"JSP",IFERROR(VLOOKUP(D438,#REF!,2,FALSE),"LPA not known to MCLHG"),VLOOKUP(D438&amp;B438,#REF!,3,FALSE)),"")</f>
        <v>LPA not known to MCLHG</v>
      </c>
      <c r="AZ438" s="41" t="str">
        <f t="shared" si="29"/>
        <v>Mar 25</v>
      </c>
      <c r="BA438" s="41" t="str">
        <f t="shared" si="30"/>
        <v>Jan 00</v>
      </c>
    </row>
    <row r="439" spans="1:53" ht="42" x14ac:dyDescent="0.15">
      <c r="A439" s="124">
        <v>3362195</v>
      </c>
      <c r="B439" s="124">
        <v>2135</v>
      </c>
      <c r="C439" s="69" t="s">
        <v>83</v>
      </c>
      <c r="D439" s="155" t="s">
        <v>322</v>
      </c>
      <c r="E439" s="69" t="s">
        <v>849</v>
      </c>
      <c r="F439" s="69" t="s">
        <v>57</v>
      </c>
      <c r="G439" s="69">
        <v>3</v>
      </c>
      <c r="H439" s="70">
        <v>44890</v>
      </c>
      <c r="I439" s="69"/>
      <c r="J439" s="70">
        <v>45726</v>
      </c>
      <c r="K439" s="69"/>
      <c r="L439" s="69"/>
      <c r="M439" s="70">
        <v>45744</v>
      </c>
      <c r="N439" s="70"/>
      <c r="O439" s="70">
        <v>45916</v>
      </c>
      <c r="P439" s="69" t="s">
        <v>850</v>
      </c>
      <c r="Q439" s="70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37"/>
      <c r="AF439" s="69"/>
      <c r="AG439" s="70"/>
      <c r="AH439" s="69"/>
      <c r="AI439" s="70"/>
      <c r="AJ439" s="69"/>
      <c r="AK439" s="70"/>
      <c r="AL439" s="69"/>
      <c r="AM439" s="70"/>
      <c r="AN439" s="69"/>
      <c r="AO439" s="70"/>
      <c r="AP439" s="69"/>
      <c r="AQ439" s="70"/>
      <c r="AR439" s="69"/>
      <c r="AS439" s="70"/>
      <c r="AT439" s="69"/>
      <c r="AU439" s="69"/>
      <c r="AV439" s="69"/>
      <c r="AW439" s="69"/>
      <c r="AX439" s="69"/>
      <c r="AY439" s="41" t="s">
        <v>324</v>
      </c>
      <c r="AZ439" s="41" t="str">
        <f t="shared" si="29"/>
        <v>Mar 25</v>
      </c>
      <c r="BA439" s="41" t="str">
        <f t="shared" si="30"/>
        <v>Jan 00</v>
      </c>
    </row>
    <row r="440" spans="1:53" ht="28" x14ac:dyDescent="0.15">
      <c r="A440" s="124">
        <v>3362247</v>
      </c>
      <c r="B440" s="124">
        <v>2133</v>
      </c>
      <c r="C440" s="69" t="s">
        <v>71</v>
      </c>
      <c r="D440" s="157" t="s">
        <v>195</v>
      </c>
      <c r="E440" s="69" t="s">
        <v>56</v>
      </c>
      <c r="F440" s="69" t="s">
        <v>57</v>
      </c>
      <c r="G440" s="69">
        <v>3</v>
      </c>
      <c r="H440" s="70">
        <v>45600</v>
      </c>
      <c r="I440" s="69"/>
      <c r="J440" s="70">
        <v>45727</v>
      </c>
      <c r="K440" s="69"/>
      <c r="L440" s="69"/>
      <c r="M440" s="70">
        <v>45751</v>
      </c>
      <c r="N440" s="70"/>
      <c r="O440" s="70">
        <v>45916</v>
      </c>
      <c r="P440" s="69" t="s">
        <v>851</v>
      </c>
      <c r="Q440" s="70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37">
        <f>AllPlans[[#This Row],[Prep days*]]+AllPlans[[#This Row],[Hearing days*]]+AllPlans[[#This Row],[SV days*]]+AllPlans[[#This Row],[Travel days]]+AllPlans[[#This Row],[Reptg days*]]</f>
        <v>0</v>
      </c>
      <c r="AF440" s="69"/>
      <c r="AG440" s="70"/>
      <c r="AH440" s="69"/>
      <c r="AI440" s="70"/>
      <c r="AJ440" s="69"/>
      <c r="AK440" s="70"/>
      <c r="AL440" s="69"/>
      <c r="AM440" s="70"/>
      <c r="AN440" s="69"/>
      <c r="AO440" s="70"/>
      <c r="AP440" s="69"/>
      <c r="AQ440" s="70"/>
      <c r="AR440" s="69"/>
      <c r="AS440" s="70"/>
      <c r="AT440" s="69"/>
      <c r="AU440" s="69"/>
      <c r="AV440" s="69"/>
      <c r="AW440" s="69"/>
      <c r="AX440" s="69"/>
      <c r="AY440" s="41" t="s">
        <v>196</v>
      </c>
      <c r="AZ440" s="41" t="str">
        <f t="shared" si="29"/>
        <v>Mar 25</v>
      </c>
      <c r="BA440" s="41" t="str">
        <f t="shared" si="30"/>
        <v>Jan 00</v>
      </c>
    </row>
    <row r="441" spans="1:53" ht="14" x14ac:dyDescent="0.15">
      <c r="A441" s="118">
        <v>3362197</v>
      </c>
      <c r="B441" s="118">
        <v>2232</v>
      </c>
      <c r="C441" s="63" t="s">
        <v>270</v>
      </c>
      <c r="D441" s="128" t="s">
        <v>852</v>
      </c>
      <c r="E441" s="63" t="s">
        <v>773</v>
      </c>
      <c r="F441" s="63" t="s">
        <v>57</v>
      </c>
      <c r="G441" s="63">
        <v>3</v>
      </c>
      <c r="H441" s="64">
        <v>45306</v>
      </c>
      <c r="I441" s="63"/>
      <c r="J441" s="64">
        <v>45727</v>
      </c>
      <c r="K441" s="63"/>
      <c r="L441" s="63"/>
      <c r="M441" s="64">
        <v>45736</v>
      </c>
      <c r="N441" s="64"/>
      <c r="O441" s="64">
        <v>45846</v>
      </c>
      <c r="P441" s="117">
        <v>45846</v>
      </c>
      <c r="Q441" s="64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119">
        <f>AllPlans[[#This Row],[Prep days*]]+AllPlans[[#This Row],[Hearing days*]]+AllPlans[[#This Row],[SV days*]]+AllPlans[[#This Row],[Travel days]]+AllPlans[[#This Row],[Reptg days*]]</f>
        <v>0</v>
      </c>
      <c r="AF441" s="63"/>
      <c r="AG441" s="64"/>
      <c r="AH441" s="63"/>
      <c r="AI441" s="64"/>
      <c r="AJ441" s="63"/>
      <c r="AK441" s="64"/>
      <c r="AL441" s="63"/>
      <c r="AM441" s="64"/>
      <c r="AN441" s="63"/>
      <c r="AO441" s="64"/>
      <c r="AP441" s="63"/>
      <c r="AQ441" s="64"/>
      <c r="AR441" s="63"/>
      <c r="AS441" s="64"/>
      <c r="AT441" s="63"/>
      <c r="AU441" s="63"/>
      <c r="AV441" s="63"/>
      <c r="AW441" s="63"/>
      <c r="AX441" s="63"/>
      <c r="AY441" s="41" t="s">
        <v>853</v>
      </c>
      <c r="AZ441" s="41" t="str">
        <f t="shared" si="29"/>
        <v>Mar 25</v>
      </c>
      <c r="BA441" s="41" t="str">
        <f t="shared" si="30"/>
        <v>Jan 00</v>
      </c>
    </row>
    <row r="442" spans="1:53" ht="28" x14ac:dyDescent="0.15">
      <c r="A442" s="118">
        <v>3364987</v>
      </c>
      <c r="B442" s="118">
        <v>2424</v>
      </c>
      <c r="C442" s="63" t="s">
        <v>90</v>
      </c>
      <c r="D442" s="110" t="s">
        <v>91</v>
      </c>
      <c r="E442" s="63" t="s">
        <v>623</v>
      </c>
      <c r="F442" s="63" t="s">
        <v>102</v>
      </c>
      <c r="G442" s="63">
        <v>2</v>
      </c>
      <c r="H442" s="64">
        <v>45712</v>
      </c>
      <c r="I442" s="63"/>
      <c r="J442" s="64">
        <v>45777</v>
      </c>
      <c r="K442" s="63"/>
      <c r="L442" s="63"/>
      <c r="M442" s="64">
        <v>45799</v>
      </c>
      <c r="N442" s="64"/>
      <c r="O442" s="64">
        <v>45965</v>
      </c>
      <c r="P442" s="63" t="s">
        <v>854</v>
      </c>
      <c r="Q442" s="64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119">
        <f>AllPlans[[#This Row],[Prep days*]]+AllPlans[[#This Row],[Hearing days*]]+AllPlans[[#This Row],[SV days*]]+AllPlans[[#This Row],[Travel days]]+AllPlans[[#This Row],[Reptg days*]]</f>
        <v>0</v>
      </c>
      <c r="AF442" s="63"/>
      <c r="AG442" s="64"/>
      <c r="AH442" s="63"/>
      <c r="AI442" s="64"/>
      <c r="AJ442" s="63"/>
      <c r="AK442" s="64"/>
      <c r="AL442" s="63"/>
      <c r="AM442" s="64"/>
      <c r="AN442" s="63"/>
      <c r="AO442" s="64"/>
      <c r="AP442" s="63"/>
      <c r="AQ442" s="64"/>
      <c r="AR442" s="63"/>
      <c r="AS442" s="64"/>
      <c r="AT442" s="63"/>
      <c r="AU442" s="63"/>
      <c r="AV442" s="63"/>
      <c r="AW442" s="63"/>
      <c r="AX442" s="63"/>
      <c r="AY442" s="115" t="s">
        <v>93</v>
      </c>
      <c r="AZ442" s="115" t="str">
        <f t="shared" si="29"/>
        <v>Apr 25</v>
      </c>
      <c r="BA442" s="115" t="str">
        <f t="shared" si="30"/>
        <v>Jan 00</v>
      </c>
    </row>
    <row r="443" spans="1:53" ht="42" x14ac:dyDescent="0.15">
      <c r="A443" s="118">
        <v>3365444</v>
      </c>
      <c r="B443" s="118">
        <v>2331</v>
      </c>
      <c r="C443" s="63" t="s">
        <v>61</v>
      </c>
      <c r="D443" s="128" t="s">
        <v>468</v>
      </c>
      <c r="E443" s="63" t="s">
        <v>623</v>
      </c>
      <c r="F443" s="63" t="s">
        <v>57</v>
      </c>
      <c r="G443" s="63">
        <v>3</v>
      </c>
      <c r="H443" s="64">
        <v>45603</v>
      </c>
      <c r="I443" s="63"/>
      <c r="J443" s="64">
        <v>45786</v>
      </c>
      <c r="K443" s="63"/>
      <c r="L443" s="63"/>
      <c r="M443" s="64">
        <v>45791</v>
      </c>
      <c r="N443" s="64"/>
      <c r="O443" s="64">
        <v>45972</v>
      </c>
      <c r="P443" s="63" t="s">
        <v>855</v>
      </c>
      <c r="Q443" s="64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119">
        <f>AllPlans[[#This Row],[Prep days*]]+AllPlans[[#This Row],[Hearing days*]]+AllPlans[[#This Row],[SV days*]]+AllPlans[[#This Row],[Travel days]]+AllPlans[[#This Row],[Reptg days*]]</f>
        <v>0</v>
      </c>
      <c r="AF443" s="63"/>
      <c r="AG443" s="64"/>
      <c r="AH443" s="63"/>
      <c r="AI443" s="64"/>
      <c r="AJ443" s="63"/>
      <c r="AK443" s="64"/>
      <c r="AL443" s="63"/>
      <c r="AM443" s="64"/>
      <c r="AN443" s="63"/>
      <c r="AO443" s="64"/>
      <c r="AP443" s="63"/>
      <c r="AQ443" s="64"/>
      <c r="AR443" s="63"/>
      <c r="AS443" s="64"/>
      <c r="AT443" s="63"/>
      <c r="AU443" s="63"/>
      <c r="AV443" s="63"/>
      <c r="AW443" s="63"/>
      <c r="AX443" s="63"/>
      <c r="AY443" s="115" t="s">
        <v>856</v>
      </c>
      <c r="AZ443" s="115" t="str">
        <f t="shared" si="29"/>
        <v>May 25</v>
      </c>
      <c r="BA443" s="115" t="str">
        <f t="shared" si="30"/>
        <v>Jan 00</v>
      </c>
    </row>
    <row r="444" spans="1:53" ht="56" x14ac:dyDescent="0.15">
      <c r="A444" s="124">
        <v>3368189</v>
      </c>
      <c r="B444" s="124">
        <v>2409</v>
      </c>
      <c r="C444" s="69" t="s">
        <v>90</v>
      </c>
      <c r="D444" s="132" t="s">
        <v>626</v>
      </c>
      <c r="E444" s="69" t="s">
        <v>56</v>
      </c>
      <c r="F444" s="69" t="s">
        <v>57</v>
      </c>
      <c r="G444" s="69">
        <v>3</v>
      </c>
      <c r="H444" s="70">
        <v>45541</v>
      </c>
      <c r="I444" s="69"/>
      <c r="J444" s="70">
        <v>45831</v>
      </c>
      <c r="K444" s="69"/>
      <c r="L444" s="69"/>
      <c r="M444" s="70">
        <v>45838</v>
      </c>
      <c r="N444" s="70"/>
      <c r="O444" s="70"/>
      <c r="P444" s="69" t="s">
        <v>857</v>
      </c>
      <c r="Q444" s="70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37">
        <f>AllPlans[[#This Row],[Prep days*]]+AllPlans[[#This Row],[Hearing days*]]+AllPlans[[#This Row],[SV days*]]+AllPlans[[#This Row],[Travel days]]+AllPlans[[#This Row],[Reptg days*]]</f>
        <v>0</v>
      </c>
      <c r="AF444" s="69"/>
      <c r="AG444" s="70"/>
      <c r="AH444" s="69"/>
      <c r="AI444" s="70"/>
      <c r="AJ444" s="69"/>
      <c r="AK444" s="70"/>
      <c r="AL444" s="69"/>
      <c r="AM444" s="70"/>
      <c r="AN444" s="69"/>
      <c r="AO444" s="70"/>
      <c r="AP444" s="69"/>
      <c r="AQ444" s="70"/>
      <c r="AR444" s="69"/>
      <c r="AS444" s="70"/>
      <c r="AT444" s="69"/>
      <c r="AU444" s="69"/>
      <c r="AV444" s="69"/>
      <c r="AW444" s="69"/>
      <c r="AX444" s="69"/>
      <c r="AY444" s="115" t="s">
        <v>858</v>
      </c>
      <c r="AZ444" s="115" t="str">
        <f t="shared" si="29"/>
        <v>Jun 25</v>
      </c>
      <c r="BA444" s="115" t="str">
        <f t="shared" si="30"/>
        <v>Jan 00</v>
      </c>
    </row>
    <row r="445" spans="1:53" ht="76.25" customHeight="1" x14ac:dyDescent="0.15">
      <c r="A445" s="118">
        <v>3368535</v>
      </c>
      <c r="B445" s="118">
        <v>2100</v>
      </c>
      <c r="C445" s="63" t="s">
        <v>83</v>
      </c>
      <c r="D445" s="154" t="s">
        <v>859</v>
      </c>
      <c r="E445" s="63" t="s">
        <v>860</v>
      </c>
      <c r="F445" s="63" t="s">
        <v>57</v>
      </c>
      <c r="G445" s="63">
        <v>3</v>
      </c>
      <c r="H445" s="64">
        <v>45712</v>
      </c>
      <c r="I445" s="63"/>
      <c r="J445" s="64">
        <v>45838</v>
      </c>
      <c r="K445" s="63"/>
      <c r="L445" s="63"/>
      <c r="M445" s="64">
        <v>45859</v>
      </c>
      <c r="N445" s="64"/>
      <c r="O445" s="64">
        <v>45993</v>
      </c>
      <c r="P445" s="151" t="s">
        <v>861</v>
      </c>
      <c r="Q445" s="64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119">
        <f>AllPlans[[#This Row],[Prep days*]]+AllPlans[[#This Row],[Hearing days*]]+AllPlans[[#This Row],[SV days*]]+AllPlans[[#This Row],[Travel days]]+AllPlans[[#This Row],[Reptg days*]]</f>
        <v>0</v>
      </c>
      <c r="AF445" s="63"/>
      <c r="AG445" s="64"/>
      <c r="AH445" s="63"/>
      <c r="AI445" s="64"/>
      <c r="AJ445" s="63"/>
      <c r="AK445" s="64"/>
      <c r="AL445" s="63"/>
      <c r="AM445" s="64"/>
      <c r="AN445" s="63"/>
      <c r="AO445" s="64"/>
      <c r="AP445" s="63"/>
      <c r="AQ445" s="64"/>
      <c r="AR445" s="63"/>
      <c r="AS445" s="64"/>
      <c r="AT445" s="63"/>
      <c r="AU445" s="63"/>
      <c r="AV445" s="63"/>
      <c r="AW445" s="63"/>
      <c r="AX445" s="63"/>
      <c r="AY445" s="41" t="s">
        <v>862</v>
      </c>
      <c r="AZ445" s="41" t="str">
        <f t="shared" si="29"/>
        <v>Jun 25</v>
      </c>
      <c r="BA445" s="41" t="str">
        <f t="shared" si="30"/>
        <v>Jan 00</v>
      </c>
    </row>
    <row r="446" spans="1:53" ht="42" x14ac:dyDescent="0.15">
      <c r="A446" s="124">
        <v>3369648</v>
      </c>
      <c r="B446" s="124">
        <v>2297</v>
      </c>
      <c r="C446" s="69" t="s">
        <v>90</v>
      </c>
      <c r="D446" s="129" t="s">
        <v>165</v>
      </c>
      <c r="E446" s="69" t="s">
        <v>56</v>
      </c>
      <c r="F446" s="69" t="s">
        <v>57</v>
      </c>
      <c r="G446" s="69">
        <v>3</v>
      </c>
      <c r="H446" s="70">
        <v>45492</v>
      </c>
      <c r="I446" s="69"/>
      <c r="J446" s="70">
        <v>45856</v>
      </c>
      <c r="K446" s="69"/>
      <c r="L446" s="69"/>
      <c r="M446" s="70">
        <v>45859</v>
      </c>
      <c r="N446" s="70"/>
      <c r="O446" s="70">
        <v>45993</v>
      </c>
      <c r="P446" s="69" t="s">
        <v>863</v>
      </c>
      <c r="Q446" s="70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37">
        <f>AllPlans[[#This Row],[Prep days*]]+AllPlans[[#This Row],[Hearing days*]]+AllPlans[[#This Row],[SV days*]]+AllPlans[[#This Row],[Travel days]]+AllPlans[[#This Row],[Reptg days*]]</f>
        <v>0</v>
      </c>
      <c r="AF446" s="69"/>
      <c r="AG446" s="70"/>
      <c r="AH446" s="69"/>
      <c r="AI446" s="70"/>
      <c r="AJ446" s="69"/>
      <c r="AK446" s="70"/>
      <c r="AL446" s="69"/>
      <c r="AM446" s="70"/>
      <c r="AN446" s="69"/>
      <c r="AO446" s="70"/>
      <c r="AP446" s="69"/>
      <c r="AQ446" s="70"/>
      <c r="AR446" s="69"/>
      <c r="AS446" s="70"/>
      <c r="AT446" s="69"/>
      <c r="AU446" s="69"/>
      <c r="AV446" s="69"/>
      <c r="AW446" s="69"/>
      <c r="AX446" s="69"/>
      <c r="AY446" s="115" t="s">
        <v>167</v>
      </c>
      <c r="AZ446" s="115" t="str">
        <f t="shared" si="29"/>
        <v>Jul 25</v>
      </c>
      <c r="BA446" s="115" t="str">
        <f t="shared" si="30"/>
        <v>Jan 00</v>
      </c>
    </row>
    <row r="447" spans="1:53" ht="14" x14ac:dyDescent="0.15">
      <c r="A447" s="118">
        <v>3370288</v>
      </c>
      <c r="B447" s="118">
        <v>2289</v>
      </c>
      <c r="C447" s="63" t="s">
        <v>61</v>
      </c>
      <c r="D447" s="128" t="s">
        <v>445</v>
      </c>
      <c r="E447" s="63" t="s">
        <v>92</v>
      </c>
      <c r="F447" s="63" t="s">
        <v>57</v>
      </c>
      <c r="G447" s="63">
        <v>3</v>
      </c>
      <c r="H447" s="64">
        <v>45645</v>
      </c>
      <c r="I447" s="63"/>
      <c r="J447" s="64">
        <v>45869</v>
      </c>
      <c r="K447" s="63"/>
      <c r="L447" s="63"/>
      <c r="M447" s="64">
        <v>45890</v>
      </c>
      <c r="N447" s="64"/>
      <c r="O447" s="64"/>
      <c r="P447" s="63" t="s">
        <v>864</v>
      </c>
      <c r="Q447" s="64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119">
        <f>AllPlans[[#This Row],[Prep days*]]+AllPlans[[#This Row],[Hearing days*]]+AllPlans[[#This Row],[SV days*]]+AllPlans[[#This Row],[Travel days]]+AllPlans[[#This Row],[Reptg days*]]</f>
        <v>0</v>
      </c>
      <c r="AF447" s="63"/>
      <c r="AG447" s="64"/>
      <c r="AH447" s="63"/>
      <c r="AI447" s="64"/>
      <c r="AJ447" s="63"/>
      <c r="AK447" s="64"/>
      <c r="AL447" s="63"/>
      <c r="AM447" s="64"/>
      <c r="AN447" s="63"/>
      <c r="AO447" s="64"/>
      <c r="AP447" s="63"/>
      <c r="AQ447" s="64"/>
      <c r="AR447" s="63"/>
      <c r="AS447" s="64"/>
      <c r="AT447" s="63"/>
      <c r="AU447" s="63"/>
      <c r="AV447" s="63"/>
      <c r="AW447" s="63"/>
      <c r="AX447" s="63"/>
      <c r="AY447" s="41" t="s">
        <v>865</v>
      </c>
      <c r="AZ447" s="41" t="str">
        <f t="shared" si="29"/>
        <v>Jul 25</v>
      </c>
      <c r="BA447" s="41" t="str">
        <f t="shared" si="30"/>
        <v>Jan 00</v>
      </c>
    </row>
    <row r="448" spans="1:53" ht="42" x14ac:dyDescent="0.15">
      <c r="A448" s="118">
        <v>3370519</v>
      </c>
      <c r="B448" s="118">
        <v>2397</v>
      </c>
      <c r="C448" s="63" t="s">
        <v>71</v>
      </c>
      <c r="D448" s="158" t="s">
        <v>87</v>
      </c>
      <c r="E448" s="63" t="s">
        <v>866</v>
      </c>
      <c r="F448" s="63" t="s">
        <v>102</v>
      </c>
      <c r="G448" s="63">
        <v>2</v>
      </c>
      <c r="H448" s="64">
        <v>45516</v>
      </c>
      <c r="I448" s="63"/>
      <c r="J448" s="64">
        <v>45873</v>
      </c>
      <c r="K448" s="63"/>
      <c r="L448" s="63"/>
      <c r="M448" s="64">
        <v>45875</v>
      </c>
      <c r="N448" s="64"/>
      <c r="O448" s="64">
        <v>46035</v>
      </c>
      <c r="P448" s="63" t="s">
        <v>867</v>
      </c>
      <c r="Q448" s="64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119">
        <f>AllPlans[[#This Row],[Prep days*]]+AllPlans[[#This Row],[Hearing days*]]+AllPlans[[#This Row],[SV days*]]+AllPlans[[#This Row],[Travel days]]+AllPlans[[#This Row],[Reptg days*]]</f>
        <v>0</v>
      </c>
      <c r="AF448" s="63"/>
      <c r="AG448" s="64"/>
      <c r="AH448" s="63"/>
      <c r="AI448" s="64"/>
      <c r="AJ448" s="63"/>
      <c r="AK448" s="64"/>
      <c r="AL448" s="63"/>
      <c r="AM448" s="64"/>
      <c r="AN448" s="63"/>
      <c r="AO448" s="64"/>
      <c r="AP448" s="63"/>
      <c r="AQ448" s="64"/>
      <c r="AR448" s="63"/>
      <c r="AS448" s="64"/>
      <c r="AT448" s="63"/>
      <c r="AU448" s="63"/>
      <c r="AV448" s="63"/>
      <c r="AW448" s="63"/>
      <c r="AX448" s="63"/>
      <c r="AY448" s="115" t="s">
        <v>89</v>
      </c>
      <c r="AZ448" s="115" t="str">
        <f t="shared" si="29"/>
        <v>Aug 25</v>
      </c>
      <c r="BA448" s="115" t="str">
        <f t="shared" si="30"/>
        <v>Jan 00</v>
      </c>
    </row>
    <row r="449" spans="1:53" ht="42" x14ac:dyDescent="0.15">
      <c r="A449" s="118">
        <v>3371299</v>
      </c>
      <c r="B449" s="118">
        <v>2418</v>
      </c>
      <c r="C449" s="63" t="s">
        <v>71</v>
      </c>
      <c r="D449" s="158" t="s">
        <v>275</v>
      </c>
      <c r="E449" s="63" t="s">
        <v>92</v>
      </c>
      <c r="F449" s="63" t="s">
        <v>57</v>
      </c>
      <c r="G449" s="63">
        <v>2</v>
      </c>
      <c r="H449" s="64">
        <v>45617</v>
      </c>
      <c r="I449" s="63"/>
      <c r="J449" s="64">
        <v>45884</v>
      </c>
      <c r="K449" s="63"/>
      <c r="L449" s="63"/>
      <c r="M449" s="64">
        <v>45888</v>
      </c>
      <c r="N449" s="64"/>
      <c r="O449" s="79">
        <v>45993</v>
      </c>
      <c r="P449" s="63" t="s">
        <v>868</v>
      </c>
      <c r="Q449" s="64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119">
        <f>AllPlans[[#This Row],[Prep days*]]+AllPlans[[#This Row],[Hearing days*]]+AllPlans[[#This Row],[SV days*]]+AllPlans[[#This Row],[Travel days]]+AllPlans[[#This Row],[Reptg days*]]</f>
        <v>0</v>
      </c>
      <c r="AF449" s="63"/>
      <c r="AG449" s="64"/>
      <c r="AH449" s="63"/>
      <c r="AI449" s="64"/>
      <c r="AJ449" s="63"/>
      <c r="AK449" s="64"/>
      <c r="AL449" s="63"/>
      <c r="AM449" s="64"/>
      <c r="AN449" s="63"/>
      <c r="AO449" s="64"/>
      <c r="AP449" s="63"/>
      <c r="AQ449" s="64"/>
      <c r="AR449" s="63"/>
      <c r="AS449" s="64"/>
      <c r="AT449" s="63"/>
      <c r="AU449" s="63"/>
      <c r="AV449" s="63"/>
      <c r="AW449" s="63"/>
      <c r="AX449" s="63"/>
      <c r="AY449" s="115" t="s">
        <v>276</v>
      </c>
      <c r="AZ449" s="115" t="str">
        <f t="shared" si="29"/>
        <v>Aug 25</v>
      </c>
      <c r="BA449" s="115" t="str">
        <f t="shared" si="30"/>
        <v>Jan 00</v>
      </c>
    </row>
    <row r="450" spans="1:53" ht="42" x14ac:dyDescent="0.15">
      <c r="A450" s="118">
        <v>3371641</v>
      </c>
      <c r="B450" s="118">
        <v>2129</v>
      </c>
      <c r="C450" s="63" t="s">
        <v>77</v>
      </c>
      <c r="D450" s="128" t="s">
        <v>189</v>
      </c>
      <c r="E450" s="63" t="s">
        <v>869</v>
      </c>
      <c r="F450" s="63" t="s">
        <v>57</v>
      </c>
      <c r="G450" s="63">
        <v>3</v>
      </c>
      <c r="H450" s="64">
        <v>45736</v>
      </c>
      <c r="I450" s="63"/>
      <c r="J450" s="64">
        <v>45889</v>
      </c>
      <c r="K450" s="63"/>
      <c r="L450" s="63"/>
      <c r="M450" s="64">
        <v>45895</v>
      </c>
      <c r="N450" s="64"/>
      <c r="O450" s="64">
        <v>45994</v>
      </c>
      <c r="P450" s="63" t="s">
        <v>870</v>
      </c>
      <c r="Q450" s="64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119">
        <f>AllPlans[[#This Row],[Prep days*]]+AllPlans[[#This Row],[Hearing days*]]+AllPlans[[#This Row],[SV days*]]+AllPlans[[#This Row],[Travel days]]+AllPlans[[#This Row],[Reptg days*]]</f>
        <v>0</v>
      </c>
      <c r="AF450" s="63"/>
      <c r="AG450" s="64"/>
      <c r="AH450" s="63"/>
      <c r="AI450" s="64"/>
      <c r="AJ450" s="63"/>
      <c r="AK450" s="64"/>
      <c r="AL450" s="63"/>
      <c r="AM450" s="64"/>
      <c r="AN450" s="63"/>
      <c r="AO450" s="64"/>
      <c r="AP450" s="63"/>
      <c r="AQ450" s="64"/>
      <c r="AR450" s="63"/>
      <c r="AS450" s="64"/>
      <c r="AT450" s="63"/>
      <c r="AU450" s="63"/>
      <c r="AV450" s="63"/>
      <c r="AW450" s="63"/>
      <c r="AX450" s="63"/>
      <c r="AY450" s="115" t="s">
        <v>190</v>
      </c>
      <c r="AZ450" s="115" t="str">
        <f t="shared" si="29"/>
        <v>Aug 25</v>
      </c>
      <c r="BA450" s="115" t="str">
        <f t="shared" si="30"/>
        <v>Jan 00</v>
      </c>
    </row>
    <row r="451" spans="1:53" s="69" customFormat="1" ht="15" x14ac:dyDescent="0.2">
      <c r="A451" s="69">
        <v>3365744</v>
      </c>
      <c r="B451" s="69">
        <v>2319</v>
      </c>
      <c r="C451" s="69" t="s">
        <v>54</v>
      </c>
      <c r="D451" s="157" t="s">
        <v>738</v>
      </c>
      <c r="E451" s="69" t="s">
        <v>92</v>
      </c>
      <c r="F451" s="69" t="s">
        <v>57</v>
      </c>
      <c r="G451" s="69">
        <v>3</v>
      </c>
      <c r="H451" s="70">
        <v>45677</v>
      </c>
      <c r="J451" s="70">
        <v>45909</v>
      </c>
      <c r="M451" s="70">
        <v>45929</v>
      </c>
      <c r="N451" s="70"/>
      <c r="O451" s="70"/>
      <c r="P451" s="229">
        <v>46082</v>
      </c>
      <c r="Q451" s="70"/>
      <c r="AE451" s="37">
        <f>AllPlans[[#This Row],[Prep days*]]+AllPlans[[#This Row],[Hearing days*]]+AllPlans[[#This Row],[SV days*]]+AllPlans[[#This Row],[Travel days]]+AllPlans[[#This Row],[Reptg days*]]</f>
        <v>0</v>
      </c>
      <c r="AG451" s="70"/>
      <c r="AI451" s="70"/>
      <c r="AK451" s="70"/>
      <c r="AM451" s="70"/>
      <c r="AO451" s="70"/>
      <c r="AQ451" s="70"/>
      <c r="AS451" s="70"/>
      <c r="AY451" s="297" t="s">
        <v>220</v>
      </c>
      <c r="AZ451" s="69" t="str">
        <f t="shared" si="29"/>
        <v>Sep 25</v>
      </c>
      <c r="BA451" s="69" t="str">
        <f t="shared" si="30"/>
        <v>Jan 00</v>
      </c>
    </row>
    <row r="452" spans="1:53" s="63" customFormat="1" ht="15" x14ac:dyDescent="0.2">
      <c r="A452" s="63">
        <v>3365740</v>
      </c>
      <c r="B452" s="63">
        <v>2171</v>
      </c>
      <c r="C452" s="63" t="s">
        <v>54</v>
      </c>
      <c r="D452" s="158" t="s">
        <v>871</v>
      </c>
      <c r="E452" s="63" t="s">
        <v>872</v>
      </c>
      <c r="F452" s="63" t="s">
        <v>57</v>
      </c>
      <c r="G452" s="63">
        <v>3</v>
      </c>
      <c r="H452" s="64">
        <v>45741</v>
      </c>
      <c r="J452" s="64">
        <v>45912</v>
      </c>
      <c r="M452" s="64">
        <v>45915</v>
      </c>
      <c r="N452" s="64"/>
      <c r="O452" s="64"/>
      <c r="Q452" s="64"/>
      <c r="AE452" s="119">
        <f>AllPlans[[#This Row],[Prep days*]]+AllPlans[[#This Row],[Hearing days*]]+AllPlans[[#This Row],[SV days*]]+AllPlans[[#This Row],[Travel days]]+AllPlans[[#This Row],[Reptg days*]]</f>
        <v>0</v>
      </c>
      <c r="AG452" s="64"/>
      <c r="AI452" s="64"/>
      <c r="AK452" s="64"/>
      <c r="AM452" s="64"/>
      <c r="AO452" s="64"/>
      <c r="AQ452" s="64"/>
      <c r="AS452" s="64"/>
      <c r="AY452" s="297" t="s">
        <v>274</v>
      </c>
      <c r="AZ452" s="63" t="str">
        <f t="shared" si="29"/>
        <v>Sep 25</v>
      </c>
      <c r="BA452" s="63" t="str">
        <f t="shared" si="30"/>
        <v>Jan 00</v>
      </c>
    </row>
    <row r="453" spans="1:53" s="63" customFormat="1" ht="14" x14ac:dyDescent="0.15">
      <c r="A453" s="63">
        <v>3373793</v>
      </c>
      <c r="B453" s="63">
        <v>2040</v>
      </c>
      <c r="C453" s="63" t="s">
        <v>67</v>
      </c>
      <c r="D453" s="163" t="s">
        <v>873</v>
      </c>
      <c r="E453" s="63" t="s">
        <v>425</v>
      </c>
      <c r="F453" s="63" t="s">
        <v>57</v>
      </c>
      <c r="G453" s="63">
        <v>3</v>
      </c>
      <c r="H453" s="63">
        <v>45638</v>
      </c>
      <c r="J453" s="64">
        <v>45926</v>
      </c>
      <c r="M453" s="64">
        <v>45947</v>
      </c>
      <c r="AE453" s="52">
        <f>AllPlans[[#This Row],[Prep days*]]+AllPlans[[#This Row],[Hearing days*]]+AllPlans[[#This Row],[SV days*]]+AllPlans[[#This Row],[Travel days]]+AllPlans[[#This Row],[Reptg days*]]</f>
        <v>0</v>
      </c>
      <c r="AY453" s="63" t="s">
        <v>874</v>
      </c>
      <c r="AZ453" s="63" t="str">
        <f t="shared" si="29"/>
        <v>Sep 25</v>
      </c>
      <c r="BA453" s="63" t="str">
        <f t="shared" si="30"/>
        <v>Jan 00</v>
      </c>
    </row>
    <row r="454" spans="1:53" s="63" customFormat="1" ht="14" x14ac:dyDescent="0.15">
      <c r="A454" s="63">
        <v>3374007</v>
      </c>
      <c r="B454" s="63">
        <v>2294</v>
      </c>
      <c r="C454" s="63" t="s">
        <v>270</v>
      </c>
      <c r="D454" s="110" t="s">
        <v>875</v>
      </c>
      <c r="E454" s="63" t="s">
        <v>876</v>
      </c>
      <c r="F454" s="63" t="s">
        <v>57</v>
      </c>
      <c r="G454" s="63">
        <v>3</v>
      </c>
      <c r="H454" s="64">
        <v>45727</v>
      </c>
      <c r="J454" s="64">
        <v>45930</v>
      </c>
      <c r="M454" s="64">
        <v>45944</v>
      </c>
      <c r="N454" s="64"/>
      <c r="O454" s="64"/>
      <c r="Q454" s="64"/>
      <c r="AE454" s="119">
        <f>AllPlans[[#This Row],[Prep days*]]+AllPlans[[#This Row],[Hearing days*]]+AllPlans[[#This Row],[SV days*]]+AllPlans[[#This Row],[Travel days]]+AllPlans[[#This Row],[Reptg days*]]</f>
        <v>0</v>
      </c>
      <c r="AG454" s="64"/>
      <c r="AI454" s="64"/>
      <c r="AK454" s="64"/>
      <c r="AM454" s="64"/>
      <c r="AO454" s="64"/>
      <c r="AQ454" s="64"/>
      <c r="AS454" s="64"/>
      <c r="AY454" s="63" t="s">
        <v>877</v>
      </c>
      <c r="AZ454" s="63" t="str">
        <f t="shared" si="29"/>
        <v>Sep 25</v>
      </c>
      <c r="BA454" s="63" t="str">
        <f t="shared" si="30"/>
        <v>Jan 00</v>
      </c>
    </row>
    <row r="455" spans="1:53" s="211" customFormat="1" ht="14" x14ac:dyDescent="0.15">
      <c r="A455" s="219">
        <v>3365259</v>
      </c>
      <c r="B455" s="219">
        <v>2436</v>
      </c>
      <c r="C455" s="220" t="s">
        <v>90</v>
      </c>
      <c r="D455" s="221" t="s">
        <v>266</v>
      </c>
      <c r="E455" s="222" t="s">
        <v>56</v>
      </c>
      <c r="F455" s="222" t="s">
        <v>57</v>
      </c>
      <c r="G455" s="222">
        <v>3</v>
      </c>
      <c r="H455" s="223">
        <v>45778</v>
      </c>
      <c r="I455" s="222"/>
      <c r="J455" s="223">
        <v>45933</v>
      </c>
      <c r="K455" s="222"/>
      <c r="L455" s="222"/>
      <c r="M455" s="223">
        <v>45944</v>
      </c>
      <c r="N455" s="223"/>
      <c r="O455" s="223"/>
      <c r="P455" s="222"/>
      <c r="Q455" s="223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4"/>
      <c r="AF455" s="222"/>
      <c r="AG455" s="223"/>
      <c r="AH455" s="222"/>
      <c r="AI455" s="223"/>
      <c r="AJ455" s="222"/>
      <c r="AK455" s="223"/>
      <c r="AL455" s="222"/>
      <c r="AM455" s="223"/>
      <c r="AN455" s="222"/>
      <c r="AO455" s="223"/>
      <c r="AP455" s="222"/>
      <c r="AQ455" s="223"/>
      <c r="AR455" s="222"/>
      <c r="AS455" s="223"/>
      <c r="AT455" s="222"/>
      <c r="AU455" s="222"/>
      <c r="AV455" s="222"/>
      <c r="AW455" s="222"/>
      <c r="AX455" s="222"/>
      <c r="AY455" s="225" t="s">
        <v>267</v>
      </c>
      <c r="AZ455" s="225">
        <v>36526</v>
      </c>
      <c r="BA455" s="226" t="str">
        <f t="shared" si="30"/>
        <v>Jan 00</v>
      </c>
    </row>
    <row r="456" spans="1:53" ht="14" x14ac:dyDescent="0.15">
      <c r="A456" s="219">
        <v>3366862</v>
      </c>
      <c r="B456" s="219">
        <v>2292</v>
      </c>
      <c r="C456" s="222" t="s">
        <v>67</v>
      </c>
      <c r="D456" s="227" t="s">
        <v>301</v>
      </c>
      <c r="E456" s="222" t="s">
        <v>56</v>
      </c>
      <c r="F456" s="222" t="s">
        <v>57</v>
      </c>
      <c r="G456" s="222">
        <v>3</v>
      </c>
      <c r="H456" s="223">
        <v>45716</v>
      </c>
      <c r="I456" s="222"/>
      <c r="J456" s="223">
        <v>45954</v>
      </c>
      <c r="K456" s="222"/>
      <c r="L456" s="222"/>
      <c r="M456" s="223">
        <v>45975</v>
      </c>
      <c r="N456" s="223"/>
      <c r="O456" s="223"/>
      <c r="P456" s="222"/>
      <c r="Q456" s="223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  <c r="AC456" s="222"/>
      <c r="AD456" s="222"/>
      <c r="AE456" s="224">
        <f>AllPlans[[#This Row],[Prep days*]]+AllPlans[[#This Row],[Hearing days*]]+AllPlans[[#This Row],[SV days*]]+AllPlans[[#This Row],[Travel days]]+AllPlans[[#This Row],[Reptg days*]]</f>
        <v>0</v>
      </c>
      <c r="AF456" s="222"/>
      <c r="AG456" s="223"/>
      <c r="AH456" s="222"/>
      <c r="AI456" s="223"/>
      <c r="AJ456" s="222"/>
      <c r="AK456" s="223"/>
      <c r="AL456" s="222"/>
      <c r="AM456" s="223"/>
      <c r="AN456" s="222"/>
      <c r="AO456" s="223"/>
      <c r="AP456" s="222"/>
      <c r="AQ456" s="223"/>
      <c r="AR456" s="222"/>
      <c r="AS456" s="223"/>
      <c r="AT456" s="222"/>
      <c r="AU456" s="222"/>
      <c r="AV456" s="222"/>
      <c r="AW456" s="222"/>
      <c r="AX456" s="222"/>
      <c r="AY456" s="226" t="s">
        <v>303</v>
      </c>
      <c r="AZ456" s="226" t="str">
        <f t="shared" ref="AZ456:AZ491" si="31">TEXT(J456,"MMM YY")</f>
        <v>Oct 25</v>
      </c>
      <c r="BA456" s="228" t="str">
        <f t="shared" si="30"/>
        <v>Jan 00</v>
      </c>
    </row>
    <row r="457" spans="1:53" s="226" customFormat="1" ht="14" x14ac:dyDescent="0.15">
      <c r="A457" s="279">
        <v>3375348</v>
      </c>
      <c r="B457" s="219">
        <v>2414</v>
      </c>
      <c r="C457" s="222" t="s">
        <v>83</v>
      </c>
      <c r="D457" s="280" t="s">
        <v>878</v>
      </c>
      <c r="E457" s="222" t="s">
        <v>879</v>
      </c>
      <c r="F457" s="222" t="s">
        <v>74</v>
      </c>
      <c r="G457" s="222">
        <v>2</v>
      </c>
      <c r="H457" s="223">
        <v>45733</v>
      </c>
      <c r="I457" s="222"/>
      <c r="J457" s="223">
        <v>45961</v>
      </c>
      <c r="K457" s="222"/>
      <c r="L457" s="222"/>
      <c r="M457" s="223">
        <v>45965</v>
      </c>
      <c r="N457" s="223"/>
      <c r="O457" s="223"/>
      <c r="P457" s="222"/>
      <c r="Q457" s="223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  <c r="AC457" s="222"/>
      <c r="AD457" s="222"/>
      <c r="AE457" s="224"/>
      <c r="AF457" s="222"/>
      <c r="AG457" s="223"/>
      <c r="AH457" s="222"/>
      <c r="AI457" s="223"/>
      <c r="AJ457" s="222"/>
      <c r="AK457" s="223"/>
      <c r="AL457" s="222"/>
      <c r="AM457" s="223"/>
      <c r="AN457" s="222"/>
      <c r="AO457" s="223"/>
      <c r="AP457" s="222"/>
      <c r="AQ457" s="223"/>
      <c r="AR457" s="222"/>
      <c r="AS457" s="223"/>
      <c r="AT457" s="222"/>
      <c r="AU457" s="222"/>
      <c r="AV457" s="222"/>
      <c r="AW457" s="222"/>
      <c r="AX457" s="222"/>
      <c r="AZ457" s="226" t="str">
        <f t="shared" si="31"/>
        <v>Oct 25</v>
      </c>
      <c r="BA457" s="226" t="str">
        <f t="shared" si="30"/>
        <v>Jan 00</v>
      </c>
    </row>
    <row r="458" spans="1:53" s="226" customFormat="1" ht="14" x14ac:dyDescent="0.15">
      <c r="A458" s="219">
        <v>3375867</v>
      </c>
      <c r="B458" s="219">
        <v>2024</v>
      </c>
      <c r="C458" s="222" t="s">
        <v>90</v>
      </c>
      <c r="D458" s="287" t="s">
        <v>593</v>
      </c>
      <c r="E458" s="222" t="s">
        <v>880</v>
      </c>
      <c r="F458" s="222" t="s">
        <v>74</v>
      </c>
      <c r="G458" s="222">
        <v>2</v>
      </c>
      <c r="H458" s="223">
        <v>45716</v>
      </c>
      <c r="I458" s="222"/>
      <c r="J458" s="223">
        <v>45974</v>
      </c>
      <c r="K458" s="222"/>
      <c r="L458" s="222"/>
      <c r="M458" s="223">
        <v>46009</v>
      </c>
      <c r="N458" s="223"/>
      <c r="O458" s="223"/>
      <c r="P458" s="222"/>
      <c r="Q458" s="223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  <c r="AC458" s="222"/>
      <c r="AD458" s="222"/>
      <c r="AE458" s="224">
        <f>AllPlans[[#This Row],[Prep days*]]+AllPlans[[#This Row],[Hearing days*]]+AllPlans[[#This Row],[SV days*]]+AllPlans[[#This Row],[Travel days]]+AllPlans[[#This Row],[Reptg days*]]</f>
        <v>0</v>
      </c>
      <c r="AF458" s="222"/>
      <c r="AG458" s="223"/>
      <c r="AH458" s="222"/>
      <c r="AI458" s="223"/>
      <c r="AJ458" s="222"/>
      <c r="AK458" s="223"/>
      <c r="AL458" s="222"/>
      <c r="AM458" s="223"/>
      <c r="AN458" s="222"/>
      <c r="AO458" s="223"/>
      <c r="AP458" s="222"/>
      <c r="AQ458" s="223"/>
      <c r="AR458" s="222"/>
      <c r="AS458" s="223"/>
      <c r="AT458" s="222"/>
      <c r="AU458" s="222"/>
      <c r="AV458" s="222"/>
      <c r="AW458" s="222"/>
      <c r="AX458" s="222"/>
      <c r="AY458" s="226" t="s">
        <v>881</v>
      </c>
      <c r="AZ458" s="226" t="str">
        <f t="shared" si="31"/>
        <v>Nov 25</v>
      </c>
      <c r="BA458" s="226" t="str">
        <f t="shared" si="30"/>
        <v>Jan 00</v>
      </c>
    </row>
    <row r="459" spans="1:53" s="285" customFormat="1" ht="15" x14ac:dyDescent="0.2">
      <c r="A459" s="285">
        <v>3373036</v>
      </c>
      <c r="B459" s="285">
        <v>2408</v>
      </c>
      <c r="C459" s="286" t="s">
        <v>71</v>
      </c>
      <c r="D459" s="294" t="s">
        <v>555</v>
      </c>
      <c r="E459" s="286" t="s">
        <v>56</v>
      </c>
      <c r="F459" s="286" t="s">
        <v>57</v>
      </c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  <c r="AH459" s="286"/>
      <c r="AI459" s="286"/>
      <c r="AJ459" s="286"/>
      <c r="AK459" s="286"/>
      <c r="AL459" s="286"/>
      <c r="AM459" s="286"/>
      <c r="AN459" s="286"/>
      <c r="AO459" s="286"/>
      <c r="AP459" s="286"/>
      <c r="AQ459" s="286"/>
      <c r="AR459" s="286"/>
      <c r="AS459" s="286"/>
      <c r="AT459" s="286"/>
      <c r="AU459" s="286"/>
      <c r="AV459" s="286"/>
      <c r="AW459" s="286"/>
      <c r="AX459" s="286"/>
      <c r="AY459" s="297" t="s">
        <v>882</v>
      </c>
      <c r="AZ459" s="285" t="str">
        <f t="shared" si="31"/>
        <v>Jan 00</v>
      </c>
      <c r="BA459" s="285" t="str">
        <f t="shared" si="30"/>
        <v>Jan 00</v>
      </c>
    </row>
    <row r="460" spans="1:53" s="293" customFormat="1" ht="15" thickBot="1" x14ac:dyDescent="0.2">
      <c r="A460" s="288">
        <v>3371048</v>
      </c>
      <c r="B460" s="288">
        <v>2445</v>
      </c>
      <c r="C460" s="289" t="s">
        <v>83</v>
      </c>
      <c r="D460" s="290" t="s">
        <v>883</v>
      </c>
      <c r="E460" s="289" t="s">
        <v>56</v>
      </c>
      <c r="F460" s="289" t="s">
        <v>57</v>
      </c>
      <c r="G460" s="289">
        <v>3</v>
      </c>
      <c r="H460" s="291" t="s">
        <v>552</v>
      </c>
      <c r="I460" s="289"/>
      <c r="J460" s="291"/>
      <c r="K460" s="289"/>
      <c r="L460" s="289"/>
      <c r="M460" s="291"/>
      <c r="N460" s="291"/>
      <c r="O460" s="291"/>
      <c r="P460" s="289"/>
      <c r="Q460" s="291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  <c r="AC460" s="289"/>
      <c r="AD460" s="289"/>
      <c r="AE460" s="292">
        <f>AllPlans[[#This Row],[Prep days*]]+AllPlans[[#This Row],[Hearing days*]]+AllPlans[[#This Row],[SV days*]]+AllPlans[[#This Row],[Travel days]]+AllPlans[[#This Row],[Reptg days*]]</f>
        <v>0</v>
      </c>
      <c r="AF460" s="289"/>
      <c r="AG460" s="291"/>
      <c r="AH460" s="289"/>
      <c r="AI460" s="291"/>
      <c r="AJ460" s="289"/>
      <c r="AK460" s="291"/>
      <c r="AL460" s="289"/>
      <c r="AM460" s="291"/>
      <c r="AN460" s="289"/>
      <c r="AO460" s="291"/>
      <c r="AP460" s="289"/>
      <c r="AQ460" s="291"/>
      <c r="AR460" s="289"/>
      <c r="AS460" s="291"/>
      <c r="AT460" s="289"/>
      <c r="AU460" s="289"/>
      <c r="AV460" s="289"/>
      <c r="AW460" s="289"/>
      <c r="AX460" s="289"/>
      <c r="AY460" s="293" t="s">
        <v>884</v>
      </c>
      <c r="AZ460" s="293" t="str">
        <f t="shared" si="31"/>
        <v>Jan 00</v>
      </c>
      <c r="BA460" s="293" t="str">
        <f t="shared" si="30"/>
        <v>Jan 00</v>
      </c>
    </row>
    <row r="461" spans="1:53" ht="14" x14ac:dyDescent="0.15">
      <c r="A461" s="210">
        <v>3364908</v>
      </c>
      <c r="B461" s="210">
        <v>2403</v>
      </c>
      <c r="C461" s="75" t="s">
        <v>77</v>
      </c>
      <c r="D461" s="295" t="s">
        <v>885</v>
      </c>
      <c r="E461" s="75" t="s">
        <v>56</v>
      </c>
      <c r="F461" s="75" t="s">
        <v>57</v>
      </c>
      <c r="G461" s="75">
        <v>3</v>
      </c>
      <c r="H461" s="76" t="s">
        <v>552</v>
      </c>
      <c r="I461" s="75"/>
      <c r="J461" s="76"/>
      <c r="K461" s="75"/>
      <c r="L461" s="75"/>
      <c r="M461" s="76"/>
      <c r="N461" s="76"/>
      <c r="O461" s="76"/>
      <c r="P461" s="75"/>
      <c r="Q461" s="76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267">
        <f>AllPlans[[#This Row],[Prep days*]]+AllPlans[[#This Row],[Hearing days*]]+AllPlans[[#This Row],[SV days*]]+AllPlans[[#This Row],[Travel days]]+AllPlans[[#This Row],[Reptg days*]]</f>
        <v>0</v>
      </c>
      <c r="AF461" s="75"/>
      <c r="AG461" s="76"/>
      <c r="AH461" s="75"/>
      <c r="AI461" s="76"/>
      <c r="AJ461" s="75"/>
      <c r="AK461" s="76"/>
      <c r="AL461" s="75"/>
      <c r="AM461" s="76"/>
      <c r="AN461" s="75"/>
      <c r="AO461" s="76"/>
      <c r="AP461" s="75"/>
      <c r="AQ461" s="76"/>
      <c r="AR461" s="75"/>
      <c r="AS461" s="76"/>
      <c r="AT461" s="75"/>
      <c r="AU461" s="75"/>
      <c r="AV461" s="75"/>
      <c r="AW461" s="75"/>
      <c r="AX461" s="75"/>
      <c r="AY461" s="41" t="s">
        <v>886</v>
      </c>
      <c r="AZ461" s="41" t="str">
        <f t="shared" si="31"/>
        <v>Jan 00</v>
      </c>
      <c r="BA461" s="41" t="str">
        <f t="shared" si="30"/>
        <v>Jan 00</v>
      </c>
    </row>
    <row r="462" spans="1:53" ht="15" x14ac:dyDescent="0.2">
      <c r="A462" s="124">
        <v>3373348</v>
      </c>
      <c r="B462" s="124">
        <v>2458</v>
      </c>
      <c r="C462" s="70" t="s">
        <v>71</v>
      </c>
      <c r="D462" s="156" t="s">
        <v>410</v>
      </c>
      <c r="E462" s="70" t="s">
        <v>56</v>
      </c>
      <c r="F462" s="70" t="s">
        <v>57</v>
      </c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297" t="s">
        <v>412</v>
      </c>
      <c r="AZ462" s="41" t="str">
        <f t="shared" si="31"/>
        <v>Jan 00</v>
      </c>
      <c r="BA462" s="41" t="str">
        <f t="shared" si="30"/>
        <v>Jan 00</v>
      </c>
    </row>
    <row r="463" spans="1:53" ht="14" x14ac:dyDescent="0.15">
      <c r="A463" s="124">
        <v>3373203</v>
      </c>
      <c r="B463" s="124">
        <v>2457</v>
      </c>
      <c r="C463" s="70" t="s">
        <v>90</v>
      </c>
      <c r="D463" s="153" t="s">
        <v>396</v>
      </c>
      <c r="E463" s="70" t="s">
        <v>92</v>
      </c>
      <c r="F463" s="70" t="s">
        <v>57</v>
      </c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79" t="s">
        <v>887</v>
      </c>
      <c r="AZ463" s="41" t="str">
        <f t="shared" si="31"/>
        <v>Jan 00</v>
      </c>
      <c r="BA463" s="41" t="str">
        <f t="shared" si="30"/>
        <v>Jan 00</v>
      </c>
    </row>
    <row r="464" spans="1:53" ht="14" x14ac:dyDescent="0.15">
      <c r="A464" s="124">
        <v>3372866</v>
      </c>
      <c r="B464" s="124">
        <v>2452</v>
      </c>
      <c r="C464" s="70" t="s">
        <v>61</v>
      </c>
      <c r="D464" s="152" t="s">
        <v>492</v>
      </c>
      <c r="E464" s="70" t="s">
        <v>56</v>
      </c>
      <c r="F464" s="70" t="s">
        <v>57</v>
      </c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37">
        <f>AllPlans[[#This Row],[Prep days*]]+AllPlans[[#This Row],[Hearing days*]]+AllPlans[[#This Row],[SV days*]]+AllPlans[[#This Row],[Travel days]]+AllPlans[[#This Row],[Reptg days*]]</f>
        <v>0</v>
      </c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41" t="s">
        <v>888</v>
      </c>
      <c r="AZ464" s="41" t="str">
        <f t="shared" si="31"/>
        <v>Jan 00</v>
      </c>
      <c r="BA464" s="41" t="str">
        <f t="shared" si="30"/>
        <v>Jan 00</v>
      </c>
    </row>
    <row r="465" spans="1:53" ht="14" x14ac:dyDescent="0.15">
      <c r="A465" s="124">
        <v>3364095</v>
      </c>
      <c r="B465" s="124">
        <v>2429</v>
      </c>
      <c r="C465" s="69" t="s">
        <v>104</v>
      </c>
      <c r="D465" s="155" t="s">
        <v>889</v>
      </c>
      <c r="E465" s="69" t="s">
        <v>56</v>
      </c>
      <c r="F465" s="69" t="s">
        <v>57</v>
      </c>
      <c r="G465" s="69">
        <v>3</v>
      </c>
      <c r="H465" s="70" t="s">
        <v>552</v>
      </c>
      <c r="I465" s="69"/>
      <c r="J465" s="70"/>
      <c r="K465" s="69"/>
      <c r="L465" s="69"/>
      <c r="M465" s="70"/>
      <c r="N465" s="70"/>
      <c r="O465" s="70"/>
      <c r="P465" s="69"/>
      <c r="Q465" s="70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37">
        <f>AllPlans[[#This Row],[Prep days*]]+AllPlans[[#This Row],[Hearing days*]]+AllPlans[[#This Row],[SV days*]]+AllPlans[[#This Row],[Travel days]]+AllPlans[[#This Row],[Reptg days*]]</f>
        <v>0</v>
      </c>
      <c r="AF465" s="69"/>
      <c r="AG465" s="70"/>
      <c r="AH465" s="69"/>
      <c r="AI465" s="70"/>
      <c r="AJ465" s="69"/>
      <c r="AK465" s="70"/>
      <c r="AL465" s="69"/>
      <c r="AM465" s="70"/>
      <c r="AN465" s="69"/>
      <c r="AO465" s="70"/>
      <c r="AP465" s="69"/>
      <c r="AQ465" s="70"/>
      <c r="AR465" s="69"/>
      <c r="AS465" s="70"/>
      <c r="AT465" s="69"/>
      <c r="AU465" s="69"/>
      <c r="AV465" s="69"/>
      <c r="AW465" s="69"/>
      <c r="AX465" s="69"/>
      <c r="AY465" s="41" t="s">
        <v>890</v>
      </c>
      <c r="AZ465" s="41" t="str">
        <f t="shared" si="31"/>
        <v>Jan 00</v>
      </c>
      <c r="BA465" s="41" t="str">
        <f t="shared" si="30"/>
        <v>Jan 00</v>
      </c>
    </row>
    <row r="466" spans="1:53" ht="15" x14ac:dyDescent="0.2">
      <c r="A466" s="124">
        <v>3374345</v>
      </c>
      <c r="B466" s="124">
        <v>2411</v>
      </c>
      <c r="C466" s="69" t="s">
        <v>71</v>
      </c>
      <c r="D466" s="157" t="s">
        <v>286</v>
      </c>
      <c r="E466" s="69" t="s">
        <v>56</v>
      </c>
      <c r="F466" s="69" t="s">
        <v>57</v>
      </c>
      <c r="G466" s="69">
        <v>3</v>
      </c>
      <c r="H466" s="70">
        <v>45870</v>
      </c>
      <c r="I466" s="69"/>
      <c r="J466" s="70"/>
      <c r="K466" s="69"/>
      <c r="L466" s="69"/>
      <c r="M466" s="70"/>
      <c r="N466" s="70"/>
      <c r="O466" s="70"/>
      <c r="P466" s="69"/>
      <c r="Q466" s="70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37">
        <f>AllPlans[[#This Row],[Prep days*]]+AllPlans[[#This Row],[Hearing days*]]+AllPlans[[#This Row],[SV days*]]+AllPlans[[#This Row],[Travel days]]+AllPlans[[#This Row],[Reptg days*]]</f>
        <v>0</v>
      </c>
      <c r="AF466" s="69"/>
      <c r="AG466" s="70"/>
      <c r="AH466" s="69"/>
      <c r="AI466" s="70"/>
      <c r="AJ466" s="69"/>
      <c r="AK466" s="70"/>
      <c r="AL466" s="69"/>
      <c r="AM466" s="70"/>
      <c r="AN466" s="69"/>
      <c r="AO466" s="70"/>
      <c r="AP466" s="69"/>
      <c r="AQ466" s="70"/>
      <c r="AR466" s="69"/>
      <c r="AS466" s="70"/>
      <c r="AT466" s="69"/>
      <c r="AU466" s="69"/>
      <c r="AV466" s="69"/>
      <c r="AW466" s="69"/>
      <c r="AX466" s="69"/>
      <c r="AY466" s="297" t="s">
        <v>288</v>
      </c>
      <c r="AZ466" s="41" t="str">
        <f t="shared" si="31"/>
        <v>Jan 00</v>
      </c>
      <c r="BA466" s="41" t="str">
        <f t="shared" si="30"/>
        <v>Jan 00</v>
      </c>
    </row>
    <row r="467" spans="1:53" ht="14" x14ac:dyDescent="0.15">
      <c r="A467" s="41">
        <v>3373893</v>
      </c>
      <c r="B467" s="41">
        <v>2295</v>
      </c>
      <c r="C467" s="41" t="s">
        <v>71</v>
      </c>
      <c r="D467" s="282" t="s">
        <v>496</v>
      </c>
      <c r="E467" s="41" t="s">
        <v>92</v>
      </c>
      <c r="F467" s="41" t="s">
        <v>57</v>
      </c>
      <c r="G467" s="41">
        <v>3</v>
      </c>
      <c r="H467" s="79">
        <v>45692</v>
      </c>
      <c r="I467" s="41"/>
      <c r="J467" s="79"/>
      <c r="K467" s="41"/>
      <c r="M467" s="79"/>
      <c r="P467" s="41"/>
      <c r="Q467" s="79"/>
      <c r="R467" s="41"/>
      <c r="AE467" s="284">
        <f>AllPlans[[#This Row],[Prep days*]]+AllPlans[[#This Row],[Hearing days*]]+AllPlans[[#This Row],[SV days*]]+AllPlans[[#This Row],[Travel days]]+AllPlans[[#This Row],[Reptg days*]]</f>
        <v>0</v>
      </c>
      <c r="AG467" s="79"/>
      <c r="AH467" s="41"/>
      <c r="AI467" s="79"/>
      <c r="AJ467" s="41"/>
      <c r="AK467" s="79"/>
      <c r="AL467" s="41"/>
      <c r="AM467" s="79"/>
      <c r="AN467" s="41"/>
      <c r="AO467" s="79"/>
      <c r="AP467" s="41"/>
      <c r="AQ467" s="79"/>
      <c r="AR467" s="41"/>
      <c r="AS467" s="79"/>
      <c r="AT467" s="41"/>
      <c r="AY467" s="41" t="s">
        <v>891</v>
      </c>
      <c r="AZ467" s="41" t="str">
        <f t="shared" si="31"/>
        <v>Jan 00</v>
      </c>
      <c r="BA467" s="41" t="str">
        <f t="shared" si="30"/>
        <v>Jan 00</v>
      </c>
    </row>
    <row r="468" spans="1:53" ht="14" x14ac:dyDescent="0.15">
      <c r="A468" s="41">
        <v>3374682</v>
      </c>
      <c r="B468" s="41">
        <v>2333</v>
      </c>
      <c r="C468" s="41" t="s">
        <v>83</v>
      </c>
      <c r="D468" s="283" t="s">
        <v>646</v>
      </c>
      <c r="E468" s="41" t="s">
        <v>425</v>
      </c>
      <c r="F468" s="41" t="s">
        <v>57</v>
      </c>
      <c r="I468" s="41"/>
      <c r="K468" s="41"/>
      <c r="N468" s="41"/>
      <c r="O468" s="41"/>
      <c r="P468" s="41"/>
      <c r="R468" s="41"/>
      <c r="AH468" s="41"/>
      <c r="AJ468" s="41"/>
      <c r="AL468" s="41"/>
      <c r="AN468" s="41"/>
      <c r="AP468" s="41"/>
      <c r="AR468" s="41"/>
      <c r="AT468" s="41"/>
      <c r="AY468" s="41" t="s">
        <v>892</v>
      </c>
      <c r="AZ468" s="41" t="str">
        <f t="shared" si="31"/>
        <v>Jan 00</v>
      </c>
      <c r="BA468" s="41" t="str">
        <f t="shared" si="30"/>
        <v>Jan 00</v>
      </c>
    </row>
    <row r="469" spans="1:53" ht="14" x14ac:dyDescent="0.15">
      <c r="A469" s="124">
        <v>3365024</v>
      </c>
      <c r="B469" s="124">
        <v>2434</v>
      </c>
      <c r="C469" s="69" t="s">
        <v>104</v>
      </c>
      <c r="D469" s="155" t="s">
        <v>570</v>
      </c>
      <c r="E469" s="69" t="s">
        <v>56</v>
      </c>
      <c r="F469" s="69" t="s">
        <v>57</v>
      </c>
      <c r="G469" s="69">
        <v>3</v>
      </c>
      <c r="H469" s="69" t="s">
        <v>552</v>
      </c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>
        <f>AllPlans[[#This Row],[Prep days*]]+AllPlans[[#This Row],[Hearing days*]]+AllPlans[[#This Row],[SV days*]]+AllPlans[[#This Row],[Travel days]]+AllPlans[[#This Row],[Reptg days*]]</f>
        <v>0</v>
      </c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41" t="s">
        <v>893</v>
      </c>
      <c r="AZ469" s="41" t="str">
        <f t="shared" si="31"/>
        <v>Jan 00</v>
      </c>
      <c r="BA469" s="41" t="str">
        <f t="shared" si="30"/>
        <v>Jan 00</v>
      </c>
    </row>
    <row r="470" spans="1:53" ht="14" x14ac:dyDescent="0.15">
      <c r="A470" s="124">
        <v>3374683</v>
      </c>
      <c r="B470" s="124">
        <v>2459</v>
      </c>
      <c r="C470" s="69" t="s">
        <v>270</v>
      </c>
      <c r="D470" s="125" t="s">
        <v>628</v>
      </c>
      <c r="E470" s="69" t="s">
        <v>56</v>
      </c>
      <c r="F470" s="69" t="s">
        <v>57</v>
      </c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41" t="s">
        <v>894</v>
      </c>
      <c r="AZ470" s="41" t="str">
        <f t="shared" si="31"/>
        <v>Jan 00</v>
      </c>
      <c r="BA470" s="41" t="str">
        <f t="shared" si="30"/>
        <v>Jan 00</v>
      </c>
    </row>
    <row r="471" spans="1:53" ht="14" x14ac:dyDescent="0.15">
      <c r="A471" s="124">
        <v>3364915</v>
      </c>
      <c r="B471" s="124">
        <v>2431</v>
      </c>
      <c r="C471" s="69" t="s">
        <v>61</v>
      </c>
      <c r="D471" s="129" t="s">
        <v>621</v>
      </c>
      <c r="E471" s="69" t="s">
        <v>56</v>
      </c>
      <c r="F471" s="69" t="s">
        <v>57</v>
      </c>
      <c r="G471" s="69">
        <v>3</v>
      </c>
      <c r="H471" s="70" t="s">
        <v>552</v>
      </c>
      <c r="I471" s="69"/>
      <c r="J471" s="70"/>
      <c r="K471" s="69"/>
      <c r="L471" s="69"/>
      <c r="M471" s="70"/>
      <c r="N471" s="70"/>
      <c r="O471" s="70"/>
      <c r="P471" s="69"/>
      <c r="Q471" s="70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37">
        <f>AllPlans[[#This Row],[Prep days*]]+AllPlans[[#This Row],[Hearing days*]]+AllPlans[[#This Row],[SV days*]]+AllPlans[[#This Row],[Travel days]]+AllPlans[[#This Row],[Reptg days*]]</f>
        <v>0</v>
      </c>
      <c r="AF471" s="69"/>
      <c r="AG471" s="70"/>
      <c r="AH471" s="69"/>
      <c r="AI471" s="70"/>
      <c r="AJ471" s="69"/>
      <c r="AK471" s="70"/>
      <c r="AL471" s="69"/>
      <c r="AM471" s="70"/>
      <c r="AN471" s="69"/>
      <c r="AO471" s="70"/>
      <c r="AP471" s="69"/>
      <c r="AQ471" s="70"/>
      <c r="AR471" s="69"/>
      <c r="AS471" s="70"/>
      <c r="AT471" s="69"/>
      <c r="AU471" s="69"/>
      <c r="AV471" s="69"/>
      <c r="AW471" s="69"/>
      <c r="AX471" s="69"/>
      <c r="AY471" s="41" t="s">
        <v>895</v>
      </c>
      <c r="AZ471" s="41" t="str">
        <f t="shared" si="31"/>
        <v>Jan 00</v>
      </c>
      <c r="BA471" s="41" t="str">
        <f t="shared" si="30"/>
        <v>Jan 00</v>
      </c>
    </row>
    <row r="472" spans="1:53" ht="14" x14ac:dyDescent="0.15">
      <c r="A472" s="230">
        <v>3375168</v>
      </c>
      <c r="B472" s="230">
        <v>2462</v>
      </c>
      <c r="C472" s="130" t="s">
        <v>104</v>
      </c>
      <c r="D472" s="214" t="s">
        <v>172</v>
      </c>
      <c r="E472" s="130" t="s">
        <v>896</v>
      </c>
      <c r="F472" s="130" t="s">
        <v>57</v>
      </c>
      <c r="G472" s="130">
        <v>3</v>
      </c>
      <c r="H472" s="215"/>
      <c r="I472" s="130"/>
      <c r="J472" s="215"/>
      <c r="K472" s="130"/>
      <c r="L472" s="69"/>
      <c r="M472" s="215"/>
      <c r="N472" s="215"/>
      <c r="O472" s="215"/>
      <c r="P472" s="130"/>
      <c r="Q472" s="215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215"/>
      <c r="AH472" s="130"/>
      <c r="AI472" s="215"/>
      <c r="AJ472" s="130"/>
      <c r="AK472" s="215"/>
      <c r="AL472" s="130"/>
      <c r="AM472" s="215"/>
      <c r="AN472" s="130"/>
      <c r="AO472" s="215"/>
      <c r="AP472" s="130"/>
      <c r="AQ472" s="215"/>
      <c r="AR472" s="130"/>
      <c r="AS472" s="215"/>
      <c r="AT472" s="130"/>
      <c r="AU472" s="130"/>
      <c r="AV472" s="130"/>
      <c r="AW472" s="130"/>
      <c r="AX472" s="130"/>
      <c r="AY472" s="26" t="s">
        <v>174</v>
      </c>
      <c r="AZ472" s="26" t="str">
        <f t="shared" si="31"/>
        <v>Jan 00</v>
      </c>
      <c r="BA472" s="26" t="str">
        <f t="shared" si="30"/>
        <v>Jan 00</v>
      </c>
    </row>
    <row r="473" spans="1:53" ht="14" x14ac:dyDescent="0.15">
      <c r="A473" s="124">
        <v>3373129</v>
      </c>
      <c r="B473" s="124">
        <v>2334</v>
      </c>
      <c r="C473" s="70" t="s">
        <v>104</v>
      </c>
      <c r="D473" s="161" t="s">
        <v>310</v>
      </c>
      <c r="E473" s="70" t="s">
        <v>56</v>
      </c>
      <c r="F473" s="70" t="s">
        <v>57</v>
      </c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79" t="s">
        <v>311</v>
      </c>
      <c r="AZ473" s="41" t="str">
        <f t="shared" si="31"/>
        <v>Jan 00</v>
      </c>
      <c r="BA473" s="41" t="str">
        <f t="shared" si="30"/>
        <v>Jan 00</v>
      </c>
    </row>
    <row r="474" spans="1:53" ht="14" x14ac:dyDescent="0.15">
      <c r="A474" s="69" t="s">
        <v>53</v>
      </c>
      <c r="B474" s="124">
        <v>2164</v>
      </c>
      <c r="C474" s="41" t="s">
        <v>67</v>
      </c>
      <c r="D474" s="164" t="s">
        <v>386</v>
      </c>
      <c r="E474" s="69" t="s">
        <v>56</v>
      </c>
      <c r="F474" s="69" t="s">
        <v>57</v>
      </c>
      <c r="G474" s="69">
        <v>3</v>
      </c>
      <c r="H474" s="70">
        <v>45701</v>
      </c>
      <c r="I474" s="69"/>
      <c r="J474" s="70"/>
      <c r="K474" s="69"/>
      <c r="L474" s="69"/>
      <c r="M474" s="70"/>
      <c r="N474" s="70"/>
      <c r="O474" s="70"/>
      <c r="P474" s="69"/>
      <c r="Q474" s="70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37"/>
      <c r="AF474" s="69"/>
      <c r="AG474" s="70"/>
      <c r="AH474" s="69"/>
      <c r="AI474" s="70"/>
      <c r="AJ474" s="69"/>
      <c r="AK474" s="70"/>
      <c r="AL474" s="69"/>
      <c r="AM474" s="70"/>
      <c r="AN474" s="69"/>
      <c r="AO474" s="70"/>
      <c r="AP474" s="69"/>
      <c r="AQ474" s="70"/>
      <c r="AR474" s="69"/>
      <c r="AS474" s="70"/>
      <c r="AT474" s="69"/>
      <c r="AU474" s="69"/>
      <c r="AV474" s="69"/>
      <c r="AW474" s="69"/>
      <c r="AX474" s="69"/>
      <c r="AY474" s="41" t="s">
        <v>897</v>
      </c>
      <c r="AZ474" s="41" t="str">
        <f t="shared" si="31"/>
        <v>Jan 00</v>
      </c>
      <c r="BA474" s="41" t="str">
        <f t="shared" si="30"/>
        <v>Jan 00</v>
      </c>
    </row>
    <row r="475" spans="1:53" ht="15" x14ac:dyDescent="0.15">
      <c r="A475" s="124">
        <v>3364850</v>
      </c>
      <c r="B475" s="124">
        <v>2146</v>
      </c>
      <c r="C475" s="69" t="s">
        <v>61</v>
      </c>
      <c r="D475" s="129" t="s">
        <v>898</v>
      </c>
      <c r="E475" s="69" t="s">
        <v>899</v>
      </c>
      <c r="F475" s="69" t="s">
        <v>57</v>
      </c>
      <c r="G475" s="69">
        <v>3</v>
      </c>
      <c r="H475" s="70" t="s">
        <v>552</v>
      </c>
      <c r="I475" s="69"/>
      <c r="J475" s="70"/>
      <c r="K475" s="69"/>
      <c r="L475" s="69"/>
      <c r="M475" s="70"/>
      <c r="N475" s="70"/>
      <c r="O475" s="70"/>
      <c r="P475" s="69"/>
      <c r="Q475" s="70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37">
        <f>AllPlans[[#This Row],[Prep days*]]+AllPlans[[#This Row],[Hearing days*]]+AllPlans[[#This Row],[SV days*]]+AllPlans[[#This Row],[Travel days]]+AllPlans[[#This Row],[Reptg days*]]</f>
        <v>0</v>
      </c>
      <c r="AF475" s="69"/>
      <c r="AG475" s="70"/>
      <c r="AH475" s="69"/>
      <c r="AI475" s="70"/>
      <c r="AJ475" s="69"/>
      <c r="AK475" s="70"/>
      <c r="AL475" s="69"/>
      <c r="AM475" s="70"/>
      <c r="AN475" s="69"/>
      <c r="AO475" s="70"/>
      <c r="AP475" s="69"/>
      <c r="AQ475" s="70"/>
      <c r="AR475" s="69"/>
      <c r="AS475" s="70"/>
      <c r="AT475" s="69"/>
      <c r="AU475" s="69"/>
      <c r="AV475" s="69"/>
      <c r="AW475" s="69"/>
      <c r="AX475" s="69"/>
      <c r="AY475" s="298" t="s">
        <v>125</v>
      </c>
      <c r="AZ475" s="41" t="str">
        <f t="shared" si="31"/>
        <v>Jan 00</v>
      </c>
      <c r="BA475" s="41" t="str">
        <f t="shared" si="30"/>
        <v>Jan 00</v>
      </c>
    </row>
    <row r="476" spans="1:53" ht="14" x14ac:dyDescent="0.15">
      <c r="A476" s="124">
        <v>3374685</v>
      </c>
      <c r="B476" s="124">
        <v>2115</v>
      </c>
      <c r="C476" s="69" t="s">
        <v>67</v>
      </c>
      <c r="D476" s="164" t="s">
        <v>149</v>
      </c>
      <c r="E476" s="69" t="s">
        <v>56</v>
      </c>
      <c r="F476" s="69" t="s">
        <v>57</v>
      </c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41" t="s">
        <v>151</v>
      </c>
      <c r="AZ476" s="41" t="str">
        <f t="shared" si="31"/>
        <v>Jan 00</v>
      </c>
      <c r="BA476" s="41" t="str">
        <f t="shared" si="30"/>
        <v>Jan 00</v>
      </c>
    </row>
    <row r="477" spans="1:53" ht="14" x14ac:dyDescent="0.15">
      <c r="A477" s="124">
        <v>3373191</v>
      </c>
      <c r="B477" s="124">
        <v>2456</v>
      </c>
      <c r="C477" s="70" t="s">
        <v>83</v>
      </c>
      <c r="D477" s="161" t="s">
        <v>307</v>
      </c>
      <c r="E477" s="70" t="s">
        <v>56</v>
      </c>
      <c r="F477" s="70" t="s">
        <v>57</v>
      </c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79" t="s">
        <v>308</v>
      </c>
      <c r="AZ477" s="41" t="str">
        <f t="shared" si="31"/>
        <v>Jan 00</v>
      </c>
      <c r="BA477" s="41" t="str">
        <f t="shared" si="30"/>
        <v>Jan 00</v>
      </c>
    </row>
    <row r="478" spans="1:53" ht="14" x14ac:dyDescent="0.15">
      <c r="A478" s="124"/>
      <c r="B478" s="124">
        <v>2201</v>
      </c>
      <c r="C478" s="69" t="s">
        <v>270</v>
      </c>
      <c r="D478" s="125" t="s">
        <v>558</v>
      </c>
      <c r="E478" s="69" t="s">
        <v>900</v>
      </c>
      <c r="F478" s="69" t="s">
        <v>74</v>
      </c>
      <c r="G478" s="69">
        <v>2</v>
      </c>
      <c r="H478" s="70">
        <v>45926</v>
      </c>
      <c r="I478" s="69"/>
      <c r="J478" s="70"/>
      <c r="K478" s="69"/>
      <c r="L478" s="69"/>
      <c r="M478" s="70"/>
      <c r="N478" s="70"/>
      <c r="O478" s="70"/>
      <c r="P478" s="69"/>
      <c r="Q478" s="70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37"/>
      <c r="AF478" s="69"/>
      <c r="AG478" s="70"/>
      <c r="AH478" s="69"/>
      <c r="AI478" s="70"/>
      <c r="AJ478" s="69"/>
      <c r="AK478" s="70"/>
      <c r="AL478" s="69"/>
      <c r="AM478" s="70"/>
      <c r="AN478" s="69"/>
      <c r="AO478" s="70"/>
      <c r="AP478" s="69"/>
      <c r="AQ478" s="70"/>
      <c r="AR478" s="69"/>
      <c r="AS478" s="70"/>
      <c r="AT478" s="69"/>
      <c r="AU478" s="69"/>
      <c r="AV478" s="69"/>
      <c r="AW478" s="69"/>
      <c r="AX478" s="69"/>
      <c r="AY478" s="41" t="s">
        <v>901</v>
      </c>
      <c r="AZ478" s="41" t="str">
        <f t="shared" si="31"/>
        <v>Jan 00</v>
      </c>
      <c r="BA478" s="41" t="str">
        <f t="shared" si="30"/>
        <v>Jan 00</v>
      </c>
    </row>
    <row r="479" spans="1:53" ht="15" x14ac:dyDescent="0.2">
      <c r="A479" s="124">
        <v>3365013</v>
      </c>
      <c r="B479" s="124">
        <v>2433</v>
      </c>
      <c r="C479" s="69" t="s">
        <v>104</v>
      </c>
      <c r="D479" s="155" t="s">
        <v>297</v>
      </c>
      <c r="E479" s="69" t="s">
        <v>56</v>
      </c>
      <c r="F479" s="69" t="s">
        <v>57</v>
      </c>
      <c r="G479" s="69">
        <v>3</v>
      </c>
      <c r="H479" s="70" t="s">
        <v>552</v>
      </c>
      <c r="I479" s="69"/>
      <c r="J479" s="70"/>
      <c r="K479" s="69"/>
      <c r="L479" s="69"/>
      <c r="M479" s="70"/>
      <c r="N479" s="70"/>
      <c r="O479" s="70"/>
      <c r="P479" s="69"/>
      <c r="Q479" s="70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37">
        <f>AllPlans[[#This Row],[Prep days*]]+AllPlans[[#This Row],[Hearing days*]]+AllPlans[[#This Row],[SV days*]]+AllPlans[[#This Row],[Travel days]]+AllPlans[[#This Row],[Reptg days*]]</f>
        <v>0</v>
      </c>
      <c r="AF479" s="69"/>
      <c r="AG479" s="70"/>
      <c r="AH479" s="69"/>
      <c r="AI479" s="70"/>
      <c r="AJ479" s="69"/>
      <c r="AK479" s="70"/>
      <c r="AL479" s="69"/>
      <c r="AM479" s="70"/>
      <c r="AN479" s="69"/>
      <c r="AO479" s="70"/>
      <c r="AP479" s="69"/>
      <c r="AQ479" s="70"/>
      <c r="AR479" s="69"/>
      <c r="AS479" s="70"/>
      <c r="AT479" s="69"/>
      <c r="AU479" s="69"/>
      <c r="AV479" s="69"/>
      <c r="AW479" s="69"/>
      <c r="AX479" s="69"/>
      <c r="AY479" s="296" t="s">
        <v>298</v>
      </c>
      <c r="AZ479" s="41" t="str">
        <f t="shared" si="31"/>
        <v>Jan 00</v>
      </c>
      <c r="BA479" s="41" t="str">
        <f t="shared" ref="BA479:BA528" si="32">TEXT(AO479,"MMM YY")</f>
        <v>Jan 00</v>
      </c>
    </row>
    <row r="480" spans="1:53" ht="14" x14ac:dyDescent="0.15">
      <c r="A480" s="124">
        <v>3364126</v>
      </c>
      <c r="B480" s="124">
        <v>2185</v>
      </c>
      <c r="C480" s="69" t="s">
        <v>61</v>
      </c>
      <c r="D480" s="132" t="s">
        <v>902</v>
      </c>
      <c r="E480" s="207" t="s">
        <v>903</v>
      </c>
      <c r="F480" s="69" t="s">
        <v>57</v>
      </c>
      <c r="G480" s="69">
        <v>3</v>
      </c>
      <c r="H480" s="70" t="s">
        <v>552</v>
      </c>
      <c r="I480" s="69"/>
      <c r="J480" s="70"/>
      <c r="K480" s="69"/>
      <c r="L480" s="69"/>
      <c r="M480" s="70"/>
      <c r="N480" s="70"/>
      <c r="O480" s="70"/>
      <c r="P480" s="69"/>
      <c r="Q480" s="70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37">
        <f>AllPlans[[#This Row],[Prep days*]]+AllPlans[[#This Row],[Hearing days*]]+AllPlans[[#This Row],[SV days*]]+AllPlans[[#This Row],[Travel days]]+AllPlans[[#This Row],[Reptg days*]]</f>
        <v>0</v>
      </c>
      <c r="AF480" s="69"/>
      <c r="AG480" s="70"/>
      <c r="AH480" s="69"/>
      <c r="AI480" s="70"/>
      <c r="AJ480" s="69"/>
      <c r="AK480" s="70"/>
      <c r="AL480" s="69"/>
      <c r="AM480" s="70"/>
      <c r="AN480" s="69"/>
      <c r="AO480" s="70"/>
      <c r="AP480" s="69"/>
      <c r="AQ480" s="70"/>
      <c r="AR480" s="69"/>
      <c r="AS480" s="70"/>
      <c r="AT480" s="69"/>
      <c r="AU480" s="69"/>
      <c r="AV480" s="69"/>
      <c r="AW480" s="69"/>
      <c r="AX480" s="69"/>
      <c r="AY480" s="41" t="s">
        <v>904</v>
      </c>
      <c r="AZ480" s="41" t="str">
        <f t="shared" si="31"/>
        <v>Jan 00</v>
      </c>
      <c r="BA480" s="41" t="str">
        <f t="shared" si="32"/>
        <v>Jan 00</v>
      </c>
    </row>
    <row r="481" spans="1:53" ht="14" x14ac:dyDescent="0.15">
      <c r="A481" s="124">
        <v>3365687</v>
      </c>
      <c r="B481" s="124">
        <v>2394</v>
      </c>
      <c r="C481" s="69" t="s">
        <v>104</v>
      </c>
      <c r="D481" s="155" t="s">
        <v>905</v>
      </c>
      <c r="E481" s="69" t="s">
        <v>906</v>
      </c>
      <c r="F481" s="69" t="s">
        <v>57</v>
      </c>
      <c r="G481" s="69">
        <v>3</v>
      </c>
      <c r="H481" s="70">
        <v>45600</v>
      </c>
      <c r="I481" s="69"/>
      <c r="J481" s="70">
        <v>46013</v>
      </c>
      <c r="K481" s="69"/>
      <c r="L481" s="69"/>
      <c r="M481" s="70"/>
      <c r="N481" s="70"/>
      <c r="O481" s="70"/>
      <c r="P481" s="69"/>
      <c r="Q481" s="70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37">
        <f>AllPlans[[#This Row],[Prep days*]]+AllPlans[[#This Row],[Hearing days*]]+AllPlans[[#This Row],[SV days*]]+AllPlans[[#This Row],[Travel days]]+AllPlans[[#This Row],[Reptg days*]]</f>
        <v>0</v>
      </c>
      <c r="AF481" s="69"/>
      <c r="AG481" s="70"/>
      <c r="AH481" s="69"/>
      <c r="AI481" s="70"/>
      <c r="AJ481" s="69"/>
      <c r="AK481" s="70"/>
      <c r="AL481" s="69"/>
      <c r="AM481" s="70"/>
      <c r="AN481" s="69"/>
      <c r="AO481" s="70"/>
      <c r="AP481" s="69"/>
      <c r="AQ481" s="70"/>
      <c r="AR481" s="69"/>
      <c r="AS481" s="70"/>
      <c r="AT481" s="69"/>
      <c r="AU481" s="69"/>
      <c r="AV481" s="69"/>
      <c r="AW481" s="69"/>
      <c r="AX481" s="69"/>
      <c r="AY481" s="41" t="s">
        <v>907</v>
      </c>
      <c r="AZ481" s="41" t="str">
        <f t="shared" si="31"/>
        <v>Dec 25</v>
      </c>
      <c r="BA481" s="41" t="str">
        <f t="shared" si="32"/>
        <v>Jan 00</v>
      </c>
    </row>
    <row r="482" spans="1:53" ht="14" x14ac:dyDescent="0.15">
      <c r="A482" s="124">
        <v>3368342</v>
      </c>
      <c r="B482" s="124">
        <v>2439</v>
      </c>
      <c r="C482" s="69" t="s">
        <v>90</v>
      </c>
      <c r="D482" s="132" t="s">
        <v>541</v>
      </c>
      <c r="E482" s="69" t="s">
        <v>908</v>
      </c>
      <c r="F482" s="69" t="s">
        <v>74</v>
      </c>
      <c r="G482" s="69">
        <v>2</v>
      </c>
      <c r="H482" s="70" t="s">
        <v>552</v>
      </c>
      <c r="I482" s="69"/>
      <c r="J482" s="70"/>
      <c r="K482" s="69"/>
      <c r="L482" s="69"/>
      <c r="M482" s="70"/>
      <c r="N482" s="70"/>
      <c r="O482" s="70"/>
      <c r="P482" s="69"/>
      <c r="Q482" s="70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37">
        <f>AllPlans[[#This Row],[Prep days*]]+AllPlans[[#This Row],[Hearing days*]]+AllPlans[[#This Row],[SV days*]]+AllPlans[[#This Row],[Travel days]]+AllPlans[[#This Row],[Reptg days*]]</f>
        <v>0</v>
      </c>
      <c r="AF482" s="69"/>
      <c r="AG482" s="70"/>
      <c r="AH482" s="69"/>
      <c r="AI482" s="70"/>
      <c r="AJ482" s="69"/>
      <c r="AK482" s="70"/>
      <c r="AL482" s="69"/>
      <c r="AM482" s="70"/>
      <c r="AN482" s="69"/>
      <c r="AO482" s="70"/>
      <c r="AP482" s="69"/>
      <c r="AQ482" s="70"/>
      <c r="AR482" s="69"/>
      <c r="AS482" s="70"/>
      <c r="AT482" s="69"/>
      <c r="AU482" s="69"/>
      <c r="AV482" s="69"/>
      <c r="AW482" s="69"/>
      <c r="AX482" s="69"/>
      <c r="AY482" s="41" t="s">
        <v>825</v>
      </c>
      <c r="AZ482" s="41" t="str">
        <f t="shared" si="31"/>
        <v>Jan 00</v>
      </c>
      <c r="BA482" s="41" t="str">
        <f t="shared" si="32"/>
        <v>Jan 00</v>
      </c>
    </row>
    <row r="483" spans="1:53" ht="14" x14ac:dyDescent="0.15">
      <c r="A483" s="124" t="s">
        <v>53</v>
      </c>
      <c r="B483" s="124">
        <v>2322</v>
      </c>
      <c r="C483" s="69" t="s">
        <v>104</v>
      </c>
      <c r="D483" s="155" t="s">
        <v>450</v>
      </c>
      <c r="E483" s="69" t="s">
        <v>909</v>
      </c>
      <c r="F483" s="69" t="s">
        <v>57</v>
      </c>
      <c r="G483" s="69">
        <v>3</v>
      </c>
      <c r="H483" s="70">
        <v>45726</v>
      </c>
      <c r="I483" s="69"/>
      <c r="J483" s="70"/>
      <c r="K483" s="69"/>
      <c r="L483" s="69"/>
      <c r="M483" s="70"/>
      <c r="N483" s="70"/>
      <c r="O483" s="70"/>
      <c r="P483" s="69"/>
      <c r="Q483" s="70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37"/>
      <c r="AF483" s="69"/>
      <c r="AG483" s="70"/>
      <c r="AH483" s="69"/>
      <c r="AI483" s="70"/>
      <c r="AJ483" s="69"/>
      <c r="AK483" s="70"/>
      <c r="AL483" s="69"/>
      <c r="AM483" s="70"/>
      <c r="AN483" s="69"/>
      <c r="AO483" s="70"/>
      <c r="AP483" s="69"/>
      <c r="AQ483" s="70"/>
      <c r="AR483" s="69"/>
      <c r="AS483" s="70"/>
      <c r="AT483" s="69"/>
      <c r="AU483" s="69"/>
      <c r="AV483" s="69"/>
      <c r="AW483" s="69"/>
      <c r="AX483" s="69"/>
      <c r="AY483" s="41" t="s">
        <v>910</v>
      </c>
      <c r="AZ483" s="41" t="str">
        <f t="shared" si="31"/>
        <v>Jan 00</v>
      </c>
      <c r="BA483" s="41" t="str">
        <f t="shared" si="32"/>
        <v>Jan 00</v>
      </c>
    </row>
    <row r="484" spans="1:53" ht="14" x14ac:dyDescent="0.15">
      <c r="A484" s="124">
        <v>3365021</v>
      </c>
      <c r="B484" s="124">
        <v>2167</v>
      </c>
      <c r="C484" s="69" t="s">
        <v>61</v>
      </c>
      <c r="D484" s="129" t="s">
        <v>911</v>
      </c>
      <c r="E484" s="69" t="s">
        <v>912</v>
      </c>
      <c r="F484" s="69" t="s">
        <v>57</v>
      </c>
      <c r="G484" s="69">
        <v>3</v>
      </c>
      <c r="H484" s="70" t="s">
        <v>552</v>
      </c>
      <c r="I484" s="69"/>
      <c r="J484" s="70"/>
      <c r="K484" s="69"/>
      <c r="L484" s="69"/>
      <c r="M484" s="70"/>
      <c r="N484" s="70"/>
      <c r="O484" s="70"/>
      <c r="P484" s="69"/>
      <c r="Q484" s="70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37">
        <f>AllPlans[[#This Row],[Prep days*]]+AllPlans[[#This Row],[Hearing days*]]+AllPlans[[#This Row],[SV days*]]+AllPlans[[#This Row],[Travel days]]+AllPlans[[#This Row],[Reptg days*]]</f>
        <v>0</v>
      </c>
      <c r="AF484" s="69"/>
      <c r="AG484" s="70"/>
      <c r="AH484" s="69"/>
      <c r="AI484" s="70"/>
      <c r="AJ484" s="69"/>
      <c r="AK484" s="70"/>
      <c r="AL484" s="69"/>
      <c r="AM484" s="70"/>
      <c r="AN484" s="69"/>
      <c r="AO484" s="70"/>
      <c r="AP484" s="69"/>
      <c r="AQ484" s="70"/>
      <c r="AR484" s="69"/>
      <c r="AS484" s="70"/>
      <c r="AT484" s="69"/>
      <c r="AU484" s="69"/>
      <c r="AV484" s="69"/>
      <c r="AW484" s="69"/>
      <c r="AX484" s="69"/>
      <c r="AY484" s="41" t="s">
        <v>913</v>
      </c>
      <c r="AZ484" s="41" t="str">
        <f t="shared" si="31"/>
        <v>Jan 00</v>
      </c>
      <c r="BA484" s="41" t="str">
        <f t="shared" si="32"/>
        <v>Jan 00</v>
      </c>
    </row>
    <row r="485" spans="1:53" ht="14" x14ac:dyDescent="0.15">
      <c r="A485" s="230">
        <v>3375362</v>
      </c>
      <c r="B485" s="230">
        <v>2288</v>
      </c>
      <c r="C485" s="215" t="s">
        <v>61</v>
      </c>
      <c r="D485" s="231" t="s">
        <v>638</v>
      </c>
      <c r="E485" s="215" t="s">
        <v>914</v>
      </c>
      <c r="F485" s="215" t="s">
        <v>57</v>
      </c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  <c r="AA485" s="215"/>
      <c r="AB485" s="215"/>
      <c r="AC485" s="215"/>
      <c r="AD485" s="215"/>
      <c r="AE485" s="215"/>
      <c r="AF485" s="215"/>
      <c r="AG485" s="215"/>
      <c r="AH485" s="215"/>
      <c r="AI485" s="215"/>
      <c r="AJ485" s="215"/>
      <c r="AK485" s="215"/>
      <c r="AL485" s="215"/>
      <c r="AM485" s="215"/>
      <c r="AN485" s="215"/>
      <c r="AO485" s="215"/>
      <c r="AP485" s="215"/>
      <c r="AQ485" s="215"/>
      <c r="AR485" s="215"/>
      <c r="AS485" s="215"/>
      <c r="AT485" s="215"/>
      <c r="AU485" s="215"/>
      <c r="AV485" s="215"/>
      <c r="AW485" s="215"/>
      <c r="AX485" s="215"/>
      <c r="AY485" s="234" t="s">
        <v>915</v>
      </c>
      <c r="AZ485" s="41" t="str">
        <f t="shared" si="31"/>
        <v>Jan 00</v>
      </c>
      <c r="BA485" s="41" t="str">
        <f t="shared" si="32"/>
        <v>Jan 00</v>
      </c>
    </row>
    <row r="486" spans="1:53" ht="14" x14ac:dyDescent="0.15">
      <c r="A486" s="124">
        <v>3375161</v>
      </c>
      <c r="B486" s="124">
        <v>2336</v>
      </c>
      <c r="C486" s="69" t="s">
        <v>90</v>
      </c>
      <c r="D486" s="129" t="s">
        <v>483</v>
      </c>
      <c r="E486" s="69" t="s">
        <v>916</v>
      </c>
      <c r="F486" s="69" t="s">
        <v>57</v>
      </c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41" t="s">
        <v>917</v>
      </c>
      <c r="AZ486" s="41" t="str">
        <f t="shared" si="31"/>
        <v>Jan 00</v>
      </c>
      <c r="BA486" s="41" t="str">
        <f t="shared" si="32"/>
        <v>Jan 00</v>
      </c>
    </row>
    <row r="487" spans="1:53" ht="15" x14ac:dyDescent="0.15">
      <c r="A487" s="124" t="s">
        <v>53</v>
      </c>
      <c r="B487" s="124">
        <v>2150</v>
      </c>
      <c r="C487" s="69" t="s">
        <v>104</v>
      </c>
      <c r="D487" s="155" t="s">
        <v>105</v>
      </c>
      <c r="E487" s="69" t="s">
        <v>918</v>
      </c>
      <c r="F487" s="69" t="s">
        <v>57</v>
      </c>
      <c r="G487" s="69">
        <v>3</v>
      </c>
      <c r="H487" s="70">
        <v>44601</v>
      </c>
      <c r="I487" s="69"/>
      <c r="J487" s="70"/>
      <c r="K487" s="69"/>
      <c r="L487" s="69"/>
      <c r="M487" s="70"/>
      <c r="N487" s="70"/>
      <c r="O487" s="70"/>
      <c r="P487" s="69"/>
      <c r="Q487" s="70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37">
        <f>AllPlans[[#This Row],[Prep days*]]+AllPlans[[#This Row],[Hearing days*]]+AllPlans[[#This Row],[SV days*]]+AllPlans[[#This Row],[Travel days]]+AllPlans[[#This Row],[Reptg days*]]</f>
        <v>0</v>
      </c>
      <c r="AF487" s="69"/>
      <c r="AG487" s="70"/>
      <c r="AH487" s="69"/>
      <c r="AI487" s="70"/>
      <c r="AJ487" s="69"/>
      <c r="AK487" s="70"/>
      <c r="AL487" s="69"/>
      <c r="AM487" s="70"/>
      <c r="AN487" s="69"/>
      <c r="AO487" s="70"/>
      <c r="AP487" s="69"/>
      <c r="AQ487" s="70"/>
      <c r="AR487" s="69"/>
      <c r="AS487" s="70"/>
      <c r="AT487" s="69"/>
      <c r="AU487" s="69"/>
      <c r="AV487" s="69"/>
      <c r="AW487" s="69"/>
      <c r="AX487" s="69"/>
      <c r="AY487" s="298" t="s">
        <v>108</v>
      </c>
      <c r="AZ487" s="41" t="str">
        <f t="shared" si="31"/>
        <v>Jan 00</v>
      </c>
      <c r="BA487" s="41" t="str">
        <f t="shared" si="32"/>
        <v>Jan 00</v>
      </c>
    </row>
    <row r="488" spans="1:53" ht="14" x14ac:dyDescent="0.15">
      <c r="A488" s="124">
        <v>3365754</v>
      </c>
      <c r="B488" s="124">
        <v>2437</v>
      </c>
      <c r="C488" s="73" t="s">
        <v>67</v>
      </c>
      <c r="D488" s="164" t="s">
        <v>582</v>
      </c>
      <c r="E488" s="69" t="s">
        <v>56</v>
      </c>
      <c r="F488" s="69" t="s">
        <v>57</v>
      </c>
      <c r="G488" s="69">
        <v>3</v>
      </c>
      <c r="H488" s="70" t="s">
        <v>552</v>
      </c>
      <c r="I488" s="69"/>
      <c r="J488" s="70"/>
      <c r="K488" s="69"/>
      <c r="L488" s="69"/>
      <c r="M488" s="70"/>
      <c r="N488" s="70"/>
      <c r="O488" s="70"/>
      <c r="P488" s="69"/>
      <c r="Q488" s="70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37">
        <f>AllPlans[[#This Row],[Prep days*]]+AllPlans[[#This Row],[Hearing days*]]+AllPlans[[#This Row],[SV days*]]+AllPlans[[#This Row],[Travel days]]+AllPlans[[#This Row],[Reptg days*]]</f>
        <v>0</v>
      </c>
      <c r="AF488" s="69"/>
      <c r="AG488" s="70"/>
      <c r="AH488" s="69"/>
      <c r="AI488" s="70"/>
      <c r="AJ488" s="69"/>
      <c r="AK488" s="70"/>
      <c r="AL488" s="69"/>
      <c r="AM488" s="70"/>
      <c r="AN488" s="69"/>
      <c r="AO488" s="70"/>
      <c r="AP488" s="69"/>
      <c r="AQ488" s="70"/>
      <c r="AR488" s="69"/>
      <c r="AS488" s="70"/>
      <c r="AT488" s="69"/>
      <c r="AU488" s="69"/>
      <c r="AV488" s="69"/>
      <c r="AW488" s="69"/>
      <c r="AX488" s="69"/>
      <c r="AY488" s="41" t="s">
        <v>919</v>
      </c>
      <c r="AZ488" s="41" t="str">
        <f t="shared" si="31"/>
        <v>Jan 00</v>
      </c>
      <c r="BA488" s="41" t="str">
        <f t="shared" si="32"/>
        <v>Jan 00</v>
      </c>
    </row>
    <row r="489" spans="1:53" ht="14" x14ac:dyDescent="0.15">
      <c r="A489" s="230">
        <v>3375176</v>
      </c>
      <c r="B489" s="230">
        <v>2157</v>
      </c>
      <c r="C489" s="130" t="s">
        <v>90</v>
      </c>
      <c r="D489" s="232" t="s">
        <v>920</v>
      </c>
      <c r="E489" s="130" t="s">
        <v>425</v>
      </c>
      <c r="F489" s="130" t="s">
        <v>57</v>
      </c>
      <c r="G489" s="130">
        <v>3</v>
      </c>
      <c r="H489" s="215"/>
      <c r="I489" s="130"/>
      <c r="J489" s="215"/>
      <c r="K489" s="130"/>
      <c r="L489" s="69"/>
      <c r="M489" s="215"/>
      <c r="N489" s="215"/>
      <c r="O489" s="215"/>
      <c r="P489" s="130"/>
      <c r="Q489" s="215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215"/>
      <c r="AH489" s="130"/>
      <c r="AI489" s="215"/>
      <c r="AJ489" s="130"/>
      <c r="AK489" s="215"/>
      <c r="AL489" s="130"/>
      <c r="AM489" s="215"/>
      <c r="AN489" s="130"/>
      <c r="AO489" s="215"/>
      <c r="AP489" s="130"/>
      <c r="AQ489" s="215"/>
      <c r="AR489" s="130"/>
      <c r="AS489" s="215"/>
      <c r="AT489" s="130"/>
      <c r="AU489" s="130"/>
      <c r="AV489" s="130"/>
      <c r="AW489" s="130"/>
      <c r="AX489" s="130"/>
      <c r="AY489" s="26" t="s">
        <v>921</v>
      </c>
      <c r="AZ489" s="26" t="str">
        <f t="shared" si="31"/>
        <v>Jan 00</v>
      </c>
      <c r="BA489" s="26" t="str">
        <f t="shared" si="32"/>
        <v>Jan 00</v>
      </c>
    </row>
    <row r="490" spans="1:53" ht="42" x14ac:dyDescent="0.15">
      <c r="A490" s="124" t="s">
        <v>53</v>
      </c>
      <c r="B490" s="124">
        <v>2387</v>
      </c>
      <c r="C490" s="69" t="s">
        <v>77</v>
      </c>
      <c r="D490" s="129" t="s">
        <v>78</v>
      </c>
      <c r="E490" s="69" t="s">
        <v>922</v>
      </c>
      <c r="F490" s="69" t="s">
        <v>57</v>
      </c>
      <c r="G490" s="69">
        <v>3</v>
      </c>
      <c r="H490" s="70">
        <v>44858</v>
      </c>
      <c r="I490" s="69"/>
      <c r="J490" s="70"/>
      <c r="K490" s="69"/>
      <c r="L490" s="69"/>
      <c r="M490" s="70"/>
      <c r="N490" s="70"/>
      <c r="O490" s="70"/>
      <c r="P490" s="69"/>
      <c r="Q490" s="70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37">
        <f>AllPlans[[#This Row],[Prep days*]]+AllPlans[[#This Row],[Hearing days*]]+AllPlans[[#This Row],[SV days*]]+AllPlans[[#This Row],[Travel days]]+AllPlans[[#This Row],[Reptg days*]]</f>
        <v>0</v>
      </c>
      <c r="AF490" s="69"/>
      <c r="AG490" s="70"/>
      <c r="AH490" s="69"/>
      <c r="AI490" s="70"/>
      <c r="AJ490" s="69"/>
      <c r="AK490" s="70"/>
      <c r="AL490" s="69"/>
      <c r="AM490" s="70"/>
      <c r="AN490" s="69"/>
      <c r="AO490" s="70"/>
      <c r="AP490" s="69"/>
      <c r="AQ490" s="70"/>
      <c r="AR490" s="69"/>
      <c r="AS490" s="70"/>
      <c r="AT490" s="69"/>
      <c r="AU490" s="69"/>
      <c r="AV490" s="69"/>
      <c r="AW490" s="69"/>
      <c r="AX490" s="69"/>
      <c r="AY490" s="41" t="s">
        <v>82</v>
      </c>
      <c r="AZ490" s="41" t="str">
        <f t="shared" si="31"/>
        <v>Jan 00</v>
      </c>
      <c r="BA490" s="41" t="str">
        <f t="shared" si="32"/>
        <v>Jan 00</v>
      </c>
    </row>
    <row r="491" spans="1:53" ht="15" x14ac:dyDescent="0.2">
      <c r="A491" s="124">
        <v>3370009</v>
      </c>
      <c r="B491" s="124">
        <v>2440</v>
      </c>
      <c r="C491" s="69" t="s">
        <v>54</v>
      </c>
      <c r="D491" s="157" t="s">
        <v>490</v>
      </c>
      <c r="E491" s="69" t="s">
        <v>506</v>
      </c>
      <c r="F491" s="69" t="s">
        <v>57</v>
      </c>
      <c r="G491" s="69">
        <v>3</v>
      </c>
      <c r="H491" s="70" t="s">
        <v>552</v>
      </c>
      <c r="I491" s="69"/>
      <c r="J491" s="70"/>
      <c r="K491" s="69"/>
      <c r="L491" s="69"/>
      <c r="M491" s="70"/>
      <c r="N491" s="70"/>
      <c r="O491" s="70"/>
      <c r="P491" s="69"/>
      <c r="Q491" s="70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37">
        <f>AllPlans[[#This Row],[Prep days*]]+AllPlans[[#This Row],[Hearing days*]]+AllPlans[[#This Row],[SV days*]]+AllPlans[[#This Row],[Travel days]]+AllPlans[[#This Row],[Reptg days*]]</f>
        <v>0</v>
      </c>
      <c r="AF491" s="69"/>
      <c r="AG491" s="70"/>
      <c r="AH491" s="69"/>
      <c r="AI491" s="70"/>
      <c r="AJ491" s="69"/>
      <c r="AK491" s="70"/>
      <c r="AL491" s="69"/>
      <c r="AM491" s="70"/>
      <c r="AN491" s="69"/>
      <c r="AO491" s="70"/>
      <c r="AP491" s="69"/>
      <c r="AQ491" s="70"/>
      <c r="AR491" s="69"/>
      <c r="AS491" s="70"/>
      <c r="AT491" s="69"/>
      <c r="AU491" s="69"/>
      <c r="AV491" s="69"/>
      <c r="AW491" s="69"/>
      <c r="AX491" s="69"/>
      <c r="AY491" s="297" t="s">
        <v>923</v>
      </c>
      <c r="AZ491" s="41" t="str">
        <f t="shared" si="31"/>
        <v>Jan 00</v>
      </c>
      <c r="BA491" s="41" t="str">
        <f t="shared" si="32"/>
        <v>Jan 00</v>
      </c>
    </row>
    <row r="492" spans="1:53" ht="15" x14ac:dyDescent="0.2">
      <c r="A492" s="124">
        <v>3375167</v>
      </c>
      <c r="B492" s="124">
        <v>2461</v>
      </c>
      <c r="C492" s="69" t="s">
        <v>83</v>
      </c>
      <c r="D492" s="155" t="s">
        <v>482</v>
      </c>
      <c r="E492" s="69" t="s">
        <v>56</v>
      </c>
      <c r="F492" s="69" t="s">
        <v>57</v>
      </c>
      <c r="G492" s="69">
        <v>3</v>
      </c>
      <c r="H492" s="70"/>
      <c r="I492" s="69"/>
      <c r="J492" s="70"/>
      <c r="K492" s="69"/>
      <c r="L492" s="69"/>
      <c r="M492" s="70"/>
      <c r="N492" s="70"/>
      <c r="O492" s="70"/>
      <c r="P492" s="69"/>
      <c r="Q492" s="70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70"/>
      <c r="AH492" s="69"/>
      <c r="AI492" s="70"/>
      <c r="AJ492" s="69"/>
      <c r="AK492" s="70"/>
      <c r="AL492" s="69"/>
      <c r="AM492" s="70"/>
      <c r="AN492" s="69"/>
      <c r="AO492" s="70"/>
      <c r="AP492" s="69"/>
      <c r="AQ492" s="70"/>
      <c r="AR492" s="69"/>
      <c r="AS492" s="70"/>
      <c r="AT492" s="69"/>
      <c r="AU492" s="69"/>
      <c r="AV492" s="69"/>
      <c r="AW492" s="69"/>
      <c r="AX492" s="69"/>
      <c r="AY492" s="296" t="s">
        <v>924</v>
      </c>
      <c r="AZ492" s="41" t="str">
        <f>TEXT(AZ446,"MMM YY")</f>
        <v>Jul 25</v>
      </c>
      <c r="BA492" s="41" t="str">
        <f t="shared" si="32"/>
        <v>Jan 00</v>
      </c>
    </row>
    <row r="493" spans="1:53" ht="14" x14ac:dyDescent="0.15">
      <c r="A493" s="230">
        <v>3375354</v>
      </c>
      <c r="B493" s="230">
        <v>2388</v>
      </c>
      <c r="C493" s="215" t="s">
        <v>61</v>
      </c>
      <c r="D493" s="231" t="s">
        <v>248</v>
      </c>
      <c r="E493" s="215" t="s">
        <v>925</v>
      </c>
      <c r="F493" s="215" t="s">
        <v>102</v>
      </c>
      <c r="G493" s="63">
        <v>2</v>
      </c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  <c r="AA493" s="215"/>
      <c r="AB493" s="215"/>
      <c r="AC493" s="215"/>
      <c r="AD493" s="215"/>
      <c r="AE493" s="215"/>
      <c r="AF493" s="215"/>
      <c r="AG493" s="215"/>
      <c r="AH493" s="215"/>
      <c r="AI493" s="215"/>
      <c r="AJ493" s="215"/>
      <c r="AK493" s="215"/>
      <c r="AL493" s="215"/>
      <c r="AM493" s="215"/>
      <c r="AN493" s="215"/>
      <c r="AO493" s="215"/>
      <c r="AP493" s="215"/>
      <c r="AQ493" s="215"/>
      <c r="AR493" s="215"/>
      <c r="AS493" s="215"/>
      <c r="AT493" s="215"/>
      <c r="AU493" s="215"/>
      <c r="AV493" s="215"/>
      <c r="AW493" s="215"/>
      <c r="AX493" s="215"/>
      <c r="AY493" s="234" t="s">
        <v>249</v>
      </c>
      <c r="AZ493" s="41" t="str">
        <f t="shared" ref="AZ493:AZ503" si="33">TEXT(J493,"MMM YY")</f>
        <v>Jan 00</v>
      </c>
      <c r="BA493" s="41" t="str">
        <f t="shared" si="32"/>
        <v>Jan 00</v>
      </c>
    </row>
    <row r="494" spans="1:53" ht="14" x14ac:dyDescent="0.15">
      <c r="A494" s="124">
        <v>3371026</v>
      </c>
      <c r="B494" s="124">
        <v>2126</v>
      </c>
      <c r="C494" s="69" t="s">
        <v>83</v>
      </c>
      <c r="D494" s="155" t="s">
        <v>926</v>
      </c>
      <c r="E494" s="69" t="s">
        <v>92</v>
      </c>
      <c r="F494" s="69" t="s">
        <v>57</v>
      </c>
      <c r="G494" s="69">
        <v>3</v>
      </c>
      <c r="H494" s="70" t="s">
        <v>552</v>
      </c>
      <c r="I494" s="69"/>
      <c r="J494" s="70"/>
      <c r="K494" s="69"/>
      <c r="L494" s="69"/>
      <c r="M494" s="70"/>
      <c r="N494" s="70"/>
      <c r="O494" s="70"/>
      <c r="P494" s="69"/>
      <c r="Q494" s="70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37">
        <f>AllPlans[[#This Row],[Prep days*]]+AllPlans[[#This Row],[Hearing days*]]+AllPlans[[#This Row],[SV days*]]+AllPlans[[#This Row],[Travel days]]+AllPlans[[#This Row],[Reptg days*]]</f>
        <v>0</v>
      </c>
      <c r="AF494" s="69"/>
      <c r="AG494" s="70"/>
      <c r="AH494" s="69"/>
      <c r="AI494" s="70"/>
      <c r="AJ494" s="69"/>
      <c r="AK494" s="70"/>
      <c r="AL494" s="69"/>
      <c r="AM494" s="70"/>
      <c r="AN494" s="69"/>
      <c r="AO494" s="70"/>
      <c r="AP494" s="69"/>
      <c r="AQ494" s="70"/>
      <c r="AR494" s="69"/>
      <c r="AS494" s="70"/>
      <c r="AT494" s="69"/>
      <c r="AU494" s="69"/>
      <c r="AV494" s="69"/>
      <c r="AW494" s="69"/>
      <c r="AX494" s="69"/>
      <c r="AY494" s="41" t="s">
        <v>927</v>
      </c>
      <c r="AZ494" s="41" t="str">
        <f t="shared" si="33"/>
        <v>Jan 00</v>
      </c>
      <c r="BA494" s="41" t="str">
        <f t="shared" si="32"/>
        <v>Jan 00</v>
      </c>
    </row>
    <row r="495" spans="1:53" ht="14" x14ac:dyDescent="0.15">
      <c r="A495" s="124">
        <v>3364916</v>
      </c>
      <c r="B495" s="124">
        <v>1949</v>
      </c>
      <c r="C495" s="69" t="s">
        <v>61</v>
      </c>
      <c r="D495" s="132" t="s">
        <v>928</v>
      </c>
      <c r="E495" s="69" t="s">
        <v>56</v>
      </c>
      <c r="F495" s="69" t="s">
        <v>57</v>
      </c>
      <c r="G495" s="69">
        <v>3</v>
      </c>
      <c r="H495" s="70">
        <v>45838</v>
      </c>
      <c r="I495" s="69"/>
      <c r="J495" s="70">
        <v>46009</v>
      </c>
      <c r="K495" s="69"/>
      <c r="L495" s="69"/>
      <c r="M495" s="70"/>
      <c r="N495" s="70"/>
      <c r="O495" s="70"/>
      <c r="P495" s="69"/>
      <c r="Q495" s="70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37">
        <f>AllPlans[[#This Row],[Prep days*]]+AllPlans[[#This Row],[Hearing days*]]+AllPlans[[#This Row],[SV days*]]+AllPlans[[#This Row],[Travel days]]+AllPlans[[#This Row],[Reptg days*]]</f>
        <v>0</v>
      </c>
      <c r="AF495" s="69"/>
      <c r="AG495" s="70"/>
      <c r="AH495" s="69"/>
      <c r="AI495" s="70"/>
      <c r="AJ495" s="69"/>
      <c r="AK495" s="70"/>
      <c r="AL495" s="69"/>
      <c r="AM495" s="70"/>
      <c r="AN495" s="69"/>
      <c r="AO495" s="70"/>
      <c r="AP495" s="69"/>
      <c r="AQ495" s="70"/>
      <c r="AR495" s="69"/>
      <c r="AS495" s="70"/>
      <c r="AT495" s="69"/>
      <c r="AU495" s="69"/>
      <c r="AV495" s="69"/>
      <c r="AW495" s="69"/>
      <c r="AX495" s="69"/>
      <c r="AY495" s="41" t="s">
        <v>929</v>
      </c>
      <c r="AZ495" s="41" t="str">
        <f t="shared" si="33"/>
        <v>Dec 25</v>
      </c>
      <c r="BA495" s="41" t="str">
        <f t="shared" si="32"/>
        <v>Jan 00</v>
      </c>
    </row>
    <row r="496" spans="1:53" ht="15" x14ac:dyDescent="0.2">
      <c r="A496" s="124">
        <v>3374051</v>
      </c>
      <c r="B496" s="124">
        <v>2412</v>
      </c>
      <c r="C496" s="69" t="s">
        <v>104</v>
      </c>
      <c r="D496" s="155" t="s">
        <v>930</v>
      </c>
      <c r="E496" s="69" t="s">
        <v>92</v>
      </c>
      <c r="F496" s="69" t="s">
        <v>57</v>
      </c>
      <c r="G496" s="69">
        <v>3</v>
      </c>
      <c r="H496" s="70">
        <v>45674</v>
      </c>
      <c r="I496" s="69"/>
      <c r="J496" s="70"/>
      <c r="K496" s="69"/>
      <c r="L496" s="69"/>
      <c r="M496" s="70"/>
      <c r="N496" s="70"/>
      <c r="O496" s="70"/>
      <c r="P496" s="69"/>
      <c r="Q496" s="70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37">
        <f>AllPlans[[#This Row],[Prep days*]]+AllPlans[[#This Row],[Hearing days*]]+AllPlans[[#This Row],[SV days*]]+AllPlans[[#This Row],[Travel days]]+AllPlans[[#This Row],[Reptg days*]]</f>
        <v>0</v>
      </c>
      <c r="AF496" s="69"/>
      <c r="AG496" s="70"/>
      <c r="AH496" s="69"/>
      <c r="AI496" s="70"/>
      <c r="AJ496" s="69"/>
      <c r="AK496" s="70"/>
      <c r="AL496" s="69"/>
      <c r="AM496" s="70"/>
      <c r="AN496" s="69"/>
      <c r="AO496" s="70"/>
      <c r="AP496" s="69"/>
      <c r="AQ496" s="70"/>
      <c r="AR496" s="69"/>
      <c r="AS496" s="70"/>
      <c r="AT496" s="69"/>
      <c r="AU496" s="69"/>
      <c r="AV496" s="69"/>
      <c r="AW496" s="69"/>
      <c r="AX496" s="69"/>
      <c r="AY496" s="296" t="s">
        <v>931</v>
      </c>
      <c r="AZ496" s="41" t="str">
        <f t="shared" si="33"/>
        <v>Jan 00</v>
      </c>
      <c r="BA496" s="41" t="str">
        <f t="shared" si="32"/>
        <v>Jan 00</v>
      </c>
    </row>
    <row r="497" spans="1:53" ht="14" x14ac:dyDescent="0.15">
      <c r="A497" s="230">
        <v>3375360</v>
      </c>
      <c r="B497" s="230">
        <v>2450</v>
      </c>
      <c r="C497" s="215" t="s">
        <v>61</v>
      </c>
      <c r="D497" s="231" t="s">
        <v>217</v>
      </c>
      <c r="E497" s="215" t="s">
        <v>932</v>
      </c>
      <c r="F497" s="215" t="s">
        <v>57</v>
      </c>
      <c r="G497" s="215"/>
      <c r="H497" s="215">
        <v>45968</v>
      </c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  <c r="AA497" s="215"/>
      <c r="AB497" s="215"/>
      <c r="AC497" s="215"/>
      <c r="AD497" s="215"/>
      <c r="AE497" s="215"/>
      <c r="AF497" s="215"/>
      <c r="AG497" s="215"/>
      <c r="AH497" s="215"/>
      <c r="AI497" s="215"/>
      <c r="AJ497" s="215"/>
      <c r="AK497" s="215"/>
      <c r="AL497" s="215"/>
      <c r="AM497" s="215"/>
      <c r="AN497" s="215"/>
      <c r="AO497" s="215"/>
      <c r="AP497" s="215"/>
      <c r="AQ497" s="215"/>
      <c r="AR497" s="215"/>
      <c r="AS497" s="215"/>
      <c r="AT497" s="215"/>
      <c r="AU497" s="215"/>
      <c r="AV497" s="215"/>
      <c r="AW497" s="215"/>
      <c r="AX497" s="215"/>
      <c r="AY497" s="234" t="s">
        <v>218</v>
      </c>
      <c r="AZ497" s="41" t="str">
        <f t="shared" si="33"/>
        <v>Jan 00</v>
      </c>
      <c r="BA497" s="41" t="str">
        <f t="shared" si="32"/>
        <v>Jan 00</v>
      </c>
    </row>
    <row r="498" spans="1:53" ht="28" x14ac:dyDescent="0.15">
      <c r="A498" s="124">
        <v>3374391</v>
      </c>
      <c r="B498" s="124">
        <v>2438</v>
      </c>
      <c r="C498" s="69" t="s">
        <v>90</v>
      </c>
      <c r="D498" s="129" t="s">
        <v>933</v>
      </c>
      <c r="E498" s="69" t="s">
        <v>934</v>
      </c>
      <c r="F498" s="69" t="s">
        <v>80</v>
      </c>
      <c r="G498" s="69"/>
      <c r="H498" s="209">
        <v>45796</v>
      </c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Z498" s="41" t="str">
        <f t="shared" si="33"/>
        <v>Jan 00</v>
      </c>
      <c r="BA498" s="41" t="str">
        <f t="shared" si="32"/>
        <v>Jan 00</v>
      </c>
    </row>
    <row r="499" spans="1:53" ht="14" x14ac:dyDescent="0.15">
      <c r="A499" s="124" t="s">
        <v>53</v>
      </c>
      <c r="B499" s="124">
        <v>2223</v>
      </c>
      <c r="C499" s="69" t="s">
        <v>67</v>
      </c>
      <c r="D499" s="164" t="s">
        <v>134</v>
      </c>
      <c r="E499" s="69" t="s">
        <v>935</v>
      </c>
      <c r="F499" s="69" t="s">
        <v>57</v>
      </c>
      <c r="G499" s="69">
        <v>3</v>
      </c>
      <c r="H499" s="70">
        <v>45257</v>
      </c>
      <c r="I499" s="69"/>
      <c r="J499" s="70"/>
      <c r="K499" s="69"/>
      <c r="L499" s="69"/>
      <c r="M499" s="70"/>
      <c r="N499" s="70"/>
      <c r="O499" s="70"/>
      <c r="P499" s="69"/>
      <c r="Q499" s="70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37">
        <f>AllPlans[[#This Row],[Prep days*]]+AllPlans[[#This Row],[Hearing days*]]+AllPlans[[#This Row],[SV days*]]+AllPlans[[#This Row],[Travel days]]+AllPlans[[#This Row],[Reptg days*]]</f>
        <v>0</v>
      </c>
      <c r="AF499" s="69"/>
      <c r="AG499" s="70"/>
      <c r="AH499" s="69"/>
      <c r="AI499" s="70"/>
      <c r="AJ499" s="69"/>
      <c r="AK499" s="70"/>
      <c r="AL499" s="69"/>
      <c r="AM499" s="70"/>
      <c r="AN499" s="69"/>
      <c r="AO499" s="70"/>
      <c r="AP499" s="69"/>
      <c r="AQ499" s="70"/>
      <c r="AR499" s="69"/>
      <c r="AS499" s="70"/>
      <c r="AT499" s="69"/>
      <c r="AU499" s="69"/>
      <c r="AV499" s="69"/>
      <c r="AW499" s="69"/>
      <c r="AX499" s="69"/>
      <c r="AY499" s="41" t="s">
        <v>137</v>
      </c>
      <c r="AZ499" s="41" t="str">
        <f t="shared" si="33"/>
        <v>Jan 00</v>
      </c>
      <c r="BA499" s="41" t="str">
        <f t="shared" si="32"/>
        <v>Jan 00</v>
      </c>
    </row>
    <row r="500" spans="1:53" ht="14" x14ac:dyDescent="0.15">
      <c r="A500" s="124">
        <v>3373028</v>
      </c>
      <c r="B500" s="124">
        <v>2454</v>
      </c>
      <c r="C500" s="70" t="s">
        <v>270</v>
      </c>
      <c r="D500" s="153" t="s">
        <v>271</v>
      </c>
      <c r="E500" s="70" t="s">
        <v>56</v>
      </c>
      <c r="F500" s="70" t="s">
        <v>57</v>
      </c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9" t="s">
        <v>272</v>
      </c>
      <c r="AZ500" s="41" t="str">
        <f t="shared" si="33"/>
        <v>Jan 00</v>
      </c>
      <c r="BA500" s="41" t="str">
        <f t="shared" si="32"/>
        <v>Jan 00</v>
      </c>
    </row>
    <row r="501" spans="1:53" ht="14" x14ac:dyDescent="0.15">
      <c r="A501" s="124">
        <v>3376526</v>
      </c>
      <c r="B501" s="124">
        <v>2187</v>
      </c>
      <c r="C501" s="69" t="s">
        <v>104</v>
      </c>
      <c r="D501" s="155" t="s">
        <v>424</v>
      </c>
      <c r="E501" s="69" t="s">
        <v>56</v>
      </c>
      <c r="F501" s="69" t="s">
        <v>57</v>
      </c>
      <c r="G501" s="69">
        <v>3</v>
      </c>
      <c r="H501" s="70">
        <v>45667</v>
      </c>
      <c r="I501" s="69"/>
      <c r="J501" s="70"/>
      <c r="K501" s="69"/>
      <c r="L501" s="69"/>
      <c r="M501" s="70"/>
      <c r="N501" s="70"/>
      <c r="O501" s="70"/>
      <c r="P501" s="69"/>
      <c r="Q501" s="70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37">
        <f>AllPlans[[#This Row],[Prep days*]]+AllPlans[[#This Row],[Hearing days*]]+AllPlans[[#This Row],[SV days*]]+AllPlans[[#This Row],[Travel days]]+AllPlans[[#This Row],[Reptg days*]]</f>
        <v>0</v>
      </c>
      <c r="AF501" s="69"/>
      <c r="AG501" s="70"/>
      <c r="AH501" s="69"/>
      <c r="AI501" s="70"/>
      <c r="AJ501" s="69"/>
      <c r="AK501" s="70"/>
      <c r="AL501" s="69"/>
      <c r="AM501" s="70"/>
      <c r="AN501" s="69"/>
      <c r="AO501" s="70"/>
      <c r="AP501" s="69"/>
      <c r="AQ501" s="70"/>
      <c r="AR501" s="69"/>
      <c r="AS501" s="70"/>
      <c r="AT501" s="69"/>
      <c r="AU501" s="69"/>
      <c r="AV501" s="69"/>
      <c r="AW501" s="69"/>
      <c r="AX501" s="69"/>
      <c r="AY501" s="41" t="s">
        <v>936</v>
      </c>
      <c r="AZ501" s="41" t="str">
        <f t="shared" si="33"/>
        <v>Jan 00</v>
      </c>
      <c r="BA501" s="41" t="str">
        <f t="shared" si="32"/>
        <v>Jan 00</v>
      </c>
    </row>
    <row r="502" spans="1:53" ht="15" x14ac:dyDescent="0.2">
      <c r="A502" s="124">
        <v>3371034</v>
      </c>
      <c r="B502" s="124">
        <v>2169</v>
      </c>
      <c r="C502" s="69" t="s">
        <v>83</v>
      </c>
      <c r="D502" s="155" t="s">
        <v>937</v>
      </c>
      <c r="E502" s="69" t="s">
        <v>56</v>
      </c>
      <c r="F502" s="69" t="s">
        <v>57</v>
      </c>
      <c r="G502" s="69">
        <v>3</v>
      </c>
      <c r="H502" s="70" t="s">
        <v>552</v>
      </c>
      <c r="I502" s="69"/>
      <c r="J502" s="70"/>
      <c r="K502" s="69"/>
      <c r="L502" s="69"/>
      <c r="M502" s="70"/>
      <c r="N502" s="70"/>
      <c r="O502" s="70"/>
      <c r="P502" s="69"/>
      <c r="Q502" s="70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37">
        <f>AllPlans[[#This Row],[Prep days*]]+AllPlans[[#This Row],[Hearing days*]]+AllPlans[[#This Row],[SV days*]]+AllPlans[[#This Row],[Travel days]]+AllPlans[[#This Row],[Reptg days*]]</f>
        <v>0</v>
      </c>
      <c r="AF502" s="69"/>
      <c r="AG502" s="70"/>
      <c r="AH502" s="69"/>
      <c r="AI502" s="70"/>
      <c r="AJ502" s="69"/>
      <c r="AK502" s="70"/>
      <c r="AL502" s="69"/>
      <c r="AM502" s="70"/>
      <c r="AN502" s="69"/>
      <c r="AO502" s="70"/>
      <c r="AP502" s="69"/>
      <c r="AQ502" s="70"/>
      <c r="AR502" s="69"/>
      <c r="AS502" s="70"/>
      <c r="AT502" s="69"/>
      <c r="AU502" s="69"/>
      <c r="AV502" s="69"/>
      <c r="AW502" s="69"/>
      <c r="AY502" s="296" t="s">
        <v>938</v>
      </c>
      <c r="AZ502" s="41" t="str">
        <f t="shared" si="33"/>
        <v>Jan 00</v>
      </c>
      <c r="BA502" s="41" t="str">
        <f t="shared" si="32"/>
        <v>Jan 00</v>
      </c>
    </row>
    <row r="503" spans="1:53" ht="14" x14ac:dyDescent="0.15">
      <c r="A503" s="124">
        <v>3373024</v>
      </c>
      <c r="B503" s="124">
        <v>2453</v>
      </c>
      <c r="C503" s="70" t="s">
        <v>61</v>
      </c>
      <c r="D503" s="152" t="s">
        <v>550</v>
      </c>
      <c r="E503" s="70" t="s">
        <v>939</v>
      </c>
      <c r="F503" s="70" t="s">
        <v>57</v>
      </c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 t="s">
        <v>940</v>
      </c>
      <c r="AZ503" s="41" t="str">
        <f t="shared" si="33"/>
        <v>Jan 00</v>
      </c>
      <c r="BA503" s="41" t="str">
        <f t="shared" si="32"/>
        <v>Jan 00</v>
      </c>
    </row>
    <row r="504" spans="1:53" ht="14" x14ac:dyDescent="0.15">
      <c r="A504" s="124">
        <v>3375165</v>
      </c>
      <c r="B504" s="124">
        <v>2460</v>
      </c>
      <c r="C504" s="69" t="s">
        <v>67</v>
      </c>
      <c r="D504" s="164" t="s">
        <v>393</v>
      </c>
      <c r="E504" s="69" t="s">
        <v>941</v>
      </c>
      <c r="F504" s="69" t="s">
        <v>57</v>
      </c>
      <c r="G504" s="69">
        <v>3</v>
      </c>
      <c r="H504" s="70"/>
      <c r="I504" s="69"/>
      <c r="J504" s="70"/>
      <c r="K504" s="69"/>
      <c r="L504" s="69"/>
      <c r="M504" s="70"/>
      <c r="N504" s="70"/>
      <c r="O504" s="70"/>
      <c r="P504" s="69"/>
      <c r="Q504" s="70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70"/>
      <c r="AH504" s="69"/>
      <c r="AI504" s="70"/>
      <c r="AJ504" s="69"/>
      <c r="AK504" s="70"/>
      <c r="AL504" s="69"/>
      <c r="AM504" s="70"/>
      <c r="AN504" s="69"/>
      <c r="AO504" s="70"/>
      <c r="AP504" s="69"/>
      <c r="AQ504" s="70"/>
      <c r="AR504" s="69"/>
      <c r="AS504" s="70"/>
      <c r="AT504" s="69"/>
      <c r="AU504" s="69"/>
      <c r="AV504" s="69"/>
      <c r="AW504" s="69"/>
      <c r="AX504" s="69"/>
      <c r="AY504" s="69" t="s">
        <v>942</v>
      </c>
      <c r="AZ504" s="41" t="str">
        <f>TEXT(AZ458,"MMM YY")</f>
        <v>Nov 25</v>
      </c>
      <c r="BA504" s="41" t="str">
        <f t="shared" si="32"/>
        <v>Jan 00</v>
      </c>
    </row>
    <row r="505" spans="1:53" ht="14" x14ac:dyDescent="0.15">
      <c r="A505" s="124">
        <v>3373889</v>
      </c>
      <c r="B505" s="124">
        <v>2120</v>
      </c>
      <c r="C505" s="69" t="s">
        <v>61</v>
      </c>
      <c r="D505" s="129" t="s">
        <v>943</v>
      </c>
      <c r="E505" s="69" t="s">
        <v>944</v>
      </c>
      <c r="F505" s="69" t="s">
        <v>57</v>
      </c>
      <c r="G505" s="69">
        <v>3</v>
      </c>
      <c r="H505" s="70">
        <v>45482</v>
      </c>
      <c r="I505" s="69"/>
      <c r="J505" s="70"/>
      <c r="K505" s="69"/>
      <c r="L505" s="69"/>
      <c r="M505" s="70"/>
      <c r="N505" s="70"/>
      <c r="O505" s="70"/>
      <c r="P505" s="69"/>
      <c r="Q505" s="70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37">
        <f>AllPlans[[#This Row],[Prep days*]]+AllPlans[[#This Row],[Hearing days*]]+AllPlans[[#This Row],[SV days*]]+AllPlans[[#This Row],[Travel days]]+AllPlans[[#This Row],[Reptg days*]]</f>
        <v>0</v>
      </c>
      <c r="AF505" s="69"/>
      <c r="AG505" s="70"/>
      <c r="AH505" s="69"/>
      <c r="AI505" s="70"/>
      <c r="AJ505" s="69"/>
      <c r="AK505" s="70"/>
      <c r="AL505" s="69"/>
      <c r="AM505" s="70"/>
      <c r="AN505" s="69"/>
      <c r="AO505" s="70"/>
      <c r="AP505" s="69"/>
      <c r="AQ505" s="70"/>
      <c r="AR505" s="69"/>
      <c r="AS505" s="70"/>
      <c r="AT505" s="69"/>
      <c r="AU505" s="69"/>
      <c r="AV505" s="69"/>
      <c r="AW505" s="69"/>
      <c r="AX505" s="69"/>
      <c r="AY505" s="69" t="s">
        <v>945</v>
      </c>
      <c r="AZ505" s="41" t="str">
        <f t="shared" ref="AZ505:AZ528" si="34">TEXT(J505,"MMM YY")</f>
        <v>Jan 00</v>
      </c>
      <c r="BA505" s="41" t="str">
        <f t="shared" si="32"/>
        <v>Jan 00</v>
      </c>
    </row>
    <row r="506" spans="1:53" ht="15" x14ac:dyDescent="0.2">
      <c r="A506" s="124">
        <v>3371043</v>
      </c>
      <c r="B506" s="124">
        <v>2443</v>
      </c>
      <c r="C506" s="69" t="s">
        <v>83</v>
      </c>
      <c r="D506" s="155" t="s">
        <v>946</v>
      </c>
      <c r="E506" s="69" t="s">
        <v>56</v>
      </c>
      <c r="F506" s="69" t="s">
        <v>57</v>
      </c>
      <c r="G506" s="69">
        <v>3</v>
      </c>
      <c r="H506" s="70" t="s">
        <v>552</v>
      </c>
      <c r="I506" s="69"/>
      <c r="J506" s="70"/>
      <c r="K506" s="69"/>
      <c r="L506" s="69"/>
      <c r="M506" s="70"/>
      <c r="N506" s="70"/>
      <c r="O506" s="70"/>
      <c r="P506" s="69"/>
      <c r="Q506" s="70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37">
        <f>AllPlans[[#This Row],[Prep days*]]+AllPlans[[#This Row],[Hearing days*]]+AllPlans[[#This Row],[SV days*]]+AllPlans[[#This Row],[Travel days]]+AllPlans[[#This Row],[Reptg days*]]</f>
        <v>0</v>
      </c>
      <c r="AF506" s="69"/>
      <c r="AG506" s="70"/>
      <c r="AH506" s="69"/>
      <c r="AI506" s="70"/>
      <c r="AJ506" s="69"/>
      <c r="AK506" s="70"/>
      <c r="AL506" s="69"/>
      <c r="AM506" s="70"/>
      <c r="AN506" s="69"/>
      <c r="AO506" s="70"/>
      <c r="AP506" s="69"/>
      <c r="AQ506" s="70"/>
      <c r="AR506" s="69"/>
      <c r="AS506" s="70"/>
      <c r="AT506" s="69"/>
      <c r="AU506" s="69"/>
      <c r="AV506" s="69"/>
      <c r="AW506" s="69"/>
      <c r="AX506" s="69"/>
      <c r="AY506" s="296" t="s">
        <v>947</v>
      </c>
      <c r="AZ506" s="41" t="str">
        <f t="shared" si="34"/>
        <v>Jan 00</v>
      </c>
      <c r="BA506" s="41" t="str">
        <f t="shared" si="32"/>
        <v>Jan 00</v>
      </c>
    </row>
    <row r="507" spans="1:53" ht="15" x14ac:dyDescent="0.15">
      <c r="A507" s="118" t="s">
        <v>53</v>
      </c>
      <c r="B507" s="118">
        <v>2029</v>
      </c>
      <c r="C507" s="63" t="s">
        <v>90</v>
      </c>
      <c r="D507" s="110" t="s">
        <v>948</v>
      </c>
      <c r="E507" s="278" t="s">
        <v>627</v>
      </c>
      <c r="F507" s="63" t="s">
        <v>107</v>
      </c>
      <c r="G507" s="63">
        <v>2</v>
      </c>
      <c r="H507" s="64">
        <v>44508</v>
      </c>
      <c r="I507" s="63"/>
      <c r="J507" s="64"/>
      <c r="K507" s="63"/>
      <c r="L507" s="63"/>
      <c r="M507" s="64"/>
      <c r="N507" s="64"/>
      <c r="O507" s="64"/>
      <c r="P507" s="63"/>
      <c r="Q507" s="64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119">
        <f>AllPlans[[#This Row],[Prep days*]]+AllPlans[[#This Row],[Hearing days*]]+AllPlans[[#This Row],[SV days*]]+AllPlans[[#This Row],[Travel days]]+AllPlans[[#This Row],[Reptg days*]]</f>
        <v>0</v>
      </c>
      <c r="AF507" s="63"/>
      <c r="AG507" s="64"/>
      <c r="AH507" s="63"/>
      <c r="AI507" s="64"/>
      <c r="AJ507" s="63"/>
      <c r="AK507" s="64"/>
      <c r="AL507" s="63"/>
      <c r="AM507" s="64"/>
      <c r="AN507" s="63"/>
      <c r="AO507" s="64"/>
      <c r="AP507" s="63"/>
      <c r="AQ507" s="64"/>
      <c r="AR507" s="63"/>
      <c r="AS507" s="64"/>
      <c r="AT507" s="63"/>
      <c r="AU507" s="63"/>
      <c r="AV507" s="63"/>
      <c r="AW507" s="63"/>
      <c r="AX507" s="63"/>
      <c r="AY507" s="303" t="s">
        <v>949</v>
      </c>
      <c r="AZ507" s="41" t="str">
        <f t="shared" si="34"/>
        <v>Jan 00</v>
      </c>
      <c r="BA507" s="41" t="str">
        <f t="shared" si="32"/>
        <v>Jan 00</v>
      </c>
    </row>
    <row r="508" spans="1:53" ht="15" x14ac:dyDescent="0.2">
      <c r="A508" s="118">
        <v>3364946</v>
      </c>
      <c r="B508" s="118">
        <v>2324</v>
      </c>
      <c r="C508" s="63" t="s">
        <v>54</v>
      </c>
      <c r="D508" s="158" t="s">
        <v>389</v>
      </c>
      <c r="E508" s="63" t="s">
        <v>425</v>
      </c>
      <c r="F508" s="63" t="s">
        <v>57</v>
      </c>
      <c r="G508" s="63">
        <v>3</v>
      </c>
      <c r="H508" s="64" t="s">
        <v>552</v>
      </c>
      <c r="I508" s="63"/>
      <c r="J508" s="64"/>
      <c r="K508" s="63"/>
      <c r="L508" s="63"/>
      <c r="M508" s="64"/>
      <c r="N508" s="64"/>
      <c r="O508" s="64"/>
      <c r="P508" s="63"/>
      <c r="Q508" s="64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119">
        <f>AllPlans[[#This Row],[Prep days*]]+AllPlans[[#This Row],[Hearing days*]]+AllPlans[[#This Row],[SV days*]]+AllPlans[[#This Row],[Travel days]]+AllPlans[[#This Row],[Reptg days*]]</f>
        <v>0</v>
      </c>
      <c r="AF508" s="63"/>
      <c r="AG508" s="64"/>
      <c r="AH508" s="63"/>
      <c r="AI508" s="64"/>
      <c r="AJ508" s="63"/>
      <c r="AK508" s="64"/>
      <c r="AL508" s="63"/>
      <c r="AM508" s="64"/>
      <c r="AN508" s="63"/>
      <c r="AO508" s="64"/>
      <c r="AP508" s="63"/>
      <c r="AQ508" s="64"/>
      <c r="AR508" s="63"/>
      <c r="AS508" s="64"/>
      <c r="AT508" s="63"/>
      <c r="AU508" s="63"/>
      <c r="AV508" s="63"/>
      <c r="AW508" s="63"/>
      <c r="AX508" s="63"/>
      <c r="AY508" s="297" t="s">
        <v>950</v>
      </c>
      <c r="AZ508" s="41" t="str">
        <f t="shared" si="34"/>
        <v>Jan 00</v>
      </c>
      <c r="BA508" s="41" t="str">
        <f t="shared" si="32"/>
        <v>Jan 00</v>
      </c>
    </row>
    <row r="509" spans="1:53" ht="15" x14ac:dyDescent="0.2">
      <c r="A509" s="118">
        <v>3371044</v>
      </c>
      <c r="B509" s="118">
        <v>2444</v>
      </c>
      <c r="C509" s="63" t="s">
        <v>83</v>
      </c>
      <c r="D509" s="154" t="s">
        <v>655</v>
      </c>
      <c r="E509" s="63" t="s">
        <v>56</v>
      </c>
      <c r="F509" s="63" t="s">
        <v>57</v>
      </c>
      <c r="G509" s="63">
        <v>3</v>
      </c>
      <c r="H509" s="64" t="s">
        <v>552</v>
      </c>
      <c r="I509" s="63"/>
      <c r="J509" s="64"/>
      <c r="K509" s="63"/>
      <c r="L509" s="63"/>
      <c r="M509" s="64"/>
      <c r="N509" s="64"/>
      <c r="O509" s="64"/>
      <c r="P509" s="63"/>
      <c r="Q509" s="64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119">
        <f>AllPlans[[#This Row],[Prep days*]]+AllPlans[[#This Row],[Hearing days*]]+AllPlans[[#This Row],[SV days*]]+AllPlans[[#This Row],[Travel days]]+AllPlans[[#This Row],[Reptg days*]]</f>
        <v>0</v>
      </c>
      <c r="AF509" s="63"/>
      <c r="AG509" s="64"/>
      <c r="AH509" s="63"/>
      <c r="AI509" s="64"/>
      <c r="AJ509" s="63"/>
      <c r="AK509" s="64"/>
      <c r="AL509" s="63"/>
      <c r="AM509" s="64"/>
      <c r="AN509" s="63"/>
      <c r="AO509" s="64"/>
      <c r="AP509" s="63"/>
      <c r="AQ509" s="64"/>
      <c r="AR509" s="63"/>
      <c r="AS509" s="64"/>
      <c r="AT509" s="63"/>
      <c r="AU509" s="63"/>
      <c r="AV509" s="63"/>
      <c r="AW509" s="63"/>
      <c r="AX509" s="63"/>
      <c r="AY509" s="296" t="s">
        <v>951</v>
      </c>
      <c r="AZ509" s="41" t="str">
        <f t="shared" si="34"/>
        <v>Jan 00</v>
      </c>
      <c r="BA509" s="41" t="str">
        <f t="shared" si="32"/>
        <v>Jan 00</v>
      </c>
    </row>
    <row r="510" spans="1:53" ht="14" x14ac:dyDescent="0.15">
      <c r="A510" s="118">
        <v>3364848</v>
      </c>
      <c r="B510" s="118">
        <v>2293</v>
      </c>
      <c r="C510" s="63" t="s">
        <v>90</v>
      </c>
      <c r="D510" s="110" t="s">
        <v>560</v>
      </c>
      <c r="E510" s="63" t="s">
        <v>56</v>
      </c>
      <c r="F510" s="63" t="s">
        <v>57</v>
      </c>
      <c r="G510" s="63">
        <v>3</v>
      </c>
      <c r="H510" s="64" t="s">
        <v>552</v>
      </c>
      <c r="I510" s="63"/>
      <c r="J510" s="64"/>
      <c r="K510" s="63"/>
      <c r="L510" s="63"/>
      <c r="M510" s="64"/>
      <c r="N510" s="64"/>
      <c r="O510" s="64"/>
      <c r="P510" s="63"/>
      <c r="Q510" s="64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119">
        <f>AllPlans[[#This Row],[Prep days*]]+AllPlans[[#This Row],[Hearing days*]]+AllPlans[[#This Row],[SV days*]]+AllPlans[[#This Row],[Travel days]]+AllPlans[[#This Row],[Reptg days*]]</f>
        <v>0</v>
      </c>
      <c r="AF510" s="63"/>
      <c r="AG510" s="64"/>
      <c r="AH510" s="63"/>
      <c r="AI510" s="64"/>
      <c r="AJ510" s="63"/>
      <c r="AK510" s="64"/>
      <c r="AL510" s="63"/>
      <c r="AM510" s="64"/>
      <c r="AN510" s="63"/>
      <c r="AO510" s="64"/>
      <c r="AP510" s="63"/>
      <c r="AQ510" s="64"/>
      <c r="AR510" s="63"/>
      <c r="AS510" s="64"/>
      <c r="AT510" s="63"/>
      <c r="AU510" s="63"/>
      <c r="AV510" s="63"/>
      <c r="AW510" s="63"/>
      <c r="AX510" s="63"/>
      <c r="AY510" s="63" t="s">
        <v>952</v>
      </c>
      <c r="AZ510" s="41" t="str">
        <f t="shared" si="34"/>
        <v>Jan 00</v>
      </c>
      <c r="BA510" s="41" t="str">
        <f t="shared" si="32"/>
        <v>Jan 00</v>
      </c>
    </row>
    <row r="511" spans="1:53" ht="14" x14ac:dyDescent="0.15">
      <c r="A511" s="118">
        <v>3373139</v>
      </c>
      <c r="B511" s="118">
        <v>2455</v>
      </c>
      <c r="C511" s="64" t="s">
        <v>54</v>
      </c>
      <c r="D511" s="240" t="s">
        <v>652</v>
      </c>
      <c r="E511" s="64" t="s">
        <v>56</v>
      </c>
      <c r="F511" s="64" t="s">
        <v>57</v>
      </c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 t="s">
        <v>953</v>
      </c>
      <c r="AZ511" s="41" t="str">
        <f t="shared" si="34"/>
        <v>Jan 00</v>
      </c>
      <c r="BA511" s="41" t="str">
        <f t="shared" si="32"/>
        <v>Jan 00</v>
      </c>
    </row>
    <row r="512" spans="1:53" ht="15" x14ac:dyDescent="0.2">
      <c r="A512" s="63">
        <v>3365746</v>
      </c>
      <c r="B512" s="118">
        <v>2427</v>
      </c>
      <c r="C512" s="63" t="s">
        <v>104</v>
      </c>
      <c r="D512" s="154" t="s">
        <v>320</v>
      </c>
      <c r="E512" s="63" t="s">
        <v>56</v>
      </c>
      <c r="F512" s="63" t="s">
        <v>57</v>
      </c>
      <c r="G512" s="63">
        <v>3</v>
      </c>
      <c r="H512" s="64">
        <v>45726</v>
      </c>
      <c r="I512" s="63"/>
      <c r="J512" s="64"/>
      <c r="K512" s="63"/>
      <c r="L512" s="63"/>
      <c r="M512" s="64"/>
      <c r="N512" s="64"/>
      <c r="O512" s="64"/>
      <c r="P512" s="63"/>
      <c r="Q512" s="64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119">
        <f>AllPlans[[#This Row],[Prep days*]]+AllPlans[[#This Row],[Hearing days*]]+AllPlans[[#This Row],[SV days*]]+AllPlans[[#This Row],[Travel days]]+AllPlans[[#This Row],[Reptg days*]]</f>
        <v>0</v>
      </c>
      <c r="AF512" s="63"/>
      <c r="AG512" s="64"/>
      <c r="AH512" s="63"/>
      <c r="AI512" s="64"/>
      <c r="AJ512" s="63"/>
      <c r="AK512" s="64"/>
      <c r="AL512" s="63"/>
      <c r="AM512" s="64"/>
      <c r="AN512" s="63"/>
      <c r="AO512" s="64"/>
      <c r="AP512" s="63"/>
      <c r="AQ512" s="64"/>
      <c r="AR512" s="63"/>
      <c r="AS512" s="64"/>
      <c r="AT512" s="63"/>
      <c r="AU512" s="63"/>
      <c r="AV512" s="63"/>
      <c r="AW512" s="63"/>
      <c r="AX512" s="63"/>
      <c r="AY512" s="296" t="s">
        <v>321</v>
      </c>
      <c r="AZ512" s="41" t="str">
        <f t="shared" si="34"/>
        <v>Jan 00</v>
      </c>
      <c r="BA512" s="41" t="str">
        <f t="shared" si="32"/>
        <v>Jan 00</v>
      </c>
    </row>
    <row r="513" spans="1:1022 1026:2048 2052:3066 3073:4092 4099:5118 5125:6144 6151:7168 7170:8192 8194:9216 9218:10240 10242:11263 11266:12287 12289:13297 13313:14323 14339:15349 15365:16375" ht="14" x14ac:dyDescent="0.15">
      <c r="A513" s="118">
        <v>3365008</v>
      </c>
      <c r="B513" s="118">
        <v>2432</v>
      </c>
      <c r="C513" s="63" t="s">
        <v>61</v>
      </c>
      <c r="D513" s="128" t="s">
        <v>472</v>
      </c>
      <c r="E513" s="63" t="s">
        <v>92</v>
      </c>
      <c r="F513" s="63" t="s">
        <v>57</v>
      </c>
      <c r="G513" s="63">
        <v>3</v>
      </c>
      <c r="H513" s="64" t="s">
        <v>552</v>
      </c>
      <c r="I513" s="63"/>
      <c r="J513" s="64"/>
      <c r="K513" s="63"/>
      <c r="L513" s="63"/>
      <c r="M513" s="64"/>
      <c r="N513" s="64"/>
      <c r="O513" s="64"/>
      <c r="P513" s="63"/>
      <c r="Q513" s="64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119">
        <f>AllPlans[[#This Row],[Prep days*]]+AllPlans[[#This Row],[Hearing days*]]+AllPlans[[#This Row],[SV days*]]+AllPlans[[#This Row],[Travel days]]+AllPlans[[#This Row],[Reptg days*]]</f>
        <v>0</v>
      </c>
      <c r="AF513" s="63"/>
      <c r="AG513" s="64"/>
      <c r="AH513" s="63"/>
      <c r="AI513" s="64"/>
      <c r="AJ513" s="63"/>
      <c r="AK513" s="64"/>
      <c r="AL513" s="63"/>
      <c r="AM513" s="64"/>
      <c r="AN513" s="63"/>
      <c r="AO513" s="64"/>
      <c r="AP513" s="63"/>
      <c r="AQ513" s="64"/>
      <c r="AR513" s="63"/>
      <c r="AS513" s="64"/>
      <c r="AT513" s="63"/>
      <c r="AU513" s="63"/>
      <c r="AV513" s="63"/>
      <c r="AW513" s="63"/>
      <c r="AX513" s="63"/>
      <c r="AY513" s="63" t="s">
        <v>954</v>
      </c>
      <c r="AZ513" s="41" t="str">
        <f t="shared" si="34"/>
        <v>Jan 00</v>
      </c>
      <c r="BA513" s="41" t="str">
        <f t="shared" si="32"/>
        <v>Jan 00</v>
      </c>
    </row>
    <row r="514" spans="1:1022 1026:2048 2052:3066 3073:4092 4099:5118 5125:6144 6151:7168 7170:8192 8194:9216 9218:10240 10242:11263 11266:12287 12289:13297 13313:14323 14339:15349 15365:16375" ht="28" x14ac:dyDescent="0.15">
      <c r="A514" s="118">
        <v>3367734</v>
      </c>
      <c r="B514" s="118">
        <v>2428</v>
      </c>
      <c r="C514" s="63" t="s">
        <v>270</v>
      </c>
      <c r="D514" s="128" t="s">
        <v>955</v>
      </c>
      <c r="E514" s="41" t="s">
        <v>956</v>
      </c>
      <c r="F514" s="63" t="s">
        <v>74</v>
      </c>
      <c r="G514" s="63">
        <v>2</v>
      </c>
      <c r="H514" s="64">
        <v>45747</v>
      </c>
      <c r="I514" s="63"/>
      <c r="J514" s="64"/>
      <c r="K514" s="63"/>
      <c r="L514" s="63"/>
      <c r="M514" s="64"/>
      <c r="N514" s="64"/>
      <c r="O514" s="64"/>
      <c r="P514" s="63"/>
      <c r="Q514" s="64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119">
        <f>AllPlans[[#This Row],[Prep days*]]+AllPlans[[#This Row],[Hearing days*]]+AllPlans[[#This Row],[SV days*]]+AllPlans[[#This Row],[Travel days]]+AllPlans[[#This Row],[Reptg days*]]</f>
        <v>0</v>
      </c>
      <c r="AF514" s="63"/>
      <c r="AG514" s="64"/>
      <c r="AH514" s="63"/>
      <c r="AI514" s="64"/>
      <c r="AJ514" s="63"/>
      <c r="AK514" s="64"/>
      <c r="AL514" s="63"/>
      <c r="AM514" s="64"/>
      <c r="AN514" s="63"/>
      <c r="AO514" s="64"/>
      <c r="AP514" s="63"/>
      <c r="AQ514" s="64"/>
      <c r="AR514" s="63"/>
      <c r="AS514" s="64"/>
      <c r="AT514" s="63"/>
      <c r="AU514" s="63"/>
      <c r="AV514" s="63"/>
      <c r="AW514" s="63"/>
      <c r="AX514" s="63"/>
      <c r="AY514" s="63"/>
      <c r="AZ514" s="41" t="str">
        <f t="shared" si="34"/>
        <v>Jan 00</v>
      </c>
      <c r="BA514" s="41" t="str">
        <f t="shared" si="32"/>
        <v>Jan 00</v>
      </c>
    </row>
    <row r="515" spans="1:1022 1026:2048 2052:3066 3073:4092 4099:5118 5125:6144 6151:7168 7170:8192 8194:9216 9218:10240 10242:11263 11266:12287 12289:13297 13313:14323 14339:15349 15365:16375" ht="28" x14ac:dyDescent="0.2">
      <c r="A515" s="118" t="s">
        <v>53</v>
      </c>
      <c r="B515" s="63">
        <v>2002</v>
      </c>
      <c r="C515" s="63" t="s">
        <v>54</v>
      </c>
      <c r="D515" s="158" t="s">
        <v>744</v>
      </c>
      <c r="E515" s="63" t="s">
        <v>957</v>
      </c>
      <c r="F515" s="63" t="s">
        <v>107</v>
      </c>
      <c r="G515" s="63">
        <v>2</v>
      </c>
      <c r="H515" s="64">
        <v>44866</v>
      </c>
      <c r="I515" s="63"/>
      <c r="J515" s="64"/>
      <c r="K515" s="63"/>
      <c r="L515" s="63"/>
      <c r="M515" s="64"/>
      <c r="N515" s="64"/>
      <c r="O515" s="64"/>
      <c r="P515" s="63"/>
      <c r="Q515" s="64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119"/>
      <c r="AF515" s="63"/>
      <c r="AG515" s="64"/>
      <c r="AH515" s="63"/>
      <c r="AI515" s="64"/>
      <c r="AJ515" s="63"/>
      <c r="AK515" s="64"/>
      <c r="AL515" s="63"/>
      <c r="AM515" s="64"/>
      <c r="AN515" s="63"/>
      <c r="AO515" s="64"/>
      <c r="AP515" s="63"/>
      <c r="AQ515" s="64"/>
      <c r="AR515" s="63"/>
      <c r="AS515" s="64"/>
      <c r="AT515" s="63"/>
      <c r="AU515" s="63"/>
      <c r="AV515" s="63"/>
      <c r="AW515" s="63"/>
      <c r="AX515" s="63"/>
      <c r="AY515" s="297" t="s">
        <v>747</v>
      </c>
      <c r="AZ515" s="41" t="str">
        <f t="shared" si="34"/>
        <v>Jan 00</v>
      </c>
      <c r="BA515" s="41" t="str">
        <f t="shared" si="32"/>
        <v>Jan 00</v>
      </c>
    </row>
    <row r="516" spans="1:1022 1026:2048 2052:3066 3073:4092 4099:5118 5125:6144 6151:7168 7170:8192 8194:9216 9218:10240 10242:11263 11266:12287 12289:13297 13313:14323 14339:15349 15365:16375" ht="15" x14ac:dyDescent="0.2">
      <c r="A516" s="216">
        <v>3375355</v>
      </c>
      <c r="B516" s="216">
        <v>2118</v>
      </c>
      <c r="C516" s="217" t="s">
        <v>71</v>
      </c>
      <c r="D516" s="218" t="s">
        <v>958</v>
      </c>
      <c r="E516" s="217" t="s">
        <v>56</v>
      </c>
      <c r="F516" s="217" t="s">
        <v>57</v>
      </c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  <c r="AG516" s="217"/>
      <c r="AH516" s="217"/>
      <c r="AI516" s="217"/>
      <c r="AJ516" s="217"/>
      <c r="AK516" s="217"/>
      <c r="AL516" s="217"/>
      <c r="AM516" s="217"/>
      <c r="AN516" s="217"/>
      <c r="AO516" s="217"/>
      <c r="AP516" s="217"/>
      <c r="AQ516" s="217"/>
      <c r="AR516" s="217"/>
      <c r="AS516" s="217"/>
      <c r="AT516" s="217"/>
      <c r="AU516" s="217"/>
      <c r="AV516" s="217"/>
      <c r="AW516" s="217"/>
      <c r="AX516" s="217"/>
      <c r="AY516" s="297" t="s">
        <v>341</v>
      </c>
      <c r="AZ516" s="41" t="str">
        <f t="shared" si="34"/>
        <v>Jan 00</v>
      </c>
      <c r="BA516" s="41" t="str">
        <f t="shared" si="32"/>
        <v>Jan 00</v>
      </c>
    </row>
    <row r="517" spans="1:1022 1026:2048 2052:3066 3073:4092 4099:5118 5125:6144 6151:7168 7170:8192 8194:9216 9218:10240 10242:11263 11266:12287 12289:13297 13313:14323 14339:15349 15365:16375" ht="15" x14ac:dyDescent="0.2">
      <c r="A517" s="130">
        <v>3375333</v>
      </c>
      <c r="B517" s="130">
        <v>2136</v>
      </c>
      <c r="C517" s="215" t="s">
        <v>54</v>
      </c>
      <c r="D517" s="233" t="s">
        <v>959</v>
      </c>
      <c r="E517" s="215" t="s">
        <v>56</v>
      </c>
      <c r="F517" s="215" t="s">
        <v>57</v>
      </c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  <c r="AA517" s="215"/>
      <c r="AB517" s="215"/>
      <c r="AC517" s="215"/>
      <c r="AD517" s="215"/>
      <c r="AE517" s="215"/>
      <c r="AF517" s="215"/>
      <c r="AG517" s="215"/>
      <c r="AH517" s="215"/>
      <c r="AI517" s="215"/>
      <c r="AJ517" s="215"/>
      <c r="AK517" s="215"/>
      <c r="AL517" s="215"/>
      <c r="AM517" s="215"/>
      <c r="AN517" s="215"/>
      <c r="AO517" s="215"/>
      <c r="AP517" s="215"/>
      <c r="AQ517" s="215"/>
      <c r="AR517" s="215"/>
      <c r="AS517" s="215"/>
      <c r="AT517" s="215"/>
      <c r="AU517" s="215"/>
      <c r="AV517" s="215"/>
      <c r="AW517" s="215"/>
      <c r="AX517" s="242"/>
      <c r="AY517" s="297" t="s">
        <v>960</v>
      </c>
      <c r="AZ517" s="26" t="str">
        <f t="shared" si="34"/>
        <v>Jan 00</v>
      </c>
      <c r="BA517" s="26" t="str">
        <f t="shared" si="32"/>
        <v>Jan 00</v>
      </c>
    </row>
    <row r="518" spans="1:1022 1026:2048 2052:3066 3073:4092 4099:5118 5125:6144 6151:7168 7170:8192 8194:9216 9218:10240 10242:11263 11266:12287 12289:13297 13313:14323 14339:15349 15365:16375" ht="14" x14ac:dyDescent="0.15">
      <c r="A518" s="238" t="s">
        <v>53</v>
      </c>
      <c r="B518" s="238">
        <v>1986</v>
      </c>
      <c r="C518" s="69" t="s">
        <v>54</v>
      </c>
      <c r="D518" s="239" t="s">
        <v>961</v>
      </c>
      <c r="E518" s="77" t="s">
        <v>118</v>
      </c>
      <c r="F518" s="77" t="s">
        <v>107</v>
      </c>
      <c r="G518" s="77">
        <v>2</v>
      </c>
      <c r="H518" s="78">
        <v>43685</v>
      </c>
      <c r="I518" s="77"/>
      <c r="J518" s="78"/>
      <c r="K518" s="77"/>
      <c r="L518" s="69"/>
      <c r="M518" s="78"/>
      <c r="N518" s="78"/>
      <c r="O518" s="78"/>
      <c r="P518" s="77"/>
      <c r="Q518" s="78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37">
        <f>AllPlans[[#This Row],[Prep days*]]+AllPlans[[#This Row],[Hearing days*]]+AllPlans[[#This Row],[SV days*]]+AllPlans[[#This Row],[Travel days]]+AllPlans[[#This Row],[Reptg days*]]</f>
        <v>0</v>
      </c>
      <c r="AF518" s="77"/>
      <c r="AG518" s="78"/>
      <c r="AH518" s="77"/>
      <c r="AI518" s="78"/>
      <c r="AJ518" s="77"/>
      <c r="AK518" s="78"/>
      <c r="AL518" s="77"/>
      <c r="AM518" s="78"/>
      <c r="AN518" s="77"/>
      <c r="AO518" s="78"/>
      <c r="AP518" s="77"/>
      <c r="AQ518" s="78"/>
      <c r="AR518" s="77"/>
      <c r="AS518" s="78"/>
      <c r="AT518" s="77"/>
      <c r="AU518" s="77"/>
      <c r="AV518" s="40">
        <f>SUM(AO518-J518)/7</f>
        <v>0</v>
      </c>
      <c r="AW518" s="39">
        <f>SUM(AO518-Q518)/7</f>
        <v>0</v>
      </c>
      <c r="AX518" s="77"/>
      <c r="AY518" s="77" t="str">
        <f>IF(D518&lt;&gt;"",IF(LEFT(IFERROR(VLOOKUP(D518,#REF!,2,FALSE),"LPA not known to MCLHG"),3)&lt;&gt;"JSP",IFERROR(VLOOKUP(D518,#REF!,2,FALSE),"LPA not known to MCLHG"),VLOOKUP(D518&amp;B518,#REF!,3,FALSE)),"")</f>
        <v>LPA not known to MCLHG</v>
      </c>
      <c r="AZ518" s="41" t="str">
        <f t="shared" si="34"/>
        <v>Jan 00</v>
      </c>
      <c r="BA518" s="41" t="str">
        <f t="shared" si="32"/>
        <v>Jan 00</v>
      </c>
    </row>
    <row r="519" spans="1:1022 1026:2048 2052:3066 3073:4092 4099:5118 5125:6144 6151:7168 7170:8192 8194:9216 9218:10240 10242:11263 11266:12287 12289:13297 13313:14323 14339:15349 15365:16375" ht="15" x14ac:dyDescent="0.15">
      <c r="A519" s="69">
        <v>3376661</v>
      </c>
      <c r="B519" s="69">
        <v>2257</v>
      </c>
      <c r="C519" s="69" t="s">
        <v>61</v>
      </c>
      <c r="D519" s="129" t="s">
        <v>109</v>
      </c>
      <c r="E519" s="69" t="s">
        <v>56</v>
      </c>
      <c r="F519" s="69" t="s">
        <v>57</v>
      </c>
      <c r="G519" s="69">
        <v>3</v>
      </c>
      <c r="H519" s="70">
        <v>44235</v>
      </c>
      <c r="I519" s="69"/>
      <c r="J519" s="70"/>
      <c r="K519" s="69"/>
      <c r="L519" s="69"/>
      <c r="M519" s="70"/>
      <c r="N519" s="70"/>
      <c r="O519" s="70"/>
      <c r="P519" s="69"/>
      <c r="Q519" s="70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37">
        <f>AllPlans[[#This Row],[Prep days*]]+AllPlans[[#This Row],[Hearing days*]]+AllPlans[[#This Row],[SV days*]]+AllPlans[[#This Row],[Travel days]]+AllPlans[[#This Row],[Reptg days*]]</f>
        <v>0</v>
      </c>
      <c r="AF519" s="69"/>
      <c r="AG519" s="70"/>
      <c r="AH519" s="69"/>
      <c r="AI519" s="70"/>
      <c r="AJ519" s="69"/>
      <c r="AK519" s="70"/>
      <c r="AL519" s="69"/>
      <c r="AM519" s="70"/>
      <c r="AN519" s="69"/>
      <c r="AO519" s="70"/>
      <c r="AP519" s="69"/>
      <c r="AQ519" s="70"/>
      <c r="AR519" s="69"/>
      <c r="AS519" s="70"/>
      <c r="AT519" s="69"/>
      <c r="AU519" s="69"/>
      <c r="AV519" s="69"/>
      <c r="AW519" s="69"/>
      <c r="AX519" s="69"/>
      <c r="AY519" s="299" t="s">
        <v>110</v>
      </c>
      <c r="AZ519" s="41" t="str">
        <f t="shared" si="34"/>
        <v>Jan 00</v>
      </c>
      <c r="BA519" s="41" t="str">
        <f t="shared" si="32"/>
        <v>Jan 00</v>
      </c>
    </row>
    <row r="520" spans="1:1022 1026:2048 2052:3066 3073:4092 4099:5118 5125:6144 6151:7168 7170:8192 8194:9216 9218:10240 10242:11263 11266:12287 12289:13297 13313:14323 14339:15349 15365:16375" ht="28" x14ac:dyDescent="0.2">
      <c r="A520" s="69">
        <v>3371041</v>
      </c>
      <c r="B520" s="69">
        <v>2442</v>
      </c>
      <c r="C520" s="69" t="s">
        <v>83</v>
      </c>
      <c r="D520" s="155" t="s">
        <v>962</v>
      </c>
      <c r="E520" s="69" t="s">
        <v>963</v>
      </c>
      <c r="F520" s="69" t="s">
        <v>57</v>
      </c>
      <c r="G520" s="69">
        <v>3</v>
      </c>
      <c r="H520" s="70" t="s">
        <v>552</v>
      </c>
      <c r="I520" s="69"/>
      <c r="J520" s="70"/>
      <c r="K520" s="69"/>
      <c r="L520" s="69"/>
      <c r="M520" s="70"/>
      <c r="N520" s="70"/>
      <c r="O520" s="70"/>
      <c r="P520" s="69"/>
      <c r="Q520" s="70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37">
        <f>AllPlans[[#This Row],[Prep days*]]+AllPlans[[#This Row],[Hearing days*]]+AllPlans[[#This Row],[SV days*]]+AllPlans[[#This Row],[Travel days]]+AllPlans[[#This Row],[Reptg days*]]</f>
        <v>0</v>
      </c>
      <c r="AF520" s="69"/>
      <c r="AG520" s="70"/>
      <c r="AH520" s="69"/>
      <c r="AI520" s="70"/>
      <c r="AJ520" s="69"/>
      <c r="AK520" s="70"/>
      <c r="AL520" s="69"/>
      <c r="AM520" s="70"/>
      <c r="AN520" s="69"/>
      <c r="AO520" s="70"/>
      <c r="AP520" s="69"/>
      <c r="AQ520" s="70"/>
      <c r="AR520" s="69"/>
      <c r="AS520" s="70"/>
      <c r="AT520" s="69"/>
      <c r="AU520" s="69"/>
      <c r="AV520" s="69"/>
      <c r="AW520" s="69"/>
      <c r="AX520" s="69"/>
      <c r="AY520" s="296" t="s">
        <v>964</v>
      </c>
      <c r="AZ520" s="41" t="str">
        <f t="shared" si="34"/>
        <v>Jan 00</v>
      </c>
      <c r="BA520" s="41" t="str">
        <f t="shared" si="32"/>
        <v>Jan 00</v>
      </c>
    </row>
    <row r="521" spans="1:1022 1026:2048 2052:3066 3073:4092 4099:5118 5125:6144 6151:7168 7170:8192 8194:9216 9218:10240 10242:11263 11266:12287 12289:13297 13313:14323 14339:15349 15365:16375" ht="15" x14ac:dyDescent="0.2">
      <c r="A521" s="69">
        <v>3374336</v>
      </c>
      <c r="B521" s="69">
        <v>2419</v>
      </c>
      <c r="C521" s="70" t="s">
        <v>71</v>
      </c>
      <c r="D521" s="241" t="s">
        <v>451</v>
      </c>
      <c r="E521" s="70" t="s">
        <v>56</v>
      </c>
      <c r="F521" s="70" t="s">
        <v>57</v>
      </c>
      <c r="G521" s="70"/>
      <c r="H521" s="70">
        <v>45989</v>
      </c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297" t="s">
        <v>965</v>
      </c>
      <c r="AZ521" s="41" t="str">
        <f t="shared" si="34"/>
        <v>Jan 00</v>
      </c>
      <c r="BA521" s="41" t="str">
        <f t="shared" si="32"/>
        <v>Jan 00</v>
      </c>
    </row>
    <row r="522" spans="1:1022 1026:2048 2052:3066 3073:4092 4099:5118 5125:6144 6151:7168 7170:8192 8194:9216 9218:10240 10242:11263 11266:12287 12289:13297 13313:14323 14339:15349 15365:16375" s="130" customFormat="1" ht="15" x14ac:dyDescent="0.2">
      <c r="A522" s="63">
        <v>3364948</v>
      </c>
      <c r="B522" s="63">
        <v>1953</v>
      </c>
      <c r="C522" s="63" t="s">
        <v>966</v>
      </c>
      <c r="D522" s="158" t="s">
        <v>967</v>
      </c>
      <c r="E522" s="63" t="s">
        <v>56</v>
      </c>
      <c r="F522" s="63" t="s">
        <v>57</v>
      </c>
      <c r="G522" s="63">
        <v>3</v>
      </c>
      <c r="H522" s="64" t="s">
        <v>552</v>
      </c>
      <c r="I522" s="63"/>
      <c r="J522" s="64"/>
      <c r="K522" s="63"/>
      <c r="L522" s="63"/>
      <c r="M522" s="64"/>
      <c r="N522" s="64"/>
      <c r="O522" s="64"/>
      <c r="P522" s="63"/>
      <c r="Q522" s="64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119">
        <f>AllPlans[[#This Row],[Prep days*]]+AllPlans[[#This Row],[Hearing days*]]+AllPlans[[#This Row],[SV days*]]+AllPlans[[#This Row],[Travel days]]+AllPlans[[#This Row],[Reptg days*]]</f>
        <v>0</v>
      </c>
      <c r="AF522" s="63"/>
      <c r="AG522" s="64"/>
      <c r="AH522" s="63"/>
      <c r="AI522" s="64"/>
      <c r="AJ522" s="63"/>
      <c r="AK522" s="64"/>
      <c r="AL522" s="63"/>
      <c r="AM522" s="64"/>
      <c r="AN522" s="63"/>
      <c r="AO522" s="64"/>
      <c r="AP522" s="63"/>
      <c r="AQ522" s="64"/>
      <c r="AR522" s="63"/>
      <c r="AS522" s="64"/>
      <c r="AT522" s="63"/>
      <c r="AU522" s="63"/>
      <c r="AV522" s="63"/>
      <c r="AW522" s="63"/>
      <c r="AX522" s="63"/>
      <c r="AY522" s="297" t="s">
        <v>968</v>
      </c>
      <c r="AZ522" s="235" t="str">
        <f t="shared" si="34"/>
        <v>Jan 00</v>
      </c>
      <c r="BA522" s="236" t="str">
        <f t="shared" si="32"/>
        <v>Jan 00</v>
      </c>
      <c r="BE522" s="214"/>
      <c r="BI522" s="215"/>
      <c r="BK522" s="215"/>
      <c r="BQ522" s="215"/>
      <c r="BR522" s="215"/>
      <c r="BS522" s="215"/>
      <c r="BU522" s="215"/>
      <c r="CK522" s="215"/>
      <c r="CM522" s="215"/>
      <c r="CP522" s="215"/>
      <c r="CR522" s="215"/>
      <c r="CT522" s="215"/>
      <c r="CV522" s="215"/>
      <c r="CX522" s="215"/>
      <c r="DE522" s="212"/>
      <c r="DF522" s="213"/>
      <c r="DJ522" s="214"/>
      <c r="DN522" s="215"/>
      <c r="DP522" s="215"/>
      <c r="DV522" s="215"/>
      <c r="DW522" s="215"/>
      <c r="DX522" s="215"/>
      <c r="DZ522" s="215"/>
      <c r="EP522" s="215"/>
      <c r="ER522" s="215"/>
      <c r="EU522" s="215"/>
      <c r="EW522" s="215"/>
      <c r="EY522" s="215"/>
      <c r="FA522" s="215"/>
      <c r="FC522" s="215"/>
      <c r="FJ522" s="212"/>
      <c r="FK522" s="213"/>
      <c r="FO522" s="214"/>
      <c r="FS522" s="215"/>
      <c r="FU522" s="215"/>
      <c r="GA522" s="215"/>
      <c r="GB522" s="215"/>
      <c r="GC522" s="215"/>
      <c r="GE522" s="215"/>
      <c r="GU522" s="215"/>
      <c r="GW522" s="215"/>
      <c r="GZ522" s="215"/>
      <c r="HB522" s="215"/>
      <c r="HD522" s="215"/>
      <c r="HF522" s="215"/>
      <c r="HH522" s="215"/>
      <c r="HO522" s="212"/>
      <c r="HP522" s="213"/>
      <c r="HT522" s="214"/>
      <c r="HX522" s="215"/>
      <c r="HZ522" s="215"/>
      <c r="IF522" s="215"/>
      <c r="IG522" s="215"/>
      <c r="IH522" s="215"/>
      <c r="IJ522" s="215"/>
      <c r="IZ522" s="215"/>
      <c r="JB522" s="215"/>
      <c r="JE522" s="215"/>
      <c r="JG522" s="215"/>
      <c r="JI522" s="215"/>
      <c r="JK522" s="215"/>
      <c r="JM522" s="215"/>
      <c r="JT522" s="212"/>
      <c r="JU522" s="213"/>
      <c r="JY522" s="214"/>
      <c r="KC522" s="215"/>
      <c r="KE522" s="215"/>
      <c r="KK522" s="215"/>
      <c r="KL522" s="215"/>
      <c r="KM522" s="215"/>
      <c r="KO522" s="215"/>
      <c r="LE522" s="215"/>
      <c r="LG522" s="215"/>
      <c r="LJ522" s="215"/>
      <c r="LL522" s="215"/>
      <c r="LN522" s="215"/>
      <c r="LP522" s="215"/>
      <c r="LR522" s="215"/>
      <c r="LY522" s="212"/>
      <c r="LZ522" s="213"/>
      <c r="MD522" s="214"/>
      <c r="MH522" s="215"/>
      <c r="MJ522" s="215"/>
      <c r="MP522" s="215"/>
      <c r="MQ522" s="215"/>
      <c r="MR522" s="215"/>
      <c r="MT522" s="215"/>
      <c r="NJ522" s="215"/>
      <c r="NL522" s="215"/>
      <c r="NO522" s="215"/>
      <c r="NQ522" s="215"/>
      <c r="NS522" s="215"/>
      <c r="NU522" s="215"/>
      <c r="NW522" s="215"/>
      <c r="OD522" s="212"/>
      <c r="OE522" s="213"/>
      <c r="OI522" s="214"/>
      <c r="OM522" s="215"/>
      <c r="OO522" s="215"/>
      <c r="OU522" s="215"/>
      <c r="OV522" s="215"/>
      <c r="OW522" s="215"/>
      <c r="OY522" s="215"/>
      <c r="PO522" s="215"/>
      <c r="PQ522" s="215"/>
      <c r="PT522" s="215"/>
      <c r="PV522" s="215"/>
      <c r="PX522" s="215"/>
      <c r="PZ522" s="215"/>
      <c r="QB522" s="215"/>
      <c r="QI522" s="212"/>
      <c r="QJ522" s="213"/>
      <c r="QN522" s="214"/>
      <c r="QR522" s="215"/>
      <c r="QT522" s="215"/>
      <c r="QZ522" s="215"/>
      <c r="RA522" s="215"/>
      <c r="RB522" s="215"/>
      <c r="RD522" s="215"/>
      <c r="RT522" s="215"/>
      <c r="RV522" s="215"/>
      <c r="RY522" s="215"/>
      <c r="SA522" s="215"/>
      <c r="SC522" s="215"/>
      <c r="SE522" s="215"/>
      <c r="SG522" s="215"/>
      <c r="SN522" s="212"/>
      <c r="SO522" s="213"/>
      <c r="SS522" s="214"/>
      <c r="SW522" s="215"/>
      <c r="SY522" s="215"/>
      <c r="TE522" s="215"/>
      <c r="TF522" s="215"/>
      <c r="TG522" s="215"/>
      <c r="TI522" s="215"/>
      <c r="TY522" s="215"/>
      <c r="UA522" s="215"/>
      <c r="UD522" s="215"/>
      <c r="UF522" s="215"/>
      <c r="UH522" s="215"/>
      <c r="UJ522" s="215"/>
      <c r="UL522" s="215"/>
      <c r="US522" s="212"/>
      <c r="UT522" s="213"/>
      <c r="UX522" s="214"/>
      <c r="VB522" s="215"/>
      <c r="VD522" s="215"/>
      <c r="VJ522" s="215"/>
      <c r="VK522" s="215"/>
      <c r="VL522" s="215"/>
      <c r="VN522" s="215"/>
      <c r="WD522" s="215"/>
      <c r="WF522" s="215"/>
      <c r="WI522" s="215"/>
      <c r="WK522" s="215"/>
      <c r="WM522" s="215"/>
      <c r="WO522" s="215"/>
      <c r="WQ522" s="215"/>
      <c r="WX522" s="212"/>
      <c r="WY522" s="213"/>
      <c r="XC522" s="214"/>
      <c r="XG522" s="215"/>
      <c r="XI522" s="215"/>
      <c r="XO522" s="215"/>
      <c r="XP522" s="215"/>
      <c r="XQ522" s="215"/>
      <c r="XS522" s="215"/>
      <c r="YI522" s="215"/>
      <c r="YK522" s="215"/>
      <c r="YN522" s="215"/>
      <c r="YP522" s="215"/>
      <c r="YR522" s="215"/>
      <c r="YT522" s="215"/>
      <c r="YV522" s="215"/>
      <c r="ZC522" s="212"/>
      <c r="ZD522" s="213"/>
      <c r="ZH522" s="214"/>
      <c r="ZL522" s="215"/>
      <c r="ZN522" s="215"/>
      <c r="ZT522" s="215"/>
      <c r="ZU522" s="215"/>
      <c r="ZV522" s="215"/>
      <c r="ZX522" s="215"/>
      <c r="AAN522" s="215"/>
      <c r="AAP522" s="215"/>
      <c r="AAS522" s="215"/>
      <c r="AAU522" s="215"/>
      <c r="AAW522" s="215"/>
      <c r="AAY522" s="215"/>
      <c r="ABA522" s="215"/>
      <c r="ABH522" s="212"/>
      <c r="ABI522" s="213"/>
      <c r="ABM522" s="214"/>
      <c r="ABQ522" s="215"/>
      <c r="ABS522" s="215"/>
      <c r="ABY522" s="215"/>
      <c r="ABZ522" s="215"/>
      <c r="ACA522" s="215"/>
      <c r="ACC522" s="215"/>
      <c r="ACS522" s="215"/>
      <c r="ACU522" s="215"/>
      <c r="ACX522" s="215"/>
      <c r="ACZ522" s="215"/>
      <c r="ADB522" s="215"/>
      <c r="ADD522" s="215"/>
      <c r="ADF522" s="215"/>
      <c r="ADM522" s="212"/>
      <c r="ADN522" s="213"/>
      <c r="ADR522" s="214"/>
      <c r="ADV522" s="215"/>
      <c r="ADX522" s="215"/>
      <c r="AED522" s="215"/>
      <c r="AEE522" s="215"/>
      <c r="AEF522" s="215"/>
      <c r="AEH522" s="215"/>
      <c r="AEX522" s="215"/>
      <c r="AEZ522" s="215"/>
      <c r="AFC522" s="215"/>
      <c r="AFE522" s="215"/>
      <c r="AFG522" s="215"/>
      <c r="AFI522" s="215"/>
      <c r="AFK522" s="215"/>
      <c r="AFR522" s="212"/>
      <c r="AFS522" s="213"/>
      <c r="AFW522" s="214"/>
      <c r="AGA522" s="215"/>
      <c r="AGC522" s="215"/>
      <c r="AGI522" s="215"/>
      <c r="AGJ522" s="215"/>
      <c r="AGK522" s="215"/>
      <c r="AGM522" s="215"/>
      <c r="AHC522" s="215"/>
      <c r="AHE522" s="215"/>
      <c r="AHH522" s="215"/>
      <c r="AHJ522" s="215"/>
      <c r="AHL522" s="215"/>
      <c r="AHN522" s="215"/>
      <c r="AHP522" s="215"/>
      <c r="AHW522" s="212"/>
      <c r="AHX522" s="213"/>
      <c r="AIB522" s="214"/>
      <c r="AIF522" s="215"/>
      <c r="AIH522" s="215"/>
      <c r="AIN522" s="215"/>
      <c r="AIO522" s="215"/>
      <c r="AIP522" s="215"/>
      <c r="AIR522" s="215"/>
      <c r="AJH522" s="215"/>
      <c r="AJJ522" s="215"/>
      <c r="AJM522" s="215"/>
      <c r="AJO522" s="215"/>
      <c r="AJQ522" s="215"/>
      <c r="AJS522" s="215"/>
      <c r="AJU522" s="215"/>
      <c r="AKB522" s="212"/>
      <c r="AKC522" s="213"/>
      <c r="AKG522" s="214"/>
      <c r="AKK522" s="215"/>
      <c r="AKM522" s="215"/>
      <c r="AKS522" s="215"/>
      <c r="AKT522" s="215"/>
      <c r="AKU522" s="215"/>
      <c r="AKW522" s="215"/>
      <c r="ALM522" s="215"/>
      <c r="ALO522" s="215"/>
      <c r="ALR522" s="215"/>
      <c r="ALT522" s="215"/>
      <c r="ALV522" s="215"/>
      <c r="ALX522" s="215"/>
      <c r="ALZ522" s="215"/>
      <c r="AMG522" s="212"/>
      <c r="AMH522" s="213"/>
      <c r="AML522" s="214"/>
      <c r="AMP522" s="215"/>
      <c r="AMR522" s="215"/>
      <c r="AMX522" s="215"/>
      <c r="AMY522" s="215"/>
      <c r="AMZ522" s="215"/>
      <c r="ANB522" s="215"/>
      <c r="ANR522" s="215"/>
      <c r="ANT522" s="215"/>
      <c r="ANW522" s="215"/>
      <c r="ANY522" s="215"/>
      <c r="AOA522" s="215"/>
      <c r="AOC522" s="215"/>
      <c r="AOE522" s="215"/>
      <c r="AOL522" s="212"/>
      <c r="AOM522" s="213"/>
      <c r="AOQ522" s="214"/>
      <c r="AOU522" s="215"/>
      <c r="AOW522" s="215"/>
      <c r="APC522" s="215"/>
      <c r="APD522" s="215"/>
      <c r="APE522" s="215"/>
      <c r="APG522" s="215"/>
      <c r="APW522" s="215"/>
      <c r="APY522" s="215"/>
      <c r="AQB522" s="215"/>
      <c r="AQD522" s="215"/>
      <c r="AQF522" s="215"/>
      <c r="AQH522" s="215"/>
      <c r="AQJ522" s="215"/>
      <c r="AQQ522" s="212"/>
      <c r="AQR522" s="213"/>
      <c r="AQV522" s="214"/>
      <c r="AQZ522" s="215"/>
      <c r="ARB522" s="215"/>
      <c r="ARH522" s="215"/>
      <c r="ARI522" s="215"/>
      <c r="ARJ522" s="215"/>
      <c r="ARL522" s="215"/>
      <c r="ASB522" s="215"/>
      <c r="ASD522" s="215"/>
      <c r="ASG522" s="215"/>
      <c r="ASI522" s="215"/>
      <c r="ASK522" s="215"/>
      <c r="ASM522" s="215"/>
      <c r="ASO522" s="215"/>
      <c r="ASV522" s="212"/>
      <c r="ASW522" s="213"/>
      <c r="ATA522" s="214"/>
      <c r="ATE522" s="215"/>
      <c r="ATG522" s="215"/>
      <c r="ATM522" s="215"/>
      <c r="ATN522" s="215"/>
      <c r="ATO522" s="215"/>
      <c r="ATQ522" s="215"/>
      <c r="AUG522" s="215"/>
      <c r="AUI522" s="215"/>
      <c r="AUL522" s="215"/>
      <c r="AUN522" s="215"/>
      <c r="AUP522" s="215"/>
      <c r="AUR522" s="215"/>
      <c r="AUT522" s="215"/>
      <c r="AVA522" s="212"/>
      <c r="AVB522" s="213"/>
      <c r="AVF522" s="214"/>
      <c r="AVJ522" s="215"/>
      <c r="AVL522" s="215"/>
      <c r="AVR522" s="215"/>
      <c r="AVS522" s="215"/>
      <c r="AVT522" s="215"/>
      <c r="AVV522" s="215"/>
      <c r="AWL522" s="215"/>
      <c r="AWN522" s="215"/>
      <c r="AWQ522" s="215"/>
      <c r="AWS522" s="215"/>
      <c r="AWU522" s="215"/>
      <c r="AWW522" s="215"/>
      <c r="AWY522" s="215"/>
      <c r="AXF522" s="212"/>
      <c r="AXG522" s="213"/>
      <c r="AXK522" s="214"/>
      <c r="AXO522" s="215"/>
      <c r="AXQ522" s="215"/>
      <c r="AXW522" s="215"/>
      <c r="AXX522" s="215"/>
      <c r="AXY522" s="215"/>
      <c r="AYA522" s="215"/>
      <c r="AYQ522" s="215"/>
      <c r="AYS522" s="215"/>
      <c r="AYV522" s="215"/>
      <c r="AYX522" s="215"/>
      <c r="AYZ522" s="215"/>
      <c r="AZB522" s="215"/>
      <c r="AZD522" s="215"/>
      <c r="AZK522" s="212"/>
      <c r="AZL522" s="213"/>
      <c r="AZP522" s="214"/>
      <c r="AZT522" s="215"/>
      <c r="AZV522" s="215"/>
      <c r="BAB522" s="215"/>
      <c r="BAC522" s="215"/>
      <c r="BAD522" s="215"/>
      <c r="BAF522" s="215"/>
      <c r="BAV522" s="215"/>
      <c r="BAX522" s="215"/>
      <c r="BBA522" s="215"/>
      <c r="BBC522" s="215"/>
      <c r="BBE522" s="215"/>
      <c r="BBG522" s="215"/>
      <c r="BBI522" s="215"/>
      <c r="BBP522" s="212"/>
      <c r="BBQ522" s="213"/>
      <c r="BBU522" s="214"/>
      <c r="BBY522" s="215"/>
      <c r="BCA522" s="215"/>
      <c r="BCG522" s="215"/>
      <c r="BCH522" s="215"/>
      <c r="BCI522" s="215"/>
      <c r="BCK522" s="215"/>
      <c r="BDA522" s="215"/>
      <c r="BDC522" s="215"/>
      <c r="BDF522" s="215"/>
      <c r="BDH522" s="215"/>
      <c r="BDJ522" s="215"/>
      <c r="BDL522" s="215"/>
      <c r="BDN522" s="215"/>
      <c r="BDU522" s="212"/>
      <c r="BDV522" s="213"/>
      <c r="BDZ522" s="214"/>
      <c r="BED522" s="215"/>
      <c r="BEF522" s="215"/>
      <c r="BEL522" s="215"/>
      <c r="BEM522" s="215"/>
      <c r="BEN522" s="215"/>
      <c r="BEP522" s="215"/>
      <c r="BFF522" s="215"/>
      <c r="BFH522" s="215"/>
      <c r="BFK522" s="215"/>
      <c r="BFM522" s="215"/>
      <c r="BFO522" s="215"/>
      <c r="BFQ522" s="215"/>
      <c r="BFS522" s="215"/>
      <c r="BFZ522" s="212"/>
      <c r="BGA522" s="213"/>
      <c r="BGE522" s="214"/>
      <c r="BGI522" s="215"/>
      <c r="BGK522" s="215"/>
      <c r="BGQ522" s="215"/>
      <c r="BGR522" s="215"/>
      <c r="BGS522" s="215"/>
      <c r="BGU522" s="215"/>
      <c r="BHK522" s="215"/>
      <c r="BHM522" s="215"/>
      <c r="BHP522" s="215"/>
      <c r="BHR522" s="215"/>
      <c r="BHT522" s="215"/>
      <c r="BHV522" s="215"/>
      <c r="BHX522" s="215"/>
      <c r="BIE522" s="212"/>
      <c r="BIF522" s="213"/>
      <c r="BIJ522" s="214"/>
      <c r="BIN522" s="215"/>
      <c r="BIP522" s="215"/>
      <c r="BIV522" s="215"/>
      <c r="BIW522" s="215"/>
      <c r="BIX522" s="215"/>
      <c r="BIZ522" s="215"/>
      <c r="BJP522" s="215"/>
      <c r="BJR522" s="215"/>
      <c r="BJU522" s="215"/>
      <c r="BJW522" s="215"/>
      <c r="BJY522" s="215"/>
      <c r="BKA522" s="215"/>
      <c r="BKC522" s="215"/>
      <c r="BKJ522" s="212"/>
      <c r="BKK522" s="213"/>
      <c r="BKO522" s="214"/>
      <c r="BKS522" s="215"/>
      <c r="BKU522" s="215"/>
      <c r="BLA522" s="215"/>
      <c r="BLB522" s="215"/>
      <c r="BLC522" s="215"/>
      <c r="BLE522" s="215"/>
      <c r="BLU522" s="215"/>
      <c r="BLW522" s="215"/>
      <c r="BLZ522" s="215"/>
      <c r="BMB522" s="215"/>
      <c r="BMD522" s="215"/>
      <c r="BMF522" s="215"/>
      <c r="BMH522" s="215"/>
      <c r="BMO522" s="212"/>
      <c r="BMP522" s="213"/>
      <c r="BMT522" s="214"/>
      <c r="BMX522" s="215"/>
      <c r="BMZ522" s="215"/>
      <c r="BNF522" s="215"/>
      <c r="BNG522" s="215"/>
      <c r="BNH522" s="215"/>
      <c r="BNJ522" s="215"/>
      <c r="BNZ522" s="215"/>
      <c r="BOB522" s="215"/>
      <c r="BOE522" s="215"/>
      <c r="BOG522" s="215"/>
      <c r="BOI522" s="215"/>
      <c r="BOK522" s="215"/>
      <c r="BOM522" s="215"/>
      <c r="BOT522" s="212"/>
      <c r="BOU522" s="213"/>
      <c r="BOY522" s="214"/>
      <c r="BPC522" s="215"/>
      <c r="BPE522" s="215"/>
      <c r="BPK522" s="215"/>
      <c r="BPL522" s="215"/>
      <c r="BPM522" s="215"/>
      <c r="BPO522" s="215"/>
      <c r="BQE522" s="215"/>
      <c r="BQG522" s="215"/>
      <c r="BQJ522" s="215"/>
      <c r="BQL522" s="215"/>
      <c r="BQN522" s="215"/>
      <c r="BQP522" s="215"/>
      <c r="BQR522" s="215"/>
      <c r="BQY522" s="212"/>
      <c r="BQZ522" s="213"/>
      <c r="BRD522" s="214"/>
      <c r="BRH522" s="215"/>
      <c r="BRJ522" s="215"/>
      <c r="BRP522" s="215"/>
      <c r="BRQ522" s="215"/>
      <c r="BRR522" s="215"/>
      <c r="BRT522" s="215"/>
      <c r="BSJ522" s="215"/>
      <c r="BSL522" s="215"/>
      <c r="BSO522" s="215"/>
      <c r="BSQ522" s="215"/>
      <c r="BSS522" s="215"/>
      <c r="BSU522" s="215"/>
      <c r="BSW522" s="215"/>
      <c r="BTD522" s="212"/>
      <c r="BTE522" s="213"/>
      <c r="BTI522" s="214"/>
      <c r="BTM522" s="215"/>
      <c r="BTO522" s="215"/>
      <c r="BTU522" s="215"/>
      <c r="BTV522" s="215"/>
      <c r="BTW522" s="215"/>
      <c r="BTY522" s="215"/>
      <c r="BUO522" s="215"/>
      <c r="BUQ522" s="215"/>
      <c r="BUT522" s="215"/>
      <c r="BUV522" s="215"/>
      <c r="BUX522" s="215"/>
      <c r="BUZ522" s="215"/>
      <c r="BVB522" s="215"/>
      <c r="BVI522" s="212"/>
      <c r="BVJ522" s="213"/>
      <c r="BVN522" s="214"/>
      <c r="BVR522" s="215"/>
      <c r="BVT522" s="215"/>
      <c r="BVZ522" s="215"/>
      <c r="BWA522" s="215"/>
      <c r="BWB522" s="215"/>
      <c r="BWD522" s="215"/>
      <c r="BWT522" s="215"/>
      <c r="BWV522" s="215"/>
      <c r="BWY522" s="215"/>
      <c r="BXA522" s="215"/>
      <c r="BXC522" s="215"/>
      <c r="BXE522" s="215"/>
      <c r="BXG522" s="215"/>
      <c r="BXN522" s="212"/>
      <c r="BXO522" s="213"/>
      <c r="BXS522" s="214"/>
      <c r="BXW522" s="215"/>
      <c r="BXY522" s="215"/>
      <c r="BYE522" s="215"/>
      <c r="BYF522" s="215"/>
      <c r="BYG522" s="215"/>
      <c r="BYI522" s="215"/>
      <c r="BYY522" s="215"/>
      <c r="BZA522" s="215"/>
      <c r="BZD522" s="215"/>
      <c r="BZF522" s="215"/>
      <c r="BZH522" s="215"/>
      <c r="BZJ522" s="215"/>
      <c r="BZL522" s="215"/>
      <c r="BZS522" s="212"/>
      <c r="BZT522" s="213"/>
      <c r="BZX522" s="214"/>
      <c r="CAB522" s="215"/>
      <c r="CAD522" s="215"/>
      <c r="CAJ522" s="215"/>
      <c r="CAK522" s="215"/>
      <c r="CAL522" s="215"/>
      <c r="CAN522" s="215"/>
      <c r="CBD522" s="215"/>
      <c r="CBF522" s="215"/>
      <c r="CBI522" s="215"/>
      <c r="CBK522" s="215"/>
      <c r="CBM522" s="215"/>
      <c r="CBO522" s="215"/>
      <c r="CBQ522" s="215"/>
      <c r="CBX522" s="212"/>
      <c r="CBY522" s="213"/>
      <c r="CCC522" s="214"/>
      <c r="CCG522" s="215"/>
      <c r="CCI522" s="215"/>
      <c r="CCO522" s="215"/>
      <c r="CCP522" s="215"/>
      <c r="CCQ522" s="215"/>
      <c r="CCS522" s="215"/>
      <c r="CDI522" s="215"/>
      <c r="CDK522" s="215"/>
      <c r="CDN522" s="215"/>
      <c r="CDP522" s="215"/>
      <c r="CDR522" s="215"/>
      <c r="CDT522" s="215"/>
      <c r="CDV522" s="215"/>
      <c r="CEC522" s="212"/>
      <c r="CED522" s="213"/>
      <c r="CEH522" s="214"/>
      <c r="CEL522" s="215"/>
      <c r="CEN522" s="215"/>
      <c r="CET522" s="215"/>
      <c r="CEU522" s="215"/>
      <c r="CEV522" s="215"/>
      <c r="CEX522" s="215"/>
      <c r="CFN522" s="215"/>
      <c r="CFP522" s="215"/>
      <c r="CFS522" s="215"/>
      <c r="CFU522" s="215"/>
      <c r="CFW522" s="215"/>
      <c r="CFY522" s="215"/>
      <c r="CGA522" s="215"/>
      <c r="CGH522" s="212"/>
      <c r="CGI522" s="213"/>
      <c r="CGM522" s="214"/>
      <c r="CGQ522" s="215"/>
      <c r="CGS522" s="215"/>
      <c r="CGY522" s="215"/>
      <c r="CGZ522" s="215"/>
      <c r="CHA522" s="215"/>
      <c r="CHC522" s="215"/>
      <c r="CHS522" s="215"/>
      <c r="CHU522" s="215"/>
      <c r="CHX522" s="215"/>
      <c r="CHZ522" s="215"/>
      <c r="CIB522" s="215"/>
      <c r="CID522" s="215"/>
      <c r="CIF522" s="215"/>
      <c r="CIM522" s="212"/>
      <c r="CIN522" s="213"/>
      <c r="CIR522" s="214"/>
      <c r="CIV522" s="215"/>
      <c r="CIX522" s="215"/>
      <c r="CJD522" s="215"/>
      <c r="CJE522" s="215"/>
      <c r="CJF522" s="215"/>
      <c r="CJH522" s="215"/>
      <c r="CJX522" s="215"/>
      <c r="CJZ522" s="215"/>
      <c r="CKC522" s="215"/>
      <c r="CKE522" s="215"/>
      <c r="CKG522" s="215"/>
      <c r="CKI522" s="215"/>
      <c r="CKK522" s="215"/>
      <c r="CKR522" s="212"/>
      <c r="CKS522" s="213"/>
      <c r="CKW522" s="214"/>
      <c r="CLA522" s="215"/>
      <c r="CLC522" s="215"/>
      <c r="CLI522" s="215"/>
      <c r="CLJ522" s="215"/>
      <c r="CLK522" s="215"/>
      <c r="CLM522" s="215"/>
      <c r="CMC522" s="215"/>
      <c r="CME522" s="215"/>
      <c r="CMH522" s="215"/>
      <c r="CMJ522" s="215"/>
      <c r="CML522" s="215"/>
      <c r="CMN522" s="215"/>
      <c r="CMP522" s="215"/>
      <c r="CMW522" s="212"/>
      <c r="CMX522" s="213"/>
      <c r="CNB522" s="214"/>
      <c r="CNF522" s="215"/>
      <c r="CNH522" s="215"/>
      <c r="CNN522" s="215"/>
      <c r="CNO522" s="215"/>
      <c r="CNP522" s="215"/>
      <c r="CNR522" s="215"/>
      <c r="COH522" s="215"/>
      <c r="COJ522" s="215"/>
      <c r="COM522" s="215"/>
      <c r="COO522" s="215"/>
      <c r="COQ522" s="215"/>
      <c r="COS522" s="215"/>
      <c r="COU522" s="215"/>
      <c r="CPB522" s="212"/>
      <c r="CPC522" s="213"/>
      <c r="CPG522" s="214"/>
      <c r="CPK522" s="215"/>
      <c r="CPM522" s="215"/>
      <c r="CPS522" s="215"/>
      <c r="CPT522" s="215"/>
      <c r="CPU522" s="215"/>
      <c r="CPW522" s="215"/>
      <c r="CQM522" s="215"/>
      <c r="CQO522" s="215"/>
      <c r="CQR522" s="215"/>
      <c r="CQT522" s="215"/>
      <c r="CQV522" s="215"/>
      <c r="CQX522" s="215"/>
      <c r="CQZ522" s="215"/>
      <c r="CRG522" s="212"/>
      <c r="CRH522" s="213"/>
      <c r="CRL522" s="214"/>
      <c r="CRP522" s="215"/>
      <c r="CRR522" s="215"/>
      <c r="CRX522" s="215"/>
      <c r="CRY522" s="215"/>
      <c r="CRZ522" s="215"/>
      <c r="CSB522" s="215"/>
      <c r="CSR522" s="215"/>
      <c r="CST522" s="215"/>
      <c r="CSW522" s="215"/>
      <c r="CSY522" s="215"/>
      <c r="CTA522" s="215"/>
      <c r="CTC522" s="215"/>
      <c r="CTE522" s="215"/>
      <c r="CTL522" s="212"/>
      <c r="CTM522" s="213"/>
      <c r="CTQ522" s="214"/>
      <c r="CTU522" s="215"/>
      <c r="CTW522" s="215"/>
      <c r="CUC522" s="215"/>
      <c r="CUD522" s="215"/>
      <c r="CUE522" s="215"/>
      <c r="CUG522" s="215"/>
      <c r="CUW522" s="215"/>
      <c r="CUY522" s="215"/>
      <c r="CVB522" s="215"/>
      <c r="CVD522" s="215"/>
      <c r="CVF522" s="215"/>
      <c r="CVH522" s="215"/>
      <c r="CVJ522" s="215"/>
      <c r="CVQ522" s="212"/>
      <c r="CVR522" s="213"/>
      <c r="CVV522" s="214"/>
      <c r="CVZ522" s="215"/>
      <c r="CWB522" s="215"/>
      <c r="CWH522" s="215"/>
      <c r="CWI522" s="215"/>
      <c r="CWJ522" s="215"/>
      <c r="CWL522" s="215"/>
      <c r="CXB522" s="215"/>
      <c r="CXD522" s="215"/>
      <c r="CXG522" s="215"/>
      <c r="CXI522" s="215"/>
      <c r="CXK522" s="215"/>
      <c r="CXM522" s="215"/>
      <c r="CXO522" s="215"/>
      <c r="CXV522" s="212"/>
      <c r="CXW522" s="213"/>
      <c r="CYA522" s="214"/>
      <c r="CYE522" s="215"/>
      <c r="CYG522" s="215"/>
      <c r="CYM522" s="215"/>
      <c r="CYN522" s="215"/>
      <c r="CYO522" s="215"/>
      <c r="CYQ522" s="215"/>
      <c r="CZG522" s="215"/>
      <c r="CZI522" s="215"/>
      <c r="CZL522" s="215"/>
      <c r="CZN522" s="215"/>
      <c r="CZP522" s="215"/>
      <c r="CZR522" s="215"/>
      <c r="CZT522" s="215"/>
      <c r="DAA522" s="212"/>
      <c r="DAB522" s="213"/>
      <c r="DAF522" s="214"/>
      <c r="DAJ522" s="215"/>
      <c r="DAL522" s="215"/>
      <c r="DAR522" s="215"/>
      <c r="DAS522" s="215"/>
      <c r="DAT522" s="215"/>
      <c r="DAV522" s="215"/>
      <c r="DBL522" s="215"/>
      <c r="DBN522" s="215"/>
      <c r="DBQ522" s="215"/>
      <c r="DBS522" s="215"/>
      <c r="DBU522" s="215"/>
      <c r="DBW522" s="215"/>
      <c r="DBY522" s="215"/>
      <c r="DCF522" s="212"/>
      <c r="DCG522" s="213"/>
      <c r="DCK522" s="214"/>
      <c r="DCO522" s="215"/>
      <c r="DCQ522" s="215"/>
      <c r="DCW522" s="215"/>
      <c r="DCX522" s="215"/>
      <c r="DCY522" s="215"/>
      <c r="DDA522" s="215"/>
      <c r="DDQ522" s="215"/>
      <c r="DDS522" s="215"/>
      <c r="DDV522" s="215"/>
      <c r="DDX522" s="215"/>
      <c r="DDZ522" s="215"/>
      <c r="DEB522" s="215"/>
      <c r="DED522" s="215"/>
      <c r="DEK522" s="212"/>
      <c r="DEL522" s="213"/>
      <c r="DEP522" s="214"/>
      <c r="DET522" s="215"/>
      <c r="DEV522" s="215"/>
      <c r="DFB522" s="215"/>
      <c r="DFC522" s="215"/>
      <c r="DFD522" s="215"/>
      <c r="DFF522" s="215"/>
      <c r="DFV522" s="215"/>
      <c r="DFX522" s="215"/>
      <c r="DGA522" s="215"/>
      <c r="DGC522" s="215"/>
      <c r="DGE522" s="215"/>
      <c r="DGG522" s="215"/>
      <c r="DGI522" s="215"/>
      <c r="DGP522" s="212"/>
      <c r="DGQ522" s="213"/>
      <c r="DGU522" s="214"/>
      <c r="DGY522" s="215"/>
      <c r="DHA522" s="215"/>
      <c r="DHG522" s="215"/>
      <c r="DHH522" s="215"/>
      <c r="DHI522" s="215"/>
      <c r="DHK522" s="215"/>
      <c r="DIA522" s="215"/>
      <c r="DIC522" s="215"/>
      <c r="DIF522" s="215"/>
      <c r="DIH522" s="215"/>
      <c r="DIJ522" s="215"/>
      <c r="DIL522" s="215"/>
      <c r="DIN522" s="215"/>
      <c r="DIU522" s="212"/>
      <c r="DIV522" s="213"/>
      <c r="DIZ522" s="214"/>
      <c r="DJD522" s="215"/>
      <c r="DJF522" s="215"/>
      <c r="DJL522" s="215"/>
      <c r="DJM522" s="215"/>
      <c r="DJN522" s="215"/>
      <c r="DJP522" s="215"/>
      <c r="DKF522" s="215"/>
      <c r="DKH522" s="215"/>
      <c r="DKK522" s="215"/>
      <c r="DKM522" s="215"/>
      <c r="DKO522" s="215"/>
      <c r="DKQ522" s="215"/>
      <c r="DKS522" s="215"/>
      <c r="DKZ522" s="212"/>
      <c r="DLA522" s="213"/>
      <c r="DLE522" s="214"/>
      <c r="DLI522" s="215"/>
      <c r="DLK522" s="215"/>
      <c r="DLQ522" s="215"/>
      <c r="DLR522" s="215"/>
      <c r="DLS522" s="215"/>
      <c r="DLU522" s="215"/>
      <c r="DMK522" s="215"/>
      <c r="DMM522" s="215"/>
      <c r="DMP522" s="215"/>
      <c r="DMR522" s="215"/>
      <c r="DMT522" s="215"/>
      <c r="DMV522" s="215"/>
      <c r="DMX522" s="215"/>
      <c r="DNE522" s="212"/>
      <c r="DNF522" s="213"/>
      <c r="DNJ522" s="214"/>
      <c r="DNN522" s="215"/>
      <c r="DNP522" s="215"/>
      <c r="DNV522" s="215"/>
      <c r="DNW522" s="215"/>
      <c r="DNX522" s="215"/>
      <c r="DNZ522" s="215"/>
      <c r="DOP522" s="215"/>
      <c r="DOR522" s="215"/>
      <c r="DOU522" s="215"/>
      <c r="DOW522" s="215"/>
      <c r="DOY522" s="215"/>
      <c r="DPA522" s="215"/>
      <c r="DPC522" s="215"/>
      <c r="DPJ522" s="212"/>
      <c r="DPK522" s="213"/>
      <c r="DPO522" s="214"/>
      <c r="DPS522" s="215"/>
      <c r="DPU522" s="215"/>
      <c r="DQA522" s="215"/>
      <c r="DQB522" s="215"/>
      <c r="DQC522" s="215"/>
      <c r="DQE522" s="215"/>
      <c r="DQU522" s="215"/>
      <c r="DQW522" s="215"/>
      <c r="DQZ522" s="215"/>
      <c r="DRB522" s="215"/>
      <c r="DRD522" s="215"/>
      <c r="DRF522" s="215"/>
      <c r="DRH522" s="215"/>
      <c r="DRO522" s="212"/>
      <c r="DRP522" s="213"/>
      <c r="DRT522" s="214"/>
      <c r="DRX522" s="215"/>
      <c r="DRZ522" s="215"/>
      <c r="DSF522" s="215"/>
      <c r="DSG522" s="215"/>
      <c r="DSH522" s="215"/>
      <c r="DSJ522" s="215"/>
      <c r="DSZ522" s="215"/>
      <c r="DTB522" s="215"/>
      <c r="DTE522" s="215"/>
      <c r="DTG522" s="215"/>
      <c r="DTI522" s="215"/>
      <c r="DTK522" s="215"/>
      <c r="DTM522" s="215"/>
      <c r="DTT522" s="212"/>
      <c r="DTU522" s="213"/>
      <c r="DTY522" s="214"/>
      <c r="DUC522" s="215"/>
      <c r="DUE522" s="215"/>
      <c r="DUK522" s="215"/>
      <c r="DUL522" s="215"/>
      <c r="DUM522" s="215"/>
      <c r="DUO522" s="215"/>
      <c r="DVE522" s="215"/>
      <c r="DVG522" s="215"/>
      <c r="DVJ522" s="215"/>
      <c r="DVL522" s="215"/>
      <c r="DVN522" s="215"/>
      <c r="DVP522" s="215"/>
      <c r="DVR522" s="215"/>
      <c r="DVY522" s="212"/>
      <c r="DVZ522" s="213"/>
      <c r="DWD522" s="214"/>
      <c r="DWH522" s="215"/>
      <c r="DWJ522" s="215"/>
      <c r="DWP522" s="215"/>
      <c r="DWQ522" s="215"/>
      <c r="DWR522" s="215"/>
      <c r="DWT522" s="215"/>
      <c r="DXJ522" s="215"/>
      <c r="DXL522" s="215"/>
      <c r="DXO522" s="215"/>
      <c r="DXQ522" s="215"/>
      <c r="DXS522" s="215"/>
      <c r="DXU522" s="215"/>
      <c r="DXW522" s="215"/>
      <c r="DYD522" s="212"/>
      <c r="DYE522" s="213"/>
      <c r="DYI522" s="214"/>
      <c r="DYM522" s="215"/>
      <c r="DYO522" s="215"/>
      <c r="DYU522" s="215"/>
      <c r="DYV522" s="215"/>
      <c r="DYW522" s="215"/>
      <c r="DYY522" s="215"/>
      <c r="DZO522" s="215"/>
      <c r="DZQ522" s="215"/>
      <c r="DZT522" s="215"/>
      <c r="DZV522" s="215"/>
      <c r="DZX522" s="215"/>
      <c r="DZZ522" s="215"/>
      <c r="EAB522" s="215"/>
      <c r="EAI522" s="212"/>
      <c r="EAJ522" s="213"/>
      <c r="EAN522" s="214"/>
      <c r="EAR522" s="215"/>
      <c r="EAT522" s="215"/>
      <c r="EAZ522" s="215"/>
      <c r="EBA522" s="215"/>
      <c r="EBB522" s="215"/>
      <c r="EBD522" s="215"/>
      <c r="EBT522" s="215"/>
      <c r="EBV522" s="215"/>
      <c r="EBY522" s="215"/>
      <c r="ECA522" s="215"/>
      <c r="ECC522" s="215"/>
      <c r="ECE522" s="215"/>
      <c r="ECG522" s="215"/>
      <c r="ECN522" s="212"/>
      <c r="ECO522" s="213"/>
      <c r="ECS522" s="214"/>
      <c r="ECW522" s="215"/>
      <c r="ECY522" s="215"/>
      <c r="EDE522" s="215"/>
      <c r="EDF522" s="215"/>
      <c r="EDG522" s="215"/>
      <c r="EDI522" s="215"/>
      <c r="EDY522" s="215"/>
      <c r="EEA522" s="215"/>
      <c r="EED522" s="215"/>
      <c r="EEF522" s="215"/>
      <c r="EEH522" s="215"/>
      <c r="EEJ522" s="215"/>
      <c r="EEL522" s="215"/>
      <c r="EES522" s="212"/>
      <c r="EET522" s="213"/>
      <c r="EEX522" s="214"/>
      <c r="EFB522" s="215"/>
      <c r="EFD522" s="215"/>
      <c r="EFJ522" s="215"/>
      <c r="EFK522" s="215"/>
      <c r="EFL522" s="215"/>
      <c r="EFN522" s="215"/>
      <c r="EGD522" s="215"/>
      <c r="EGF522" s="215"/>
      <c r="EGI522" s="215"/>
      <c r="EGK522" s="215"/>
      <c r="EGM522" s="215"/>
      <c r="EGO522" s="215"/>
      <c r="EGQ522" s="215"/>
      <c r="EGX522" s="212"/>
      <c r="EGY522" s="213"/>
      <c r="EHC522" s="214"/>
      <c r="EHG522" s="215"/>
      <c r="EHI522" s="215"/>
      <c r="EHO522" s="215"/>
      <c r="EHP522" s="215"/>
      <c r="EHQ522" s="215"/>
      <c r="EHS522" s="215"/>
      <c r="EII522" s="215"/>
      <c r="EIK522" s="215"/>
      <c r="EIN522" s="215"/>
      <c r="EIP522" s="215"/>
      <c r="EIR522" s="215"/>
      <c r="EIT522" s="215"/>
      <c r="EIV522" s="215"/>
      <c r="EJC522" s="212"/>
      <c r="EJD522" s="213"/>
      <c r="EJH522" s="214"/>
      <c r="EJL522" s="215"/>
      <c r="EJN522" s="215"/>
      <c r="EJT522" s="215"/>
      <c r="EJU522" s="215"/>
      <c r="EJV522" s="215"/>
      <c r="EJX522" s="215"/>
      <c r="EKN522" s="215"/>
      <c r="EKP522" s="215"/>
      <c r="EKS522" s="215"/>
      <c r="EKU522" s="215"/>
      <c r="EKW522" s="215"/>
      <c r="EKY522" s="215"/>
      <c r="ELA522" s="215"/>
      <c r="ELH522" s="212"/>
      <c r="ELI522" s="213"/>
      <c r="ELM522" s="214"/>
      <c r="ELQ522" s="215"/>
      <c r="ELS522" s="215"/>
      <c r="ELY522" s="215"/>
      <c r="ELZ522" s="215"/>
      <c r="EMA522" s="215"/>
      <c r="EMC522" s="215"/>
      <c r="EMS522" s="215"/>
      <c r="EMU522" s="215"/>
      <c r="EMX522" s="215"/>
      <c r="EMZ522" s="215"/>
      <c r="ENB522" s="215"/>
      <c r="END522" s="215"/>
      <c r="ENF522" s="215"/>
      <c r="ENM522" s="212"/>
      <c r="ENN522" s="213"/>
      <c r="ENR522" s="214"/>
      <c r="ENV522" s="215"/>
      <c r="ENX522" s="215"/>
      <c r="EOD522" s="215"/>
      <c r="EOE522" s="215"/>
      <c r="EOF522" s="215"/>
      <c r="EOH522" s="215"/>
      <c r="EOX522" s="215"/>
      <c r="EOZ522" s="215"/>
      <c r="EPC522" s="215"/>
      <c r="EPE522" s="215"/>
      <c r="EPG522" s="215"/>
      <c r="EPI522" s="215"/>
      <c r="EPK522" s="215"/>
      <c r="EPR522" s="212"/>
      <c r="EPS522" s="213"/>
      <c r="EPW522" s="214"/>
      <c r="EQA522" s="215"/>
      <c r="EQC522" s="215"/>
      <c r="EQI522" s="215"/>
      <c r="EQJ522" s="215"/>
      <c r="EQK522" s="215"/>
      <c r="EQM522" s="215"/>
      <c r="ERC522" s="215"/>
      <c r="ERE522" s="215"/>
      <c r="ERH522" s="215"/>
      <c r="ERJ522" s="215"/>
      <c r="ERL522" s="215"/>
      <c r="ERN522" s="215"/>
      <c r="ERP522" s="215"/>
      <c r="ERW522" s="212"/>
      <c r="ERX522" s="213"/>
      <c r="ESB522" s="214"/>
      <c r="ESF522" s="215"/>
      <c r="ESH522" s="215"/>
      <c r="ESN522" s="215"/>
      <c r="ESO522" s="215"/>
      <c r="ESP522" s="215"/>
      <c r="ESR522" s="215"/>
      <c r="ETH522" s="215"/>
      <c r="ETJ522" s="215"/>
      <c r="ETM522" s="215"/>
      <c r="ETO522" s="215"/>
      <c r="ETQ522" s="215"/>
      <c r="ETS522" s="215"/>
      <c r="ETU522" s="215"/>
      <c r="EUB522" s="212"/>
      <c r="EUC522" s="213"/>
      <c r="EUG522" s="214"/>
      <c r="EUK522" s="215"/>
      <c r="EUM522" s="215"/>
      <c r="EUS522" s="215"/>
      <c r="EUT522" s="215"/>
      <c r="EUU522" s="215"/>
      <c r="EUW522" s="215"/>
      <c r="EVM522" s="215"/>
      <c r="EVO522" s="215"/>
      <c r="EVR522" s="215"/>
      <c r="EVT522" s="215"/>
      <c r="EVV522" s="215"/>
      <c r="EVX522" s="215"/>
      <c r="EVZ522" s="215"/>
      <c r="EWG522" s="212"/>
      <c r="EWH522" s="213"/>
      <c r="EWL522" s="214"/>
      <c r="EWP522" s="215"/>
      <c r="EWR522" s="215"/>
      <c r="EWX522" s="215"/>
      <c r="EWY522" s="215"/>
      <c r="EWZ522" s="215"/>
      <c r="EXB522" s="215"/>
      <c r="EXR522" s="215"/>
      <c r="EXT522" s="215"/>
      <c r="EXW522" s="215"/>
      <c r="EXY522" s="215"/>
      <c r="EYA522" s="215"/>
      <c r="EYC522" s="215"/>
      <c r="EYE522" s="215"/>
      <c r="EYL522" s="212"/>
      <c r="EYM522" s="213"/>
      <c r="EYQ522" s="214"/>
      <c r="EYU522" s="215"/>
      <c r="EYW522" s="215"/>
      <c r="EZC522" s="215"/>
      <c r="EZD522" s="215"/>
      <c r="EZE522" s="215"/>
      <c r="EZG522" s="215"/>
      <c r="EZW522" s="215"/>
      <c r="EZY522" s="215"/>
      <c r="FAB522" s="215"/>
      <c r="FAD522" s="215"/>
      <c r="FAF522" s="215"/>
      <c r="FAH522" s="215"/>
      <c r="FAJ522" s="215"/>
      <c r="FAQ522" s="212"/>
      <c r="FAR522" s="213"/>
      <c r="FAV522" s="214"/>
      <c r="FAZ522" s="215"/>
      <c r="FBB522" s="215"/>
      <c r="FBH522" s="215"/>
      <c r="FBI522" s="215"/>
      <c r="FBJ522" s="215"/>
      <c r="FBL522" s="215"/>
      <c r="FCB522" s="215"/>
      <c r="FCD522" s="215"/>
      <c r="FCG522" s="215"/>
      <c r="FCI522" s="215"/>
      <c r="FCK522" s="215"/>
      <c r="FCM522" s="215"/>
      <c r="FCO522" s="215"/>
      <c r="FCV522" s="212"/>
      <c r="FCW522" s="213"/>
      <c r="FDA522" s="214"/>
      <c r="FDE522" s="215"/>
      <c r="FDG522" s="215"/>
      <c r="FDM522" s="215"/>
      <c r="FDN522" s="215"/>
      <c r="FDO522" s="215"/>
      <c r="FDQ522" s="215"/>
      <c r="FEG522" s="215"/>
      <c r="FEI522" s="215"/>
      <c r="FEL522" s="215"/>
      <c r="FEN522" s="215"/>
      <c r="FEP522" s="215"/>
      <c r="FER522" s="215"/>
      <c r="FET522" s="215"/>
      <c r="FFA522" s="212"/>
      <c r="FFB522" s="213"/>
      <c r="FFF522" s="214"/>
      <c r="FFJ522" s="215"/>
      <c r="FFL522" s="215"/>
      <c r="FFR522" s="215"/>
      <c r="FFS522" s="215"/>
      <c r="FFT522" s="215"/>
      <c r="FFV522" s="215"/>
      <c r="FGL522" s="215"/>
      <c r="FGN522" s="215"/>
      <c r="FGQ522" s="215"/>
      <c r="FGS522" s="215"/>
      <c r="FGU522" s="215"/>
      <c r="FGW522" s="215"/>
      <c r="FGY522" s="215"/>
      <c r="FHF522" s="212"/>
      <c r="FHG522" s="213"/>
      <c r="FHK522" s="214"/>
      <c r="FHO522" s="215"/>
      <c r="FHQ522" s="215"/>
      <c r="FHW522" s="215"/>
      <c r="FHX522" s="215"/>
      <c r="FHY522" s="215"/>
      <c r="FIA522" s="215"/>
      <c r="FIQ522" s="215"/>
      <c r="FIS522" s="215"/>
      <c r="FIV522" s="215"/>
      <c r="FIX522" s="215"/>
      <c r="FIZ522" s="215"/>
      <c r="FJB522" s="215"/>
      <c r="FJD522" s="215"/>
      <c r="FJK522" s="212"/>
      <c r="FJL522" s="213"/>
      <c r="FJP522" s="214"/>
      <c r="FJT522" s="215"/>
      <c r="FJV522" s="215"/>
      <c r="FKB522" s="215"/>
      <c r="FKC522" s="215"/>
      <c r="FKD522" s="215"/>
      <c r="FKF522" s="215"/>
      <c r="FKV522" s="215"/>
      <c r="FKX522" s="215"/>
      <c r="FLA522" s="215"/>
      <c r="FLC522" s="215"/>
      <c r="FLE522" s="215"/>
      <c r="FLG522" s="215"/>
      <c r="FLI522" s="215"/>
      <c r="FLP522" s="212"/>
      <c r="FLQ522" s="213"/>
      <c r="FLU522" s="214"/>
      <c r="FLY522" s="215"/>
      <c r="FMA522" s="215"/>
      <c r="FMG522" s="215"/>
      <c r="FMH522" s="215"/>
      <c r="FMI522" s="215"/>
      <c r="FMK522" s="215"/>
      <c r="FNA522" s="215"/>
      <c r="FNC522" s="215"/>
      <c r="FNF522" s="215"/>
      <c r="FNH522" s="215"/>
      <c r="FNJ522" s="215"/>
      <c r="FNL522" s="215"/>
      <c r="FNN522" s="215"/>
      <c r="FNU522" s="212"/>
      <c r="FNV522" s="213"/>
      <c r="FNZ522" s="214"/>
      <c r="FOD522" s="215"/>
      <c r="FOF522" s="215"/>
      <c r="FOL522" s="215"/>
      <c r="FOM522" s="215"/>
      <c r="FON522" s="215"/>
      <c r="FOP522" s="215"/>
      <c r="FPF522" s="215"/>
      <c r="FPH522" s="215"/>
      <c r="FPK522" s="215"/>
      <c r="FPM522" s="215"/>
      <c r="FPO522" s="215"/>
      <c r="FPQ522" s="215"/>
      <c r="FPS522" s="215"/>
      <c r="FPZ522" s="212"/>
      <c r="FQA522" s="213"/>
      <c r="FQE522" s="214"/>
      <c r="FQI522" s="215"/>
      <c r="FQK522" s="215"/>
      <c r="FQQ522" s="215"/>
      <c r="FQR522" s="215"/>
      <c r="FQS522" s="215"/>
      <c r="FQU522" s="215"/>
      <c r="FRK522" s="215"/>
      <c r="FRM522" s="215"/>
      <c r="FRP522" s="215"/>
      <c r="FRR522" s="215"/>
      <c r="FRT522" s="215"/>
      <c r="FRV522" s="215"/>
      <c r="FRX522" s="215"/>
      <c r="FSE522" s="212"/>
      <c r="FSF522" s="213"/>
      <c r="FSJ522" s="214"/>
      <c r="FSN522" s="215"/>
      <c r="FSP522" s="215"/>
      <c r="FSV522" s="215"/>
      <c r="FSW522" s="215"/>
      <c r="FSX522" s="215"/>
      <c r="FSZ522" s="215"/>
      <c r="FTP522" s="215"/>
      <c r="FTR522" s="215"/>
      <c r="FTU522" s="215"/>
      <c r="FTW522" s="215"/>
      <c r="FTY522" s="215"/>
      <c r="FUA522" s="215"/>
      <c r="FUC522" s="215"/>
      <c r="FUJ522" s="212"/>
      <c r="FUK522" s="213"/>
      <c r="FUO522" s="214"/>
      <c r="FUS522" s="215"/>
      <c r="FUU522" s="215"/>
      <c r="FVA522" s="215"/>
      <c r="FVB522" s="215"/>
      <c r="FVC522" s="215"/>
      <c r="FVE522" s="215"/>
      <c r="FVU522" s="215"/>
      <c r="FVW522" s="215"/>
      <c r="FVZ522" s="215"/>
      <c r="FWB522" s="215"/>
      <c r="FWD522" s="215"/>
      <c r="FWF522" s="215"/>
      <c r="FWH522" s="215"/>
      <c r="FWO522" s="212"/>
      <c r="FWP522" s="213"/>
      <c r="FWT522" s="214"/>
      <c r="FWX522" s="215"/>
      <c r="FWZ522" s="215"/>
      <c r="FXF522" s="215"/>
      <c r="FXG522" s="215"/>
      <c r="FXH522" s="215"/>
      <c r="FXJ522" s="215"/>
      <c r="FXZ522" s="215"/>
      <c r="FYB522" s="215"/>
      <c r="FYE522" s="215"/>
      <c r="FYG522" s="215"/>
      <c r="FYI522" s="215"/>
      <c r="FYK522" s="215"/>
      <c r="FYM522" s="215"/>
      <c r="FYT522" s="212"/>
      <c r="FYU522" s="213"/>
      <c r="FYY522" s="214"/>
      <c r="FZC522" s="215"/>
      <c r="FZE522" s="215"/>
      <c r="FZK522" s="215"/>
      <c r="FZL522" s="215"/>
      <c r="FZM522" s="215"/>
      <c r="FZO522" s="215"/>
      <c r="GAE522" s="215"/>
      <c r="GAG522" s="215"/>
      <c r="GAJ522" s="215"/>
      <c r="GAL522" s="215"/>
      <c r="GAN522" s="215"/>
      <c r="GAP522" s="215"/>
      <c r="GAR522" s="215"/>
      <c r="GAY522" s="212"/>
      <c r="GAZ522" s="213"/>
      <c r="GBD522" s="214"/>
      <c r="GBH522" s="215"/>
      <c r="GBJ522" s="215"/>
      <c r="GBP522" s="215"/>
      <c r="GBQ522" s="215"/>
      <c r="GBR522" s="215"/>
      <c r="GBT522" s="215"/>
      <c r="GCJ522" s="215"/>
      <c r="GCL522" s="215"/>
      <c r="GCO522" s="215"/>
      <c r="GCQ522" s="215"/>
      <c r="GCS522" s="215"/>
      <c r="GCU522" s="215"/>
      <c r="GCW522" s="215"/>
      <c r="GDD522" s="212"/>
      <c r="GDE522" s="213"/>
      <c r="GDI522" s="214"/>
      <c r="GDM522" s="215"/>
      <c r="GDO522" s="215"/>
      <c r="GDU522" s="215"/>
      <c r="GDV522" s="215"/>
      <c r="GDW522" s="215"/>
      <c r="GDY522" s="215"/>
      <c r="GEO522" s="215"/>
      <c r="GEQ522" s="215"/>
      <c r="GET522" s="215"/>
      <c r="GEV522" s="215"/>
      <c r="GEX522" s="215"/>
      <c r="GEZ522" s="215"/>
      <c r="GFB522" s="215"/>
      <c r="GFI522" s="212"/>
      <c r="GFJ522" s="213"/>
      <c r="GFN522" s="214"/>
      <c r="GFR522" s="215"/>
      <c r="GFT522" s="215"/>
      <c r="GFZ522" s="215"/>
      <c r="GGA522" s="215"/>
      <c r="GGB522" s="215"/>
      <c r="GGD522" s="215"/>
      <c r="GGT522" s="215"/>
      <c r="GGV522" s="215"/>
      <c r="GGY522" s="215"/>
      <c r="GHA522" s="215"/>
      <c r="GHC522" s="215"/>
      <c r="GHE522" s="215"/>
      <c r="GHG522" s="215"/>
      <c r="GHN522" s="212"/>
      <c r="GHO522" s="213"/>
      <c r="GHS522" s="214"/>
      <c r="GHW522" s="215"/>
      <c r="GHY522" s="215"/>
      <c r="GIE522" s="215"/>
      <c r="GIF522" s="215"/>
      <c r="GIG522" s="215"/>
      <c r="GII522" s="215"/>
      <c r="GIY522" s="215"/>
      <c r="GJA522" s="215"/>
      <c r="GJD522" s="215"/>
      <c r="GJF522" s="215"/>
      <c r="GJH522" s="215"/>
      <c r="GJJ522" s="215"/>
      <c r="GJL522" s="215"/>
      <c r="GJS522" s="212"/>
      <c r="GJT522" s="213"/>
      <c r="GJX522" s="214"/>
      <c r="GKB522" s="215"/>
      <c r="GKD522" s="215"/>
      <c r="GKJ522" s="215"/>
      <c r="GKK522" s="215"/>
      <c r="GKL522" s="215"/>
      <c r="GKN522" s="215"/>
      <c r="GLD522" s="215"/>
      <c r="GLF522" s="215"/>
      <c r="GLI522" s="215"/>
      <c r="GLK522" s="215"/>
      <c r="GLM522" s="215"/>
      <c r="GLO522" s="215"/>
      <c r="GLQ522" s="215"/>
      <c r="GLX522" s="212"/>
      <c r="GLY522" s="213"/>
      <c r="GMC522" s="214"/>
      <c r="GMG522" s="215"/>
      <c r="GMI522" s="215"/>
      <c r="GMO522" s="215"/>
      <c r="GMP522" s="215"/>
      <c r="GMQ522" s="215"/>
      <c r="GMS522" s="215"/>
      <c r="GNI522" s="215"/>
      <c r="GNK522" s="215"/>
      <c r="GNN522" s="215"/>
      <c r="GNP522" s="215"/>
      <c r="GNR522" s="215"/>
      <c r="GNT522" s="215"/>
      <c r="GNV522" s="215"/>
      <c r="GOC522" s="212"/>
      <c r="GOD522" s="213"/>
      <c r="GOH522" s="214"/>
      <c r="GOL522" s="215"/>
      <c r="GON522" s="215"/>
      <c r="GOT522" s="215"/>
      <c r="GOU522" s="215"/>
      <c r="GOV522" s="215"/>
      <c r="GOX522" s="215"/>
      <c r="GPN522" s="215"/>
      <c r="GPP522" s="215"/>
      <c r="GPS522" s="215"/>
      <c r="GPU522" s="215"/>
      <c r="GPW522" s="215"/>
      <c r="GPY522" s="215"/>
      <c r="GQA522" s="215"/>
      <c r="GQH522" s="212"/>
      <c r="GQI522" s="213"/>
      <c r="GQM522" s="214"/>
      <c r="GQQ522" s="215"/>
      <c r="GQS522" s="215"/>
      <c r="GQY522" s="215"/>
      <c r="GQZ522" s="215"/>
      <c r="GRA522" s="215"/>
      <c r="GRC522" s="215"/>
      <c r="GRS522" s="215"/>
      <c r="GRU522" s="215"/>
      <c r="GRX522" s="215"/>
      <c r="GRZ522" s="215"/>
      <c r="GSB522" s="215"/>
      <c r="GSD522" s="215"/>
      <c r="GSF522" s="215"/>
      <c r="GSM522" s="212"/>
      <c r="GSN522" s="213"/>
      <c r="GSR522" s="214"/>
      <c r="GSV522" s="215"/>
      <c r="GSX522" s="215"/>
      <c r="GTD522" s="215"/>
      <c r="GTE522" s="215"/>
      <c r="GTF522" s="215"/>
      <c r="GTH522" s="215"/>
      <c r="GTX522" s="215"/>
      <c r="GTZ522" s="215"/>
      <c r="GUC522" s="215"/>
      <c r="GUE522" s="215"/>
      <c r="GUG522" s="215"/>
      <c r="GUI522" s="215"/>
      <c r="GUK522" s="215"/>
      <c r="GUR522" s="212"/>
      <c r="GUS522" s="213"/>
      <c r="GUW522" s="214"/>
      <c r="GVA522" s="215"/>
      <c r="GVC522" s="215"/>
      <c r="GVI522" s="215"/>
      <c r="GVJ522" s="215"/>
      <c r="GVK522" s="215"/>
      <c r="GVM522" s="215"/>
      <c r="GWC522" s="215"/>
      <c r="GWE522" s="215"/>
      <c r="GWH522" s="215"/>
      <c r="GWJ522" s="215"/>
      <c r="GWL522" s="215"/>
      <c r="GWN522" s="215"/>
      <c r="GWP522" s="215"/>
      <c r="GWW522" s="212"/>
      <c r="GWX522" s="213"/>
      <c r="GXB522" s="214"/>
      <c r="GXF522" s="215"/>
      <c r="GXH522" s="215"/>
      <c r="GXN522" s="215"/>
      <c r="GXO522" s="215"/>
      <c r="GXP522" s="215"/>
      <c r="GXR522" s="215"/>
      <c r="GYH522" s="215"/>
      <c r="GYJ522" s="215"/>
      <c r="GYM522" s="215"/>
      <c r="GYO522" s="215"/>
      <c r="GYQ522" s="215"/>
      <c r="GYS522" s="215"/>
      <c r="GYU522" s="215"/>
      <c r="GZB522" s="212"/>
      <c r="GZC522" s="213"/>
      <c r="GZG522" s="214"/>
      <c r="GZK522" s="215"/>
      <c r="GZM522" s="215"/>
      <c r="GZS522" s="215"/>
      <c r="GZT522" s="215"/>
      <c r="GZU522" s="215"/>
      <c r="GZW522" s="215"/>
      <c r="HAM522" s="215"/>
      <c r="HAO522" s="215"/>
      <c r="HAR522" s="215"/>
      <c r="HAT522" s="215"/>
      <c r="HAV522" s="215"/>
      <c r="HAX522" s="215"/>
      <c r="HAZ522" s="215"/>
      <c r="HBG522" s="212"/>
      <c r="HBH522" s="213"/>
      <c r="HBL522" s="214"/>
      <c r="HBP522" s="215"/>
      <c r="HBR522" s="215"/>
      <c r="HBX522" s="215"/>
      <c r="HBY522" s="215"/>
      <c r="HBZ522" s="215"/>
      <c r="HCB522" s="215"/>
      <c r="HCR522" s="215"/>
      <c r="HCT522" s="215"/>
      <c r="HCW522" s="215"/>
      <c r="HCY522" s="215"/>
      <c r="HDA522" s="215"/>
      <c r="HDC522" s="215"/>
      <c r="HDE522" s="215"/>
      <c r="HDL522" s="212"/>
      <c r="HDM522" s="213"/>
      <c r="HDQ522" s="214"/>
      <c r="HDU522" s="215"/>
      <c r="HDW522" s="215"/>
      <c r="HEC522" s="215"/>
      <c r="HED522" s="215"/>
      <c r="HEE522" s="215"/>
      <c r="HEG522" s="215"/>
      <c r="HEW522" s="215"/>
      <c r="HEY522" s="215"/>
      <c r="HFB522" s="215"/>
      <c r="HFD522" s="215"/>
      <c r="HFF522" s="215"/>
      <c r="HFH522" s="215"/>
      <c r="HFJ522" s="215"/>
      <c r="HFQ522" s="212"/>
      <c r="HFR522" s="213"/>
      <c r="HFV522" s="214"/>
      <c r="HFZ522" s="215"/>
      <c r="HGB522" s="215"/>
      <c r="HGH522" s="215"/>
      <c r="HGI522" s="215"/>
      <c r="HGJ522" s="215"/>
      <c r="HGL522" s="215"/>
      <c r="HHB522" s="215"/>
      <c r="HHD522" s="215"/>
      <c r="HHG522" s="215"/>
      <c r="HHI522" s="215"/>
      <c r="HHK522" s="215"/>
      <c r="HHM522" s="215"/>
      <c r="HHO522" s="215"/>
      <c r="HHV522" s="212"/>
      <c r="HHW522" s="213"/>
      <c r="HIA522" s="214"/>
      <c r="HIE522" s="215"/>
      <c r="HIG522" s="215"/>
      <c r="HIM522" s="215"/>
      <c r="HIN522" s="215"/>
      <c r="HIO522" s="215"/>
      <c r="HIQ522" s="215"/>
      <c r="HJG522" s="215"/>
      <c r="HJI522" s="215"/>
      <c r="HJL522" s="215"/>
      <c r="HJN522" s="215"/>
      <c r="HJP522" s="215"/>
      <c r="HJR522" s="215"/>
      <c r="HJT522" s="215"/>
      <c r="HKA522" s="212"/>
      <c r="HKB522" s="213"/>
      <c r="HKF522" s="214"/>
      <c r="HKJ522" s="215"/>
      <c r="HKL522" s="215"/>
      <c r="HKR522" s="215"/>
      <c r="HKS522" s="215"/>
      <c r="HKT522" s="215"/>
      <c r="HKV522" s="215"/>
      <c r="HLL522" s="215"/>
      <c r="HLN522" s="215"/>
      <c r="HLQ522" s="215"/>
      <c r="HLS522" s="215"/>
      <c r="HLU522" s="215"/>
      <c r="HLW522" s="215"/>
      <c r="HLY522" s="215"/>
      <c r="HMF522" s="212"/>
      <c r="HMG522" s="213"/>
      <c r="HMK522" s="214"/>
      <c r="HMO522" s="215"/>
      <c r="HMQ522" s="215"/>
      <c r="HMW522" s="215"/>
      <c r="HMX522" s="215"/>
      <c r="HMY522" s="215"/>
      <c r="HNA522" s="215"/>
      <c r="HNQ522" s="215"/>
      <c r="HNS522" s="215"/>
      <c r="HNV522" s="215"/>
      <c r="HNX522" s="215"/>
      <c r="HNZ522" s="215"/>
      <c r="HOB522" s="215"/>
      <c r="HOD522" s="215"/>
      <c r="HOK522" s="212"/>
      <c r="HOL522" s="213"/>
      <c r="HOP522" s="214"/>
      <c r="HOT522" s="215"/>
      <c r="HOV522" s="215"/>
      <c r="HPB522" s="215"/>
      <c r="HPC522" s="215"/>
      <c r="HPD522" s="215"/>
      <c r="HPF522" s="215"/>
      <c r="HPV522" s="215"/>
      <c r="HPX522" s="215"/>
      <c r="HQA522" s="215"/>
      <c r="HQC522" s="215"/>
      <c r="HQE522" s="215"/>
      <c r="HQG522" s="215"/>
      <c r="HQI522" s="215"/>
      <c r="HQP522" s="212"/>
      <c r="HQQ522" s="213"/>
      <c r="HQU522" s="214"/>
      <c r="HQY522" s="215"/>
      <c r="HRA522" s="215"/>
      <c r="HRG522" s="215"/>
      <c r="HRH522" s="215"/>
      <c r="HRI522" s="215"/>
      <c r="HRK522" s="215"/>
      <c r="HSA522" s="215"/>
      <c r="HSC522" s="215"/>
      <c r="HSF522" s="215"/>
      <c r="HSH522" s="215"/>
      <c r="HSJ522" s="215"/>
      <c r="HSL522" s="215"/>
      <c r="HSN522" s="215"/>
      <c r="HSU522" s="212"/>
      <c r="HSV522" s="213"/>
      <c r="HSZ522" s="214"/>
      <c r="HTD522" s="215"/>
      <c r="HTF522" s="215"/>
      <c r="HTL522" s="215"/>
      <c r="HTM522" s="215"/>
      <c r="HTN522" s="215"/>
      <c r="HTP522" s="215"/>
      <c r="HUF522" s="215"/>
      <c r="HUH522" s="215"/>
      <c r="HUK522" s="215"/>
      <c r="HUM522" s="215"/>
      <c r="HUO522" s="215"/>
      <c r="HUQ522" s="215"/>
      <c r="HUS522" s="215"/>
      <c r="HUZ522" s="212"/>
      <c r="HVA522" s="213"/>
      <c r="HVE522" s="214"/>
      <c r="HVI522" s="215"/>
      <c r="HVK522" s="215"/>
      <c r="HVQ522" s="215"/>
      <c r="HVR522" s="215"/>
      <c r="HVS522" s="215"/>
      <c r="HVU522" s="215"/>
      <c r="HWK522" s="215"/>
      <c r="HWM522" s="215"/>
      <c r="HWP522" s="215"/>
      <c r="HWR522" s="215"/>
      <c r="HWT522" s="215"/>
      <c r="HWV522" s="215"/>
      <c r="HWX522" s="215"/>
      <c r="HXE522" s="212"/>
      <c r="HXF522" s="213"/>
      <c r="HXJ522" s="214"/>
      <c r="HXN522" s="215"/>
      <c r="HXP522" s="215"/>
      <c r="HXV522" s="215"/>
      <c r="HXW522" s="215"/>
      <c r="HXX522" s="215"/>
      <c r="HXZ522" s="215"/>
      <c r="HYP522" s="215"/>
      <c r="HYR522" s="215"/>
      <c r="HYU522" s="215"/>
      <c r="HYW522" s="215"/>
      <c r="HYY522" s="215"/>
      <c r="HZA522" s="215"/>
      <c r="HZC522" s="215"/>
      <c r="HZJ522" s="212"/>
      <c r="HZK522" s="213"/>
      <c r="HZO522" s="214"/>
      <c r="HZS522" s="215"/>
      <c r="HZU522" s="215"/>
      <c r="IAA522" s="215"/>
      <c r="IAB522" s="215"/>
      <c r="IAC522" s="215"/>
      <c r="IAE522" s="215"/>
      <c r="IAU522" s="215"/>
      <c r="IAW522" s="215"/>
      <c r="IAZ522" s="215"/>
      <c r="IBB522" s="215"/>
      <c r="IBD522" s="215"/>
      <c r="IBF522" s="215"/>
      <c r="IBH522" s="215"/>
      <c r="IBO522" s="212"/>
      <c r="IBP522" s="213"/>
      <c r="IBT522" s="214"/>
      <c r="IBX522" s="215"/>
      <c r="IBZ522" s="215"/>
      <c r="ICF522" s="215"/>
      <c r="ICG522" s="215"/>
      <c r="ICH522" s="215"/>
      <c r="ICJ522" s="215"/>
      <c r="ICZ522" s="215"/>
      <c r="IDB522" s="215"/>
      <c r="IDE522" s="215"/>
      <c r="IDG522" s="215"/>
      <c r="IDI522" s="215"/>
      <c r="IDK522" s="215"/>
      <c r="IDM522" s="215"/>
      <c r="IDT522" s="212"/>
      <c r="IDU522" s="213"/>
      <c r="IDY522" s="214"/>
      <c r="IEC522" s="215"/>
      <c r="IEE522" s="215"/>
      <c r="IEK522" s="215"/>
      <c r="IEL522" s="215"/>
      <c r="IEM522" s="215"/>
      <c r="IEO522" s="215"/>
      <c r="IFE522" s="215"/>
      <c r="IFG522" s="215"/>
      <c r="IFJ522" s="215"/>
      <c r="IFL522" s="215"/>
      <c r="IFN522" s="215"/>
      <c r="IFP522" s="215"/>
      <c r="IFR522" s="215"/>
      <c r="IFY522" s="212"/>
      <c r="IFZ522" s="213"/>
      <c r="IGD522" s="214"/>
      <c r="IGH522" s="215"/>
      <c r="IGJ522" s="215"/>
      <c r="IGP522" s="215"/>
      <c r="IGQ522" s="215"/>
      <c r="IGR522" s="215"/>
      <c r="IGT522" s="215"/>
      <c r="IHJ522" s="215"/>
      <c r="IHL522" s="215"/>
      <c r="IHO522" s="215"/>
      <c r="IHQ522" s="215"/>
      <c r="IHS522" s="215"/>
      <c r="IHU522" s="215"/>
      <c r="IHW522" s="215"/>
      <c r="IID522" s="212"/>
      <c r="IIE522" s="213"/>
      <c r="III522" s="214"/>
      <c r="IIM522" s="215"/>
      <c r="IIO522" s="215"/>
      <c r="IIU522" s="215"/>
      <c r="IIV522" s="215"/>
      <c r="IIW522" s="215"/>
      <c r="IIY522" s="215"/>
      <c r="IJO522" s="215"/>
      <c r="IJQ522" s="215"/>
      <c r="IJT522" s="215"/>
      <c r="IJV522" s="215"/>
      <c r="IJX522" s="215"/>
      <c r="IJZ522" s="215"/>
      <c r="IKB522" s="215"/>
      <c r="IKI522" s="212"/>
      <c r="IKJ522" s="213"/>
      <c r="IKN522" s="214"/>
      <c r="IKR522" s="215"/>
      <c r="IKT522" s="215"/>
      <c r="IKZ522" s="215"/>
      <c r="ILA522" s="215"/>
      <c r="ILB522" s="215"/>
      <c r="ILD522" s="215"/>
      <c r="ILT522" s="215"/>
      <c r="ILV522" s="215"/>
      <c r="ILY522" s="215"/>
      <c r="IMA522" s="215"/>
      <c r="IMC522" s="215"/>
      <c r="IME522" s="215"/>
      <c r="IMG522" s="215"/>
      <c r="IMN522" s="212"/>
      <c r="IMO522" s="213"/>
      <c r="IMS522" s="214"/>
      <c r="IMW522" s="215"/>
      <c r="IMY522" s="215"/>
      <c r="INE522" s="215"/>
      <c r="INF522" s="215"/>
      <c r="ING522" s="215"/>
      <c r="INI522" s="215"/>
      <c r="INY522" s="215"/>
      <c r="IOA522" s="215"/>
      <c r="IOD522" s="215"/>
      <c r="IOF522" s="215"/>
      <c r="IOH522" s="215"/>
      <c r="IOJ522" s="215"/>
      <c r="IOL522" s="215"/>
      <c r="IOS522" s="212"/>
      <c r="IOT522" s="213"/>
      <c r="IOX522" s="214"/>
      <c r="IPB522" s="215"/>
      <c r="IPD522" s="215"/>
      <c r="IPJ522" s="215"/>
      <c r="IPK522" s="215"/>
      <c r="IPL522" s="215"/>
      <c r="IPN522" s="215"/>
      <c r="IQD522" s="215"/>
      <c r="IQF522" s="215"/>
      <c r="IQI522" s="215"/>
      <c r="IQK522" s="215"/>
      <c r="IQM522" s="215"/>
      <c r="IQO522" s="215"/>
      <c r="IQQ522" s="215"/>
      <c r="IQX522" s="212"/>
      <c r="IQY522" s="213"/>
      <c r="IRC522" s="214"/>
      <c r="IRG522" s="215"/>
      <c r="IRI522" s="215"/>
      <c r="IRO522" s="215"/>
      <c r="IRP522" s="215"/>
      <c r="IRQ522" s="215"/>
      <c r="IRS522" s="215"/>
      <c r="ISI522" s="215"/>
      <c r="ISK522" s="215"/>
      <c r="ISN522" s="215"/>
      <c r="ISP522" s="215"/>
      <c r="ISR522" s="215"/>
      <c r="IST522" s="215"/>
      <c r="ISV522" s="215"/>
      <c r="ITC522" s="212"/>
      <c r="ITD522" s="213"/>
      <c r="ITH522" s="214"/>
      <c r="ITL522" s="215"/>
      <c r="ITN522" s="215"/>
      <c r="ITT522" s="215"/>
      <c r="ITU522" s="215"/>
      <c r="ITV522" s="215"/>
      <c r="ITX522" s="215"/>
      <c r="IUN522" s="215"/>
      <c r="IUP522" s="215"/>
      <c r="IUS522" s="215"/>
      <c r="IUU522" s="215"/>
      <c r="IUW522" s="215"/>
      <c r="IUY522" s="215"/>
      <c r="IVA522" s="215"/>
      <c r="IVH522" s="212"/>
      <c r="IVI522" s="213"/>
      <c r="IVM522" s="214"/>
      <c r="IVQ522" s="215"/>
      <c r="IVS522" s="215"/>
      <c r="IVY522" s="215"/>
      <c r="IVZ522" s="215"/>
      <c r="IWA522" s="215"/>
      <c r="IWC522" s="215"/>
      <c r="IWS522" s="215"/>
      <c r="IWU522" s="215"/>
      <c r="IWX522" s="215"/>
      <c r="IWZ522" s="215"/>
      <c r="IXB522" s="215"/>
      <c r="IXD522" s="215"/>
      <c r="IXF522" s="215"/>
      <c r="IXM522" s="212"/>
      <c r="IXN522" s="213"/>
      <c r="IXR522" s="214"/>
      <c r="IXV522" s="215"/>
      <c r="IXX522" s="215"/>
      <c r="IYD522" s="215"/>
      <c r="IYE522" s="215"/>
      <c r="IYF522" s="215"/>
      <c r="IYH522" s="215"/>
      <c r="IYX522" s="215"/>
      <c r="IYZ522" s="215"/>
      <c r="IZC522" s="215"/>
      <c r="IZE522" s="215"/>
      <c r="IZG522" s="215"/>
      <c r="IZI522" s="215"/>
      <c r="IZK522" s="215"/>
      <c r="IZR522" s="212"/>
      <c r="IZS522" s="213"/>
      <c r="IZW522" s="214"/>
      <c r="JAA522" s="215"/>
      <c r="JAC522" s="215"/>
      <c r="JAI522" s="215"/>
      <c r="JAJ522" s="215"/>
      <c r="JAK522" s="215"/>
      <c r="JAM522" s="215"/>
      <c r="JBC522" s="215"/>
      <c r="JBE522" s="215"/>
      <c r="JBH522" s="215"/>
      <c r="JBJ522" s="215"/>
      <c r="JBL522" s="215"/>
      <c r="JBN522" s="215"/>
      <c r="JBP522" s="215"/>
      <c r="JBW522" s="212"/>
      <c r="JBX522" s="213"/>
      <c r="JCB522" s="214"/>
      <c r="JCF522" s="215"/>
      <c r="JCH522" s="215"/>
      <c r="JCN522" s="215"/>
      <c r="JCO522" s="215"/>
      <c r="JCP522" s="215"/>
      <c r="JCR522" s="215"/>
      <c r="JDH522" s="215"/>
      <c r="JDJ522" s="215"/>
      <c r="JDM522" s="215"/>
      <c r="JDO522" s="215"/>
      <c r="JDQ522" s="215"/>
      <c r="JDS522" s="215"/>
      <c r="JDU522" s="215"/>
      <c r="JEB522" s="212"/>
      <c r="JEC522" s="213"/>
      <c r="JEG522" s="214"/>
      <c r="JEK522" s="215"/>
      <c r="JEM522" s="215"/>
      <c r="JES522" s="215"/>
      <c r="JET522" s="215"/>
      <c r="JEU522" s="215"/>
      <c r="JEW522" s="215"/>
      <c r="JFM522" s="215"/>
      <c r="JFO522" s="215"/>
      <c r="JFR522" s="215"/>
      <c r="JFT522" s="215"/>
      <c r="JFV522" s="215"/>
      <c r="JFX522" s="215"/>
      <c r="JFZ522" s="215"/>
      <c r="JGG522" s="212"/>
      <c r="JGH522" s="213"/>
      <c r="JGL522" s="214"/>
      <c r="JGP522" s="215"/>
      <c r="JGR522" s="215"/>
      <c r="JGX522" s="215"/>
      <c r="JGY522" s="215"/>
      <c r="JGZ522" s="215"/>
      <c r="JHB522" s="215"/>
      <c r="JHR522" s="215"/>
      <c r="JHT522" s="215"/>
      <c r="JHW522" s="215"/>
      <c r="JHY522" s="215"/>
      <c r="JIA522" s="215"/>
      <c r="JIC522" s="215"/>
      <c r="JIE522" s="215"/>
      <c r="JIL522" s="212"/>
      <c r="JIM522" s="213"/>
      <c r="JIQ522" s="214"/>
      <c r="JIU522" s="215"/>
      <c r="JIW522" s="215"/>
      <c r="JJC522" s="215"/>
      <c r="JJD522" s="215"/>
      <c r="JJE522" s="215"/>
      <c r="JJG522" s="215"/>
      <c r="JJW522" s="215"/>
      <c r="JJY522" s="215"/>
      <c r="JKB522" s="215"/>
      <c r="JKD522" s="215"/>
      <c r="JKF522" s="215"/>
      <c r="JKH522" s="215"/>
      <c r="JKJ522" s="215"/>
      <c r="JKQ522" s="212"/>
      <c r="JKR522" s="213"/>
      <c r="JKV522" s="214"/>
      <c r="JKZ522" s="215"/>
      <c r="JLB522" s="215"/>
      <c r="JLH522" s="215"/>
      <c r="JLI522" s="215"/>
      <c r="JLJ522" s="215"/>
      <c r="JLL522" s="215"/>
      <c r="JMB522" s="215"/>
      <c r="JMD522" s="215"/>
      <c r="JMG522" s="215"/>
      <c r="JMI522" s="215"/>
      <c r="JMK522" s="215"/>
      <c r="JMM522" s="215"/>
      <c r="JMO522" s="215"/>
      <c r="JMV522" s="212"/>
      <c r="JMW522" s="213"/>
      <c r="JNA522" s="214"/>
      <c r="JNE522" s="215"/>
      <c r="JNG522" s="215"/>
      <c r="JNM522" s="215"/>
      <c r="JNN522" s="215"/>
      <c r="JNO522" s="215"/>
      <c r="JNQ522" s="215"/>
      <c r="JOG522" s="215"/>
      <c r="JOI522" s="215"/>
      <c r="JOL522" s="215"/>
      <c r="JON522" s="215"/>
      <c r="JOP522" s="215"/>
      <c r="JOR522" s="215"/>
      <c r="JOT522" s="215"/>
      <c r="JPA522" s="212"/>
      <c r="JPB522" s="213"/>
      <c r="JPF522" s="214"/>
      <c r="JPJ522" s="215"/>
      <c r="JPL522" s="215"/>
      <c r="JPR522" s="215"/>
      <c r="JPS522" s="215"/>
      <c r="JPT522" s="215"/>
      <c r="JPV522" s="215"/>
      <c r="JQL522" s="215"/>
      <c r="JQN522" s="215"/>
      <c r="JQQ522" s="215"/>
      <c r="JQS522" s="215"/>
      <c r="JQU522" s="215"/>
      <c r="JQW522" s="215"/>
      <c r="JQY522" s="215"/>
      <c r="JRF522" s="212"/>
      <c r="JRG522" s="213"/>
      <c r="JRK522" s="214"/>
      <c r="JRO522" s="215"/>
      <c r="JRQ522" s="215"/>
      <c r="JRW522" s="215"/>
      <c r="JRX522" s="215"/>
      <c r="JRY522" s="215"/>
      <c r="JSA522" s="215"/>
      <c r="JSQ522" s="215"/>
      <c r="JSS522" s="215"/>
      <c r="JSV522" s="215"/>
      <c r="JSX522" s="215"/>
      <c r="JSZ522" s="215"/>
      <c r="JTB522" s="215"/>
      <c r="JTD522" s="215"/>
      <c r="JTK522" s="212"/>
      <c r="JTL522" s="213"/>
      <c r="JTP522" s="214"/>
      <c r="JTT522" s="215"/>
      <c r="JTV522" s="215"/>
      <c r="JUB522" s="215"/>
      <c r="JUC522" s="215"/>
      <c r="JUD522" s="215"/>
      <c r="JUF522" s="215"/>
      <c r="JUV522" s="215"/>
      <c r="JUX522" s="215"/>
      <c r="JVA522" s="215"/>
      <c r="JVC522" s="215"/>
      <c r="JVE522" s="215"/>
      <c r="JVG522" s="215"/>
      <c r="JVI522" s="215"/>
      <c r="JVP522" s="212"/>
      <c r="JVQ522" s="213"/>
      <c r="JVU522" s="214"/>
      <c r="JVY522" s="215"/>
      <c r="JWA522" s="215"/>
      <c r="JWG522" s="215"/>
      <c r="JWH522" s="215"/>
      <c r="JWI522" s="215"/>
      <c r="JWK522" s="215"/>
      <c r="JXA522" s="215"/>
      <c r="JXC522" s="215"/>
      <c r="JXF522" s="215"/>
      <c r="JXH522" s="215"/>
      <c r="JXJ522" s="215"/>
      <c r="JXL522" s="215"/>
      <c r="JXN522" s="215"/>
      <c r="JXU522" s="212"/>
      <c r="JXV522" s="213"/>
      <c r="JXZ522" s="214"/>
      <c r="JYD522" s="215"/>
      <c r="JYF522" s="215"/>
      <c r="JYL522" s="215"/>
      <c r="JYM522" s="215"/>
      <c r="JYN522" s="215"/>
      <c r="JYP522" s="215"/>
      <c r="JZF522" s="215"/>
      <c r="JZH522" s="215"/>
      <c r="JZK522" s="215"/>
      <c r="JZM522" s="215"/>
      <c r="JZO522" s="215"/>
      <c r="JZQ522" s="215"/>
      <c r="JZS522" s="215"/>
      <c r="JZZ522" s="212"/>
      <c r="KAA522" s="213"/>
      <c r="KAE522" s="214"/>
      <c r="KAI522" s="215"/>
      <c r="KAK522" s="215"/>
      <c r="KAQ522" s="215"/>
      <c r="KAR522" s="215"/>
      <c r="KAS522" s="215"/>
      <c r="KAU522" s="215"/>
      <c r="KBK522" s="215"/>
      <c r="KBM522" s="215"/>
      <c r="KBP522" s="215"/>
      <c r="KBR522" s="215"/>
      <c r="KBT522" s="215"/>
      <c r="KBV522" s="215"/>
      <c r="KBX522" s="215"/>
      <c r="KCE522" s="212"/>
      <c r="KCF522" s="213"/>
      <c r="KCJ522" s="214"/>
      <c r="KCN522" s="215"/>
      <c r="KCP522" s="215"/>
      <c r="KCV522" s="215"/>
      <c r="KCW522" s="215"/>
      <c r="KCX522" s="215"/>
      <c r="KCZ522" s="215"/>
      <c r="KDP522" s="215"/>
      <c r="KDR522" s="215"/>
      <c r="KDU522" s="215"/>
      <c r="KDW522" s="215"/>
      <c r="KDY522" s="215"/>
      <c r="KEA522" s="215"/>
      <c r="KEC522" s="215"/>
      <c r="KEJ522" s="212"/>
      <c r="KEK522" s="213"/>
      <c r="KEO522" s="214"/>
      <c r="KES522" s="215"/>
      <c r="KEU522" s="215"/>
      <c r="KFA522" s="215"/>
      <c r="KFB522" s="215"/>
      <c r="KFC522" s="215"/>
      <c r="KFE522" s="215"/>
      <c r="KFU522" s="215"/>
      <c r="KFW522" s="215"/>
      <c r="KFZ522" s="215"/>
      <c r="KGB522" s="215"/>
      <c r="KGD522" s="215"/>
      <c r="KGF522" s="215"/>
      <c r="KGH522" s="215"/>
      <c r="KGO522" s="212"/>
      <c r="KGP522" s="213"/>
      <c r="KGT522" s="214"/>
      <c r="KGX522" s="215"/>
      <c r="KGZ522" s="215"/>
      <c r="KHF522" s="215"/>
      <c r="KHG522" s="215"/>
      <c r="KHH522" s="215"/>
      <c r="KHJ522" s="215"/>
      <c r="KHZ522" s="215"/>
      <c r="KIB522" s="215"/>
      <c r="KIE522" s="215"/>
      <c r="KIG522" s="215"/>
      <c r="KII522" s="215"/>
      <c r="KIK522" s="215"/>
      <c r="KIM522" s="215"/>
      <c r="KIT522" s="212"/>
      <c r="KIU522" s="213"/>
      <c r="KIY522" s="214"/>
      <c r="KJC522" s="215"/>
      <c r="KJE522" s="215"/>
      <c r="KJK522" s="215"/>
      <c r="KJL522" s="215"/>
      <c r="KJM522" s="215"/>
      <c r="KJO522" s="215"/>
      <c r="KKE522" s="215"/>
      <c r="KKG522" s="215"/>
      <c r="KKJ522" s="215"/>
      <c r="KKL522" s="215"/>
      <c r="KKN522" s="215"/>
      <c r="KKP522" s="215"/>
      <c r="KKR522" s="215"/>
      <c r="KKY522" s="212"/>
      <c r="KKZ522" s="213"/>
      <c r="KLD522" s="214"/>
      <c r="KLH522" s="215"/>
      <c r="KLJ522" s="215"/>
      <c r="KLP522" s="215"/>
      <c r="KLQ522" s="215"/>
      <c r="KLR522" s="215"/>
      <c r="KLT522" s="215"/>
      <c r="KMJ522" s="215"/>
      <c r="KML522" s="215"/>
      <c r="KMO522" s="215"/>
      <c r="KMQ522" s="215"/>
      <c r="KMS522" s="215"/>
      <c r="KMU522" s="215"/>
      <c r="KMW522" s="215"/>
      <c r="KND522" s="212"/>
      <c r="KNE522" s="213"/>
      <c r="KNI522" s="214"/>
      <c r="KNM522" s="215"/>
      <c r="KNO522" s="215"/>
      <c r="KNU522" s="215"/>
      <c r="KNV522" s="215"/>
      <c r="KNW522" s="215"/>
      <c r="KNY522" s="215"/>
      <c r="KOO522" s="215"/>
      <c r="KOQ522" s="215"/>
      <c r="KOT522" s="215"/>
      <c r="KOV522" s="215"/>
      <c r="KOX522" s="215"/>
      <c r="KOZ522" s="215"/>
      <c r="KPB522" s="215"/>
      <c r="KPI522" s="212"/>
      <c r="KPJ522" s="213"/>
      <c r="KPN522" s="214"/>
      <c r="KPR522" s="215"/>
      <c r="KPT522" s="215"/>
      <c r="KPZ522" s="215"/>
      <c r="KQA522" s="215"/>
      <c r="KQB522" s="215"/>
      <c r="KQD522" s="215"/>
      <c r="KQT522" s="215"/>
      <c r="KQV522" s="215"/>
      <c r="KQY522" s="215"/>
      <c r="KRA522" s="215"/>
      <c r="KRC522" s="215"/>
      <c r="KRE522" s="215"/>
      <c r="KRG522" s="215"/>
      <c r="KRN522" s="212"/>
      <c r="KRO522" s="213"/>
      <c r="KRS522" s="214"/>
      <c r="KRW522" s="215"/>
      <c r="KRY522" s="215"/>
      <c r="KSE522" s="215"/>
      <c r="KSF522" s="215"/>
      <c r="KSG522" s="215"/>
      <c r="KSI522" s="215"/>
      <c r="KSY522" s="215"/>
      <c r="KTA522" s="215"/>
      <c r="KTD522" s="215"/>
      <c r="KTF522" s="215"/>
      <c r="KTH522" s="215"/>
      <c r="KTJ522" s="215"/>
      <c r="KTL522" s="215"/>
      <c r="KTS522" s="212"/>
      <c r="KTT522" s="213"/>
      <c r="KTX522" s="214"/>
      <c r="KUB522" s="215"/>
      <c r="KUD522" s="215"/>
      <c r="KUJ522" s="215"/>
      <c r="KUK522" s="215"/>
      <c r="KUL522" s="215"/>
      <c r="KUN522" s="215"/>
      <c r="KVD522" s="215"/>
      <c r="KVF522" s="215"/>
      <c r="KVI522" s="215"/>
      <c r="KVK522" s="215"/>
      <c r="KVM522" s="215"/>
      <c r="KVO522" s="215"/>
      <c r="KVQ522" s="215"/>
      <c r="KVX522" s="212"/>
      <c r="KVY522" s="213"/>
      <c r="KWC522" s="214"/>
      <c r="KWG522" s="215"/>
      <c r="KWI522" s="215"/>
      <c r="KWO522" s="215"/>
      <c r="KWP522" s="215"/>
      <c r="KWQ522" s="215"/>
      <c r="KWS522" s="215"/>
      <c r="KXI522" s="215"/>
      <c r="KXK522" s="215"/>
      <c r="KXN522" s="215"/>
      <c r="KXP522" s="215"/>
      <c r="KXR522" s="215"/>
      <c r="KXT522" s="215"/>
      <c r="KXV522" s="215"/>
      <c r="KYC522" s="212"/>
      <c r="KYD522" s="213"/>
      <c r="KYH522" s="214"/>
      <c r="KYL522" s="215"/>
      <c r="KYN522" s="215"/>
      <c r="KYT522" s="215"/>
      <c r="KYU522" s="215"/>
      <c r="KYV522" s="215"/>
      <c r="KYX522" s="215"/>
      <c r="KZN522" s="215"/>
      <c r="KZP522" s="215"/>
      <c r="KZS522" s="215"/>
      <c r="KZU522" s="215"/>
      <c r="KZW522" s="215"/>
      <c r="KZY522" s="215"/>
      <c r="LAA522" s="215"/>
      <c r="LAH522" s="212"/>
      <c r="LAI522" s="213"/>
      <c r="LAM522" s="214"/>
      <c r="LAQ522" s="215"/>
      <c r="LAS522" s="215"/>
      <c r="LAY522" s="215"/>
      <c r="LAZ522" s="215"/>
      <c r="LBA522" s="215"/>
      <c r="LBC522" s="215"/>
      <c r="LBS522" s="215"/>
      <c r="LBU522" s="215"/>
      <c r="LBX522" s="215"/>
      <c r="LBZ522" s="215"/>
      <c r="LCB522" s="215"/>
      <c r="LCD522" s="215"/>
      <c r="LCF522" s="215"/>
      <c r="LCM522" s="212"/>
      <c r="LCN522" s="213"/>
      <c r="LCR522" s="214"/>
      <c r="LCV522" s="215"/>
      <c r="LCX522" s="215"/>
      <c r="LDD522" s="215"/>
      <c r="LDE522" s="215"/>
      <c r="LDF522" s="215"/>
      <c r="LDH522" s="215"/>
      <c r="LDX522" s="215"/>
      <c r="LDZ522" s="215"/>
      <c r="LEC522" s="215"/>
      <c r="LEE522" s="215"/>
      <c r="LEG522" s="215"/>
      <c r="LEI522" s="215"/>
      <c r="LEK522" s="215"/>
      <c r="LER522" s="212"/>
      <c r="LES522" s="213"/>
      <c r="LEW522" s="214"/>
      <c r="LFA522" s="215"/>
      <c r="LFC522" s="215"/>
      <c r="LFI522" s="215"/>
      <c r="LFJ522" s="215"/>
      <c r="LFK522" s="215"/>
      <c r="LFM522" s="215"/>
      <c r="LGC522" s="215"/>
      <c r="LGE522" s="215"/>
      <c r="LGH522" s="215"/>
      <c r="LGJ522" s="215"/>
      <c r="LGL522" s="215"/>
      <c r="LGN522" s="215"/>
      <c r="LGP522" s="215"/>
      <c r="LGW522" s="212"/>
      <c r="LGX522" s="213"/>
      <c r="LHB522" s="214"/>
      <c r="LHF522" s="215"/>
      <c r="LHH522" s="215"/>
      <c r="LHN522" s="215"/>
      <c r="LHO522" s="215"/>
      <c r="LHP522" s="215"/>
      <c r="LHR522" s="215"/>
      <c r="LIH522" s="215"/>
      <c r="LIJ522" s="215"/>
      <c r="LIM522" s="215"/>
      <c r="LIO522" s="215"/>
      <c r="LIQ522" s="215"/>
      <c r="LIS522" s="215"/>
      <c r="LIU522" s="215"/>
      <c r="LJB522" s="212"/>
      <c r="LJC522" s="213"/>
      <c r="LJG522" s="214"/>
      <c r="LJK522" s="215"/>
      <c r="LJM522" s="215"/>
      <c r="LJS522" s="215"/>
      <c r="LJT522" s="215"/>
      <c r="LJU522" s="215"/>
      <c r="LJW522" s="215"/>
      <c r="LKM522" s="215"/>
      <c r="LKO522" s="215"/>
      <c r="LKR522" s="215"/>
      <c r="LKT522" s="215"/>
      <c r="LKV522" s="215"/>
      <c r="LKX522" s="215"/>
      <c r="LKZ522" s="215"/>
      <c r="LLG522" s="212"/>
      <c r="LLH522" s="213"/>
      <c r="LLL522" s="214"/>
      <c r="LLP522" s="215"/>
      <c r="LLR522" s="215"/>
      <c r="LLX522" s="215"/>
      <c r="LLY522" s="215"/>
      <c r="LLZ522" s="215"/>
      <c r="LMB522" s="215"/>
      <c r="LMR522" s="215"/>
      <c r="LMT522" s="215"/>
      <c r="LMW522" s="215"/>
      <c r="LMY522" s="215"/>
      <c r="LNA522" s="215"/>
      <c r="LNC522" s="215"/>
      <c r="LNE522" s="215"/>
      <c r="LNL522" s="212"/>
      <c r="LNM522" s="213"/>
      <c r="LNQ522" s="214"/>
      <c r="LNU522" s="215"/>
      <c r="LNW522" s="215"/>
      <c r="LOC522" s="215"/>
      <c r="LOD522" s="215"/>
      <c r="LOE522" s="215"/>
      <c r="LOG522" s="215"/>
      <c r="LOW522" s="215"/>
      <c r="LOY522" s="215"/>
      <c r="LPB522" s="215"/>
      <c r="LPD522" s="215"/>
      <c r="LPF522" s="215"/>
      <c r="LPH522" s="215"/>
      <c r="LPJ522" s="215"/>
      <c r="LPQ522" s="212"/>
      <c r="LPR522" s="213"/>
      <c r="LPV522" s="214"/>
      <c r="LPZ522" s="215"/>
      <c r="LQB522" s="215"/>
      <c r="LQH522" s="215"/>
      <c r="LQI522" s="215"/>
      <c r="LQJ522" s="215"/>
      <c r="LQL522" s="215"/>
      <c r="LRB522" s="215"/>
      <c r="LRD522" s="215"/>
      <c r="LRG522" s="215"/>
      <c r="LRI522" s="215"/>
      <c r="LRK522" s="215"/>
      <c r="LRM522" s="215"/>
      <c r="LRO522" s="215"/>
      <c r="LRV522" s="212"/>
      <c r="LRW522" s="213"/>
      <c r="LSA522" s="214"/>
      <c r="LSE522" s="215"/>
      <c r="LSG522" s="215"/>
      <c r="LSM522" s="215"/>
      <c r="LSN522" s="215"/>
      <c r="LSO522" s="215"/>
      <c r="LSQ522" s="215"/>
      <c r="LTG522" s="215"/>
      <c r="LTI522" s="215"/>
      <c r="LTL522" s="215"/>
      <c r="LTN522" s="215"/>
      <c r="LTP522" s="215"/>
      <c r="LTR522" s="215"/>
      <c r="LTT522" s="215"/>
      <c r="LUA522" s="212"/>
      <c r="LUB522" s="213"/>
      <c r="LUF522" s="214"/>
      <c r="LUJ522" s="215"/>
      <c r="LUL522" s="215"/>
      <c r="LUR522" s="215"/>
      <c r="LUS522" s="215"/>
      <c r="LUT522" s="215"/>
      <c r="LUV522" s="215"/>
      <c r="LVL522" s="215"/>
      <c r="LVN522" s="215"/>
      <c r="LVQ522" s="215"/>
      <c r="LVS522" s="215"/>
      <c r="LVU522" s="215"/>
      <c r="LVW522" s="215"/>
      <c r="LVY522" s="215"/>
      <c r="LWF522" s="212"/>
      <c r="LWG522" s="213"/>
      <c r="LWK522" s="214"/>
      <c r="LWO522" s="215"/>
      <c r="LWQ522" s="215"/>
      <c r="LWW522" s="215"/>
      <c r="LWX522" s="215"/>
      <c r="LWY522" s="215"/>
      <c r="LXA522" s="215"/>
      <c r="LXQ522" s="215"/>
      <c r="LXS522" s="215"/>
      <c r="LXV522" s="215"/>
      <c r="LXX522" s="215"/>
      <c r="LXZ522" s="215"/>
      <c r="LYB522" s="215"/>
      <c r="LYD522" s="215"/>
      <c r="LYK522" s="212"/>
      <c r="LYL522" s="213"/>
      <c r="LYP522" s="214"/>
      <c r="LYT522" s="215"/>
      <c r="LYV522" s="215"/>
      <c r="LZB522" s="215"/>
      <c r="LZC522" s="215"/>
      <c r="LZD522" s="215"/>
      <c r="LZF522" s="215"/>
      <c r="LZV522" s="215"/>
      <c r="LZX522" s="215"/>
      <c r="MAA522" s="215"/>
      <c r="MAC522" s="215"/>
      <c r="MAE522" s="215"/>
      <c r="MAG522" s="215"/>
      <c r="MAI522" s="215"/>
      <c r="MAP522" s="212"/>
      <c r="MAQ522" s="213"/>
      <c r="MAU522" s="214"/>
      <c r="MAY522" s="215"/>
      <c r="MBA522" s="215"/>
      <c r="MBG522" s="215"/>
      <c r="MBH522" s="215"/>
      <c r="MBI522" s="215"/>
      <c r="MBK522" s="215"/>
      <c r="MCA522" s="215"/>
      <c r="MCC522" s="215"/>
      <c r="MCF522" s="215"/>
      <c r="MCH522" s="215"/>
      <c r="MCJ522" s="215"/>
      <c r="MCL522" s="215"/>
      <c r="MCN522" s="215"/>
      <c r="MCU522" s="212"/>
      <c r="MCV522" s="213"/>
      <c r="MCZ522" s="214"/>
      <c r="MDD522" s="215"/>
      <c r="MDF522" s="215"/>
      <c r="MDL522" s="215"/>
      <c r="MDM522" s="215"/>
      <c r="MDN522" s="215"/>
      <c r="MDP522" s="215"/>
      <c r="MEF522" s="215"/>
      <c r="MEH522" s="215"/>
      <c r="MEK522" s="215"/>
      <c r="MEM522" s="215"/>
      <c r="MEO522" s="215"/>
      <c r="MEQ522" s="215"/>
      <c r="MES522" s="215"/>
      <c r="MEZ522" s="212"/>
      <c r="MFA522" s="213"/>
      <c r="MFE522" s="214"/>
      <c r="MFI522" s="215"/>
      <c r="MFK522" s="215"/>
      <c r="MFQ522" s="215"/>
      <c r="MFR522" s="215"/>
      <c r="MFS522" s="215"/>
      <c r="MFU522" s="215"/>
      <c r="MGK522" s="215"/>
      <c r="MGM522" s="215"/>
      <c r="MGP522" s="215"/>
      <c r="MGR522" s="215"/>
      <c r="MGT522" s="215"/>
      <c r="MGV522" s="215"/>
      <c r="MGX522" s="215"/>
      <c r="MHE522" s="212"/>
      <c r="MHF522" s="213"/>
      <c r="MHJ522" s="214"/>
      <c r="MHN522" s="215"/>
      <c r="MHP522" s="215"/>
      <c r="MHV522" s="215"/>
      <c r="MHW522" s="215"/>
      <c r="MHX522" s="215"/>
      <c r="MHZ522" s="215"/>
      <c r="MIP522" s="215"/>
      <c r="MIR522" s="215"/>
      <c r="MIU522" s="215"/>
      <c r="MIW522" s="215"/>
      <c r="MIY522" s="215"/>
      <c r="MJA522" s="215"/>
      <c r="MJC522" s="215"/>
      <c r="MJJ522" s="212"/>
      <c r="MJK522" s="213"/>
      <c r="MJO522" s="214"/>
      <c r="MJS522" s="215"/>
      <c r="MJU522" s="215"/>
      <c r="MKA522" s="215"/>
      <c r="MKB522" s="215"/>
      <c r="MKC522" s="215"/>
      <c r="MKE522" s="215"/>
      <c r="MKU522" s="215"/>
      <c r="MKW522" s="215"/>
      <c r="MKZ522" s="215"/>
      <c r="MLB522" s="215"/>
      <c r="MLD522" s="215"/>
      <c r="MLF522" s="215"/>
      <c r="MLH522" s="215"/>
      <c r="MLO522" s="212"/>
      <c r="MLP522" s="213"/>
      <c r="MLT522" s="214"/>
      <c r="MLX522" s="215"/>
      <c r="MLZ522" s="215"/>
      <c r="MMF522" s="215"/>
      <c r="MMG522" s="215"/>
      <c r="MMH522" s="215"/>
      <c r="MMJ522" s="215"/>
      <c r="MMZ522" s="215"/>
      <c r="MNB522" s="215"/>
      <c r="MNE522" s="215"/>
      <c r="MNG522" s="215"/>
      <c r="MNI522" s="215"/>
      <c r="MNK522" s="215"/>
      <c r="MNM522" s="215"/>
      <c r="MNT522" s="212"/>
      <c r="MNU522" s="213"/>
      <c r="MNY522" s="214"/>
      <c r="MOC522" s="215"/>
      <c r="MOE522" s="215"/>
      <c r="MOK522" s="215"/>
      <c r="MOL522" s="215"/>
      <c r="MOM522" s="215"/>
      <c r="MOO522" s="215"/>
      <c r="MPE522" s="215"/>
      <c r="MPG522" s="215"/>
      <c r="MPJ522" s="215"/>
      <c r="MPL522" s="215"/>
      <c r="MPN522" s="215"/>
      <c r="MPP522" s="215"/>
      <c r="MPR522" s="215"/>
      <c r="MPY522" s="212"/>
      <c r="MPZ522" s="213"/>
      <c r="MQD522" s="214"/>
      <c r="MQH522" s="215"/>
      <c r="MQJ522" s="215"/>
      <c r="MQP522" s="215"/>
      <c r="MQQ522" s="215"/>
      <c r="MQR522" s="215"/>
      <c r="MQT522" s="215"/>
      <c r="MRJ522" s="215"/>
      <c r="MRL522" s="215"/>
      <c r="MRO522" s="215"/>
      <c r="MRQ522" s="215"/>
      <c r="MRS522" s="215"/>
      <c r="MRU522" s="215"/>
      <c r="MRW522" s="215"/>
      <c r="MSD522" s="212"/>
      <c r="MSE522" s="213"/>
      <c r="MSI522" s="214"/>
      <c r="MSM522" s="215"/>
      <c r="MSO522" s="215"/>
      <c r="MSU522" s="215"/>
      <c r="MSV522" s="215"/>
      <c r="MSW522" s="215"/>
      <c r="MSY522" s="215"/>
      <c r="MTO522" s="215"/>
      <c r="MTQ522" s="215"/>
      <c r="MTT522" s="215"/>
      <c r="MTV522" s="215"/>
      <c r="MTX522" s="215"/>
      <c r="MTZ522" s="215"/>
      <c r="MUB522" s="215"/>
      <c r="MUI522" s="212"/>
      <c r="MUJ522" s="213"/>
      <c r="MUN522" s="214"/>
      <c r="MUR522" s="215"/>
      <c r="MUT522" s="215"/>
      <c r="MUZ522" s="215"/>
      <c r="MVA522" s="215"/>
      <c r="MVB522" s="215"/>
      <c r="MVD522" s="215"/>
      <c r="MVT522" s="215"/>
      <c r="MVV522" s="215"/>
      <c r="MVY522" s="215"/>
      <c r="MWA522" s="215"/>
      <c r="MWC522" s="215"/>
      <c r="MWE522" s="215"/>
      <c r="MWG522" s="215"/>
      <c r="MWN522" s="212"/>
      <c r="MWO522" s="213"/>
      <c r="MWS522" s="214"/>
      <c r="MWW522" s="215"/>
      <c r="MWY522" s="215"/>
      <c r="MXE522" s="215"/>
      <c r="MXF522" s="215"/>
      <c r="MXG522" s="215"/>
      <c r="MXI522" s="215"/>
      <c r="MXY522" s="215"/>
      <c r="MYA522" s="215"/>
      <c r="MYD522" s="215"/>
      <c r="MYF522" s="215"/>
      <c r="MYH522" s="215"/>
      <c r="MYJ522" s="215"/>
      <c r="MYL522" s="215"/>
      <c r="MYS522" s="212"/>
      <c r="MYT522" s="213"/>
      <c r="MYX522" s="214"/>
      <c r="MZB522" s="215"/>
      <c r="MZD522" s="215"/>
      <c r="MZJ522" s="215"/>
      <c r="MZK522" s="215"/>
      <c r="MZL522" s="215"/>
      <c r="MZN522" s="215"/>
      <c r="NAD522" s="215"/>
      <c r="NAF522" s="215"/>
      <c r="NAI522" s="215"/>
      <c r="NAK522" s="215"/>
      <c r="NAM522" s="215"/>
      <c r="NAO522" s="215"/>
      <c r="NAQ522" s="215"/>
      <c r="NAX522" s="212"/>
      <c r="NAY522" s="213"/>
      <c r="NBC522" s="214"/>
      <c r="NBG522" s="215"/>
      <c r="NBI522" s="215"/>
      <c r="NBO522" s="215"/>
      <c r="NBP522" s="215"/>
      <c r="NBQ522" s="215"/>
      <c r="NBS522" s="215"/>
      <c r="NCI522" s="215"/>
      <c r="NCK522" s="215"/>
      <c r="NCN522" s="215"/>
      <c r="NCP522" s="215"/>
      <c r="NCR522" s="215"/>
      <c r="NCT522" s="215"/>
      <c r="NCV522" s="215"/>
      <c r="NDC522" s="212"/>
      <c r="NDD522" s="213"/>
      <c r="NDH522" s="214"/>
      <c r="NDL522" s="215"/>
      <c r="NDN522" s="215"/>
      <c r="NDT522" s="215"/>
      <c r="NDU522" s="215"/>
      <c r="NDV522" s="215"/>
      <c r="NDX522" s="215"/>
      <c r="NEN522" s="215"/>
      <c r="NEP522" s="215"/>
      <c r="NES522" s="215"/>
      <c r="NEU522" s="215"/>
      <c r="NEW522" s="215"/>
      <c r="NEY522" s="215"/>
      <c r="NFA522" s="215"/>
      <c r="NFH522" s="212"/>
      <c r="NFI522" s="213"/>
      <c r="NFM522" s="214"/>
      <c r="NFQ522" s="215"/>
      <c r="NFS522" s="215"/>
      <c r="NFY522" s="215"/>
      <c r="NFZ522" s="215"/>
      <c r="NGA522" s="215"/>
      <c r="NGC522" s="215"/>
      <c r="NGS522" s="215"/>
      <c r="NGU522" s="215"/>
      <c r="NGX522" s="215"/>
      <c r="NGZ522" s="215"/>
      <c r="NHB522" s="215"/>
      <c r="NHD522" s="215"/>
      <c r="NHF522" s="215"/>
      <c r="NHM522" s="212"/>
      <c r="NHN522" s="213"/>
      <c r="NHR522" s="214"/>
      <c r="NHV522" s="215"/>
      <c r="NHX522" s="215"/>
      <c r="NID522" s="215"/>
      <c r="NIE522" s="215"/>
      <c r="NIF522" s="215"/>
      <c r="NIH522" s="215"/>
      <c r="NIX522" s="215"/>
      <c r="NIZ522" s="215"/>
      <c r="NJC522" s="215"/>
      <c r="NJE522" s="215"/>
      <c r="NJG522" s="215"/>
      <c r="NJI522" s="215"/>
      <c r="NJK522" s="215"/>
      <c r="NJR522" s="212"/>
      <c r="NJS522" s="213"/>
      <c r="NJW522" s="214"/>
      <c r="NKA522" s="215"/>
      <c r="NKC522" s="215"/>
      <c r="NKI522" s="215"/>
      <c r="NKJ522" s="215"/>
      <c r="NKK522" s="215"/>
      <c r="NKM522" s="215"/>
      <c r="NLC522" s="215"/>
      <c r="NLE522" s="215"/>
      <c r="NLH522" s="215"/>
      <c r="NLJ522" s="215"/>
      <c r="NLL522" s="215"/>
      <c r="NLN522" s="215"/>
      <c r="NLP522" s="215"/>
      <c r="NLW522" s="212"/>
      <c r="NLX522" s="213"/>
      <c r="NMB522" s="214"/>
      <c r="NMF522" s="215"/>
      <c r="NMH522" s="215"/>
      <c r="NMN522" s="215"/>
      <c r="NMO522" s="215"/>
      <c r="NMP522" s="215"/>
      <c r="NMR522" s="215"/>
      <c r="NNH522" s="215"/>
      <c r="NNJ522" s="215"/>
      <c r="NNM522" s="215"/>
      <c r="NNO522" s="215"/>
      <c r="NNQ522" s="215"/>
      <c r="NNS522" s="215"/>
      <c r="NNU522" s="215"/>
      <c r="NOB522" s="212"/>
      <c r="NOC522" s="213"/>
      <c r="NOG522" s="214"/>
      <c r="NOK522" s="215"/>
      <c r="NOM522" s="215"/>
      <c r="NOS522" s="215"/>
      <c r="NOT522" s="215"/>
      <c r="NOU522" s="215"/>
      <c r="NOW522" s="215"/>
      <c r="NPM522" s="215"/>
      <c r="NPO522" s="215"/>
      <c r="NPR522" s="215"/>
      <c r="NPT522" s="215"/>
      <c r="NPV522" s="215"/>
      <c r="NPX522" s="215"/>
      <c r="NPZ522" s="215"/>
      <c r="NQG522" s="212"/>
      <c r="NQH522" s="213"/>
      <c r="NQL522" s="214"/>
      <c r="NQP522" s="215"/>
      <c r="NQR522" s="215"/>
      <c r="NQX522" s="215"/>
      <c r="NQY522" s="215"/>
      <c r="NQZ522" s="215"/>
      <c r="NRB522" s="215"/>
      <c r="NRR522" s="215"/>
      <c r="NRT522" s="215"/>
      <c r="NRW522" s="215"/>
      <c r="NRY522" s="215"/>
      <c r="NSA522" s="215"/>
      <c r="NSC522" s="215"/>
      <c r="NSE522" s="215"/>
      <c r="NSL522" s="212"/>
      <c r="NSM522" s="213"/>
      <c r="NSQ522" s="214"/>
      <c r="NSU522" s="215"/>
      <c r="NSW522" s="215"/>
      <c r="NTC522" s="215"/>
      <c r="NTD522" s="215"/>
      <c r="NTE522" s="215"/>
      <c r="NTG522" s="215"/>
      <c r="NTW522" s="215"/>
      <c r="NTY522" s="215"/>
      <c r="NUB522" s="215"/>
      <c r="NUD522" s="215"/>
      <c r="NUF522" s="215"/>
      <c r="NUH522" s="215"/>
      <c r="NUJ522" s="215"/>
      <c r="NUQ522" s="212"/>
      <c r="NUR522" s="213"/>
      <c r="NUV522" s="214"/>
      <c r="NUZ522" s="215"/>
      <c r="NVB522" s="215"/>
      <c r="NVH522" s="215"/>
      <c r="NVI522" s="215"/>
      <c r="NVJ522" s="215"/>
      <c r="NVL522" s="215"/>
      <c r="NWB522" s="215"/>
      <c r="NWD522" s="215"/>
      <c r="NWG522" s="215"/>
      <c r="NWI522" s="215"/>
      <c r="NWK522" s="215"/>
      <c r="NWM522" s="215"/>
      <c r="NWO522" s="215"/>
      <c r="NWV522" s="212"/>
      <c r="NWW522" s="213"/>
      <c r="NXA522" s="214"/>
      <c r="NXE522" s="215"/>
      <c r="NXG522" s="215"/>
      <c r="NXM522" s="215"/>
      <c r="NXN522" s="215"/>
      <c r="NXO522" s="215"/>
      <c r="NXQ522" s="215"/>
      <c r="NYG522" s="215"/>
      <c r="NYI522" s="215"/>
      <c r="NYL522" s="215"/>
      <c r="NYN522" s="215"/>
      <c r="NYP522" s="215"/>
      <c r="NYR522" s="215"/>
      <c r="NYT522" s="215"/>
      <c r="NZA522" s="212"/>
      <c r="NZB522" s="213"/>
      <c r="NZF522" s="214"/>
      <c r="NZJ522" s="215"/>
      <c r="NZL522" s="215"/>
      <c r="NZR522" s="215"/>
      <c r="NZS522" s="215"/>
      <c r="NZT522" s="215"/>
      <c r="NZV522" s="215"/>
      <c r="OAL522" s="215"/>
      <c r="OAN522" s="215"/>
      <c r="OAQ522" s="215"/>
      <c r="OAS522" s="215"/>
      <c r="OAU522" s="215"/>
      <c r="OAW522" s="215"/>
      <c r="OAY522" s="215"/>
      <c r="OBF522" s="212"/>
      <c r="OBG522" s="213"/>
      <c r="OBK522" s="214"/>
      <c r="OBO522" s="215"/>
      <c r="OBQ522" s="215"/>
      <c r="OBW522" s="215"/>
      <c r="OBX522" s="215"/>
      <c r="OBY522" s="215"/>
      <c r="OCA522" s="215"/>
      <c r="OCQ522" s="215"/>
      <c r="OCS522" s="215"/>
      <c r="OCV522" s="215"/>
      <c r="OCX522" s="215"/>
      <c r="OCZ522" s="215"/>
      <c r="ODB522" s="215"/>
      <c r="ODD522" s="215"/>
      <c r="ODK522" s="212"/>
      <c r="ODL522" s="213"/>
      <c r="ODP522" s="214"/>
      <c r="ODT522" s="215"/>
      <c r="ODV522" s="215"/>
      <c r="OEB522" s="215"/>
      <c r="OEC522" s="215"/>
      <c r="OED522" s="215"/>
      <c r="OEF522" s="215"/>
      <c r="OEV522" s="215"/>
      <c r="OEX522" s="215"/>
      <c r="OFA522" s="215"/>
      <c r="OFC522" s="215"/>
      <c r="OFE522" s="215"/>
      <c r="OFG522" s="215"/>
      <c r="OFI522" s="215"/>
      <c r="OFP522" s="212"/>
      <c r="OFQ522" s="213"/>
      <c r="OFU522" s="214"/>
      <c r="OFY522" s="215"/>
      <c r="OGA522" s="215"/>
      <c r="OGG522" s="215"/>
      <c r="OGH522" s="215"/>
      <c r="OGI522" s="215"/>
      <c r="OGK522" s="215"/>
      <c r="OHA522" s="215"/>
      <c r="OHC522" s="215"/>
      <c r="OHF522" s="215"/>
      <c r="OHH522" s="215"/>
      <c r="OHJ522" s="215"/>
      <c r="OHL522" s="215"/>
      <c r="OHN522" s="215"/>
      <c r="OHU522" s="212"/>
      <c r="OHV522" s="213"/>
      <c r="OHZ522" s="214"/>
      <c r="OID522" s="215"/>
      <c r="OIF522" s="215"/>
      <c r="OIL522" s="215"/>
      <c r="OIM522" s="215"/>
      <c r="OIN522" s="215"/>
      <c r="OIP522" s="215"/>
      <c r="OJF522" s="215"/>
      <c r="OJH522" s="215"/>
      <c r="OJK522" s="215"/>
      <c r="OJM522" s="215"/>
      <c r="OJO522" s="215"/>
      <c r="OJQ522" s="215"/>
      <c r="OJS522" s="215"/>
      <c r="OJZ522" s="212"/>
      <c r="OKA522" s="213"/>
      <c r="OKE522" s="214"/>
      <c r="OKI522" s="215"/>
      <c r="OKK522" s="215"/>
      <c r="OKQ522" s="215"/>
      <c r="OKR522" s="215"/>
      <c r="OKS522" s="215"/>
      <c r="OKU522" s="215"/>
      <c r="OLK522" s="215"/>
      <c r="OLM522" s="215"/>
      <c r="OLP522" s="215"/>
      <c r="OLR522" s="215"/>
      <c r="OLT522" s="215"/>
      <c r="OLV522" s="215"/>
      <c r="OLX522" s="215"/>
      <c r="OME522" s="212"/>
      <c r="OMF522" s="213"/>
      <c r="OMJ522" s="214"/>
      <c r="OMN522" s="215"/>
      <c r="OMP522" s="215"/>
      <c r="OMV522" s="215"/>
      <c r="OMW522" s="215"/>
      <c r="OMX522" s="215"/>
      <c r="OMZ522" s="215"/>
      <c r="ONP522" s="215"/>
      <c r="ONR522" s="215"/>
      <c r="ONU522" s="215"/>
      <c r="ONW522" s="215"/>
      <c r="ONY522" s="215"/>
      <c r="OOA522" s="215"/>
      <c r="OOC522" s="215"/>
      <c r="OOJ522" s="212"/>
      <c r="OOK522" s="213"/>
      <c r="OOO522" s="214"/>
      <c r="OOS522" s="215"/>
      <c r="OOU522" s="215"/>
      <c r="OPA522" s="215"/>
      <c r="OPB522" s="215"/>
      <c r="OPC522" s="215"/>
      <c r="OPE522" s="215"/>
      <c r="OPU522" s="215"/>
      <c r="OPW522" s="215"/>
      <c r="OPZ522" s="215"/>
      <c r="OQB522" s="215"/>
      <c r="OQD522" s="215"/>
      <c r="OQF522" s="215"/>
      <c r="OQH522" s="215"/>
      <c r="OQO522" s="212"/>
      <c r="OQP522" s="213"/>
      <c r="OQT522" s="214"/>
      <c r="OQX522" s="215"/>
      <c r="OQZ522" s="215"/>
      <c r="ORF522" s="215"/>
      <c r="ORG522" s="215"/>
      <c r="ORH522" s="215"/>
      <c r="ORJ522" s="215"/>
      <c r="ORZ522" s="215"/>
      <c r="OSB522" s="215"/>
      <c r="OSE522" s="215"/>
      <c r="OSG522" s="215"/>
      <c r="OSI522" s="215"/>
      <c r="OSK522" s="215"/>
      <c r="OSM522" s="215"/>
      <c r="OST522" s="212"/>
      <c r="OSU522" s="213"/>
      <c r="OSY522" s="214"/>
      <c r="OTC522" s="215"/>
      <c r="OTE522" s="215"/>
      <c r="OTK522" s="215"/>
      <c r="OTL522" s="215"/>
      <c r="OTM522" s="215"/>
      <c r="OTO522" s="215"/>
      <c r="OUE522" s="215"/>
      <c r="OUG522" s="215"/>
      <c r="OUJ522" s="215"/>
      <c r="OUL522" s="215"/>
      <c r="OUN522" s="215"/>
      <c r="OUP522" s="215"/>
      <c r="OUR522" s="215"/>
      <c r="OUY522" s="212"/>
      <c r="OUZ522" s="213"/>
      <c r="OVD522" s="214"/>
      <c r="OVH522" s="215"/>
      <c r="OVJ522" s="215"/>
      <c r="OVP522" s="215"/>
      <c r="OVQ522" s="215"/>
      <c r="OVR522" s="215"/>
      <c r="OVT522" s="215"/>
      <c r="OWJ522" s="215"/>
      <c r="OWL522" s="215"/>
      <c r="OWO522" s="215"/>
      <c r="OWQ522" s="215"/>
      <c r="OWS522" s="215"/>
      <c r="OWU522" s="215"/>
      <c r="OWW522" s="215"/>
      <c r="OXD522" s="212"/>
      <c r="OXE522" s="213"/>
      <c r="OXI522" s="214"/>
      <c r="OXM522" s="215"/>
      <c r="OXO522" s="215"/>
      <c r="OXU522" s="215"/>
      <c r="OXV522" s="215"/>
      <c r="OXW522" s="215"/>
      <c r="OXY522" s="215"/>
      <c r="OYO522" s="215"/>
      <c r="OYQ522" s="215"/>
      <c r="OYT522" s="215"/>
      <c r="OYV522" s="215"/>
      <c r="OYX522" s="215"/>
      <c r="OYZ522" s="215"/>
      <c r="OZB522" s="215"/>
      <c r="OZI522" s="212"/>
      <c r="OZJ522" s="213"/>
      <c r="OZN522" s="214"/>
      <c r="OZR522" s="215"/>
      <c r="OZT522" s="215"/>
      <c r="OZZ522" s="215"/>
      <c r="PAA522" s="215"/>
      <c r="PAB522" s="215"/>
      <c r="PAD522" s="215"/>
      <c r="PAT522" s="215"/>
      <c r="PAV522" s="215"/>
      <c r="PAY522" s="215"/>
      <c r="PBA522" s="215"/>
      <c r="PBC522" s="215"/>
      <c r="PBE522" s="215"/>
      <c r="PBG522" s="215"/>
      <c r="PBN522" s="212"/>
      <c r="PBO522" s="213"/>
      <c r="PBS522" s="214"/>
      <c r="PBW522" s="215"/>
      <c r="PBY522" s="215"/>
      <c r="PCE522" s="215"/>
      <c r="PCF522" s="215"/>
      <c r="PCG522" s="215"/>
      <c r="PCI522" s="215"/>
      <c r="PCY522" s="215"/>
      <c r="PDA522" s="215"/>
      <c r="PDD522" s="215"/>
      <c r="PDF522" s="215"/>
      <c r="PDH522" s="215"/>
      <c r="PDJ522" s="215"/>
      <c r="PDL522" s="215"/>
      <c r="PDS522" s="212"/>
      <c r="PDT522" s="213"/>
      <c r="PDX522" s="214"/>
      <c r="PEB522" s="215"/>
      <c r="PED522" s="215"/>
      <c r="PEJ522" s="215"/>
      <c r="PEK522" s="215"/>
      <c r="PEL522" s="215"/>
      <c r="PEN522" s="215"/>
      <c r="PFD522" s="215"/>
      <c r="PFF522" s="215"/>
      <c r="PFI522" s="215"/>
      <c r="PFK522" s="215"/>
      <c r="PFM522" s="215"/>
      <c r="PFO522" s="215"/>
      <c r="PFQ522" s="215"/>
      <c r="PFX522" s="212"/>
      <c r="PFY522" s="213"/>
      <c r="PGC522" s="214"/>
      <c r="PGG522" s="215"/>
      <c r="PGI522" s="215"/>
      <c r="PGO522" s="215"/>
      <c r="PGP522" s="215"/>
      <c r="PGQ522" s="215"/>
      <c r="PGS522" s="215"/>
      <c r="PHI522" s="215"/>
      <c r="PHK522" s="215"/>
      <c r="PHN522" s="215"/>
      <c r="PHP522" s="215"/>
      <c r="PHR522" s="215"/>
      <c r="PHT522" s="215"/>
      <c r="PHV522" s="215"/>
      <c r="PIC522" s="212"/>
      <c r="PID522" s="213"/>
      <c r="PIH522" s="214"/>
      <c r="PIL522" s="215"/>
      <c r="PIN522" s="215"/>
      <c r="PIT522" s="215"/>
      <c r="PIU522" s="215"/>
      <c r="PIV522" s="215"/>
      <c r="PIX522" s="215"/>
      <c r="PJN522" s="215"/>
      <c r="PJP522" s="215"/>
      <c r="PJS522" s="215"/>
      <c r="PJU522" s="215"/>
      <c r="PJW522" s="215"/>
      <c r="PJY522" s="215"/>
      <c r="PKA522" s="215"/>
      <c r="PKH522" s="212"/>
      <c r="PKI522" s="213"/>
      <c r="PKM522" s="214"/>
      <c r="PKQ522" s="215"/>
      <c r="PKS522" s="215"/>
      <c r="PKY522" s="215"/>
      <c r="PKZ522" s="215"/>
      <c r="PLA522" s="215"/>
      <c r="PLC522" s="215"/>
      <c r="PLS522" s="215"/>
      <c r="PLU522" s="215"/>
      <c r="PLX522" s="215"/>
      <c r="PLZ522" s="215"/>
      <c r="PMB522" s="215"/>
      <c r="PMD522" s="215"/>
      <c r="PMF522" s="215"/>
      <c r="PMM522" s="212"/>
      <c r="PMN522" s="213"/>
      <c r="PMR522" s="214"/>
      <c r="PMV522" s="215"/>
      <c r="PMX522" s="215"/>
      <c r="PND522" s="215"/>
      <c r="PNE522" s="215"/>
      <c r="PNF522" s="215"/>
      <c r="PNH522" s="215"/>
      <c r="PNX522" s="215"/>
      <c r="PNZ522" s="215"/>
      <c r="POC522" s="215"/>
      <c r="POE522" s="215"/>
      <c r="POG522" s="215"/>
      <c r="POI522" s="215"/>
      <c r="POK522" s="215"/>
      <c r="POR522" s="212"/>
      <c r="POS522" s="213"/>
      <c r="POW522" s="214"/>
      <c r="PPA522" s="215"/>
      <c r="PPC522" s="215"/>
      <c r="PPI522" s="215"/>
      <c r="PPJ522" s="215"/>
      <c r="PPK522" s="215"/>
      <c r="PPM522" s="215"/>
      <c r="PQC522" s="215"/>
      <c r="PQE522" s="215"/>
      <c r="PQH522" s="215"/>
      <c r="PQJ522" s="215"/>
      <c r="PQL522" s="215"/>
      <c r="PQN522" s="215"/>
      <c r="PQP522" s="215"/>
      <c r="PQW522" s="212"/>
      <c r="PQX522" s="213"/>
      <c r="PRB522" s="214"/>
      <c r="PRF522" s="215"/>
      <c r="PRH522" s="215"/>
      <c r="PRN522" s="215"/>
      <c r="PRO522" s="215"/>
      <c r="PRP522" s="215"/>
      <c r="PRR522" s="215"/>
      <c r="PSH522" s="215"/>
      <c r="PSJ522" s="215"/>
      <c r="PSM522" s="215"/>
      <c r="PSO522" s="215"/>
      <c r="PSQ522" s="215"/>
      <c r="PSS522" s="215"/>
      <c r="PSU522" s="215"/>
      <c r="PTB522" s="212"/>
      <c r="PTC522" s="213"/>
      <c r="PTG522" s="214"/>
      <c r="PTK522" s="215"/>
      <c r="PTM522" s="215"/>
      <c r="PTS522" s="215"/>
      <c r="PTT522" s="215"/>
      <c r="PTU522" s="215"/>
      <c r="PTW522" s="215"/>
      <c r="PUM522" s="215"/>
      <c r="PUO522" s="215"/>
      <c r="PUR522" s="215"/>
      <c r="PUT522" s="215"/>
      <c r="PUV522" s="215"/>
      <c r="PUX522" s="215"/>
      <c r="PUZ522" s="215"/>
      <c r="PVG522" s="212"/>
      <c r="PVH522" s="213"/>
      <c r="PVL522" s="214"/>
      <c r="PVP522" s="215"/>
      <c r="PVR522" s="215"/>
      <c r="PVX522" s="215"/>
      <c r="PVY522" s="215"/>
      <c r="PVZ522" s="215"/>
      <c r="PWB522" s="215"/>
      <c r="PWR522" s="215"/>
      <c r="PWT522" s="215"/>
      <c r="PWW522" s="215"/>
      <c r="PWY522" s="215"/>
      <c r="PXA522" s="215"/>
      <c r="PXC522" s="215"/>
      <c r="PXE522" s="215"/>
      <c r="PXL522" s="212"/>
      <c r="PXM522" s="213"/>
      <c r="PXQ522" s="214"/>
      <c r="PXU522" s="215"/>
      <c r="PXW522" s="215"/>
      <c r="PYC522" s="215"/>
      <c r="PYD522" s="215"/>
      <c r="PYE522" s="215"/>
      <c r="PYG522" s="215"/>
      <c r="PYW522" s="215"/>
      <c r="PYY522" s="215"/>
      <c r="PZB522" s="215"/>
      <c r="PZD522" s="215"/>
      <c r="PZF522" s="215"/>
      <c r="PZH522" s="215"/>
      <c r="PZJ522" s="215"/>
      <c r="PZQ522" s="212"/>
      <c r="PZR522" s="213"/>
      <c r="PZV522" s="214"/>
      <c r="PZZ522" s="215"/>
      <c r="QAB522" s="215"/>
      <c r="QAH522" s="215"/>
      <c r="QAI522" s="215"/>
      <c r="QAJ522" s="215"/>
      <c r="QAL522" s="215"/>
      <c r="QBB522" s="215"/>
      <c r="QBD522" s="215"/>
      <c r="QBG522" s="215"/>
      <c r="QBI522" s="215"/>
      <c r="QBK522" s="215"/>
      <c r="QBM522" s="215"/>
      <c r="QBO522" s="215"/>
      <c r="QBV522" s="212"/>
      <c r="QBW522" s="213"/>
      <c r="QCA522" s="214"/>
      <c r="QCE522" s="215"/>
      <c r="QCG522" s="215"/>
      <c r="QCM522" s="215"/>
      <c r="QCN522" s="215"/>
      <c r="QCO522" s="215"/>
      <c r="QCQ522" s="215"/>
      <c r="QDG522" s="215"/>
      <c r="QDI522" s="215"/>
      <c r="QDL522" s="215"/>
      <c r="QDN522" s="215"/>
      <c r="QDP522" s="215"/>
      <c r="QDR522" s="215"/>
      <c r="QDT522" s="215"/>
      <c r="QEA522" s="212"/>
      <c r="QEB522" s="213"/>
      <c r="QEF522" s="214"/>
      <c r="QEJ522" s="215"/>
      <c r="QEL522" s="215"/>
      <c r="QER522" s="215"/>
      <c r="QES522" s="215"/>
      <c r="QET522" s="215"/>
      <c r="QEV522" s="215"/>
      <c r="QFL522" s="215"/>
      <c r="QFN522" s="215"/>
      <c r="QFQ522" s="215"/>
      <c r="QFS522" s="215"/>
      <c r="QFU522" s="215"/>
      <c r="QFW522" s="215"/>
      <c r="QFY522" s="215"/>
      <c r="QGF522" s="212"/>
      <c r="QGG522" s="213"/>
      <c r="QGK522" s="214"/>
      <c r="QGO522" s="215"/>
      <c r="QGQ522" s="215"/>
      <c r="QGW522" s="215"/>
      <c r="QGX522" s="215"/>
      <c r="QGY522" s="215"/>
      <c r="QHA522" s="215"/>
      <c r="QHQ522" s="215"/>
      <c r="QHS522" s="215"/>
      <c r="QHV522" s="215"/>
      <c r="QHX522" s="215"/>
      <c r="QHZ522" s="215"/>
      <c r="QIB522" s="215"/>
      <c r="QID522" s="215"/>
      <c r="QIK522" s="212"/>
      <c r="QIL522" s="213"/>
      <c r="QIP522" s="214"/>
      <c r="QIT522" s="215"/>
      <c r="QIV522" s="215"/>
      <c r="QJB522" s="215"/>
      <c r="QJC522" s="215"/>
      <c r="QJD522" s="215"/>
      <c r="QJF522" s="215"/>
      <c r="QJV522" s="215"/>
      <c r="QJX522" s="215"/>
      <c r="QKA522" s="215"/>
      <c r="QKC522" s="215"/>
      <c r="QKE522" s="215"/>
      <c r="QKG522" s="215"/>
      <c r="QKI522" s="215"/>
      <c r="QKP522" s="212"/>
      <c r="QKQ522" s="213"/>
      <c r="QKU522" s="214"/>
      <c r="QKY522" s="215"/>
      <c r="QLA522" s="215"/>
      <c r="QLG522" s="215"/>
      <c r="QLH522" s="215"/>
      <c r="QLI522" s="215"/>
      <c r="QLK522" s="215"/>
      <c r="QMA522" s="215"/>
      <c r="QMC522" s="215"/>
      <c r="QMF522" s="215"/>
      <c r="QMH522" s="215"/>
      <c r="QMJ522" s="215"/>
      <c r="QML522" s="215"/>
      <c r="QMN522" s="215"/>
      <c r="QMU522" s="212"/>
      <c r="QMV522" s="213"/>
      <c r="QMZ522" s="214"/>
      <c r="QND522" s="215"/>
      <c r="QNF522" s="215"/>
      <c r="QNL522" s="215"/>
      <c r="QNM522" s="215"/>
      <c r="QNN522" s="215"/>
      <c r="QNP522" s="215"/>
      <c r="QOF522" s="215"/>
      <c r="QOH522" s="215"/>
      <c r="QOK522" s="215"/>
      <c r="QOM522" s="215"/>
      <c r="QOO522" s="215"/>
      <c r="QOQ522" s="215"/>
      <c r="QOS522" s="215"/>
      <c r="QOZ522" s="212"/>
      <c r="QPA522" s="213"/>
      <c r="QPE522" s="214"/>
      <c r="QPI522" s="215"/>
      <c r="QPK522" s="215"/>
      <c r="QPQ522" s="215"/>
      <c r="QPR522" s="215"/>
      <c r="QPS522" s="215"/>
      <c r="QPU522" s="215"/>
      <c r="QQK522" s="215"/>
      <c r="QQM522" s="215"/>
      <c r="QQP522" s="215"/>
      <c r="QQR522" s="215"/>
      <c r="QQT522" s="215"/>
      <c r="QQV522" s="215"/>
      <c r="QQX522" s="215"/>
      <c r="QRE522" s="212"/>
      <c r="QRF522" s="213"/>
      <c r="QRJ522" s="214"/>
      <c r="QRN522" s="215"/>
      <c r="QRP522" s="215"/>
      <c r="QRV522" s="215"/>
      <c r="QRW522" s="215"/>
      <c r="QRX522" s="215"/>
      <c r="QRZ522" s="215"/>
      <c r="QSP522" s="215"/>
      <c r="QSR522" s="215"/>
      <c r="QSU522" s="215"/>
      <c r="QSW522" s="215"/>
      <c r="QSY522" s="215"/>
      <c r="QTA522" s="215"/>
      <c r="QTC522" s="215"/>
      <c r="QTJ522" s="212"/>
      <c r="QTK522" s="213"/>
      <c r="QTO522" s="214"/>
      <c r="QTS522" s="215"/>
      <c r="QTU522" s="215"/>
      <c r="QUA522" s="215"/>
      <c r="QUB522" s="215"/>
      <c r="QUC522" s="215"/>
      <c r="QUE522" s="215"/>
      <c r="QUU522" s="215"/>
      <c r="QUW522" s="215"/>
      <c r="QUZ522" s="215"/>
      <c r="QVB522" s="215"/>
      <c r="QVD522" s="215"/>
      <c r="QVF522" s="215"/>
      <c r="QVH522" s="215"/>
      <c r="QVO522" s="212"/>
      <c r="QVP522" s="213"/>
      <c r="QVT522" s="214"/>
      <c r="QVX522" s="215"/>
      <c r="QVZ522" s="215"/>
      <c r="QWF522" s="215"/>
      <c r="QWG522" s="215"/>
      <c r="QWH522" s="215"/>
      <c r="QWJ522" s="215"/>
      <c r="QWZ522" s="215"/>
      <c r="QXB522" s="215"/>
      <c r="QXE522" s="215"/>
      <c r="QXG522" s="215"/>
      <c r="QXI522" s="215"/>
      <c r="QXK522" s="215"/>
      <c r="QXM522" s="215"/>
      <c r="QXT522" s="212"/>
      <c r="QXU522" s="213"/>
      <c r="QXY522" s="214"/>
      <c r="QYC522" s="215"/>
      <c r="QYE522" s="215"/>
      <c r="QYK522" s="215"/>
      <c r="QYL522" s="215"/>
      <c r="QYM522" s="215"/>
      <c r="QYO522" s="215"/>
      <c r="QZE522" s="215"/>
      <c r="QZG522" s="215"/>
      <c r="QZJ522" s="215"/>
      <c r="QZL522" s="215"/>
      <c r="QZN522" s="215"/>
      <c r="QZP522" s="215"/>
      <c r="QZR522" s="215"/>
      <c r="QZY522" s="212"/>
      <c r="QZZ522" s="213"/>
      <c r="RAD522" s="214"/>
      <c r="RAH522" s="215"/>
      <c r="RAJ522" s="215"/>
      <c r="RAP522" s="215"/>
      <c r="RAQ522" s="215"/>
      <c r="RAR522" s="215"/>
      <c r="RAT522" s="215"/>
      <c r="RBJ522" s="215"/>
      <c r="RBL522" s="215"/>
      <c r="RBO522" s="215"/>
      <c r="RBQ522" s="215"/>
      <c r="RBS522" s="215"/>
      <c r="RBU522" s="215"/>
      <c r="RBW522" s="215"/>
      <c r="RCD522" s="212"/>
      <c r="RCE522" s="213"/>
      <c r="RCI522" s="214"/>
      <c r="RCM522" s="215"/>
      <c r="RCO522" s="215"/>
      <c r="RCU522" s="215"/>
      <c r="RCV522" s="215"/>
      <c r="RCW522" s="215"/>
      <c r="RCY522" s="215"/>
      <c r="RDO522" s="215"/>
      <c r="RDQ522" s="215"/>
      <c r="RDT522" s="215"/>
      <c r="RDV522" s="215"/>
      <c r="RDX522" s="215"/>
      <c r="RDZ522" s="215"/>
      <c r="REB522" s="215"/>
      <c r="REI522" s="212"/>
      <c r="REJ522" s="213"/>
      <c r="REN522" s="214"/>
      <c r="RER522" s="215"/>
      <c r="RET522" s="215"/>
      <c r="REZ522" s="215"/>
      <c r="RFA522" s="215"/>
      <c r="RFB522" s="215"/>
      <c r="RFD522" s="215"/>
      <c r="RFT522" s="215"/>
      <c r="RFV522" s="215"/>
      <c r="RFY522" s="215"/>
      <c r="RGA522" s="215"/>
      <c r="RGC522" s="215"/>
      <c r="RGE522" s="215"/>
      <c r="RGG522" s="215"/>
      <c r="RGN522" s="212"/>
      <c r="RGO522" s="213"/>
      <c r="RGS522" s="214"/>
      <c r="RGW522" s="215"/>
      <c r="RGY522" s="215"/>
      <c r="RHE522" s="215"/>
      <c r="RHF522" s="215"/>
      <c r="RHG522" s="215"/>
      <c r="RHI522" s="215"/>
      <c r="RHY522" s="215"/>
      <c r="RIA522" s="215"/>
      <c r="RID522" s="215"/>
      <c r="RIF522" s="215"/>
      <c r="RIH522" s="215"/>
      <c r="RIJ522" s="215"/>
      <c r="RIL522" s="215"/>
      <c r="RIS522" s="212"/>
      <c r="RIT522" s="213"/>
      <c r="RIX522" s="214"/>
      <c r="RJB522" s="215"/>
      <c r="RJD522" s="215"/>
      <c r="RJJ522" s="215"/>
      <c r="RJK522" s="215"/>
      <c r="RJL522" s="215"/>
      <c r="RJN522" s="215"/>
      <c r="RKD522" s="215"/>
      <c r="RKF522" s="215"/>
      <c r="RKI522" s="215"/>
      <c r="RKK522" s="215"/>
      <c r="RKM522" s="215"/>
      <c r="RKO522" s="215"/>
      <c r="RKQ522" s="215"/>
      <c r="RKX522" s="212"/>
      <c r="RKY522" s="213"/>
      <c r="RLC522" s="214"/>
      <c r="RLG522" s="215"/>
      <c r="RLI522" s="215"/>
      <c r="RLO522" s="215"/>
      <c r="RLP522" s="215"/>
      <c r="RLQ522" s="215"/>
      <c r="RLS522" s="215"/>
      <c r="RMI522" s="215"/>
      <c r="RMK522" s="215"/>
      <c r="RMN522" s="215"/>
      <c r="RMP522" s="215"/>
      <c r="RMR522" s="215"/>
      <c r="RMT522" s="215"/>
      <c r="RMV522" s="215"/>
      <c r="RNC522" s="212"/>
      <c r="RND522" s="213"/>
      <c r="RNH522" s="214"/>
      <c r="RNL522" s="215"/>
      <c r="RNN522" s="215"/>
      <c r="RNT522" s="215"/>
      <c r="RNU522" s="215"/>
      <c r="RNV522" s="215"/>
      <c r="RNX522" s="215"/>
      <c r="RON522" s="215"/>
      <c r="ROP522" s="215"/>
      <c r="ROS522" s="215"/>
      <c r="ROU522" s="215"/>
      <c r="ROW522" s="215"/>
      <c r="ROY522" s="215"/>
      <c r="RPA522" s="215"/>
      <c r="RPH522" s="212"/>
      <c r="RPI522" s="213"/>
      <c r="RPM522" s="214"/>
      <c r="RPQ522" s="215"/>
      <c r="RPS522" s="215"/>
      <c r="RPY522" s="215"/>
      <c r="RPZ522" s="215"/>
      <c r="RQA522" s="215"/>
      <c r="RQC522" s="215"/>
      <c r="RQS522" s="215"/>
      <c r="RQU522" s="215"/>
      <c r="RQX522" s="215"/>
      <c r="RQZ522" s="215"/>
      <c r="RRB522" s="215"/>
      <c r="RRD522" s="215"/>
      <c r="RRF522" s="215"/>
      <c r="RRM522" s="212"/>
      <c r="RRN522" s="213"/>
      <c r="RRR522" s="214"/>
      <c r="RRV522" s="215"/>
      <c r="RRX522" s="215"/>
      <c r="RSD522" s="215"/>
      <c r="RSE522" s="215"/>
      <c r="RSF522" s="215"/>
      <c r="RSH522" s="215"/>
      <c r="RSX522" s="215"/>
      <c r="RSZ522" s="215"/>
      <c r="RTC522" s="215"/>
      <c r="RTE522" s="215"/>
      <c r="RTG522" s="215"/>
      <c r="RTI522" s="215"/>
      <c r="RTK522" s="215"/>
      <c r="RTR522" s="212"/>
      <c r="RTS522" s="213"/>
      <c r="RTW522" s="214"/>
      <c r="RUA522" s="215"/>
      <c r="RUC522" s="215"/>
      <c r="RUI522" s="215"/>
      <c r="RUJ522" s="215"/>
      <c r="RUK522" s="215"/>
      <c r="RUM522" s="215"/>
      <c r="RVC522" s="215"/>
      <c r="RVE522" s="215"/>
      <c r="RVH522" s="215"/>
      <c r="RVJ522" s="215"/>
      <c r="RVL522" s="215"/>
      <c r="RVN522" s="215"/>
      <c r="RVP522" s="215"/>
      <c r="RVW522" s="212"/>
      <c r="RVX522" s="213"/>
      <c r="RWB522" s="214"/>
      <c r="RWF522" s="215"/>
      <c r="RWH522" s="215"/>
      <c r="RWN522" s="215"/>
      <c r="RWO522" s="215"/>
      <c r="RWP522" s="215"/>
      <c r="RWR522" s="215"/>
      <c r="RXH522" s="215"/>
      <c r="RXJ522" s="215"/>
      <c r="RXM522" s="215"/>
      <c r="RXO522" s="215"/>
      <c r="RXQ522" s="215"/>
      <c r="RXS522" s="215"/>
      <c r="RXU522" s="215"/>
      <c r="RYB522" s="212"/>
      <c r="RYC522" s="213"/>
      <c r="RYG522" s="214"/>
      <c r="RYK522" s="215"/>
      <c r="RYM522" s="215"/>
      <c r="RYS522" s="215"/>
      <c r="RYT522" s="215"/>
      <c r="RYU522" s="215"/>
      <c r="RYW522" s="215"/>
      <c r="RZM522" s="215"/>
      <c r="RZO522" s="215"/>
      <c r="RZR522" s="215"/>
      <c r="RZT522" s="215"/>
      <c r="RZV522" s="215"/>
      <c r="RZX522" s="215"/>
      <c r="RZZ522" s="215"/>
      <c r="SAG522" s="212"/>
      <c r="SAH522" s="213"/>
      <c r="SAL522" s="214"/>
      <c r="SAP522" s="215"/>
      <c r="SAR522" s="215"/>
      <c r="SAX522" s="215"/>
      <c r="SAY522" s="215"/>
      <c r="SAZ522" s="215"/>
      <c r="SBB522" s="215"/>
      <c r="SBR522" s="215"/>
      <c r="SBT522" s="215"/>
      <c r="SBW522" s="215"/>
      <c r="SBY522" s="215"/>
      <c r="SCA522" s="215"/>
      <c r="SCC522" s="215"/>
      <c r="SCE522" s="215"/>
      <c r="SCL522" s="212"/>
      <c r="SCM522" s="213"/>
      <c r="SCQ522" s="214"/>
      <c r="SCU522" s="215"/>
      <c r="SCW522" s="215"/>
      <c r="SDC522" s="215"/>
      <c r="SDD522" s="215"/>
      <c r="SDE522" s="215"/>
      <c r="SDG522" s="215"/>
      <c r="SDW522" s="215"/>
      <c r="SDY522" s="215"/>
      <c r="SEB522" s="215"/>
      <c r="SED522" s="215"/>
      <c r="SEF522" s="215"/>
      <c r="SEH522" s="215"/>
      <c r="SEJ522" s="215"/>
      <c r="SEQ522" s="212"/>
      <c r="SER522" s="213"/>
      <c r="SEV522" s="214"/>
      <c r="SEZ522" s="215"/>
      <c r="SFB522" s="215"/>
      <c r="SFH522" s="215"/>
      <c r="SFI522" s="215"/>
      <c r="SFJ522" s="215"/>
      <c r="SFL522" s="215"/>
      <c r="SGB522" s="215"/>
      <c r="SGD522" s="215"/>
      <c r="SGG522" s="215"/>
      <c r="SGI522" s="215"/>
      <c r="SGK522" s="215"/>
      <c r="SGM522" s="215"/>
      <c r="SGO522" s="215"/>
      <c r="SGV522" s="212"/>
      <c r="SGW522" s="213"/>
      <c r="SHA522" s="214"/>
      <c r="SHE522" s="215"/>
      <c r="SHG522" s="215"/>
      <c r="SHM522" s="215"/>
      <c r="SHN522" s="215"/>
      <c r="SHO522" s="215"/>
      <c r="SHQ522" s="215"/>
      <c r="SIG522" s="215"/>
      <c r="SII522" s="215"/>
      <c r="SIL522" s="215"/>
      <c r="SIN522" s="215"/>
      <c r="SIP522" s="215"/>
      <c r="SIR522" s="215"/>
      <c r="SIT522" s="215"/>
      <c r="SJA522" s="212"/>
      <c r="SJB522" s="213"/>
      <c r="SJF522" s="214"/>
      <c r="SJJ522" s="215"/>
      <c r="SJL522" s="215"/>
      <c r="SJR522" s="215"/>
      <c r="SJS522" s="215"/>
      <c r="SJT522" s="215"/>
      <c r="SJV522" s="215"/>
      <c r="SKL522" s="215"/>
      <c r="SKN522" s="215"/>
      <c r="SKQ522" s="215"/>
      <c r="SKS522" s="215"/>
      <c r="SKU522" s="215"/>
      <c r="SKW522" s="215"/>
      <c r="SKY522" s="215"/>
      <c r="SLF522" s="212"/>
      <c r="SLG522" s="213"/>
      <c r="SLK522" s="214"/>
      <c r="SLO522" s="215"/>
      <c r="SLQ522" s="215"/>
      <c r="SLW522" s="215"/>
      <c r="SLX522" s="215"/>
      <c r="SLY522" s="215"/>
      <c r="SMA522" s="215"/>
      <c r="SMQ522" s="215"/>
      <c r="SMS522" s="215"/>
      <c r="SMV522" s="215"/>
      <c r="SMX522" s="215"/>
      <c r="SMZ522" s="215"/>
      <c r="SNB522" s="215"/>
      <c r="SND522" s="215"/>
      <c r="SNK522" s="212"/>
      <c r="SNL522" s="213"/>
      <c r="SNP522" s="214"/>
      <c r="SNT522" s="215"/>
      <c r="SNV522" s="215"/>
      <c r="SOB522" s="215"/>
      <c r="SOC522" s="215"/>
      <c r="SOD522" s="215"/>
      <c r="SOF522" s="215"/>
      <c r="SOV522" s="215"/>
      <c r="SOX522" s="215"/>
      <c r="SPA522" s="215"/>
      <c r="SPC522" s="215"/>
      <c r="SPE522" s="215"/>
      <c r="SPG522" s="215"/>
      <c r="SPI522" s="215"/>
      <c r="SPP522" s="212"/>
      <c r="SPQ522" s="213"/>
      <c r="SPU522" s="214"/>
      <c r="SPY522" s="215"/>
      <c r="SQA522" s="215"/>
      <c r="SQG522" s="215"/>
      <c r="SQH522" s="215"/>
      <c r="SQI522" s="215"/>
      <c r="SQK522" s="215"/>
      <c r="SRA522" s="215"/>
      <c r="SRC522" s="215"/>
      <c r="SRF522" s="215"/>
      <c r="SRH522" s="215"/>
      <c r="SRJ522" s="215"/>
      <c r="SRL522" s="215"/>
      <c r="SRN522" s="215"/>
      <c r="SRU522" s="212"/>
      <c r="SRV522" s="213"/>
      <c r="SRZ522" s="214"/>
      <c r="SSD522" s="215"/>
      <c r="SSF522" s="215"/>
      <c r="SSL522" s="215"/>
      <c r="SSM522" s="215"/>
      <c r="SSN522" s="215"/>
      <c r="SSP522" s="215"/>
      <c r="STF522" s="215"/>
      <c r="STH522" s="215"/>
      <c r="STK522" s="215"/>
      <c r="STM522" s="215"/>
      <c r="STO522" s="215"/>
      <c r="STQ522" s="215"/>
      <c r="STS522" s="215"/>
      <c r="STZ522" s="212"/>
      <c r="SUA522" s="213"/>
      <c r="SUE522" s="214"/>
      <c r="SUI522" s="215"/>
      <c r="SUK522" s="215"/>
      <c r="SUQ522" s="215"/>
      <c r="SUR522" s="215"/>
      <c r="SUS522" s="215"/>
      <c r="SUU522" s="215"/>
      <c r="SVK522" s="215"/>
      <c r="SVM522" s="215"/>
      <c r="SVP522" s="215"/>
      <c r="SVR522" s="215"/>
      <c r="SVT522" s="215"/>
      <c r="SVV522" s="215"/>
      <c r="SVX522" s="215"/>
      <c r="SWE522" s="212"/>
      <c r="SWF522" s="213"/>
      <c r="SWJ522" s="214"/>
      <c r="SWN522" s="215"/>
      <c r="SWP522" s="215"/>
      <c r="SWV522" s="215"/>
      <c r="SWW522" s="215"/>
      <c r="SWX522" s="215"/>
      <c r="SWZ522" s="215"/>
      <c r="SXP522" s="215"/>
      <c r="SXR522" s="215"/>
      <c r="SXU522" s="215"/>
      <c r="SXW522" s="215"/>
      <c r="SXY522" s="215"/>
      <c r="SYA522" s="215"/>
      <c r="SYC522" s="215"/>
      <c r="SYJ522" s="212"/>
      <c r="SYK522" s="213"/>
      <c r="SYO522" s="214"/>
      <c r="SYS522" s="215"/>
      <c r="SYU522" s="215"/>
      <c r="SZA522" s="215"/>
      <c r="SZB522" s="215"/>
      <c r="SZC522" s="215"/>
      <c r="SZE522" s="215"/>
      <c r="SZU522" s="215"/>
      <c r="SZW522" s="215"/>
      <c r="SZZ522" s="215"/>
      <c r="TAB522" s="215"/>
      <c r="TAD522" s="215"/>
      <c r="TAF522" s="215"/>
      <c r="TAH522" s="215"/>
      <c r="TAO522" s="212"/>
      <c r="TAP522" s="213"/>
      <c r="TAT522" s="214"/>
      <c r="TAX522" s="215"/>
      <c r="TAZ522" s="215"/>
      <c r="TBF522" s="215"/>
      <c r="TBG522" s="215"/>
      <c r="TBH522" s="215"/>
      <c r="TBJ522" s="215"/>
      <c r="TBZ522" s="215"/>
      <c r="TCB522" s="215"/>
      <c r="TCE522" s="215"/>
      <c r="TCG522" s="215"/>
      <c r="TCI522" s="215"/>
      <c r="TCK522" s="215"/>
      <c r="TCM522" s="215"/>
      <c r="TCT522" s="212"/>
      <c r="TCU522" s="213"/>
      <c r="TCY522" s="214"/>
      <c r="TDC522" s="215"/>
      <c r="TDE522" s="215"/>
      <c r="TDK522" s="215"/>
      <c r="TDL522" s="215"/>
      <c r="TDM522" s="215"/>
      <c r="TDO522" s="215"/>
      <c r="TEE522" s="215"/>
      <c r="TEG522" s="215"/>
      <c r="TEJ522" s="215"/>
      <c r="TEL522" s="215"/>
      <c r="TEN522" s="215"/>
      <c r="TEP522" s="215"/>
      <c r="TER522" s="215"/>
      <c r="TEY522" s="212"/>
      <c r="TEZ522" s="213"/>
      <c r="TFD522" s="214"/>
      <c r="TFH522" s="215"/>
      <c r="TFJ522" s="215"/>
      <c r="TFP522" s="215"/>
      <c r="TFQ522" s="215"/>
      <c r="TFR522" s="215"/>
      <c r="TFT522" s="215"/>
      <c r="TGJ522" s="215"/>
      <c r="TGL522" s="215"/>
      <c r="TGO522" s="215"/>
      <c r="TGQ522" s="215"/>
      <c r="TGS522" s="215"/>
      <c r="TGU522" s="215"/>
      <c r="TGW522" s="215"/>
      <c r="THD522" s="212"/>
      <c r="THE522" s="213"/>
      <c r="THI522" s="214"/>
      <c r="THM522" s="215"/>
      <c r="THO522" s="215"/>
      <c r="THU522" s="215"/>
      <c r="THV522" s="215"/>
      <c r="THW522" s="215"/>
      <c r="THY522" s="215"/>
      <c r="TIO522" s="215"/>
      <c r="TIQ522" s="215"/>
      <c r="TIT522" s="215"/>
      <c r="TIV522" s="215"/>
      <c r="TIX522" s="215"/>
      <c r="TIZ522" s="215"/>
      <c r="TJB522" s="215"/>
      <c r="TJI522" s="212"/>
      <c r="TJJ522" s="213"/>
      <c r="TJN522" s="214"/>
      <c r="TJR522" s="215"/>
      <c r="TJT522" s="215"/>
      <c r="TJZ522" s="215"/>
      <c r="TKA522" s="215"/>
      <c r="TKB522" s="215"/>
      <c r="TKD522" s="215"/>
      <c r="TKT522" s="215"/>
      <c r="TKV522" s="215"/>
      <c r="TKY522" s="215"/>
      <c r="TLA522" s="215"/>
      <c r="TLC522" s="215"/>
      <c r="TLE522" s="215"/>
      <c r="TLG522" s="215"/>
      <c r="TLN522" s="212"/>
      <c r="TLO522" s="213"/>
      <c r="TLS522" s="214"/>
      <c r="TLW522" s="215"/>
      <c r="TLY522" s="215"/>
      <c r="TME522" s="215"/>
      <c r="TMF522" s="215"/>
      <c r="TMG522" s="215"/>
      <c r="TMI522" s="215"/>
      <c r="TMY522" s="215"/>
      <c r="TNA522" s="215"/>
      <c r="TND522" s="215"/>
      <c r="TNF522" s="215"/>
      <c r="TNH522" s="215"/>
      <c r="TNJ522" s="215"/>
      <c r="TNL522" s="215"/>
      <c r="TNS522" s="212"/>
      <c r="TNT522" s="213"/>
      <c r="TNX522" s="214"/>
      <c r="TOB522" s="215"/>
      <c r="TOD522" s="215"/>
      <c r="TOJ522" s="215"/>
      <c r="TOK522" s="215"/>
      <c r="TOL522" s="215"/>
      <c r="TON522" s="215"/>
      <c r="TPD522" s="215"/>
      <c r="TPF522" s="215"/>
      <c r="TPI522" s="215"/>
      <c r="TPK522" s="215"/>
      <c r="TPM522" s="215"/>
      <c r="TPO522" s="215"/>
      <c r="TPQ522" s="215"/>
      <c r="TPX522" s="212"/>
      <c r="TPY522" s="213"/>
      <c r="TQC522" s="214"/>
      <c r="TQG522" s="215"/>
      <c r="TQI522" s="215"/>
      <c r="TQO522" s="215"/>
      <c r="TQP522" s="215"/>
      <c r="TQQ522" s="215"/>
      <c r="TQS522" s="215"/>
      <c r="TRI522" s="215"/>
      <c r="TRK522" s="215"/>
      <c r="TRN522" s="215"/>
      <c r="TRP522" s="215"/>
      <c r="TRR522" s="215"/>
      <c r="TRT522" s="215"/>
      <c r="TRV522" s="215"/>
      <c r="TSC522" s="212"/>
      <c r="TSD522" s="213"/>
      <c r="TSH522" s="214"/>
      <c r="TSL522" s="215"/>
      <c r="TSN522" s="215"/>
      <c r="TST522" s="215"/>
      <c r="TSU522" s="215"/>
      <c r="TSV522" s="215"/>
      <c r="TSX522" s="215"/>
      <c r="TTN522" s="215"/>
      <c r="TTP522" s="215"/>
      <c r="TTS522" s="215"/>
      <c r="TTU522" s="215"/>
      <c r="TTW522" s="215"/>
      <c r="TTY522" s="215"/>
      <c r="TUA522" s="215"/>
      <c r="TUH522" s="212"/>
      <c r="TUI522" s="213"/>
      <c r="TUM522" s="214"/>
      <c r="TUQ522" s="215"/>
      <c r="TUS522" s="215"/>
      <c r="TUY522" s="215"/>
      <c r="TUZ522" s="215"/>
      <c r="TVA522" s="215"/>
      <c r="TVC522" s="215"/>
      <c r="TVS522" s="215"/>
      <c r="TVU522" s="215"/>
      <c r="TVX522" s="215"/>
      <c r="TVZ522" s="215"/>
      <c r="TWB522" s="215"/>
      <c r="TWD522" s="215"/>
      <c r="TWF522" s="215"/>
      <c r="TWM522" s="212"/>
      <c r="TWN522" s="213"/>
      <c r="TWR522" s="214"/>
      <c r="TWV522" s="215"/>
      <c r="TWX522" s="215"/>
      <c r="TXD522" s="215"/>
      <c r="TXE522" s="215"/>
      <c r="TXF522" s="215"/>
      <c r="TXH522" s="215"/>
      <c r="TXX522" s="215"/>
      <c r="TXZ522" s="215"/>
      <c r="TYC522" s="215"/>
      <c r="TYE522" s="215"/>
      <c r="TYG522" s="215"/>
      <c r="TYI522" s="215"/>
      <c r="TYK522" s="215"/>
      <c r="TYR522" s="212"/>
      <c r="TYS522" s="213"/>
      <c r="TYW522" s="214"/>
      <c r="TZA522" s="215"/>
      <c r="TZC522" s="215"/>
      <c r="TZI522" s="215"/>
      <c r="TZJ522" s="215"/>
      <c r="TZK522" s="215"/>
      <c r="TZM522" s="215"/>
      <c r="UAC522" s="215"/>
      <c r="UAE522" s="215"/>
      <c r="UAH522" s="215"/>
      <c r="UAJ522" s="215"/>
      <c r="UAL522" s="215"/>
      <c r="UAN522" s="215"/>
      <c r="UAP522" s="215"/>
      <c r="UAW522" s="212"/>
      <c r="UAX522" s="213"/>
      <c r="UBB522" s="214"/>
      <c r="UBF522" s="215"/>
      <c r="UBH522" s="215"/>
      <c r="UBN522" s="215"/>
      <c r="UBO522" s="215"/>
      <c r="UBP522" s="215"/>
      <c r="UBR522" s="215"/>
      <c r="UCH522" s="215"/>
      <c r="UCJ522" s="215"/>
      <c r="UCM522" s="215"/>
      <c r="UCO522" s="215"/>
      <c r="UCQ522" s="215"/>
      <c r="UCS522" s="215"/>
      <c r="UCU522" s="215"/>
      <c r="UDB522" s="212"/>
      <c r="UDC522" s="213"/>
      <c r="UDG522" s="214"/>
      <c r="UDK522" s="215"/>
      <c r="UDM522" s="215"/>
      <c r="UDS522" s="215"/>
      <c r="UDT522" s="215"/>
      <c r="UDU522" s="215"/>
      <c r="UDW522" s="215"/>
      <c r="UEM522" s="215"/>
      <c r="UEO522" s="215"/>
      <c r="UER522" s="215"/>
      <c r="UET522" s="215"/>
      <c r="UEV522" s="215"/>
      <c r="UEX522" s="215"/>
      <c r="UEZ522" s="215"/>
      <c r="UFG522" s="212"/>
      <c r="UFH522" s="213"/>
      <c r="UFL522" s="214"/>
      <c r="UFP522" s="215"/>
      <c r="UFR522" s="215"/>
      <c r="UFX522" s="215"/>
      <c r="UFY522" s="215"/>
      <c r="UFZ522" s="215"/>
      <c r="UGB522" s="215"/>
      <c r="UGR522" s="215"/>
      <c r="UGT522" s="215"/>
      <c r="UGW522" s="215"/>
      <c r="UGY522" s="215"/>
      <c r="UHA522" s="215"/>
      <c r="UHC522" s="215"/>
      <c r="UHE522" s="215"/>
      <c r="UHL522" s="212"/>
      <c r="UHM522" s="213"/>
      <c r="UHQ522" s="214"/>
      <c r="UHU522" s="215"/>
      <c r="UHW522" s="215"/>
      <c r="UIC522" s="215"/>
      <c r="UID522" s="215"/>
      <c r="UIE522" s="215"/>
      <c r="UIG522" s="215"/>
      <c r="UIW522" s="215"/>
      <c r="UIY522" s="215"/>
      <c r="UJB522" s="215"/>
      <c r="UJD522" s="215"/>
      <c r="UJF522" s="215"/>
      <c r="UJH522" s="215"/>
      <c r="UJJ522" s="215"/>
      <c r="UJQ522" s="212"/>
      <c r="UJR522" s="213"/>
      <c r="UJV522" s="214"/>
      <c r="UJZ522" s="215"/>
      <c r="UKB522" s="215"/>
      <c r="UKH522" s="215"/>
      <c r="UKI522" s="215"/>
      <c r="UKJ522" s="215"/>
      <c r="UKL522" s="215"/>
      <c r="ULB522" s="215"/>
      <c r="ULD522" s="215"/>
      <c r="ULG522" s="215"/>
      <c r="ULI522" s="215"/>
      <c r="ULK522" s="215"/>
      <c r="ULM522" s="215"/>
      <c r="ULO522" s="215"/>
      <c r="ULV522" s="212"/>
      <c r="ULW522" s="213"/>
      <c r="UMA522" s="214"/>
      <c r="UME522" s="215"/>
      <c r="UMG522" s="215"/>
      <c r="UMM522" s="215"/>
      <c r="UMN522" s="215"/>
      <c r="UMO522" s="215"/>
      <c r="UMQ522" s="215"/>
      <c r="UNG522" s="215"/>
      <c r="UNI522" s="215"/>
      <c r="UNL522" s="215"/>
      <c r="UNN522" s="215"/>
      <c r="UNP522" s="215"/>
      <c r="UNR522" s="215"/>
      <c r="UNT522" s="215"/>
      <c r="UOA522" s="212"/>
      <c r="UOB522" s="213"/>
      <c r="UOF522" s="214"/>
      <c r="UOJ522" s="215"/>
      <c r="UOL522" s="215"/>
      <c r="UOR522" s="215"/>
      <c r="UOS522" s="215"/>
      <c r="UOT522" s="215"/>
      <c r="UOV522" s="215"/>
      <c r="UPL522" s="215"/>
      <c r="UPN522" s="215"/>
      <c r="UPQ522" s="215"/>
      <c r="UPS522" s="215"/>
      <c r="UPU522" s="215"/>
      <c r="UPW522" s="215"/>
      <c r="UPY522" s="215"/>
      <c r="UQF522" s="212"/>
      <c r="UQG522" s="213"/>
      <c r="UQK522" s="214"/>
      <c r="UQO522" s="215"/>
      <c r="UQQ522" s="215"/>
      <c r="UQW522" s="215"/>
      <c r="UQX522" s="215"/>
      <c r="UQY522" s="215"/>
      <c r="URA522" s="215"/>
      <c r="URQ522" s="215"/>
      <c r="URS522" s="215"/>
      <c r="URV522" s="215"/>
      <c r="URX522" s="215"/>
      <c r="URZ522" s="215"/>
      <c r="USB522" s="215"/>
      <c r="USD522" s="215"/>
      <c r="USK522" s="212"/>
      <c r="USL522" s="213"/>
      <c r="USP522" s="214"/>
      <c r="UST522" s="215"/>
      <c r="USV522" s="215"/>
      <c r="UTB522" s="215"/>
      <c r="UTC522" s="215"/>
      <c r="UTD522" s="215"/>
      <c r="UTF522" s="215"/>
      <c r="UTV522" s="215"/>
      <c r="UTX522" s="215"/>
      <c r="UUA522" s="215"/>
      <c r="UUC522" s="215"/>
      <c r="UUE522" s="215"/>
      <c r="UUG522" s="215"/>
      <c r="UUI522" s="215"/>
      <c r="UUP522" s="212"/>
      <c r="UUQ522" s="213"/>
      <c r="UUU522" s="214"/>
      <c r="UUY522" s="215"/>
      <c r="UVA522" s="215"/>
      <c r="UVG522" s="215"/>
      <c r="UVH522" s="215"/>
      <c r="UVI522" s="215"/>
      <c r="UVK522" s="215"/>
      <c r="UWA522" s="215"/>
      <c r="UWC522" s="215"/>
      <c r="UWF522" s="215"/>
      <c r="UWH522" s="215"/>
      <c r="UWJ522" s="215"/>
      <c r="UWL522" s="215"/>
      <c r="UWN522" s="215"/>
      <c r="UWU522" s="212"/>
      <c r="UWV522" s="213"/>
      <c r="UWZ522" s="214"/>
      <c r="UXD522" s="215"/>
      <c r="UXF522" s="215"/>
      <c r="UXL522" s="215"/>
      <c r="UXM522" s="215"/>
      <c r="UXN522" s="215"/>
      <c r="UXP522" s="215"/>
      <c r="UYF522" s="215"/>
      <c r="UYH522" s="215"/>
      <c r="UYK522" s="215"/>
      <c r="UYM522" s="215"/>
      <c r="UYO522" s="215"/>
      <c r="UYQ522" s="215"/>
      <c r="UYS522" s="215"/>
      <c r="UYZ522" s="212"/>
      <c r="UZA522" s="213"/>
      <c r="UZE522" s="214"/>
      <c r="UZI522" s="215"/>
      <c r="UZK522" s="215"/>
      <c r="UZQ522" s="215"/>
      <c r="UZR522" s="215"/>
      <c r="UZS522" s="215"/>
      <c r="UZU522" s="215"/>
      <c r="VAK522" s="215"/>
      <c r="VAM522" s="215"/>
      <c r="VAP522" s="215"/>
      <c r="VAR522" s="215"/>
      <c r="VAT522" s="215"/>
      <c r="VAV522" s="215"/>
      <c r="VAX522" s="215"/>
      <c r="VBE522" s="212"/>
      <c r="VBF522" s="213"/>
      <c r="VBJ522" s="214"/>
      <c r="VBN522" s="215"/>
      <c r="VBP522" s="215"/>
      <c r="VBV522" s="215"/>
      <c r="VBW522" s="215"/>
      <c r="VBX522" s="215"/>
      <c r="VBZ522" s="215"/>
      <c r="VCP522" s="215"/>
      <c r="VCR522" s="215"/>
      <c r="VCU522" s="215"/>
      <c r="VCW522" s="215"/>
      <c r="VCY522" s="215"/>
      <c r="VDA522" s="215"/>
      <c r="VDC522" s="215"/>
      <c r="VDJ522" s="212"/>
      <c r="VDK522" s="213"/>
      <c r="VDO522" s="214"/>
      <c r="VDS522" s="215"/>
      <c r="VDU522" s="215"/>
      <c r="VEA522" s="215"/>
      <c r="VEB522" s="215"/>
      <c r="VEC522" s="215"/>
      <c r="VEE522" s="215"/>
      <c r="VEU522" s="215"/>
      <c r="VEW522" s="215"/>
      <c r="VEZ522" s="215"/>
      <c r="VFB522" s="215"/>
      <c r="VFD522" s="215"/>
      <c r="VFF522" s="215"/>
      <c r="VFH522" s="215"/>
      <c r="VFO522" s="212"/>
      <c r="VFP522" s="213"/>
      <c r="VFT522" s="214"/>
      <c r="VFX522" s="215"/>
      <c r="VFZ522" s="215"/>
      <c r="VGF522" s="215"/>
      <c r="VGG522" s="215"/>
      <c r="VGH522" s="215"/>
      <c r="VGJ522" s="215"/>
      <c r="VGZ522" s="215"/>
      <c r="VHB522" s="215"/>
      <c r="VHE522" s="215"/>
      <c r="VHG522" s="215"/>
      <c r="VHI522" s="215"/>
      <c r="VHK522" s="215"/>
      <c r="VHM522" s="215"/>
      <c r="VHT522" s="212"/>
      <c r="VHU522" s="213"/>
      <c r="VHY522" s="214"/>
      <c r="VIC522" s="215"/>
      <c r="VIE522" s="215"/>
      <c r="VIK522" s="215"/>
      <c r="VIL522" s="215"/>
      <c r="VIM522" s="215"/>
      <c r="VIO522" s="215"/>
      <c r="VJE522" s="215"/>
      <c r="VJG522" s="215"/>
      <c r="VJJ522" s="215"/>
      <c r="VJL522" s="215"/>
      <c r="VJN522" s="215"/>
      <c r="VJP522" s="215"/>
      <c r="VJR522" s="215"/>
      <c r="VJY522" s="212"/>
      <c r="VJZ522" s="213"/>
      <c r="VKD522" s="214"/>
      <c r="VKH522" s="215"/>
      <c r="VKJ522" s="215"/>
      <c r="VKP522" s="215"/>
      <c r="VKQ522" s="215"/>
      <c r="VKR522" s="215"/>
      <c r="VKT522" s="215"/>
      <c r="VLJ522" s="215"/>
      <c r="VLL522" s="215"/>
      <c r="VLO522" s="215"/>
      <c r="VLQ522" s="215"/>
      <c r="VLS522" s="215"/>
      <c r="VLU522" s="215"/>
      <c r="VLW522" s="215"/>
      <c r="VMD522" s="212"/>
      <c r="VME522" s="213"/>
      <c r="VMI522" s="214"/>
      <c r="VMM522" s="215"/>
      <c r="VMO522" s="215"/>
      <c r="VMU522" s="215"/>
      <c r="VMV522" s="215"/>
      <c r="VMW522" s="215"/>
      <c r="VMY522" s="215"/>
      <c r="VNO522" s="215"/>
      <c r="VNQ522" s="215"/>
      <c r="VNT522" s="215"/>
      <c r="VNV522" s="215"/>
      <c r="VNX522" s="215"/>
      <c r="VNZ522" s="215"/>
      <c r="VOB522" s="215"/>
      <c r="VOI522" s="212"/>
      <c r="VOJ522" s="213"/>
      <c r="VON522" s="214"/>
      <c r="VOR522" s="215"/>
      <c r="VOT522" s="215"/>
      <c r="VOZ522" s="215"/>
      <c r="VPA522" s="215"/>
      <c r="VPB522" s="215"/>
      <c r="VPD522" s="215"/>
      <c r="VPT522" s="215"/>
      <c r="VPV522" s="215"/>
      <c r="VPY522" s="215"/>
      <c r="VQA522" s="215"/>
      <c r="VQC522" s="215"/>
      <c r="VQE522" s="215"/>
      <c r="VQG522" s="215"/>
      <c r="VQN522" s="212"/>
      <c r="VQO522" s="213"/>
      <c r="VQS522" s="214"/>
      <c r="VQW522" s="215"/>
      <c r="VQY522" s="215"/>
      <c r="VRE522" s="215"/>
      <c r="VRF522" s="215"/>
      <c r="VRG522" s="215"/>
      <c r="VRI522" s="215"/>
      <c r="VRY522" s="215"/>
      <c r="VSA522" s="215"/>
      <c r="VSD522" s="215"/>
      <c r="VSF522" s="215"/>
      <c r="VSH522" s="215"/>
      <c r="VSJ522" s="215"/>
      <c r="VSL522" s="215"/>
      <c r="VSS522" s="212"/>
      <c r="VST522" s="213"/>
      <c r="VSX522" s="214"/>
      <c r="VTB522" s="215"/>
      <c r="VTD522" s="215"/>
      <c r="VTJ522" s="215"/>
      <c r="VTK522" s="215"/>
      <c r="VTL522" s="215"/>
      <c r="VTN522" s="215"/>
      <c r="VUD522" s="215"/>
      <c r="VUF522" s="215"/>
      <c r="VUI522" s="215"/>
      <c r="VUK522" s="215"/>
      <c r="VUM522" s="215"/>
      <c r="VUO522" s="215"/>
      <c r="VUQ522" s="215"/>
      <c r="VUX522" s="212"/>
      <c r="VUY522" s="213"/>
      <c r="VVC522" s="214"/>
      <c r="VVG522" s="215"/>
      <c r="VVI522" s="215"/>
      <c r="VVO522" s="215"/>
      <c r="VVP522" s="215"/>
      <c r="VVQ522" s="215"/>
      <c r="VVS522" s="215"/>
      <c r="VWI522" s="215"/>
      <c r="VWK522" s="215"/>
      <c r="VWN522" s="215"/>
      <c r="VWP522" s="215"/>
      <c r="VWR522" s="215"/>
      <c r="VWT522" s="215"/>
      <c r="VWV522" s="215"/>
      <c r="VXC522" s="212"/>
      <c r="VXD522" s="213"/>
      <c r="VXH522" s="214"/>
      <c r="VXL522" s="215"/>
      <c r="VXN522" s="215"/>
      <c r="VXT522" s="215"/>
      <c r="VXU522" s="215"/>
      <c r="VXV522" s="215"/>
      <c r="VXX522" s="215"/>
      <c r="VYN522" s="215"/>
      <c r="VYP522" s="215"/>
      <c r="VYS522" s="215"/>
      <c r="VYU522" s="215"/>
      <c r="VYW522" s="215"/>
      <c r="VYY522" s="215"/>
      <c r="VZA522" s="215"/>
      <c r="VZH522" s="212"/>
      <c r="VZI522" s="213"/>
      <c r="VZM522" s="214"/>
      <c r="VZQ522" s="215"/>
      <c r="VZS522" s="215"/>
      <c r="VZY522" s="215"/>
      <c r="VZZ522" s="215"/>
      <c r="WAA522" s="215"/>
      <c r="WAC522" s="215"/>
      <c r="WAS522" s="215"/>
      <c r="WAU522" s="215"/>
      <c r="WAX522" s="215"/>
      <c r="WAZ522" s="215"/>
      <c r="WBB522" s="215"/>
      <c r="WBD522" s="215"/>
      <c r="WBF522" s="215"/>
      <c r="WBM522" s="212"/>
      <c r="WBN522" s="213"/>
      <c r="WBR522" s="214"/>
      <c r="WBV522" s="215"/>
      <c r="WBX522" s="215"/>
      <c r="WCD522" s="215"/>
      <c r="WCE522" s="215"/>
      <c r="WCF522" s="215"/>
      <c r="WCH522" s="215"/>
      <c r="WCX522" s="215"/>
      <c r="WCZ522" s="215"/>
      <c r="WDC522" s="215"/>
      <c r="WDE522" s="215"/>
      <c r="WDG522" s="215"/>
      <c r="WDI522" s="215"/>
      <c r="WDK522" s="215"/>
      <c r="WDR522" s="212"/>
      <c r="WDS522" s="213"/>
      <c r="WDW522" s="214"/>
      <c r="WEA522" s="215"/>
      <c r="WEC522" s="215"/>
      <c r="WEI522" s="215"/>
      <c r="WEJ522" s="215"/>
      <c r="WEK522" s="215"/>
      <c r="WEM522" s="215"/>
      <c r="WFC522" s="215"/>
      <c r="WFE522" s="215"/>
      <c r="WFH522" s="215"/>
      <c r="WFJ522" s="215"/>
      <c r="WFL522" s="215"/>
      <c r="WFN522" s="215"/>
      <c r="WFP522" s="215"/>
      <c r="WFW522" s="212"/>
      <c r="WFX522" s="213"/>
      <c r="WGB522" s="214"/>
      <c r="WGF522" s="215"/>
      <c r="WGH522" s="215"/>
      <c r="WGN522" s="215"/>
      <c r="WGO522" s="215"/>
      <c r="WGP522" s="215"/>
      <c r="WGR522" s="215"/>
      <c r="WHH522" s="215"/>
      <c r="WHJ522" s="215"/>
      <c r="WHM522" s="215"/>
      <c r="WHO522" s="215"/>
      <c r="WHQ522" s="215"/>
      <c r="WHS522" s="215"/>
      <c r="WHU522" s="215"/>
      <c r="WIB522" s="212"/>
      <c r="WIC522" s="213"/>
      <c r="WIG522" s="214"/>
      <c r="WIK522" s="215"/>
      <c r="WIM522" s="215"/>
      <c r="WIS522" s="215"/>
      <c r="WIT522" s="215"/>
      <c r="WIU522" s="215"/>
      <c r="WIW522" s="215"/>
      <c r="WJM522" s="215"/>
      <c r="WJO522" s="215"/>
      <c r="WJR522" s="215"/>
      <c r="WJT522" s="215"/>
      <c r="WJV522" s="215"/>
      <c r="WJX522" s="215"/>
      <c r="WJZ522" s="215"/>
      <c r="WKG522" s="212"/>
      <c r="WKH522" s="213"/>
      <c r="WKL522" s="214"/>
      <c r="WKP522" s="215"/>
      <c r="WKR522" s="215"/>
      <c r="WKX522" s="215"/>
      <c r="WKY522" s="215"/>
      <c r="WKZ522" s="215"/>
      <c r="WLB522" s="215"/>
      <c r="WLR522" s="215"/>
      <c r="WLT522" s="215"/>
      <c r="WLW522" s="215"/>
      <c r="WLY522" s="215"/>
      <c r="WMA522" s="215"/>
      <c r="WMC522" s="215"/>
      <c r="WME522" s="215"/>
      <c r="WML522" s="212"/>
      <c r="WMM522" s="213"/>
      <c r="WMQ522" s="214"/>
      <c r="WMU522" s="215"/>
      <c r="WMW522" s="215"/>
      <c r="WNC522" s="215"/>
      <c r="WND522" s="215"/>
      <c r="WNE522" s="215"/>
      <c r="WNG522" s="215"/>
      <c r="WNW522" s="215"/>
      <c r="WNY522" s="215"/>
      <c r="WOB522" s="215"/>
      <c r="WOD522" s="215"/>
      <c r="WOF522" s="215"/>
      <c r="WOH522" s="215"/>
      <c r="WOJ522" s="215"/>
      <c r="WOQ522" s="212"/>
      <c r="WOR522" s="213"/>
      <c r="WOV522" s="214"/>
      <c r="WOZ522" s="215"/>
      <c r="WPB522" s="215"/>
      <c r="WPH522" s="215"/>
      <c r="WPI522" s="215"/>
      <c r="WPJ522" s="215"/>
      <c r="WPL522" s="215"/>
      <c r="WQB522" s="215"/>
      <c r="WQD522" s="215"/>
      <c r="WQG522" s="215"/>
      <c r="WQI522" s="215"/>
      <c r="WQK522" s="215"/>
      <c r="WQM522" s="215"/>
      <c r="WQO522" s="215"/>
      <c r="WQV522" s="212"/>
      <c r="WQW522" s="213"/>
      <c r="WRA522" s="214"/>
      <c r="WRE522" s="215"/>
      <c r="WRG522" s="215"/>
      <c r="WRM522" s="215"/>
      <c r="WRN522" s="215"/>
      <c r="WRO522" s="215"/>
      <c r="WRQ522" s="215"/>
      <c r="WSG522" s="215"/>
      <c r="WSI522" s="215"/>
      <c r="WSL522" s="215"/>
      <c r="WSN522" s="215"/>
      <c r="WSP522" s="215"/>
      <c r="WSR522" s="215"/>
      <c r="WST522" s="215"/>
      <c r="WTA522" s="212"/>
      <c r="WTB522" s="213"/>
      <c r="WTF522" s="214"/>
      <c r="WTJ522" s="215"/>
      <c r="WTL522" s="215"/>
      <c r="WTR522" s="215"/>
      <c r="WTS522" s="215"/>
      <c r="WTT522" s="215"/>
      <c r="WTV522" s="215"/>
      <c r="WUL522" s="215"/>
      <c r="WUN522" s="215"/>
      <c r="WUQ522" s="215"/>
      <c r="WUS522" s="215"/>
      <c r="WUU522" s="215"/>
      <c r="WUW522" s="215"/>
      <c r="WUY522" s="215"/>
      <c r="WVF522" s="212"/>
      <c r="WVG522" s="213"/>
      <c r="WVK522" s="214"/>
      <c r="WVO522" s="215"/>
      <c r="WVQ522" s="215"/>
      <c r="WVW522" s="215"/>
      <c r="WVX522" s="215"/>
      <c r="WVY522" s="215"/>
      <c r="WWA522" s="215"/>
      <c r="WWQ522" s="215"/>
      <c r="WWS522" s="215"/>
      <c r="WWV522" s="215"/>
      <c r="WWX522" s="215"/>
      <c r="WWZ522" s="215"/>
      <c r="WXB522" s="215"/>
      <c r="WXD522" s="215"/>
      <c r="WXK522" s="212"/>
      <c r="WXL522" s="213"/>
      <c r="WXP522" s="214"/>
      <c r="WXT522" s="215"/>
      <c r="WXV522" s="215"/>
      <c r="WYB522" s="215"/>
      <c r="WYC522" s="215"/>
      <c r="WYD522" s="215"/>
      <c r="WYF522" s="215"/>
      <c r="WYV522" s="215"/>
      <c r="WYX522" s="215"/>
      <c r="WZA522" s="215"/>
      <c r="WZC522" s="215"/>
      <c r="WZE522" s="215"/>
      <c r="WZG522" s="215"/>
      <c r="WZI522" s="215"/>
      <c r="WZP522" s="212"/>
      <c r="WZQ522" s="213"/>
      <c r="WZU522" s="214"/>
      <c r="WZY522" s="215"/>
      <c r="XAA522" s="215"/>
      <c r="XAG522" s="215"/>
      <c r="XAH522" s="215"/>
      <c r="XAI522" s="215"/>
      <c r="XAK522" s="215"/>
      <c r="XBA522" s="215"/>
      <c r="XBC522" s="215"/>
      <c r="XBF522" s="215"/>
      <c r="XBH522" s="215"/>
      <c r="XBJ522" s="215"/>
      <c r="XBL522" s="215"/>
      <c r="XBN522" s="215"/>
      <c r="XBU522" s="212"/>
      <c r="XBV522" s="213"/>
      <c r="XBZ522" s="214"/>
      <c r="XCD522" s="215"/>
      <c r="XCF522" s="215"/>
      <c r="XCL522" s="215"/>
      <c r="XCM522" s="215"/>
      <c r="XCN522" s="215"/>
      <c r="XCP522" s="215"/>
      <c r="XDF522" s="215"/>
      <c r="XDH522" s="215"/>
      <c r="XDK522" s="215"/>
      <c r="XDM522" s="215"/>
      <c r="XDO522" s="215"/>
      <c r="XDQ522" s="215"/>
      <c r="XDS522" s="215"/>
      <c r="XDZ522" s="212"/>
      <c r="XEA522" s="213"/>
      <c r="XEE522" s="214"/>
      <c r="XEI522" s="215"/>
      <c r="XEK522" s="215"/>
      <c r="XEQ522" s="215"/>
      <c r="XER522" s="215"/>
      <c r="XES522" s="215"/>
      <c r="XEU522" s="215"/>
    </row>
    <row r="523" spans="1:1022 1026:2048 2052:3066 3073:4092 4099:5118 5125:6144 6151:7168 7170:8192 8194:9216 9218:10240 10242:11263 11266:12287 12289:13297 13313:14323 14339:15349 15365:16375" s="130" customFormat="1" ht="14" x14ac:dyDescent="0.15">
      <c r="A523" s="63">
        <v>3373187</v>
      </c>
      <c r="B523" s="63">
        <v>2287</v>
      </c>
      <c r="C523" s="64" t="s">
        <v>61</v>
      </c>
      <c r="D523" s="167" t="s">
        <v>543</v>
      </c>
      <c r="E523" s="64" t="s">
        <v>56</v>
      </c>
      <c r="F523" s="64" t="s">
        <v>57</v>
      </c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 t="s">
        <v>969</v>
      </c>
      <c r="AZ523" s="235" t="str">
        <f t="shared" si="34"/>
        <v>Jan 00</v>
      </c>
      <c r="BA523" s="236" t="str">
        <f t="shared" si="32"/>
        <v>Jan 00</v>
      </c>
      <c r="BE523" s="214"/>
      <c r="BI523" s="215"/>
      <c r="BK523" s="215"/>
      <c r="BQ523" s="215"/>
      <c r="BR523" s="215"/>
      <c r="BS523" s="215"/>
      <c r="BU523" s="215"/>
      <c r="CK523" s="215"/>
      <c r="CM523" s="215"/>
      <c r="CP523" s="215"/>
      <c r="CR523" s="215"/>
      <c r="CT523" s="215"/>
      <c r="CV523" s="215"/>
      <c r="CX523" s="215"/>
      <c r="DE523" s="212"/>
      <c r="DF523" s="213"/>
      <c r="DJ523" s="214"/>
      <c r="DN523" s="215"/>
      <c r="DP523" s="215"/>
      <c r="DV523" s="215"/>
      <c r="DW523" s="215"/>
      <c r="DX523" s="215"/>
      <c r="DZ523" s="215"/>
      <c r="EP523" s="215"/>
      <c r="ER523" s="215"/>
      <c r="EU523" s="215"/>
      <c r="EW523" s="215"/>
      <c r="EY523" s="215"/>
      <c r="FA523" s="215"/>
      <c r="FC523" s="215"/>
      <c r="FJ523" s="212"/>
      <c r="FK523" s="213"/>
      <c r="FO523" s="214"/>
      <c r="FS523" s="215"/>
      <c r="FU523" s="215"/>
      <c r="GA523" s="215"/>
      <c r="GB523" s="215"/>
      <c r="GC523" s="215"/>
      <c r="GE523" s="215"/>
      <c r="GU523" s="215"/>
      <c r="GW523" s="215"/>
      <c r="GZ523" s="215"/>
      <c r="HB523" s="215"/>
      <c r="HD523" s="215"/>
      <c r="HF523" s="215"/>
      <c r="HH523" s="215"/>
      <c r="HO523" s="212"/>
      <c r="HP523" s="213"/>
      <c r="HT523" s="214"/>
      <c r="HX523" s="215"/>
      <c r="HZ523" s="215"/>
      <c r="IF523" s="215"/>
      <c r="IG523" s="215"/>
      <c r="IH523" s="215"/>
      <c r="IJ523" s="215"/>
      <c r="IZ523" s="215"/>
      <c r="JB523" s="215"/>
      <c r="JE523" s="215"/>
      <c r="JG523" s="215"/>
      <c r="JI523" s="215"/>
      <c r="JK523" s="215"/>
      <c r="JM523" s="215"/>
      <c r="JT523" s="212"/>
      <c r="JU523" s="213"/>
      <c r="JY523" s="214"/>
      <c r="KC523" s="215"/>
      <c r="KE523" s="215"/>
      <c r="KK523" s="215"/>
      <c r="KL523" s="215"/>
      <c r="KM523" s="215"/>
      <c r="KO523" s="215"/>
      <c r="LE523" s="215"/>
      <c r="LG523" s="215"/>
      <c r="LJ523" s="215"/>
      <c r="LL523" s="215"/>
      <c r="LN523" s="215"/>
      <c r="LP523" s="215"/>
      <c r="LR523" s="215"/>
      <c r="LY523" s="212"/>
      <c r="LZ523" s="213"/>
      <c r="MD523" s="214"/>
      <c r="MH523" s="215"/>
      <c r="MJ523" s="215"/>
      <c r="MP523" s="215"/>
      <c r="MQ523" s="215"/>
      <c r="MR523" s="215"/>
      <c r="MT523" s="215"/>
      <c r="NJ523" s="215"/>
      <c r="NL523" s="215"/>
      <c r="NO523" s="215"/>
      <c r="NQ523" s="215"/>
      <c r="NS523" s="215"/>
      <c r="NU523" s="215"/>
      <c r="NW523" s="215"/>
      <c r="OD523" s="212"/>
      <c r="OE523" s="213"/>
      <c r="OI523" s="214"/>
      <c r="OM523" s="215"/>
      <c r="OO523" s="215"/>
      <c r="OU523" s="215"/>
      <c r="OV523" s="215"/>
      <c r="OW523" s="215"/>
      <c r="OY523" s="215"/>
      <c r="PO523" s="215"/>
      <c r="PQ523" s="215"/>
      <c r="PT523" s="215"/>
      <c r="PV523" s="215"/>
      <c r="PX523" s="215"/>
      <c r="PZ523" s="215"/>
      <c r="QB523" s="215"/>
      <c r="QI523" s="212"/>
      <c r="QJ523" s="213"/>
      <c r="QN523" s="214"/>
      <c r="QR523" s="215"/>
      <c r="QT523" s="215"/>
      <c r="QZ523" s="215"/>
      <c r="RA523" s="215"/>
      <c r="RB523" s="215"/>
      <c r="RD523" s="215"/>
      <c r="RT523" s="215"/>
      <c r="RV523" s="215"/>
      <c r="RY523" s="215"/>
      <c r="SA523" s="215"/>
      <c r="SC523" s="215"/>
      <c r="SE523" s="215"/>
      <c r="SG523" s="215"/>
      <c r="SN523" s="212"/>
      <c r="SO523" s="213"/>
      <c r="SS523" s="214"/>
      <c r="SW523" s="215"/>
      <c r="SY523" s="215"/>
      <c r="TE523" s="215"/>
      <c r="TF523" s="215"/>
      <c r="TG523" s="215"/>
      <c r="TI523" s="215"/>
      <c r="TY523" s="215"/>
      <c r="UA523" s="215"/>
      <c r="UD523" s="215"/>
      <c r="UF523" s="215"/>
      <c r="UH523" s="215"/>
      <c r="UJ523" s="215"/>
      <c r="UL523" s="215"/>
      <c r="US523" s="212"/>
      <c r="UT523" s="213"/>
      <c r="UX523" s="214"/>
      <c r="VB523" s="215"/>
      <c r="VD523" s="215"/>
      <c r="VJ523" s="215"/>
      <c r="VK523" s="215"/>
      <c r="VL523" s="215"/>
      <c r="VN523" s="215"/>
      <c r="WD523" s="215"/>
      <c r="WF523" s="215"/>
      <c r="WI523" s="215"/>
      <c r="WK523" s="215"/>
      <c r="WM523" s="215"/>
      <c r="WO523" s="215"/>
      <c r="WQ523" s="215"/>
      <c r="WX523" s="212"/>
      <c r="WY523" s="213"/>
      <c r="XC523" s="214"/>
      <c r="XG523" s="215"/>
      <c r="XI523" s="215"/>
      <c r="XO523" s="215"/>
      <c r="XP523" s="215"/>
      <c r="XQ523" s="215"/>
      <c r="XS523" s="215"/>
      <c r="YI523" s="215"/>
      <c r="YK523" s="215"/>
      <c r="YN523" s="215"/>
      <c r="YP523" s="215"/>
      <c r="YR523" s="215"/>
      <c r="YT523" s="215"/>
      <c r="YV523" s="215"/>
      <c r="ZC523" s="212"/>
      <c r="ZD523" s="213"/>
      <c r="ZH523" s="214"/>
      <c r="ZL523" s="215"/>
      <c r="ZN523" s="215"/>
      <c r="ZT523" s="215"/>
      <c r="ZU523" s="215"/>
      <c r="ZV523" s="215"/>
      <c r="ZX523" s="215"/>
      <c r="AAN523" s="215"/>
      <c r="AAP523" s="215"/>
      <c r="AAS523" s="215"/>
      <c r="AAU523" s="215"/>
      <c r="AAW523" s="215"/>
      <c r="AAY523" s="215"/>
      <c r="ABA523" s="215"/>
      <c r="ABH523" s="212"/>
      <c r="ABI523" s="213"/>
      <c r="ABM523" s="214"/>
      <c r="ABQ523" s="215"/>
      <c r="ABS523" s="215"/>
      <c r="ABY523" s="215"/>
      <c r="ABZ523" s="215"/>
      <c r="ACA523" s="215"/>
      <c r="ACC523" s="215"/>
      <c r="ACS523" s="215"/>
      <c r="ACU523" s="215"/>
      <c r="ACX523" s="215"/>
      <c r="ACZ523" s="215"/>
      <c r="ADB523" s="215"/>
      <c r="ADD523" s="215"/>
      <c r="ADF523" s="215"/>
      <c r="ADM523" s="212"/>
      <c r="ADN523" s="213"/>
      <c r="ADR523" s="214"/>
      <c r="ADV523" s="215"/>
      <c r="ADX523" s="215"/>
      <c r="AED523" s="215"/>
      <c r="AEE523" s="215"/>
      <c r="AEF523" s="215"/>
      <c r="AEH523" s="215"/>
      <c r="AEX523" s="215"/>
      <c r="AEZ523" s="215"/>
      <c r="AFC523" s="215"/>
      <c r="AFE523" s="215"/>
      <c r="AFG523" s="215"/>
      <c r="AFI523" s="215"/>
      <c r="AFK523" s="215"/>
      <c r="AFR523" s="212"/>
      <c r="AFS523" s="213"/>
      <c r="AFW523" s="214"/>
      <c r="AGA523" s="215"/>
      <c r="AGC523" s="215"/>
      <c r="AGI523" s="215"/>
      <c r="AGJ523" s="215"/>
      <c r="AGK523" s="215"/>
      <c r="AGM523" s="215"/>
      <c r="AHC523" s="215"/>
      <c r="AHE523" s="215"/>
      <c r="AHH523" s="215"/>
      <c r="AHJ523" s="215"/>
      <c r="AHL523" s="215"/>
      <c r="AHN523" s="215"/>
      <c r="AHP523" s="215"/>
      <c r="AHW523" s="212"/>
      <c r="AHX523" s="213"/>
      <c r="AIB523" s="214"/>
      <c r="AIF523" s="215"/>
      <c r="AIH523" s="215"/>
      <c r="AIN523" s="215"/>
      <c r="AIO523" s="215"/>
      <c r="AIP523" s="215"/>
      <c r="AIR523" s="215"/>
      <c r="AJH523" s="215"/>
      <c r="AJJ523" s="215"/>
      <c r="AJM523" s="215"/>
      <c r="AJO523" s="215"/>
      <c r="AJQ523" s="215"/>
      <c r="AJS523" s="215"/>
      <c r="AJU523" s="215"/>
      <c r="AKB523" s="212"/>
      <c r="AKC523" s="213"/>
      <c r="AKG523" s="214"/>
      <c r="AKK523" s="215"/>
      <c r="AKM523" s="215"/>
      <c r="AKS523" s="215"/>
      <c r="AKT523" s="215"/>
      <c r="AKU523" s="215"/>
      <c r="AKW523" s="215"/>
      <c r="ALM523" s="215"/>
      <c r="ALO523" s="215"/>
      <c r="ALR523" s="215"/>
      <c r="ALT523" s="215"/>
      <c r="ALV523" s="215"/>
      <c r="ALX523" s="215"/>
      <c r="ALZ523" s="215"/>
      <c r="AMG523" s="212"/>
      <c r="AMH523" s="213"/>
      <c r="AML523" s="214"/>
      <c r="AMP523" s="215"/>
      <c r="AMR523" s="215"/>
      <c r="AMX523" s="215"/>
      <c r="AMY523" s="215"/>
      <c r="AMZ523" s="215"/>
      <c r="ANB523" s="215"/>
      <c r="ANR523" s="215"/>
      <c r="ANT523" s="215"/>
      <c r="ANW523" s="215"/>
      <c r="ANY523" s="215"/>
      <c r="AOA523" s="215"/>
      <c r="AOC523" s="215"/>
      <c r="AOE523" s="215"/>
      <c r="AOL523" s="212"/>
      <c r="AOM523" s="213"/>
      <c r="AOQ523" s="214"/>
      <c r="AOU523" s="215"/>
      <c r="AOW523" s="215"/>
      <c r="APC523" s="215"/>
      <c r="APD523" s="215"/>
      <c r="APE523" s="215"/>
      <c r="APG523" s="215"/>
      <c r="APW523" s="215"/>
      <c r="APY523" s="215"/>
      <c r="AQB523" s="215"/>
      <c r="AQD523" s="215"/>
      <c r="AQF523" s="215"/>
      <c r="AQH523" s="215"/>
      <c r="AQJ523" s="215"/>
      <c r="AQQ523" s="212"/>
      <c r="AQR523" s="213"/>
      <c r="AQV523" s="214"/>
      <c r="AQZ523" s="215"/>
      <c r="ARB523" s="215"/>
      <c r="ARH523" s="215"/>
      <c r="ARI523" s="215"/>
      <c r="ARJ523" s="215"/>
      <c r="ARL523" s="215"/>
      <c r="ASB523" s="215"/>
      <c r="ASD523" s="215"/>
      <c r="ASG523" s="215"/>
      <c r="ASI523" s="215"/>
      <c r="ASK523" s="215"/>
      <c r="ASM523" s="215"/>
      <c r="ASO523" s="215"/>
      <c r="ASV523" s="212"/>
      <c r="ASW523" s="213"/>
      <c r="ATA523" s="214"/>
      <c r="ATE523" s="215"/>
      <c r="ATG523" s="215"/>
      <c r="ATM523" s="215"/>
      <c r="ATN523" s="215"/>
      <c r="ATO523" s="215"/>
      <c r="ATQ523" s="215"/>
      <c r="AUG523" s="215"/>
      <c r="AUI523" s="215"/>
      <c r="AUL523" s="215"/>
      <c r="AUN523" s="215"/>
      <c r="AUP523" s="215"/>
      <c r="AUR523" s="215"/>
      <c r="AUT523" s="215"/>
      <c r="AVA523" s="212"/>
      <c r="AVB523" s="213"/>
      <c r="AVF523" s="214"/>
      <c r="AVJ523" s="215"/>
      <c r="AVL523" s="215"/>
      <c r="AVR523" s="215"/>
      <c r="AVS523" s="215"/>
      <c r="AVT523" s="215"/>
      <c r="AVV523" s="215"/>
      <c r="AWL523" s="215"/>
      <c r="AWN523" s="215"/>
      <c r="AWQ523" s="215"/>
      <c r="AWS523" s="215"/>
      <c r="AWU523" s="215"/>
      <c r="AWW523" s="215"/>
      <c r="AWY523" s="215"/>
      <c r="AXF523" s="212"/>
      <c r="AXG523" s="213"/>
      <c r="AXK523" s="214"/>
      <c r="AXO523" s="215"/>
      <c r="AXQ523" s="215"/>
      <c r="AXW523" s="215"/>
      <c r="AXX523" s="215"/>
      <c r="AXY523" s="215"/>
      <c r="AYA523" s="215"/>
      <c r="AYQ523" s="215"/>
      <c r="AYS523" s="215"/>
      <c r="AYV523" s="215"/>
      <c r="AYX523" s="215"/>
      <c r="AYZ523" s="215"/>
      <c r="AZB523" s="215"/>
      <c r="AZD523" s="215"/>
      <c r="AZK523" s="212"/>
      <c r="AZL523" s="213"/>
      <c r="AZP523" s="214"/>
      <c r="AZT523" s="215"/>
      <c r="AZV523" s="215"/>
      <c r="BAB523" s="215"/>
      <c r="BAC523" s="215"/>
      <c r="BAD523" s="215"/>
      <c r="BAF523" s="215"/>
      <c r="BAV523" s="215"/>
      <c r="BAX523" s="215"/>
      <c r="BBA523" s="215"/>
      <c r="BBC523" s="215"/>
      <c r="BBE523" s="215"/>
      <c r="BBG523" s="215"/>
      <c r="BBI523" s="215"/>
      <c r="BBP523" s="212"/>
      <c r="BBQ523" s="213"/>
      <c r="BBU523" s="214"/>
      <c r="BBY523" s="215"/>
      <c r="BCA523" s="215"/>
      <c r="BCG523" s="215"/>
      <c r="BCH523" s="215"/>
      <c r="BCI523" s="215"/>
      <c r="BCK523" s="215"/>
      <c r="BDA523" s="215"/>
      <c r="BDC523" s="215"/>
      <c r="BDF523" s="215"/>
      <c r="BDH523" s="215"/>
      <c r="BDJ523" s="215"/>
      <c r="BDL523" s="215"/>
      <c r="BDN523" s="215"/>
      <c r="BDU523" s="212"/>
      <c r="BDV523" s="213"/>
      <c r="BDZ523" s="214"/>
      <c r="BED523" s="215"/>
      <c r="BEF523" s="215"/>
      <c r="BEL523" s="215"/>
      <c r="BEM523" s="215"/>
      <c r="BEN523" s="215"/>
      <c r="BEP523" s="215"/>
      <c r="BFF523" s="215"/>
      <c r="BFH523" s="215"/>
      <c r="BFK523" s="215"/>
      <c r="BFM523" s="215"/>
      <c r="BFO523" s="215"/>
      <c r="BFQ523" s="215"/>
      <c r="BFS523" s="215"/>
      <c r="BFZ523" s="212"/>
      <c r="BGA523" s="213"/>
      <c r="BGE523" s="214"/>
      <c r="BGI523" s="215"/>
      <c r="BGK523" s="215"/>
      <c r="BGQ523" s="215"/>
      <c r="BGR523" s="215"/>
      <c r="BGS523" s="215"/>
      <c r="BGU523" s="215"/>
      <c r="BHK523" s="215"/>
      <c r="BHM523" s="215"/>
      <c r="BHP523" s="215"/>
      <c r="BHR523" s="215"/>
      <c r="BHT523" s="215"/>
      <c r="BHV523" s="215"/>
      <c r="BHX523" s="215"/>
      <c r="BIE523" s="212"/>
      <c r="BIF523" s="213"/>
      <c r="BIJ523" s="214"/>
      <c r="BIN523" s="215"/>
      <c r="BIP523" s="215"/>
      <c r="BIV523" s="215"/>
      <c r="BIW523" s="215"/>
      <c r="BIX523" s="215"/>
      <c r="BIZ523" s="215"/>
      <c r="BJP523" s="215"/>
      <c r="BJR523" s="215"/>
      <c r="BJU523" s="215"/>
      <c r="BJW523" s="215"/>
      <c r="BJY523" s="215"/>
      <c r="BKA523" s="215"/>
      <c r="BKC523" s="215"/>
      <c r="BKJ523" s="212"/>
      <c r="BKK523" s="213"/>
      <c r="BKO523" s="214"/>
      <c r="BKS523" s="215"/>
      <c r="BKU523" s="215"/>
      <c r="BLA523" s="215"/>
      <c r="BLB523" s="215"/>
      <c r="BLC523" s="215"/>
      <c r="BLE523" s="215"/>
      <c r="BLU523" s="215"/>
      <c r="BLW523" s="215"/>
      <c r="BLZ523" s="215"/>
      <c r="BMB523" s="215"/>
      <c r="BMD523" s="215"/>
      <c r="BMF523" s="215"/>
      <c r="BMH523" s="215"/>
      <c r="BMO523" s="212"/>
      <c r="BMP523" s="213"/>
      <c r="BMT523" s="214"/>
      <c r="BMX523" s="215"/>
      <c r="BMZ523" s="215"/>
      <c r="BNF523" s="215"/>
      <c r="BNG523" s="215"/>
      <c r="BNH523" s="215"/>
      <c r="BNJ523" s="215"/>
      <c r="BNZ523" s="215"/>
      <c r="BOB523" s="215"/>
      <c r="BOE523" s="215"/>
      <c r="BOG523" s="215"/>
      <c r="BOI523" s="215"/>
      <c r="BOK523" s="215"/>
      <c r="BOM523" s="215"/>
      <c r="BOT523" s="212"/>
      <c r="BOU523" s="213"/>
      <c r="BOY523" s="214"/>
      <c r="BPC523" s="215"/>
      <c r="BPE523" s="215"/>
      <c r="BPK523" s="215"/>
      <c r="BPL523" s="215"/>
      <c r="BPM523" s="215"/>
      <c r="BPO523" s="215"/>
      <c r="BQE523" s="215"/>
      <c r="BQG523" s="215"/>
      <c r="BQJ523" s="215"/>
      <c r="BQL523" s="215"/>
      <c r="BQN523" s="215"/>
      <c r="BQP523" s="215"/>
      <c r="BQR523" s="215"/>
      <c r="BQY523" s="212"/>
      <c r="BQZ523" s="213"/>
      <c r="BRD523" s="214"/>
      <c r="BRH523" s="215"/>
      <c r="BRJ523" s="215"/>
      <c r="BRP523" s="215"/>
      <c r="BRQ523" s="215"/>
      <c r="BRR523" s="215"/>
      <c r="BRT523" s="215"/>
      <c r="BSJ523" s="215"/>
      <c r="BSL523" s="215"/>
      <c r="BSO523" s="215"/>
      <c r="BSQ523" s="215"/>
      <c r="BSS523" s="215"/>
      <c r="BSU523" s="215"/>
      <c r="BSW523" s="215"/>
      <c r="BTD523" s="212"/>
      <c r="BTE523" s="213"/>
      <c r="BTI523" s="214"/>
      <c r="BTM523" s="215"/>
      <c r="BTO523" s="215"/>
      <c r="BTU523" s="215"/>
      <c r="BTV523" s="215"/>
      <c r="BTW523" s="215"/>
      <c r="BTY523" s="215"/>
      <c r="BUO523" s="215"/>
      <c r="BUQ523" s="215"/>
      <c r="BUT523" s="215"/>
      <c r="BUV523" s="215"/>
      <c r="BUX523" s="215"/>
      <c r="BUZ523" s="215"/>
      <c r="BVB523" s="215"/>
      <c r="BVI523" s="212"/>
      <c r="BVJ523" s="213"/>
      <c r="BVN523" s="214"/>
      <c r="BVR523" s="215"/>
      <c r="BVT523" s="215"/>
      <c r="BVZ523" s="215"/>
      <c r="BWA523" s="215"/>
      <c r="BWB523" s="215"/>
      <c r="BWD523" s="215"/>
      <c r="BWT523" s="215"/>
      <c r="BWV523" s="215"/>
      <c r="BWY523" s="215"/>
      <c r="BXA523" s="215"/>
      <c r="BXC523" s="215"/>
      <c r="BXE523" s="215"/>
      <c r="BXG523" s="215"/>
      <c r="BXN523" s="212"/>
      <c r="BXO523" s="213"/>
      <c r="BXS523" s="214"/>
      <c r="BXW523" s="215"/>
      <c r="BXY523" s="215"/>
      <c r="BYE523" s="215"/>
      <c r="BYF523" s="215"/>
      <c r="BYG523" s="215"/>
      <c r="BYI523" s="215"/>
      <c r="BYY523" s="215"/>
      <c r="BZA523" s="215"/>
      <c r="BZD523" s="215"/>
      <c r="BZF523" s="215"/>
      <c r="BZH523" s="215"/>
      <c r="BZJ523" s="215"/>
      <c r="BZL523" s="215"/>
      <c r="BZS523" s="212"/>
      <c r="BZT523" s="213"/>
      <c r="BZX523" s="214"/>
      <c r="CAB523" s="215"/>
      <c r="CAD523" s="215"/>
      <c r="CAJ523" s="215"/>
      <c r="CAK523" s="215"/>
      <c r="CAL523" s="215"/>
      <c r="CAN523" s="215"/>
      <c r="CBD523" s="215"/>
      <c r="CBF523" s="215"/>
      <c r="CBI523" s="215"/>
      <c r="CBK523" s="215"/>
      <c r="CBM523" s="215"/>
      <c r="CBO523" s="215"/>
      <c r="CBQ523" s="215"/>
      <c r="CBX523" s="212"/>
      <c r="CBY523" s="213"/>
      <c r="CCC523" s="214"/>
      <c r="CCG523" s="215"/>
      <c r="CCI523" s="215"/>
      <c r="CCO523" s="215"/>
      <c r="CCP523" s="215"/>
      <c r="CCQ523" s="215"/>
      <c r="CCS523" s="215"/>
      <c r="CDI523" s="215"/>
      <c r="CDK523" s="215"/>
      <c r="CDN523" s="215"/>
      <c r="CDP523" s="215"/>
      <c r="CDR523" s="215"/>
      <c r="CDT523" s="215"/>
      <c r="CDV523" s="215"/>
      <c r="CEC523" s="212"/>
      <c r="CED523" s="213"/>
      <c r="CEH523" s="214"/>
      <c r="CEL523" s="215"/>
      <c r="CEN523" s="215"/>
      <c r="CET523" s="215"/>
      <c r="CEU523" s="215"/>
      <c r="CEV523" s="215"/>
      <c r="CEX523" s="215"/>
      <c r="CFN523" s="215"/>
      <c r="CFP523" s="215"/>
      <c r="CFS523" s="215"/>
      <c r="CFU523" s="215"/>
      <c r="CFW523" s="215"/>
      <c r="CFY523" s="215"/>
      <c r="CGA523" s="215"/>
      <c r="CGH523" s="212"/>
      <c r="CGI523" s="213"/>
      <c r="CGM523" s="214"/>
      <c r="CGQ523" s="215"/>
      <c r="CGS523" s="215"/>
      <c r="CGY523" s="215"/>
      <c r="CGZ523" s="215"/>
      <c r="CHA523" s="215"/>
      <c r="CHC523" s="215"/>
      <c r="CHS523" s="215"/>
      <c r="CHU523" s="215"/>
      <c r="CHX523" s="215"/>
      <c r="CHZ523" s="215"/>
      <c r="CIB523" s="215"/>
      <c r="CID523" s="215"/>
      <c r="CIF523" s="215"/>
      <c r="CIM523" s="212"/>
      <c r="CIN523" s="213"/>
      <c r="CIR523" s="214"/>
      <c r="CIV523" s="215"/>
      <c r="CIX523" s="215"/>
      <c r="CJD523" s="215"/>
      <c r="CJE523" s="215"/>
      <c r="CJF523" s="215"/>
      <c r="CJH523" s="215"/>
      <c r="CJX523" s="215"/>
      <c r="CJZ523" s="215"/>
      <c r="CKC523" s="215"/>
      <c r="CKE523" s="215"/>
      <c r="CKG523" s="215"/>
      <c r="CKI523" s="215"/>
      <c r="CKK523" s="215"/>
      <c r="CKR523" s="212"/>
      <c r="CKS523" s="213"/>
      <c r="CKW523" s="214"/>
      <c r="CLA523" s="215"/>
      <c r="CLC523" s="215"/>
      <c r="CLI523" s="215"/>
      <c r="CLJ523" s="215"/>
      <c r="CLK523" s="215"/>
      <c r="CLM523" s="215"/>
      <c r="CMC523" s="215"/>
      <c r="CME523" s="215"/>
      <c r="CMH523" s="215"/>
      <c r="CMJ523" s="215"/>
      <c r="CML523" s="215"/>
      <c r="CMN523" s="215"/>
      <c r="CMP523" s="215"/>
      <c r="CMW523" s="212"/>
      <c r="CMX523" s="213"/>
      <c r="CNB523" s="214"/>
      <c r="CNF523" s="215"/>
      <c r="CNH523" s="215"/>
      <c r="CNN523" s="215"/>
      <c r="CNO523" s="215"/>
      <c r="CNP523" s="215"/>
      <c r="CNR523" s="215"/>
      <c r="COH523" s="215"/>
      <c r="COJ523" s="215"/>
      <c r="COM523" s="215"/>
      <c r="COO523" s="215"/>
      <c r="COQ523" s="215"/>
      <c r="COS523" s="215"/>
      <c r="COU523" s="215"/>
      <c r="CPB523" s="212"/>
      <c r="CPC523" s="213"/>
      <c r="CPG523" s="214"/>
      <c r="CPK523" s="215"/>
      <c r="CPM523" s="215"/>
      <c r="CPS523" s="215"/>
      <c r="CPT523" s="215"/>
      <c r="CPU523" s="215"/>
      <c r="CPW523" s="215"/>
      <c r="CQM523" s="215"/>
      <c r="CQO523" s="215"/>
      <c r="CQR523" s="215"/>
      <c r="CQT523" s="215"/>
      <c r="CQV523" s="215"/>
      <c r="CQX523" s="215"/>
      <c r="CQZ523" s="215"/>
      <c r="CRG523" s="212"/>
      <c r="CRH523" s="213"/>
      <c r="CRL523" s="214"/>
      <c r="CRP523" s="215"/>
      <c r="CRR523" s="215"/>
      <c r="CRX523" s="215"/>
      <c r="CRY523" s="215"/>
      <c r="CRZ523" s="215"/>
      <c r="CSB523" s="215"/>
      <c r="CSR523" s="215"/>
      <c r="CST523" s="215"/>
      <c r="CSW523" s="215"/>
      <c r="CSY523" s="215"/>
      <c r="CTA523" s="215"/>
      <c r="CTC523" s="215"/>
      <c r="CTE523" s="215"/>
      <c r="CTL523" s="212"/>
      <c r="CTM523" s="213"/>
      <c r="CTQ523" s="214"/>
      <c r="CTU523" s="215"/>
      <c r="CTW523" s="215"/>
      <c r="CUC523" s="215"/>
      <c r="CUD523" s="215"/>
      <c r="CUE523" s="215"/>
      <c r="CUG523" s="215"/>
      <c r="CUW523" s="215"/>
      <c r="CUY523" s="215"/>
      <c r="CVB523" s="215"/>
      <c r="CVD523" s="215"/>
      <c r="CVF523" s="215"/>
      <c r="CVH523" s="215"/>
      <c r="CVJ523" s="215"/>
      <c r="CVQ523" s="212"/>
      <c r="CVR523" s="213"/>
      <c r="CVV523" s="214"/>
      <c r="CVZ523" s="215"/>
      <c r="CWB523" s="215"/>
      <c r="CWH523" s="215"/>
      <c r="CWI523" s="215"/>
      <c r="CWJ523" s="215"/>
      <c r="CWL523" s="215"/>
      <c r="CXB523" s="215"/>
      <c r="CXD523" s="215"/>
      <c r="CXG523" s="215"/>
      <c r="CXI523" s="215"/>
      <c r="CXK523" s="215"/>
      <c r="CXM523" s="215"/>
      <c r="CXO523" s="215"/>
      <c r="CXV523" s="212"/>
      <c r="CXW523" s="213"/>
      <c r="CYA523" s="214"/>
      <c r="CYE523" s="215"/>
      <c r="CYG523" s="215"/>
      <c r="CYM523" s="215"/>
      <c r="CYN523" s="215"/>
      <c r="CYO523" s="215"/>
      <c r="CYQ523" s="215"/>
      <c r="CZG523" s="215"/>
      <c r="CZI523" s="215"/>
      <c r="CZL523" s="215"/>
      <c r="CZN523" s="215"/>
      <c r="CZP523" s="215"/>
      <c r="CZR523" s="215"/>
      <c r="CZT523" s="215"/>
      <c r="DAA523" s="212"/>
      <c r="DAB523" s="213"/>
      <c r="DAF523" s="214"/>
      <c r="DAJ523" s="215"/>
      <c r="DAL523" s="215"/>
      <c r="DAR523" s="215"/>
      <c r="DAS523" s="215"/>
      <c r="DAT523" s="215"/>
      <c r="DAV523" s="215"/>
      <c r="DBL523" s="215"/>
      <c r="DBN523" s="215"/>
      <c r="DBQ523" s="215"/>
      <c r="DBS523" s="215"/>
      <c r="DBU523" s="215"/>
      <c r="DBW523" s="215"/>
      <c r="DBY523" s="215"/>
      <c r="DCF523" s="212"/>
      <c r="DCG523" s="213"/>
      <c r="DCK523" s="214"/>
      <c r="DCO523" s="215"/>
      <c r="DCQ523" s="215"/>
      <c r="DCW523" s="215"/>
      <c r="DCX523" s="215"/>
      <c r="DCY523" s="215"/>
      <c r="DDA523" s="215"/>
      <c r="DDQ523" s="215"/>
      <c r="DDS523" s="215"/>
      <c r="DDV523" s="215"/>
      <c r="DDX523" s="215"/>
      <c r="DDZ523" s="215"/>
      <c r="DEB523" s="215"/>
      <c r="DED523" s="215"/>
      <c r="DEK523" s="212"/>
      <c r="DEL523" s="213"/>
      <c r="DEP523" s="214"/>
      <c r="DET523" s="215"/>
      <c r="DEV523" s="215"/>
      <c r="DFB523" s="215"/>
      <c r="DFC523" s="215"/>
      <c r="DFD523" s="215"/>
      <c r="DFF523" s="215"/>
      <c r="DFV523" s="215"/>
      <c r="DFX523" s="215"/>
      <c r="DGA523" s="215"/>
      <c r="DGC523" s="215"/>
      <c r="DGE523" s="215"/>
      <c r="DGG523" s="215"/>
      <c r="DGI523" s="215"/>
      <c r="DGP523" s="212"/>
      <c r="DGQ523" s="213"/>
      <c r="DGU523" s="214"/>
      <c r="DGY523" s="215"/>
      <c r="DHA523" s="215"/>
      <c r="DHG523" s="215"/>
      <c r="DHH523" s="215"/>
      <c r="DHI523" s="215"/>
      <c r="DHK523" s="215"/>
      <c r="DIA523" s="215"/>
      <c r="DIC523" s="215"/>
      <c r="DIF523" s="215"/>
      <c r="DIH523" s="215"/>
      <c r="DIJ523" s="215"/>
      <c r="DIL523" s="215"/>
      <c r="DIN523" s="215"/>
      <c r="DIU523" s="212"/>
      <c r="DIV523" s="213"/>
      <c r="DIZ523" s="214"/>
      <c r="DJD523" s="215"/>
      <c r="DJF523" s="215"/>
      <c r="DJL523" s="215"/>
      <c r="DJM523" s="215"/>
      <c r="DJN523" s="215"/>
      <c r="DJP523" s="215"/>
      <c r="DKF523" s="215"/>
      <c r="DKH523" s="215"/>
      <c r="DKK523" s="215"/>
      <c r="DKM523" s="215"/>
      <c r="DKO523" s="215"/>
      <c r="DKQ523" s="215"/>
      <c r="DKS523" s="215"/>
      <c r="DKZ523" s="212"/>
      <c r="DLA523" s="213"/>
      <c r="DLE523" s="214"/>
      <c r="DLI523" s="215"/>
      <c r="DLK523" s="215"/>
      <c r="DLQ523" s="215"/>
      <c r="DLR523" s="215"/>
      <c r="DLS523" s="215"/>
      <c r="DLU523" s="215"/>
      <c r="DMK523" s="215"/>
      <c r="DMM523" s="215"/>
      <c r="DMP523" s="215"/>
      <c r="DMR523" s="215"/>
      <c r="DMT523" s="215"/>
      <c r="DMV523" s="215"/>
      <c r="DMX523" s="215"/>
      <c r="DNE523" s="212"/>
      <c r="DNF523" s="213"/>
      <c r="DNJ523" s="214"/>
      <c r="DNN523" s="215"/>
      <c r="DNP523" s="215"/>
      <c r="DNV523" s="215"/>
      <c r="DNW523" s="215"/>
      <c r="DNX523" s="215"/>
      <c r="DNZ523" s="215"/>
      <c r="DOP523" s="215"/>
      <c r="DOR523" s="215"/>
      <c r="DOU523" s="215"/>
      <c r="DOW523" s="215"/>
      <c r="DOY523" s="215"/>
      <c r="DPA523" s="215"/>
      <c r="DPC523" s="215"/>
      <c r="DPJ523" s="212"/>
      <c r="DPK523" s="213"/>
      <c r="DPO523" s="214"/>
      <c r="DPS523" s="215"/>
      <c r="DPU523" s="215"/>
      <c r="DQA523" s="215"/>
      <c r="DQB523" s="215"/>
      <c r="DQC523" s="215"/>
      <c r="DQE523" s="215"/>
      <c r="DQU523" s="215"/>
      <c r="DQW523" s="215"/>
      <c r="DQZ523" s="215"/>
      <c r="DRB523" s="215"/>
      <c r="DRD523" s="215"/>
      <c r="DRF523" s="215"/>
      <c r="DRH523" s="215"/>
      <c r="DRO523" s="212"/>
      <c r="DRP523" s="213"/>
      <c r="DRT523" s="214"/>
      <c r="DRX523" s="215"/>
      <c r="DRZ523" s="215"/>
      <c r="DSF523" s="215"/>
      <c r="DSG523" s="215"/>
      <c r="DSH523" s="215"/>
      <c r="DSJ523" s="215"/>
      <c r="DSZ523" s="215"/>
      <c r="DTB523" s="215"/>
      <c r="DTE523" s="215"/>
      <c r="DTG523" s="215"/>
      <c r="DTI523" s="215"/>
      <c r="DTK523" s="215"/>
      <c r="DTM523" s="215"/>
      <c r="DTT523" s="212"/>
      <c r="DTU523" s="213"/>
      <c r="DTY523" s="214"/>
      <c r="DUC523" s="215"/>
      <c r="DUE523" s="215"/>
      <c r="DUK523" s="215"/>
      <c r="DUL523" s="215"/>
      <c r="DUM523" s="215"/>
      <c r="DUO523" s="215"/>
      <c r="DVE523" s="215"/>
      <c r="DVG523" s="215"/>
      <c r="DVJ523" s="215"/>
      <c r="DVL523" s="215"/>
      <c r="DVN523" s="215"/>
      <c r="DVP523" s="215"/>
      <c r="DVR523" s="215"/>
      <c r="DVY523" s="212"/>
      <c r="DVZ523" s="213"/>
      <c r="DWD523" s="214"/>
      <c r="DWH523" s="215"/>
      <c r="DWJ523" s="215"/>
      <c r="DWP523" s="215"/>
      <c r="DWQ523" s="215"/>
      <c r="DWR523" s="215"/>
      <c r="DWT523" s="215"/>
      <c r="DXJ523" s="215"/>
      <c r="DXL523" s="215"/>
      <c r="DXO523" s="215"/>
      <c r="DXQ523" s="215"/>
      <c r="DXS523" s="215"/>
      <c r="DXU523" s="215"/>
      <c r="DXW523" s="215"/>
      <c r="DYD523" s="212"/>
      <c r="DYE523" s="213"/>
      <c r="DYI523" s="214"/>
      <c r="DYM523" s="215"/>
      <c r="DYO523" s="215"/>
      <c r="DYU523" s="215"/>
      <c r="DYV523" s="215"/>
      <c r="DYW523" s="215"/>
      <c r="DYY523" s="215"/>
      <c r="DZO523" s="215"/>
      <c r="DZQ523" s="215"/>
      <c r="DZT523" s="215"/>
      <c r="DZV523" s="215"/>
      <c r="DZX523" s="215"/>
      <c r="DZZ523" s="215"/>
      <c r="EAB523" s="215"/>
      <c r="EAI523" s="212"/>
      <c r="EAJ523" s="213"/>
      <c r="EAN523" s="214"/>
      <c r="EAR523" s="215"/>
      <c r="EAT523" s="215"/>
      <c r="EAZ523" s="215"/>
      <c r="EBA523" s="215"/>
      <c r="EBB523" s="215"/>
      <c r="EBD523" s="215"/>
      <c r="EBT523" s="215"/>
      <c r="EBV523" s="215"/>
      <c r="EBY523" s="215"/>
      <c r="ECA523" s="215"/>
      <c r="ECC523" s="215"/>
      <c r="ECE523" s="215"/>
      <c r="ECG523" s="215"/>
      <c r="ECN523" s="212"/>
      <c r="ECO523" s="213"/>
      <c r="ECS523" s="214"/>
      <c r="ECW523" s="215"/>
      <c r="ECY523" s="215"/>
      <c r="EDE523" s="215"/>
      <c r="EDF523" s="215"/>
      <c r="EDG523" s="215"/>
      <c r="EDI523" s="215"/>
      <c r="EDY523" s="215"/>
      <c r="EEA523" s="215"/>
      <c r="EED523" s="215"/>
      <c r="EEF523" s="215"/>
      <c r="EEH523" s="215"/>
      <c r="EEJ523" s="215"/>
      <c r="EEL523" s="215"/>
      <c r="EES523" s="212"/>
      <c r="EET523" s="213"/>
      <c r="EEX523" s="214"/>
      <c r="EFB523" s="215"/>
      <c r="EFD523" s="215"/>
      <c r="EFJ523" s="215"/>
      <c r="EFK523" s="215"/>
      <c r="EFL523" s="215"/>
      <c r="EFN523" s="215"/>
      <c r="EGD523" s="215"/>
      <c r="EGF523" s="215"/>
      <c r="EGI523" s="215"/>
      <c r="EGK523" s="215"/>
      <c r="EGM523" s="215"/>
      <c r="EGO523" s="215"/>
      <c r="EGQ523" s="215"/>
      <c r="EGX523" s="212"/>
      <c r="EGY523" s="213"/>
      <c r="EHC523" s="214"/>
      <c r="EHG523" s="215"/>
      <c r="EHI523" s="215"/>
      <c r="EHO523" s="215"/>
      <c r="EHP523" s="215"/>
      <c r="EHQ523" s="215"/>
      <c r="EHS523" s="215"/>
      <c r="EII523" s="215"/>
      <c r="EIK523" s="215"/>
      <c r="EIN523" s="215"/>
      <c r="EIP523" s="215"/>
      <c r="EIR523" s="215"/>
      <c r="EIT523" s="215"/>
      <c r="EIV523" s="215"/>
      <c r="EJC523" s="212"/>
      <c r="EJD523" s="213"/>
      <c r="EJH523" s="214"/>
      <c r="EJL523" s="215"/>
      <c r="EJN523" s="215"/>
      <c r="EJT523" s="215"/>
      <c r="EJU523" s="215"/>
      <c r="EJV523" s="215"/>
      <c r="EJX523" s="215"/>
      <c r="EKN523" s="215"/>
      <c r="EKP523" s="215"/>
      <c r="EKS523" s="215"/>
      <c r="EKU523" s="215"/>
      <c r="EKW523" s="215"/>
      <c r="EKY523" s="215"/>
      <c r="ELA523" s="215"/>
      <c r="ELH523" s="212"/>
      <c r="ELI523" s="213"/>
      <c r="ELM523" s="214"/>
      <c r="ELQ523" s="215"/>
      <c r="ELS523" s="215"/>
      <c r="ELY523" s="215"/>
      <c r="ELZ523" s="215"/>
      <c r="EMA523" s="215"/>
      <c r="EMC523" s="215"/>
      <c r="EMS523" s="215"/>
      <c r="EMU523" s="215"/>
      <c r="EMX523" s="215"/>
      <c r="EMZ523" s="215"/>
      <c r="ENB523" s="215"/>
      <c r="END523" s="215"/>
      <c r="ENF523" s="215"/>
      <c r="ENM523" s="212"/>
      <c r="ENN523" s="213"/>
      <c r="ENR523" s="214"/>
      <c r="ENV523" s="215"/>
      <c r="ENX523" s="215"/>
      <c r="EOD523" s="215"/>
      <c r="EOE523" s="215"/>
      <c r="EOF523" s="215"/>
      <c r="EOH523" s="215"/>
      <c r="EOX523" s="215"/>
      <c r="EOZ523" s="215"/>
      <c r="EPC523" s="215"/>
      <c r="EPE523" s="215"/>
      <c r="EPG523" s="215"/>
      <c r="EPI523" s="215"/>
      <c r="EPK523" s="215"/>
      <c r="EPR523" s="212"/>
      <c r="EPS523" s="213"/>
      <c r="EPW523" s="214"/>
      <c r="EQA523" s="215"/>
      <c r="EQC523" s="215"/>
      <c r="EQI523" s="215"/>
      <c r="EQJ523" s="215"/>
      <c r="EQK523" s="215"/>
      <c r="EQM523" s="215"/>
      <c r="ERC523" s="215"/>
      <c r="ERE523" s="215"/>
      <c r="ERH523" s="215"/>
      <c r="ERJ523" s="215"/>
      <c r="ERL523" s="215"/>
      <c r="ERN523" s="215"/>
      <c r="ERP523" s="215"/>
      <c r="ERW523" s="212"/>
      <c r="ERX523" s="213"/>
      <c r="ESB523" s="214"/>
      <c r="ESF523" s="215"/>
      <c r="ESH523" s="215"/>
      <c r="ESN523" s="215"/>
      <c r="ESO523" s="215"/>
      <c r="ESP523" s="215"/>
      <c r="ESR523" s="215"/>
      <c r="ETH523" s="215"/>
      <c r="ETJ523" s="215"/>
      <c r="ETM523" s="215"/>
      <c r="ETO523" s="215"/>
      <c r="ETQ523" s="215"/>
      <c r="ETS523" s="215"/>
      <c r="ETU523" s="215"/>
      <c r="EUB523" s="212"/>
      <c r="EUC523" s="213"/>
      <c r="EUG523" s="214"/>
      <c r="EUK523" s="215"/>
      <c r="EUM523" s="215"/>
      <c r="EUS523" s="215"/>
      <c r="EUT523" s="215"/>
      <c r="EUU523" s="215"/>
      <c r="EUW523" s="215"/>
      <c r="EVM523" s="215"/>
      <c r="EVO523" s="215"/>
      <c r="EVR523" s="215"/>
      <c r="EVT523" s="215"/>
      <c r="EVV523" s="215"/>
      <c r="EVX523" s="215"/>
      <c r="EVZ523" s="215"/>
      <c r="EWG523" s="212"/>
      <c r="EWH523" s="213"/>
      <c r="EWL523" s="214"/>
      <c r="EWP523" s="215"/>
      <c r="EWR523" s="215"/>
      <c r="EWX523" s="215"/>
      <c r="EWY523" s="215"/>
      <c r="EWZ523" s="215"/>
      <c r="EXB523" s="215"/>
      <c r="EXR523" s="215"/>
      <c r="EXT523" s="215"/>
      <c r="EXW523" s="215"/>
      <c r="EXY523" s="215"/>
      <c r="EYA523" s="215"/>
      <c r="EYC523" s="215"/>
      <c r="EYE523" s="215"/>
      <c r="EYL523" s="212"/>
      <c r="EYM523" s="213"/>
      <c r="EYQ523" s="214"/>
      <c r="EYU523" s="215"/>
      <c r="EYW523" s="215"/>
      <c r="EZC523" s="215"/>
      <c r="EZD523" s="215"/>
      <c r="EZE523" s="215"/>
      <c r="EZG523" s="215"/>
      <c r="EZW523" s="215"/>
      <c r="EZY523" s="215"/>
      <c r="FAB523" s="215"/>
      <c r="FAD523" s="215"/>
      <c r="FAF523" s="215"/>
      <c r="FAH523" s="215"/>
      <c r="FAJ523" s="215"/>
      <c r="FAQ523" s="212"/>
      <c r="FAR523" s="213"/>
      <c r="FAV523" s="214"/>
      <c r="FAZ523" s="215"/>
      <c r="FBB523" s="215"/>
      <c r="FBH523" s="215"/>
      <c r="FBI523" s="215"/>
      <c r="FBJ523" s="215"/>
      <c r="FBL523" s="215"/>
      <c r="FCB523" s="215"/>
      <c r="FCD523" s="215"/>
      <c r="FCG523" s="215"/>
      <c r="FCI523" s="215"/>
      <c r="FCK523" s="215"/>
      <c r="FCM523" s="215"/>
      <c r="FCO523" s="215"/>
      <c r="FCV523" s="212"/>
      <c r="FCW523" s="213"/>
      <c r="FDA523" s="214"/>
      <c r="FDE523" s="215"/>
      <c r="FDG523" s="215"/>
      <c r="FDM523" s="215"/>
      <c r="FDN523" s="215"/>
      <c r="FDO523" s="215"/>
      <c r="FDQ523" s="215"/>
      <c r="FEG523" s="215"/>
      <c r="FEI523" s="215"/>
      <c r="FEL523" s="215"/>
      <c r="FEN523" s="215"/>
      <c r="FEP523" s="215"/>
      <c r="FER523" s="215"/>
      <c r="FET523" s="215"/>
      <c r="FFA523" s="212"/>
      <c r="FFB523" s="213"/>
      <c r="FFF523" s="214"/>
      <c r="FFJ523" s="215"/>
      <c r="FFL523" s="215"/>
      <c r="FFR523" s="215"/>
      <c r="FFS523" s="215"/>
      <c r="FFT523" s="215"/>
      <c r="FFV523" s="215"/>
      <c r="FGL523" s="215"/>
      <c r="FGN523" s="215"/>
      <c r="FGQ523" s="215"/>
      <c r="FGS523" s="215"/>
      <c r="FGU523" s="215"/>
      <c r="FGW523" s="215"/>
      <c r="FGY523" s="215"/>
      <c r="FHF523" s="212"/>
      <c r="FHG523" s="213"/>
      <c r="FHK523" s="214"/>
      <c r="FHO523" s="215"/>
      <c r="FHQ523" s="215"/>
      <c r="FHW523" s="215"/>
      <c r="FHX523" s="215"/>
      <c r="FHY523" s="215"/>
      <c r="FIA523" s="215"/>
      <c r="FIQ523" s="215"/>
      <c r="FIS523" s="215"/>
      <c r="FIV523" s="215"/>
      <c r="FIX523" s="215"/>
      <c r="FIZ523" s="215"/>
      <c r="FJB523" s="215"/>
      <c r="FJD523" s="215"/>
      <c r="FJK523" s="212"/>
      <c r="FJL523" s="213"/>
      <c r="FJP523" s="214"/>
      <c r="FJT523" s="215"/>
      <c r="FJV523" s="215"/>
      <c r="FKB523" s="215"/>
      <c r="FKC523" s="215"/>
      <c r="FKD523" s="215"/>
      <c r="FKF523" s="215"/>
      <c r="FKV523" s="215"/>
      <c r="FKX523" s="215"/>
      <c r="FLA523" s="215"/>
      <c r="FLC523" s="215"/>
      <c r="FLE523" s="215"/>
      <c r="FLG523" s="215"/>
      <c r="FLI523" s="215"/>
      <c r="FLP523" s="212"/>
      <c r="FLQ523" s="213"/>
      <c r="FLU523" s="214"/>
      <c r="FLY523" s="215"/>
      <c r="FMA523" s="215"/>
      <c r="FMG523" s="215"/>
      <c r="FMH523" s="215"/>
      <c r="FMI523" s="215"/>
      <c r="FMK523" s="215"/>
      <c r="FNA523" s="215"/>
      <c r="FNC523" s="215"/>
      <c r="FNF523" s="215"/>
      <c r="FNH523" s="215"/>
      <c r="FNJ523" s="215"/>
      <c r="FNL523" s="215"/>
      <c r="FNN523" s="215"/>
      <c r="FNU523" s="212"/>
      <c r="FNV523" s="213"/>
      <c r="FNZ523" s="214"/>
      <c r="FOD523" s="215"/>
      <c r="FOF523" s="215"/>
      <c r="FOL523" s="215"/>
      <c r="FOM523" s="215"/>
      <c r="FON523" s="215"/>
      <c r="FOP523" s="215"/>
      <c r="FPF523" s="215"/>
      <c r="FPH523" s="215"/>
      <c r="FPK523" s="215"/>
      <c r="FPM523" s="215"/>
      <c r="FPO523" s="215"/>
      <c r="FPQ523" s="215"/>
      <c r="FPS523" s="215"/>
      <c r="FPZ523" s="212"/>
      <c r="FQA523" s="213"/>
      <c r="FQE523" s="214"/>
      <c r="FQI523" s="215"/>
      <c r="FQK523" s="215"/>
      <c r="FQQ523" s="215"/>
      <c r="FQR523" s="215"/>
      <c r="FQS523" s="215"/>
      <c r="FQU523" s="215"/>
      <c r="FRK523" s="215"/>
      <c r="FRM523" s="215"/>
      <c r="FRP523" s="215"/>
      <c r="FRR523" s="215"/>
      <c r="FRT523" s="215"/>
      <c r="FRV523" s="215"/>
      <c r="FRX523" s="215"/>
      <c r="FSE523" s="212"/>
      <c r="FSF523" s="213"/>
      <c r="FSJ523" s="214"/>
      <c r="FSN523" s="215"/>
      <c r="FSP523" s="215"/>
      <c r="FSV523" s="215"/>
      <c r="FSW523" s="215"/>
      <c r="FSX523" s="215"/>
      <c r="FSZ523" s="215"/>
      <c r="FTP523" s="215"/>
      <c r="FTR523" s="215"/>
      <c r="FTU523" s="215"/>
      <c r="FTW523" s="215"/>
      <c r="FTY523" s="215"/>
      <c r="FUA523" s="215"/>
      <c r="FUC523" s="215"/>
      <c r="FUJ523" s="212"/>
      <c r="FUK523" s="213"/>
      <c r="FUO523" s="214"/>
      <c r="FUS523" s="215"/>
      <c r="FUU523" s="215"/>
      <c r="FVA523" s="215"/>
      <c r="FVB523" s="215"/>
      <c r="FVC523" s="215"/>
      <c r="FVE523" s="215"/>
      <c r="FVU523" s="215"/>
      <c r="FVW523" s="215"/>
      <c r="FVZ523" s="215"/>
      <c r="FWB523" s="215"/>
      <c r="FWD523" s="215"/>
      <c r="FWF523" s="215"/>
      <c r="FWH523" s="215"/>
      <c r="FWO523" s="212"/>
      <c r="FWP523" s="213"/>
      <c r="FWT523" s="214"/>
      <c r="FWX523" s="215"/>
      <c r="FWZ523" s="215"/>
      <c r="FXF523" s="215"/>
      <c r="FXG523" s="215"/>
      <c r="FXH523" s="215"/>
      <c r="FXJ523" s="215"/>
      <c r="FXZ523" s="215"/>
      <c r="FYB523" s="215"/>
      <c r="FYE523" s="215"/>
      <c r="FYG523" s="215"/>
      <c r="FYI523" s="215"/>
      <c r="FYK523" s="215"/>
      <c r="FYM523" s="215"/>
      <c r="FYT523" s="212"/>
      <c r="FYU523" s="213"/>
      <c r="FYY523" s="214"/>
      <c r="FZC523" s="215"/>
      <c r="FZE523" s="215"/>
      <c r="FZK523" s="215"/>
      <c r="FZL523" s="215"/>
      <c r="FZM523" s="215"/>
      <c r="FZO523" s="215"/>
      <c r="GAE523" s="215"/>
      <c r="GAG523" s="215"/>
      <c r="GAJ523" s="215"/>
      <c r="GAL523" s="215"/>
      <c r="GAN523" s="215"/>
      <c r="GAP523" s="215"/>
      <c r="GAR523" s="215"/>
      <c r="GAY523" s="212"/>
      <c r="GAZ523" s="213"/>
      <c r="GBD523" s="214"/>
      <c r="GBH523" s="215"/>
      <c r="GBJ523" s="215"/>
      <c r="GBP523" s="215"/>
      <c r="GBQ523" s="215"/>
      <c r="GBR523" s="215"/>
      <c r="GBT523" s="215"/>
      <c r="GCJ523" s="215"/>
      <c r="GCL523" s="215"/>
      <c r="GCO523" s="215"/>
      <c r="GCQ523" s="215"/>
      <c r="GCS523" s="215"/>
      <c r="GCU523" s="215"/>
      <c r="GCW523" s="215"/>
      <c r="GDD523" s="212"/>
      <c r="GDE523" s="213"/>
      <c r="GDI523" s="214"/>
      <c r="GDM523" s="215"/>
      <c r="GDO523" s="215"/>
      <c r="GDU523" s="215"/>
      <c r="GDV523" s="215"/>
      <c r="GDW523" s="215"/>
      <c r="GDY523" s="215"/>
      <c r="GEO523" s="215"/>
      <c r="GEQ523" s="215"/>
      <c r="GET523" s="215"/>
      <c r="GEV523" s="215"/>
      <c r="GEX523" s="215"/>
      <c r="GEZ523" s="215"/>
      <c r="GFB523" s="215"/>
      <c r="GFI523" s="212"/>
      <c r="GFJ523" s="213"/>
      <c r="GFN523" s="214"/>
      <c r="GFR523" s="215"/>
      <c r="GFT523" s="215"/>
      <c r="GFZ523" s="215"/>
      <c r="GGA523" s="215"/>
      <c r="GGB523" s="215"/>
      <c r="GGD523" s="215"/>
      <c r="GGT523" s="215"/>
      <c r="GGV523" s="215"/>
      <c r="GGY523" s="215"/>
      <c r="GHA523" s="215"/>
      <c r="GHC523" s="215"/>
      <c r="GHE523" s="215"/>
      <c r="GHG523" s="215"/>
      <c r="GHN523" s="212"/>
      <c r="GHO523" s="213"/>
      <c r="GHS523" s="214"/>
      <c r="GHW523" s="215"/>
      <c r="GHY523" s="215"/>
      <c r="GIE523" s="215"/>
      <c r="GIF523" s="215"/>
      <c r="GIG523" s="215"/>
      <c r="GII523" s="215"/>
      <c r="GIY523" s="215"/>
      <c r="GJA523" s="215"/>
      <c r="GJD523" s="215"/>
      <c r="GJF523" s="215"/>
      <c r="GJH523" s="215"/>
      <c r="GJJ523" s="215"/>
      <c r="GJL523" s="215"/>
      <c r="GJS523" s="212"/>
      <c r="GJT523" s="213"/>
      <c r="GJX523" s="214"/>
      <c r="GKB523" s="215"/>
      <c r="GKD523" s="215"/>
      <c r="GKJ523" s="215"/>
      <c r="GKK523" s="215"/>
      <c r="GKL523" s="215"/>
      <c r="GKN523" s="215"/>
      <c r="GLD523" s="215"/>
      <c r="GLF523" s="215"/>
      <c r="GLI523" s="215"/>
      <c r="GLK523" s="215"/>
      <c r="GLM523" s="215"/>
      <c r="GLO523" s="215"/>
      <c r="GLQ523" s="215"/>
      <c r="GLX523" s="212"/>
      <c r="GLY523" s="213"/>
      <c r="GMC523" s="214"/>
      <c r="GMG523" s="215"/>
      <c r="GMI523" s="215"/>
      <c r="GMO523" s="215"/>
      <c r="GMP523" s="215"/>
      <c r="GMQ523" s="215"/>
      <c r="GMS523" s="215"/>
      <c r="GNI523" s="215"/>
      <c r="GNK523" s="215"/>
      <c r="GNN523" s="215"/>
      <c r="GNP523" s="215"/>
      <c r="GNR523" s="215"/>
      <c r="GNT523" s="215"/>
      <c r="GNV523" s="215"/>
      <c r="GOC523" s="212"/>
      <c r="GOD523" s="213"/>
      <c r="GOH523" s="214"/>
      <c r="GOL523" s="215"/>
      <c r="GON523" s="215"/>
      <c r="GOT523" s="215"/>
      <c r="GOU523" s="215"/>
      <c r="GOV523" s="215"/>
      <c r="GOX523" s="215"/>
      <c r="GPN523" s="215"/>
      <c r="GPP523" s="215"/>
      <c r="GPS523" s="215"/>
      <c r="GPU523" s="215"/>
      <c r="GPW523" s="215"/>
      <c r="GPY523" s="215"/>
      <c r="GQA523" s="215"/>
      <c r="GQH523" s="212"/>
      <c r="GQI523" s="213"/>
      <c r="GQM523" s="214"/>
      <c r="GQQ523" s="215"/>
      <c r="GQS523" s="215"/>
      <c r="GQY523" s="215"/>
      <c r="GQZ523" s="215"/>
      <c r="GRA523" s="215"/>
      <c r="GRC523" s="215"/>
      <c r="GRS523" s="215"/>
      <c r="GRU523" s="215"/>
      <c r="GRX523" s="215"/>
      <c r="GRZ523" s="215"/>
      <c r="GSB523" s="215"/>
      <c r="GSD523" s="215"/>
      <c r="GSF523" s="215"/>
      <c r="GSM523" s="212"/>
      <c r="GSN523" s="213"/>
      <c r="GSR523" s="214"/>
      <c r="GSV523" s="215"/>
      <c r="GSX523" s="215"/>
      <c r="GTD523" s="215"/>
      <c r="GTE523" s="215"/>
      <c r="GTF523" s="215"/>
      <c r="GTH523" s="215"/>
      <c r="GTX523" s="215"/>
      <c r="GTZ523" s="215"/>
      <c r="GUC523" s="215"/>
      <c r="GUE523" s="215"/>
      <c r="GUG523" s="215"/>
      <c r="GUI523" s="215"/>
      <c r="GUK523" s="215"/>
      <c r="GUR523" s="212"/>
      <c r="GUS523" s="213"/>
      <c r="GUW523" s="214"/>
      <c r="GVA523" s="215"/>
      <c r="GVC523" s="215"/>
      <c r="GVI523" s="215"/>
      <c r="GVJ523" s="215"/>
      <c r="GVK523" s="215"/>
      <c r="GVM523" s="215"/>
      <c r="GWC523" s="215"/>
      <c r="GWE523" s="215"/>
      <c r="GWH523" s="215"/>
      <c r="GWJ523" s="215"/>
      <c r="GWL523" s="215"/>
      <c r="GWN523" s="215"/>
      <c r="GWP523" s="215"/>
      <c r="GWW523" s="212"/>
      <c r="GWX523" s="213"/>
      <c r="GXB523" s="214"/>
      <c r="GXF523" s="215"/>
      <c r="GXH523" s="215"/>
      <c r="GXN523" s="215"/>
      <c r="GXO523" s="215"/>
      <c r="GXP523" s="215"/>
      <c r="GXR523" s="215"/>
      <c r="GYH523" s="215"/>
      <c r="GYJ523" s="215"/>
      <c r="GYM523" s="215"/>
      <c r="GYO523" s="215"/>
      <c r="GYQ523" s="215"/>
      <c r="GYS523" s="215"/>
      <c r="GYU523" s="215"/>
      <c r="GZB523" s="212"/>
      <c r="GZC523" s="213"/>
      <c r="GZG523" s="214"/>
      <c r="GZK523" s="215"/>
      <c r="GZM523" s="215"/>
      <c r="GZS523" s="215"/>
      <c r="GZT523" s="215"/>
      <c r="GZU523" s="215"/>
      <c r="GZW523" s="215"/>
      <c r="HAM523" s="215"/>
      <c r="HAO523" s="215"/>
      <c r="HAR523" s="215"/>
      <c r="HAT523" s="215"/>
      <c r="HAV523" s="215"/>
      <c r="HAX523" s="215"/>
      <c r="HAZ523" s="215"/>
      <c r="HBG523" s="212"/>
      <c r="HBH523" s="213"/>
      <c r="HBL523" s="214"/>
      <c r="HBP523" s="215"/>
      <c r="HBR523" s="215"/>
      <c r="HBX523" s="215"/>
      <c r="HBY523" s="215"/>
      <c r="HBZ523" s="215"/>
      <c r="HCB523" s="215"/>
      <c r="HCR523" s="215"/>
      <c r="HCT523" s="215"/>
      <c r="HCW523" s="215"/>
      <c r="HCY523" s="215"/>
      <c r="HDA523" s="215"/>
      <c r="HDC523" s="215"/>
      <c r="HDE523" s="215"/>
      <c r="HDL523" s="212"/>
      <c r="HDM523" s="213"/>
      <c r="HDQ523" s="214"/>
      <c r="HDU523" s="215"/>
      <c r="HDW523" s="215"/>
      <c r="HEC523" s="215"/>
      <c r="HED523" s="215"/>
      <c r="HEE523" s="215"/>
      <c r="HEG523" s="215"/>
      <c r="HEW523" s="215"/>
      <c r="HEY523" s="215"/>
      <c r="HFB523" s="215"/>
      <c r="HFD523" s="215"/>
      <c r="HFF523" s="215"/>
      <c r="HFH523" s="215"/>
      <c r="HFJ523" s="215"/>
      <c r="HFQ523" s="212"/>
      <c r="HFR523" s="213"/>
      <c r="HFV523" s="214"/>
      <c r="HFZ523" s="215"/>
      <c r="HGB523" s="215"/>
      <c r="HGH523" s="215"/>
      <c r="HGI523" s="215"/>
      <c r="HGJ523" s="215"/>
      <c r="HGL523" s="215"/>
      <c r="HHB523" s="215"/>
      <c r="HHD523" s="215"/>
      <c r="HHG523" s="215"/>
      <c r="HHI523" s="215"/>
      <c r="HHK523" s="215"/>
      <c r="HHM523" s="215"/>
      <c r="HHO523" s="215"/>
      <c r="HHV523" s="212"/>
      <c r="HHW523" s="213"/>
      <c r="HIA523" s="214"/>
      <c r="HIE523" s="215"/>
      <c r="HIG523" s="215"/>
      <c r="HIM523" s="215"/>
      <c r="HIN523" s="215"/>
      <c r="HIO523" s="215"/>
      <c r="HIQ523" s="215"/>
      <c r="HJG523" s="215"/>
      <c r="HJI523" s="215"/>
      <c r="HJL523" s="215"/>
      <c r="HJN523" s="215"/>
      <c r="HJP523" s="215"/>
      <c r="HJR523" s="215"/>
      <c r="HJT523" s="215"/>
      <c r="HKA523" s="212"/>
      <c r="HKB523" s="213"/>
      <c r="HKF523" s="214"/>
      <c r="HKJ523" s="215"/>
      <c r="HKL523" s="215"/>
      <c r="HKR523" s="215"/>
      <c r="HKS523" s="215"/>
      <c r="HKT523" s="215"/>
      <c r="HKV523" s="215"/>
      <c r="HLL523" s="215"/>
      <c r="HLN523" s="215"/>
      <c r="HLQ523" s="215"/>
      <c r="HLS523" s="215"/>
      <c r="HLU523" s="215"/>
      <c r="HLW523" s="215"/>
      <c r="HLY523" s="215"/>
      <c r="HMF523" s="212"/>
      <c r="HMG523" s="213"/>
      <c r="HMK523" s="214"/>
      <c r="HMO523" s="215"/>
      <c r="HMQ523" s="215"/>
      <c r="HMW523" s="215"/>
      <c r="HMX523" s="215"/>
      <c r="HMY523" s="215"/>
      <c r="HNA523" s="215"/>
      <c r="HNQ523" s="215"/>
      <c r="HNS523" s="215"/>
      <c r="HNV523" s="215"/>
      <c r="HNX523" s="215"/>
      <c r="HNZ523" s="215"/>
      <c r="HOB523" s="215"/>
      <c r="HOD523" s="215"/>
      <c r="HOK523" s="212"/>
      <c r="HOL523" s="213"/>
      <c r="HOP523" s="214"/>
      <c r="HOT523" s="215"/>
      <c r="HOV523" s="215"/>
      <c r="HPB523" s="215"/>
      <c r="HPC523" s="215"/>
      <c r="HPD523" s="215"/>
      <c r="HPF523" s="215"/>
      <c r="HPV523" s="215"/>
      <c r="HPX523" s="215"/>
      <c r="HQA523" s="215"/>
      <c r="HQC523" s="215"/>
      <c r="HQE523" s="215"/>
      <c r="HQG523" s="215"/>
      <c r="HQI523" s="215"/>
      <c r="HQP523" s="212"/>
      <c r="HQQ523" s="213"/>
      <c r="HQU523" s="214"/>
      <c r="HQY523" s="215"/>
      <c r="HRA523" s="215"/>
      <c r="HRG523" s="215"/>
      <c r="HRH523" s="215"/>
      <c r="HRI523" s="215"/>
      <c r="HRK523" s="215"/>
      <c r="HSA523" s="215"/>
      <c r="HSC523" s="215"/>
      <c r="HSF523" s="215"/>
      <c r="HSH523" s="215"/>
      <c r="HSJ523" s="215"/>
      <c r="HSL523" s="215"/>
      <c r="HSN523" s="215"/>
      <c r="HSU523" s="212"/>
      <c r="HSV523" s="213"/>
      <c r="HSZ523" s="214"/>
      <c r="HTD523" s="215"/>
      <c r="HTF523" s="215"/>
      <c r="HTL523" s="215"/>
      <c r="HTM523" s="215"/>
      <c r="HTN523" s="215"/>
      <c r="HTP523" s="215"/>
      <c r="HUF523" s="215"/>
      <c r="HUH523" s="215"/>
      <c r="HUK523" s="215"/>
      <c r="HUM523" s="215"/>
      <c r="HUO523" s="215"/>
      <c r="HUQ523" s="215"/>
      <c r="HUS523" s="215"/>
      <c r="HUZ523" s="212"/>
      <c r="HVA523" s="213"/>
      <c r="HVE523" s="214"/>
      <c r="HVI523" s="215"/>
      <c r="HVK523" s="215"/>
      <c r="HVQ523" s="215"/>
      <c r="HVR523" s="215"/>
      <c r="HVS523" s="215"/>
      <c r="HVU523" s="215"/>
      <c r="HWK523" s="215"/>
      <c r="HWM523" s="215"/>
      <c r="HWP523" s="215"/>
      <c r="HWR523" s="215"/>
      <c r="HWT523" s="215"/>
      <c r="HWV523" s="215"/>
      <c r="HWX523" s="215"/>
      <c r="HXE523" s="212"/>
      <c r="HXF523" s="213"/>
      <c r="HXJ523" s="214"/>
      <c r="HXN523" s="215"/>
      <c r="HXP523" s="215"/>
      <c r="HXV523" s="215"/>
      <c r="HXW523" s="215"/>
      <c r="HXX523" s="215"/>
      <c r="HXZ523" s="215"/>
      <c r="HYP523" s="215"/>
      <c r="HYR523" s="215"/>
      <c r="HYU523" s="215"/>
      <c r="HYW523" s="215"/>
      <c r="HYY523" s="215"/>
      <c r="HZA523" s="215"/>
      <c r="HZC523" s="215"/>
      <c r="HZJ523" s="212"/>
      <c r="HZK523" s="213"/>
      <c r="HZO523" s="214"/>
      <c r="HZS523" s="215"/>
      <c r="HZU523" s="215"/>
      <c r="IAA523" s="215"/>
      <c r="IAB523" s="215"/>
      <c r="IAC523" s="215"/>
      <c r="IAE523" s="215"/>
      <c r="IAU523" s="215"/>
      <c r="IAW523" s="215"/>
      <c r="IAZ523" s="215"/>
      <c r="IBB523" s="215"/>
      <c r="IBD523" s="215"/>
      <c r="IBF523" s="215"/>
      <c r="IBH523" s="215"/>
      <c r="IBO523" s="212"/>
      <c r="IBP523" s="213"/>
      <c r="IBT523" s="214"/>
      <c r="IBX523" s="215"/>
      <c r="IBZ523" s="215"/>
      <c r="ICF523" s="215"/>
      <c r="ICG523" s="215"/>
      <c r="ICH523" s="215"/>
      <c r="ICJ523" s="215"/>
      <c r="ICZ523" s="215"/>
      <c r="IDB523" s="215"/>
      <c r="IDE523" s="215"/>
      <c r="IDG523" s="215"/>
      <c r="IDI523" s="215"/>
      <c r="IDK523" s="215"/>
      <c r="IDM523" s="215"/>
      <c r="IDT523" s="212"/>
      <c r="IDU523" s="213"/>
      <c r="IDY523" s="214"/>
      <c r="IEC523" s="215"/>
      <c r="IEE523" s="215"/>
      <c r="IEK523" s="215"/>
      <c r="IEL523" s="215"/>
      <c r="IEM523" s="215"/>
      <c r="IEO523" s="215"/>
      <c r="IFE523" s="215"/>
      <c r="IFG523" s="215"/>
      <c r="IFJ523" s="215"/>
      <c r="IFL523" s="215"/>
      <c r="IFN523" s="215"/>
      <c r="IFP523" s="215"/>
      <c r="IFR523" s="215"/>
      <c r="IFY523" s="212"/>
      <c r="IFZ523" s="213"/>
      <c r="IGD523" s="214"/>
      <c r="IGH523" s="215"/>
      <c r="IGJ523" s="215"/>
      <c r="IGP523" s="215"/>
      <c r="IGQ523" s="215"/>
      <c r="IGR523" s="215"/>
      <c r="IGT523" s="215"/>
      <c r="IHJ523" s="215"/>
      <c r="IHL523" s="215"/>
      <c r="IHO523" s="215"/>
      <c r="IHQ523" s="215"/>
      <c r="IHS523" s="215"/>
      <c r="IHU523" s="215"/>
      <c r="IHW523" s="215"/>
      <c r="IID523" s="212"/>
      <c r="IIE523" s="213"/>
      <c r="III523" s="214"/>
      <c r="IIM523" s="215"/>
      <c r="IIO523" s="215"/>
      <c r="IIU523" s="215"/>
      <c r="IIV523" s="215"/>
      <c r="IIW523" s="215"/>
      <c r="IIY523" s="215"/>
      <c r="IJO523" s="215"/>
      <c r="IJQ523" s="215"/>
      <c r="IJT523" s="215"/>
      <c r="IJV523" s="215"/>
      <c r="IJX523" s="215"/>
      <c r="IJZ523" s="215"/>
      <c r="IKB523" s="215"/>
      <c r="IKI523" s="212"/>
      <c r="IKJ523" s="213"/>
      <c r="IKN523" s="214"/>
      <c r="IKR523" s="215"/>
      <c r="IKT523" s="215"/>
      <c r="IKZ523" s="215"/>
      <c r="ILA523" s="215"/>
      <c r="ILB523" s="215"/>
      <c r="ILD523" s="215"/>
      <c r="ILT523" s="215"/>
      <c r="ILV523" s="215"/>
      <c r="ILY523" s="215"/>
      <c r="IMA523" s="215"/>
      <c r="IMC523" s="215"/>
      <c r="IME523" s="215"/>
      <c r="IMG523" s="215"/>
      <c r="IMN523" s="212"/>
      <c r="IMO523" s="213"/>
      <c r="IMS523" s="214"/>
      <c r="IMW523" s="215"/>
      <c r="IMY523" s="215"/>
      <c r="INE523" s="215"/>
      <c r="INF523" s="215"/>
      <c r="ING523" s="215"/>
      <c r="INI523" s="215"/>
      <c r="INY523" s="215"/>
      <c r="IOA523" s="215"/>
      <c r="IOD523" s="215"/>
      <c r="IOF523" s="215"/>
      <c r="IOH523" s="215"/>
      <c r="IOJ523" s="215"/>
      <c r="IOL523" s="215"/>
      <c r="IOS523" s="212"/>
      <c r="IOT523" s="213"/>
      <c r="IOX523" s="214"/>
      <c r="IPB523" s="215"/>
      <c r="IPD523" s="215"/>
      <c r="IPJ523" s="215"/>
      <c r="IPK523" s="215"/>
      <c r="IPL523" s="215"/>
      <c r="IPN523" s="215"/>
      <c r="IQD523" s="215"/>
      <c r="IQF523" s="215"/>
      <c r="IQI523" s="215"/>
      <c r="IQK523" s="215"/>
      <c r="IQM523" s="215"/>
      <c r="IQO523" s="215"/>
      <c r="IQQ523" s="215"/>
      <c r="IQX523" s="212"/>
      <c r="IQY523" s="213"/>
      <c r="IRC523" s="214"/>
      <c r="IRG523" s="215"/>
      <c r="IRI523" s="215"/>
      <c r="IRO523" s="215"/>
      <c r="IRP523" s="215"/>
      <c r="IRQ523" s="215"/>
      <c r="IRS523" s="215"/>
      <c r="ISI523" s="215"/>
      <c r="ISK523" s="215"/>
      <c r="ISN523" s="215"/>
      <c r="ISP523" s="215"/>
      <c r="ISR523" s="215"/>
      <c r="IST523" s="215"/>
      <c r="ISV523" s="215"/>
      <c r="ITC523" s="212"/>
      <c r="ITD523" s="213"/>
      <c r="ITH523" s="214"/>
      <c r="ITL523" s="215"/>
      <c r="ITN523" s="215"/>
      <c r="ITT523" s="215"/>
      <c r="ITU523" s="215"/>
      <c r="ITV523" s="215"/>
      <c r="ITX523" s="215"/>
      <c r="IUN523" s="215"/>
      <c r="IUP523" s="215"/>
      <c r="IUS523" s="215"/>
      <c r="IUU523" s="215"/>
      <c r="IUW523" s="215"/>
      <c r="IUY523" s="215"/>
      <c r="IVA523" s="215"/>
      <c r="IVH523" s="212"/>
      <c r="IVI523" s="213"/>
      <c r="IVM523" s="214"/>
      <c r="IVQ523" s="215"/>
      <c r="IVS523" s="215"/>
      <c r="IVY523" s="215"/>
      <c r="IVZ523" s="215"/>
      <c r="IWA523" s="215"/>
      <c r="IWC523" s="215"/>
      <c r="IWS523" s="215"/>
      <c r="IWU523" s="215"/>
      <c r="IWX523" s="215"/>
      <c r="IWZ523" s="215"/>
      <c r="IXB523" s="215"/>
      <c r="IXD523" s="215"/>
      <c r="IXF523" s="215"/>
      <c r="IXM523" s="212"/>
      <c r="IXN523" s="213"/>
      <c r="IXR523" s="214"/>
      <c r="IXV523" s="215"/>
      <c r="IXX523" s="215"/>
      <c r="IYD523" s="215"/>
      <c r="IYE523" s="215"/>
      <c r="IYF523" s="215"/>
      <c r="IYH523" s="215"/>
      <c r="IYX523" s="215"/>
      <c r="IYZ523" s="215"/>
      <c r="IZC523" s="215"/>
      <c r="IZE523" s="215"/>
      <c r="IZG523" s="215"/>
      <c r="IZI523" s="215"/>
      <c r="IZK523" s="215"/>
      <c r="IZR523" s="212"/>
      <c r="IZS523" s="213"/>
      <c r="IZW523" s="214"/>
      <c r="JAA523" s="215"/>
      <c r="JAC523" s="215"/>
      <c r="JAI523" s="215"/>
      <c r="JAJ523" s="215"/>
      <c r="JAK523" s="215"/>
      <c r="JAM523" s="215"/>
      <c r="JBC523" s="215"/>
      <c r="JBE523" s="215"/>
      <c r="JBH523" s="215"/>
      <c r="JBJ523" s="215"/>
      <c r="JBL523" s="215"/>
      <c r="JBN523" s="215"/>
      <c r="JBP523" s="215"/>
      <c r="JBW523" s="212"/>
      <c r="JBX523" s="213"/>
      <c r="JCB523" s="214"/>
      <c r="JCF523" s="215"/>
      <c r="JCH523" s="215"/>
      <c r="JCN523" s="215"/>
      <c r="JCO523" s="215"/>
      <c r="JCP523" s="215"/>
      <c r="JCR523" s="215"/>
      <c r="JDH523" s="215"/>
      <c r="JDJ523" s="215"/>
      <c r="JDM523" s="215"/>
      <c r="JDO523" s="215"/>
      <c r="JDQ523" s="215"/>
      <c r="JDS523" s="215"/>
      <c r="JDU523" s="215"/>
      <c r="JEB523" s="212"/>
      <c r="JEC523" s="213"/>
      <c r="JEG523" s="214"/>
      <c r="JEK523" s="215"/>
      <c r="JEM523" s="215"/>
      <c r="JES523" s="215"/>
      <c r="JET523" s="215"/>
      <c r="JEU523" s="215"/>
      <c r="JEW523" s="215"/>
      <c r="JFM523" s="215"/>
      <c r="JFO523" s="215"/>
      <c r="JFR523" s="215"/>
      <c r="JFT523" s="215"/>
      <c r="JFV523" s="215"/>
      <c r="JFX523" s="215"/>
      <c r="JFZ523" s="215"/>
      <c r="JGG523" s="212"/>
      <c r="JGH523" s="213"/>
      <c r="JGL523" s="214"/>
      <c r="JGP523" s="215"/>
      <c r="JGR523" s="215"/>
      <c r="JGX523" s="215"/>
      <c r="JGY523" s="215"/>
      <c r="JGZ523" s="215"/>
      <c r="JHB523" s="215"/>
      <c r="JHR523" s="215"/>
      <c r="JHT523" s="215"/>
      <c r="JHW523" s="215"/>
      <c r="JHY523" s="215"/>
      <c r="JIA523" s="215"/>
      <c r="JIC523" s="215"/>
      <c r="JIE523" s="215"/>
      <c r="JIL523" s="212"/>
      <c r="JIM523" s="213"/>
      <c r="JIQ523" s="214"/>
      <c r="JIU523" s="215"/>
      <c r="JIW523" s="215"/>
      <c r="JJC523" s="215"/>
      <c r="JJD523" s="215"/>
      <c r="JJE523" s="215"/>
      <c r="JJG523" s="215"/>
      <c r="JJW523" s="215"/>
      <c r="JJY523" s="215"/>
      <c r="JKB523" s="215"/>
      <c r="JKD523" s="215"/>
      <c r="JKF523" s="215"/>
      <c r="JKH523" s="215"/>
      <c r="JKJ523" s="215"/>
      <c r="JKQ523" s="212"/>
      <c r="JKR523" s="213"/>
      <c r="JKV523" s="214"/>
      <c r="JKZ523" s="215"/>
      <c r="JLB523" s="215"/>
      <c r="JLH523" s="215"/>
      <c r="JLI523" s="215"/>
      <c r="JLJ523" s="215"/>
      <c r="JLL523" s="215"/>
      <c r="JMB523" s="215"/>
      <c r="JMD523" s="215"/>
      <c r="JMG523" s="215"/>
      <c r="JMI523" s="215"/>
      <c r="JMK523" s="215"/>
      <c r="JMM523" s="215"/>
      <c r="JMO523" s="215"/>
      <c r="JMV523" s="212"/>
      <c r="JMW523" s="213"/>
      <c r="JNA523" s="214"/>
      <c r="JNE523" s="215"/>
      <c r="JNG523" s="215"/>
      <c r="JNM523" s="215"/>
      <c r="JNN523" s="215"/>
      <c r="JNO523" s="215"/>
      <c r="JNQ523" s="215"/>
      <c r="JOG523" s="215"/>
      <c r="JOI523" s="215"/>
      <c r="JOL523" s="215"/>
      <c r="JON523" s="215"/>
      <c r="JOP523" s="215"/>
      <c r="JOR523" s="215"/>
      <c r="JOT523" s="215"/>
      <c r="JPA523" s="212"/>
      <c r="JPB523" s="213"/>
      <c r="JPF523" s="214"/>
      <c r="JPJ523" s="215"/>
      <c r="JPL523" s="215"/>
      <c r="JPR523" s="215"/>
      <c r="JPS523" s="215"/>
      <c r="JPT523" s="215"/>
      <c r="JPV523" s="215"/>
      <c r="JQL523" s="215"/>
      <c r="JQN523" s="215"/>
      <c r="JQQ523" s="215"/>
      <c r="JQS523" s="215"/>
      <c r="JQU523" s="215"/>
      <c r="JQW523" s="215"/>
      <c r="JQY523" s="215"/>
      <c r="JRF523" s="212"/>
      <c r="JRG523" s="213"/>
      <c r="JRK523" s="214"/>
      <c r="JRO523" s="215"/>
      <c r="JRQ523" s="215"/>
      <c r="JRW523" s="215"/>
      <c r="JRX523" s="215"/>
      <c r="JRY523" s="215"/>
      <c r="JSA523" s="215"/>
      <c r="JSQ523" s="215"/>
      <c r="JSS523" s="215"/>
      <c r="JSV523" s="215"/>
      <c r="JSX523" s="215"/>
      <c r="JSZ523" s="215"/>
      <c r="JTB523" s="215"/>
      <c r="JTD523" s="215"/>
      <c r="JTK523" s="212"/>
      <c r="JTL523" s="213"/>
      <c r="JTP523" s="214"/>
      <c r="JTT523" s="215"/>
      <c r="JTV523" s="215"/>
      <c r="JUB523" s="215"/>
      <c r="JUC523" s="215"/>
      <c r="JUD523" s="215"/>
      <c r="JUF523" s="215"/>
      <c r="JUV523" s="215"/>
      <c r="JUX523" s="215"/>
      <c r="JVA523" s="215"/>
      <c r="JVC523" s="215"/>
      <c r="JVE523" s="215"/>
      <c r="JVG523" s="215"/>
      <c r="JVI523" s="215"/>
      <c r="JVP523" s="212"/>
      <c r="JVQ523" s="213"/>
      <c r="JVU523" s="214"/>
      <c r="JVY523" s="215"/>
      <c r="JWA523" s="215"/>
      <c r="JWG523" s="215"/>
      <c r="JWH523" s="215"/>
      <c r="JWI523" s="215"/>
      <c r="JWK523" s="215"/>
      <c r="JXA523" s="215"/>
      <c r="JXC523" s="215"/>
      <c r="JXF523" s="215"/>
      <c r="JXH523" s="215"/>
      <c r="JXJ523" s="215"/>
      <c r="JXL523" s="215"/>
      <c r="JXN523" s="215"/>
      <c r="JXU523" s="212"/>
      <c r="JXV523" s="213"/>
      <c r="JXZ523" s="214"/>
      <c r="JYD523" s="215"/>
      <c r="JYF523" s="215"/>
      <c r="JYL523" s="215"/>
      <c r="JYM523" s="215"/>
      <c r="JYN523" s="215"/>
      <c r="JYP523" s="215"/>
      <c r="JZF523" s="215"/>
      <c r="JZH523" s="215"/>
      <c r="JZK523" s="215"/>
      <c r="JZM523" s="215"/>
      <c r="JZO523" s="215"/>
      <c r="JZQ523" s="215"/>
      <c r="JZS523" s="215"/>
      <c r="JZZ523" s="212"/>
      <c r="KAA523" s="213"/>
      <c r="KAE523" s="214"/>
      <c r="KAI523" s="215"/>
      <c r="KAK523" s="215"/>
      <c r="KAQ523" s="215"/>
      <c r="KAR523" s="215"/>
      <c r="KAS523" s="215"/>
      <c r="KAU523" s="215"/>
      <c r="KBK523" s="215"/>
      <c r="KBM523" s="215"/>
      <c r="KBP523" s="215"/>
      <c r="KBR523" s="215"/>
      <c r="KBT523" s="215"/>
      <c r="KBV523" s="215"/>
      <c r="KBX523" s="215"/>
      <c r="KCE523" s="212"/>
      <c r="KCF523" s="213"/>
      <c r="KCJ523" s="214"/>
      <c r="KCN523" s="215"/>
      <c r="KCP523" s="215"/>
      <c r="KCV523" s="215"/>
      <c r="KCW523" s="215"/>
      <c r="KCX523" s="215"/>
      <c r="KCZ523" s="215"/>
      <c r="KDP523" s="215"/>
      <c r="KDR523" s="215"/>
      <c r="KDU523" s="215"/>
      <c r="KDW523" s="215"/>
      <c r="KDY523" s="215"/>
      <c r="KEA523" s="215"/>
      <c r="KEC523" s="215"/>
      <c r="KEJ523" s="212"/>
      <c r="KEK523" s="213"/>
      <c r="KEO523" s="214"/>
      <c r="KES523" s="215"/>
      <c r="KEU523" s="215"/>
      <c r="KFA523" s="215"/>
      <c r="KFB523" s="215"/>
      <c r="KFC523" s="215"/>
      <c r="KFE523" s="215"/>
      <c r="KFU523" s="215"/>
      <c r="KFW523" s="215"/>
      <c r="KFZ523" s="215"/>
      <c r="KGB523" s="215"/>
      <c r="KGD523" s="215"/>
      <c r="KGF523" s="215"/>
      <c r="KGH523" s="215"/>
      <c r="KGO523" s="212"/>
      <c r="KGP523" s="213"/>
      <c r="KGT523" s="214"/>
      <c r="KGX523" s="215"/>
      <c r="KGZ523" s="215"/>
      <c r="KHF523" s="215"/>
      <c r="KHG523" s="215"/>
      <c r="KHH523" s="215"/>
      <c r="KHJ523" s="215"/>
      <c r="KHZ523" s="215"/>
      <c r="KIB523" s="215"/>
      <c r="KIE523" s="215"/>
      <c r="KIG523" s="215"/>
      <c r="KII523" s="215"/>
      <c r="KIK523" s="215"/>
      <c r="KIM523" s="215"/>
      <c r="KIT523" s="212"/>
      <c r="KIU523" s="213"/>
      <c r="KIY523" s="214"/>
      <c r="KJC523" s="215"/>
      <c r="KJE523" s="215"/>
      <c r="KJK523" s="215"/>
      <c r="KJL523" s="215"/>
      <c r="KJM523" s="215"/>
      <c r="KJO523" s="215"/>
      <c r="KKE523" s="215"/>
      <c r="KKG523" s="215"/>
      <c r="KKJ523" s="215"/>
      <c r="KKL523" s="215"/>
      <c r="KKN523" s="215"/>
      <c r="KKP523" s="215"/>
      <c r="KKR523" s="215"/>
      <c r="KKY523" s="212"/>
      <c r="KKZ523" s="213"/>
      <c r="KLD523" s="214"/>
      <c r="KLH523" s="215"/>
      <c r="KLJ523" s="215"/>
      <c r="KLP523" s="215"/>
      <c r="KLQ523" s="215"/>
      <c r="KLR523" s="215"/>
      <c r="KLT523" s="215"/>
      <c r="KMJ523" s="215"/>
      <c r="KML523" s="215"/>
      <c r="KMO523" s="215"/>
      <c r="KMQ523" s="215"/>
      <c r="KMS523" s="215"/>
      <c r="KMU523" s="215"/>
      <c r="KMW523" s="215"/>
      <c r="KND523" s="212"/>
      <c r="KNE523" s="213"/>
      <c r="KNI523" s="214"/>
      <c r="KNM523" s="215"/>
      <c r="KNO523" s="215"/>
      <c r="KNU523" s="215"/>
      <c r="KNV523" s="215"/>
      <c r="KNW523" s="215"/>
      <c r="KNY523" s="215"/>
      <c r="KOO523" s="215"/>
      <c r="KOQ523" s="215"/>
      <c r="KOT523" s="215"/>
      <c r="KOV523" s="215"/>
      <c r="KOX523" s="215"/>
      <c r="KOZ523" s="215"/>
      <c r="KPB523" s="215"/>
      <c r="KPI523" s="212"/>
      <c r="KPJ523" s="213"/>
      <c r="KPN523" s="214"/>
      <c r="KPR523" s="215"/>
      <c r="KPT523" s="215"/>
      <c r="KPZ523" s="215"/>
      <c r="KQA523" s="215"/>
      <c r="KQB523" s="215"/>
      <c r="KQD523" s="215"/>
      <c r="KQT523" s="215"/>
      <c r="KQV523" s="215"/>
      <c r="KQY523" s="215"/>
      <c r="KRA523" s="215"/>
      <c r="KRC523" s="215"/>
      <c r="KRE523" s="215"/>
      <c r="KRG523" s="215"/>
      <c r="KRN523" s="212"/>
      <c r="KRO523" s="213"/>
      <c r="KRS523" s="214"/>
      <c r="KRW523" s="215"/>
      <c r="KRY523" s="215"/>
      <c r="KSE523" s="215"/>
      <c r="KSF523" s="215"/>
      <c r="KSG523" s="215"/>
      <c r="KSI523" s="215"/>
      <c r="KSY523" s="215"/>
      <c r="KTA523" s="215"/>
      <c r="KTD523" s="215"/>
      <c r="KTF523" s="215"/>
      <c r="KTH523" s="215"/>
      <c r="KTJ523" s="215"/>
      <c r="KTL523" s="215"/>
      <c r="KTS523" s="212"/>
      <c r="KTT523" s="213"/>
      <c r="KTX523" s="214"/>
      <c r="KUB523" s="215"/>
      <c r="KUD523" s="215"/>
      <c r="KUJ523" s="215"/>
      <c r="KUK523" s="215"/>
      <c r="KUL523" s="215"/>
      <c r="KUN523" s="215"/>
      <c r="KVD523" s="215"/>
      <c r="KVF523" s="215"/>
      <c r="KVI523" s="215"/>
      <c r="KVK523" s="215"/>
      <c r="KVM523" s="215"/>
      <c r="KVO523" s="215"/>
      <c r="KVQ523" s="215"/>
      <c r="KVX523" s="212"/>
      <c r="KVY523" s="213"/>
      <c r="KWC523" s="214"/>
      <c r="KWG523" s="215"/>
      <c r="KWI523" s="215"/>
      <c r="KWO523" s="215"/>
      <c r="KWP523" s="215"/>
      <c r="KWQ523" s="215"/>
      <c r="KWS523" s="215"/>
      <c r="KXI523" s="215"/>
      <c r="KXK523" s="215"/>
      <c r="KXN523" s="215"/>
      <c r="KXP523" s="215"/>
      <c r="KXR523" s="215"/>
      <c r="KXT523" s="215"/>
      <c r="KXV523" s="215"/>
      <c r="KYC523" s="212"/>
      <c r="KYD523" s="213"/>
      <c r="KYH523" s="214"/>
      <c r="KYL523" s="215"/>
      <c r="KYN523" s="215"/>
      <c r="KYT523" s="215"/>
      <c r="KYU523" s="215"/>
      <c r="KYV523" s="215"/>
      <c r="KYX523" s="215"/>
      <c r="KZN523" s="215"/>
      <c r="KZP523" s="215"/>
      <c r="KZS523" s="215"/>
      <c r="KZU523" s="215"/>
      <c r="KZW523" s="215"/>
      <c r="KZY523" s="215"/>
      <c r="LAA523" s="215"/>
      <c r="LAH523" s="212"/>
      <c r="LAI523" s="213"/>
      <c r="LAM523" s="214"/>
      <c r="LAQ523" s="215"/>
      <c r="LAS523" s="215"/>
      <c r="LAY523" s="215"/>
      <c r="LAZ523" s="215"/>
      <c r="LBA523" s="215"/>
      <c r="LBC523" s="215"/>
      <c r="LBS523" s="215"/>
      <c r="LBU523" s="215"/>
      <c r="LBX523" s="215"/>
      <c r="LBZ523" s="215"/>
      <c r="LCB523" s="215"/>
      <c r="LCD523" s="215"/>
      <c r="LCF523" s="215"/>
      <c r="LCM523" s="212"/>
      <c r="LCN523" s="213"/>
      <c r="LCR523" s="214"/>
      <c r="LCV523" s="215"/>
      <c r="LCX523" s="215"/>
      <c r="LDD523" s="215"/>
      <c r="LDE523" s="215"/>
      <c r="LDF523" s="215"/>
      <c r="LDH523" s="215"/>
      <c r="LDX523" s="215"/>
      <c r="LDZ523" s="215"/>
      <c r="LEC523" s="215"/>
      <c r="LEE523" s="215"/>
      <c r="LEG523" s="215"/>
      <c r="LEI523" s="215"/>
      <c r="LEK523" s="215"/>
      <c r="LER523" s="212"/>
      <c r="LES523" s="213"/>
      <c r="LEW523" s="214"/>
      <c r="LFA523" s="215"/>
      <c r="LFC523" s="215"/>
      <c r="LFI523" s="215"/>
      <c r="LFJ523" s="215"/>
      <c r="LFK523" s="215"/>
      <c r="LFM523" s="215"/>
      <c r="LGC523" s="215"/>
      <c r="LGE523" s="215"/>
      <c r="LGH523" s="215"/>
      <c r="LGJ523" s="215"/>
      <c r="LGL523" s="215"/>
      <c r="LGN523" s="215"/>
      <c r="LGP523" s="215"/>
      <c r="LGW523" s="212"/>
      <c r="LGX523" s="213"/>
      <c r="LHB523" s="214"/>
      <c r="LHF523" s="215"/>
      <c r="LHH523" s="215"/>
      <c r="LHN523" s="215"/>
      <c r="LHO523" s="215"/>
      <c r="LHP523" s="215"/>
      <c r="LHR523" s="215"/>
      <c r="LIH523" s="215"/>
      <c r="LIJ523" s="215"/>
      <c r="LIM523" s="215"/>
      <c r="LIO523" s="215"/>
      <c r="LIQ523" s="215"/>
      <c r="LIS523" s="215"/>
      <c r="LIU523" s="215"/>
      <c r="LJB523" s="212"/>
      <c r="LJC523" s="213"/>
      <c r="LJG523" s="214"/>
      <c r="LJK523" s="215"/>
      <c r="LJM523" s="215"/>
      <c r="LJS523" s="215"/>
      <c r="LJT523" s="215"/>
      <c r="LJU523" s="215"/>
      <c r="LJW523" s="215"/>
      <c r="LKM523" s="215"/>
      <c r="LKO523" s="215"/>
      <c r="LKR523" s="215"/>
      <c r="LKT523" s="215"/>
      <c r="LKV523" s="215"/>
      <c r="LKX523" s="215"/>
      <c r="LKZ523" s="215"/>
      <c r="LLG523" s="212"/>
      <c r="LLH523" s="213"/>
      <c r="LLL523" s="214"/>
      <c r="LLP523" s="215"/>
      <c r="LLR523" s="215"/>
      <c r="LLX523" s="215"/>
      <c r="LLY523" s="215"/>
      <c r="LLZ523" s="215"/>
      <c r="LMB523" s="215"/>
      <c r="LMR523" s="215"/>
      <c r="LMT523" s="215"/>
      <c r="LMW523" s="215"/>
      <c r="LMY523" s="215"/>
      <c r="LNA523" s="215"/>
      <c r="LNC523" s="215"/>
      <c r="LNE523" s="215"/>
      <c r="LNL523" s="212"/>
      <c r="LNM523" s="213"/>
      <c r="LNQ523" s="214"/>
      <c r="LNU523" s="215"/>
      <c r="LNW523" s="215"/>
      <c r="LOC523" s="215"/>
      <c r="LOD523" s="215"/>
      <c r="LOE523" s="215"/>
      <c r="LOG523" s="215"/>
      <c r="LOW523" s="215"/>
      <c r="LOY523" s="215"/>
      <c r="LPB523" s="215"/>
      <c r="LPD523" s="215"/>
      <c r="LPF523" s="215"/>
      <c r="LPH523" s="215"/>
      <c r="LPJ523" s="215"/>
      <c r="LPQ523" s="212"/>
      <c r="LPR523" s="213"/>
      <c r="LPV523" s="214"/>
      <c r="LPZ523" s="215"/>
      <c r="LQB523" s="215"/>
      <c r="LQH523" s="215"/>
      <c r="LQI523" s="215"/>
      <c r="LQJ523" s="215"/>
      <c r="LQL523" s="215"/>
      <c r="LRB523" s="215"/>
      <c r="LRD523" s="215"/>
      <c r="LRG523" s="215"/>
      <c r="LRI523" s="215"/>
      <c r="LRK523" s="215"/>
      <c r="LRM523" s="215"/>
      <c r="LRO523" s="215"/>
      <c r="LRV523" s="212"/>
      <c r="LRW523" s="213"/>
      <c r="LSA523" s="214"/>
      <c r="LSE523" s="215"/>
      <c r="LSG523" s="215"/>
      <c r="LSM523" s="215"/>
      <c r="LSN523" s="215"/>
      <c r="LSO523" s="215"/>
      <c r="LSQ523" s="215"/>
      <c r="LTG523" s="215"/>
      <c r="LTI523" s="215"/>
      <c r="LTL523" s="215"/>
      <c r="LTN523" s="215"/>
      <c r="LTP523" s="215"/>
      <c r="LTR523" s="215"/>
      <c r="LTT523" s="215"/>
      <c r="LUA523" s="212"/>
      <c r="LUB523" s="213"/>
      <c r="LUF523" s="214"/>
      <c r="LUJ523" s="215"/>
      <c r="LUL523" s="215"/>
      <c r="LUR523" s="215"/>
      <c r="LUS523" s="215"/>
      <c r="LUT523" s="215"/>
      <c r="LUV523" s="215"/>
      <c r="LVL523" s="215"/>
      <c r="LVN523" s="215"/>
      <c r="LVQ523" s="215"/>
      <c r="LVS523" s="215"/>
      <c r="LVU523" s="215"/>
      <c r="LVW523" s="215"/>
      <c r="LVY523" s="215"/>
      <c r="LWF523" s="212"/>
      <c r="LWG523" s="213"/>
      <c r="LWK523" s="214"/>
      <c r="LWO523" s="215"/>
      <c r="LWQ523" s="215"/>
      <c r="LWW523" s="215"/>
      <c r="LWX523" s="215"/>
      <c r="LWY523" s="215"/>
      <c r="LXA523" s="215"/>
      <c r="LXQ523" s="215"/>
      <c r="LXS523" s="215"/>
      <c r="LXV523" s="215"/>
      <c r="LXX523" s="215"/>
      <c r="LXZ523" s="215"/>
      <c r="LYB523" s="215"/>
      <c r="LYD523" s="215"/>
      <c r="LYK523" s="212"/>
      <c r="LYL523" s="213"/>
      <c r="LYP523" s="214"/>
      <c r="LYT523" s="215"/>
      <c r="LYV523" s="215"/>
      <c r="LZB523" s="215"/>
      <c r="LZC523" s="215"/>
      <c r="LZD523" s="215"/>
      <c r="LZF523" s="215"/>
      <c r="LZV523" s="215"/>
      <c r="LZX523" s="215"/>
      <c r="MAA523" s="215"/>
      <c r="MAC523" s="215"/>
      <c r="MAE523" s="215"/>
      <c r="MAG523" s="215"/>
      <c r="MAI523" s="215"/>
      <c r="MAP523" s="212"/>
      <c r="MAQ523" s="213"/>
      <c r="MAU523" s="214"/>
      <c r="MAY523" s="215"/>
      <c r="MBA523" s="215"/>
      <c r="MBG523" s="215"/>
      <c r="MBH523" s="215"/>
      <c r="MBI523" s="215"/>
      <c r="MBK523" s="215"/>
      <c r="MCA523" s="215"/>
      <c r="MCC523" s="215"/>
      <c r="MCF523" s="215"/>
      <c r="MCH523" s="215"/>
      <c r="MCJ523" s="215"/>
      <c r="MCL523" s="215"/>
      <c r="MCN523" s="215"/>
      <c r="MCU523" s="212"/>
      <c r="MCV523" s="213"/>
      <c r="MCZ523" s="214"/>
      <c r="MDD523" s="215"/>
      <c r="MDF523" s="215"/>
      <c r="MDL523" s="215"/>
      <c r="MDM523" s="215"/>
      <c r="MDN523" s="215"/>
      <c r="MDP523" s="215"/>
      <c r="MEF523" s="215"/>
      <c r="MEH523" s="215"/>
      <c r="MEK523" s="215"/>
      <c r="MEM523" s="215"/>
      <c r="MEO523" s="215"/>
      <c r="MEQ523" s="215"/>
      <c r="MES523" s="215"/>
      <c r="MEZ523" s="212"/>
      <c r="MFA523" s="213"/>
      <c r="MFE523" s="214"/>
      <c r="MFI523" s="215"/>
      <c r="MFK523" s="215"/>
      <c r="MFQ523" s="215"/>
      <c r="MFR523" s="215"/>
      <c r="MFS523" s="215"/>
      <c r="MFU523" s="215"/>
      <c r="MGK523" s="215"/>
      <c r="MGM523" s="215"/>
      <c r="MGP523" s="215"/>
      <c r="MGR523" s="215"/>
      <c r="MGT523" s="215"/>
      <c r="MGV523" s="215"/>
      <c r="MGX523" s="215"/>
      <c r="MHE523" s="212"/>
      <c r="MHF523" s="213"/>
      <c r="MHJ523" s="214"/>
      <c r="MHN523" s="215"/>
      <c r="MHP523" s="215"/>
      <c r="MHV523" s="215"/>
      <c r="MHW523" s="215"/>
      <c r="MHX523" s="215"/>
      <c r="MHZ523" s="215"/>
      <c r="MIP523" s="215"/>
      <c r="MIR523" s="215"/>
      <c r="MIU523" s="215"/>
      <c r="MIW523" s="215"/>
      <c r="MIY523" s="215"/>
      <c r="MJA523" s="215"/>
      <c r="MJC523" s="215"/>
      <c r="MJJ523" s="212"/>
      <c r="MJK523" s="213"/>
      <c r="MJO523" s="214"/>
      <c r="MJS523" s="215"/>
      <c r="MJU523" s="215"/>
      <c r="MKA523" s="215"/>
      <c r="MKB523" s="215"/>
      <c r="MKC523" s="215"/>
      <c r="MKE523" s="215"/>
      <c r="MKU523" s="215"/>
      <c r="MKW523" s="215"/>
      <c r="MKZ523" s="215"/>
      <c r="MLB523" s="215"/>
      <c r="MLD523" s="215"/>
      <c r="MLF523" s="215"/>
      <c r="MLH523" s="215"/>
      <c r="MLO523" s="212"/>
      <c r="MLP523" s="213"/>
      <c r="MLT523" s="214"/>
      <c r="MLX523" s="215"/>
      <c r="MLZ523" s="215"/>
      <c r="MMF523" s="215"/>
      <c r="MMG523" s="215"/>
      <c r="MMH523" s="215"/>
      <c r="MMJ523" s="215"/>
      <c r="MMZ523" s="215"/>
      <c r="MNB523" s="215"/>
      <c r="MNE523" s="215"/>
      <c r="MNG523" s="215"/>
      <c r="MNI523" s="215"/>
      <c r="MNK523" s="215"/>
      <c r="MNM523" s="215"/>
      <c r="MNT523" s="212"/>
      <c r="MNU523" s="213"/>
      <c r="MNY523" s="214"/>
      <c r="MOC523" s="215"/>
      <c r="MOE523" s="215"/>
      <c r="MOK523" s="215"/>
      <c r="MOL523" s="215"/>
      <c r="MOM523" s="215"/>
      <c r="MOO523" s="215"/>
      <c r="MPE523" s="215"/>
      <c r="MPG523" s="215"/>
      <c r="MPJ523" s="215"/>
      <c r="MPL523" s="215"/>
      <c r="MPN523" s="215"/>
      <c r="MPP523" s="215"/>
      <c r="MPR523" s="215"/>
      <c r="MPY523" s="212"/>
      <c r="MPZ523" s="213"/>
      <c r="MQD523" s="214"/>
      <c r="MQH523" s="215"/>
      <c r="MQJ523" s="215"/>
      <c r="MQP523" s="215"/>
      <c r="MQQ523" s="215"/>
      <c r="MQR523" s="215"/>
      <c r="MQT523" s="215"/>
      <c r="MRJ523" s="215"/>
      <c r="MRL523" s="215"/>
      <c r="MRO523" s="215"/>
      <c r="MRQ523" s="215"/>
      <c r="MRS523" s="215"/>
      <c r="MRU523" s="215"/>
      <c r="MRW523" s="215"/>
      <c r="MSD523" s="212"/>
      <c r="MSE523" s="213"/>
      <c r="MSI523" s="214"/>
      <c r="MSM523" s="215"/>
      <c r="MSO523" s="215"/>
      <c r="MSU523" s="215"/>
      <c r="MSV523" s="215"/>
      <c r="MSW523" s="215"/>
      <c r="MSY523" s="215"/>
      <c r="MTO523" s="215"/>
      <c r="MTQ523" s="215"/>
      <c r="MTT523" s="215"/>
      <c r="MTV523" s="215"/>
      <c r="MTX523" s="215"/>
      <c r="MTZ523" s="215"/>
      <c r="MUB523" s="215"/>
      <c r="MUI523" s="212"/>
      <c r="MUJ523" s="213"/>
      <c r="MUN523" s="214"/>
      <c r="MUR523" s="215"/>
      <c r="MUT523" s="215"/>
      <c r="MUZ523" s="215"/>
      <c r="MVA523" s="215"/>
      <c r="MVB523" s="215"/>
      <c r="MVD523" s="215"/>
      <c r="MVT523" s="215"/>
      <c r="MVV523" s="215"/>
      <c r="MVY523" s="215"/>
      <c r="MWA523" s="215"/>
      <c r="MWC523" s="215"/>
      <c r="MWE523" s="215"/>
      <c r="MWG523" s="215"/>
      <c r="MWN523" s="212"/>
      <c r="MWO523" s="213"/>
      <c r="MWS523" s="214"/>
      <c r="MWW523" s="215"/>
      <c r="MWY523" s="215"/>
      <c r="MXE523" s="215"/>
      <c r="MXF523" s="215"/>
      <c r="MXG523" s="215"/>
      <c r="MXI523" s="215"/>
      <c r="MXY523" s="215"/>
      <c r="MYA523" s="215"/>
      <c r="MYD523" s="215"/>
      <c r="MYF523" s="215"/>
      <c r="MYH523" s="215"/>
      <c r="MYJ523" s="215"/>
      <c r="MYL523" s="215"/>
      <c r="MYS523" s="212"/>
      <c r="MYT523" s="213"/>
      <c r="MYX523" s="214"/>
      <c r="MZB523" s="215"/>
      <c r="MZD523" s="215"/>
      <c r="MZJ523" s="215"/>
      <c r="MZK523" s="215"/>
      <c r="MZL523" s="215"/>
      <c r="MZN523" s="215"/>
      <c r="NAD523" s="215"/>
      <c r="NAF523" s="215"/>
      <c r="NAI523" s="215"/>
      <c r="NAK523" s="215"/>
      <c r="NAM523" s="215"/>
      <c r="NAO523" s="215"/>
      <c r="NAQ523" s="215"/>
      <c r="NAX523" s="212"/>
      <c r="NAY523" s="213"/>
      <c r="NBC523" s="214"/>
      <c r="NBG523" s="215"/>
      <c r="NBI523" s="215"/>
      <c r="NBO523" s="215"/>
      <c r="NBP523" s="215"/>
      <c r="NBQ523" s="215"/>
      <c r="NBS523" s="215"/>
      <c r="NCI523" s="215"/>
      <c r="NCK523" s="215"/>
      <c r="NCN523" s="215"/>
      <c r="NCP523" s="215"/>
      <c r="NCR523" s="215"/>
      <c r="NCT523" s="215"/>
      <c r="NCV523" s="215"/>
      <c r="NDC523" s="212"/>
      <c r="NDD523" s="213"/>
      <c r="NDH523" s="214"/>
      <c r="NDL523" s="215"/>
      <c r="NDN523" s="215"/>
      <c r="NDT523" s="215"/>
      <c r="NDU523" s="215"/>
      <c r="NDV523" s="215"/>
      <c r="NDX523" s="215"/>
      <c r="NEN523" s="215"/>
      <c r="NEP523" s="215"/>
      <c r="NES523" s="215"/>
      <c r="NEU523" s="215"/>
      <c r="NEW523" s="215"/>
      <c r="NEY523" s="215"/>
      <c r="NFA523" s="215"/>
      <c r="NFH523" s="212"/>
      <c r="NFI523" s="213"/>
      <c r="NFM523" s="214"/>
      <c r="NFQ523" s="215"/>
      <c r="NFS523" s="215"/>
      <c r="NFY523" s="215"/>
      <c r="NFZ523" s="215"/>
      <c r="NGA523" s="215"/>
      <c r="NGC523" s="215"/>
      <c r="NGS523" s="215"/>
      <c r="NGU523" s="215"/>
      <c r="NGX523" s="215"/>
      <c r="NGZ523" s="215"/>
      <c r="NHB523" s="215"/>
      <c r="NHD523" s="215"/>
      <c r="NHF523" s="215"/>
      <c r="NHM523" s="212"/>
      <c r="NHN523" s="213"/>
      <c r="NHR523" s="214"/>
      <c r="NHV523" s="215"/>
      <c r="NHX523" s="215"/>
      <c r="NID523" s="215"/>
      <c r="NIE523" s="215"/>
      <c r="NIF523" s="215"/>
      <c r="NIH523" s="215"/>
      <c r="NIX523" s="215"/>
      <c r="NIZ523" s="215"/>
      <c r="NJC523" s="215"/>
      <c r="NJE523" s="215"/>
      <c r="NJG523" s="215"/>
      <c r="NJI523" s="215"/>
      <c r="NJK523" s="215"/>
      <c r="NJR523" s="212"/>
      <c r="NJS523" s="213"/>
      <c r="NJW523" s="214"/>
      <c r="NKA523" s="215"/>
      <c r="NKC523" s="215"/>
      <c r="NKI523" s="215"/>
      <c r="NKJ523" s="215"/>
      <c r="NKK523" s="215"/>
      <c r="NKM523" s="215"/>
      <c r="NLC523" s="215"/>
      <c r="NLE523" s="215"/>
      <c r="NLH523" s="215"/>
      <c r="NLJ523" s="215"/>
      <c r="NLL523" s="215"/>
      <c r="NLN523" s="215"/>
      <c r="NLP523" s="215"/>
      <c r="NLW523" s="212"/>
      <c r="NLX523" s="213"/>
      <c r="NMB523" s="214"/>
      <c r="NMF523" s="215"/>
      <c r="NMH523" s="215"/>
      <c r="NMN523" s="215"/>
      <c r="NMO523" s="215"/>
      <c r="NMP523" s="215"/>
      <c r="NMR523" s="215"/>
      <c r="NNH523" s="215"/>
      <c r="NNJ523" s="215"/>
      <c r="NNM523" s="215"/>
      <c r="NNO523" s="215"/>
      <c r="NNQ523" s="215"/>
      <c r="NNS523" s="215"/>
      <c r="NNU523" s="215"/>
      <c r="NOB523" s="212"/>
      <c r="NOC523" s="213"/>
      <c r="NOG523" s="214"/>
      <c r="NOK523" s="215"/>
      <c r="NOM523" s="215"/>
      <c r="NOS523" s="215"/>
      <c r="NOT523" s="215"/>
      <c r="NOU523" s="215"/>
      <c r="NOW523" s="215"/>
      <c r="NPM523" s="215"/>
      <c r="NPO523" s="215"/>
      <c r="NPR523" s="215"/>
      <c r="NPT523" s="215"/>
      <c r="NPV523" s="215"/>
      <c r="NPX523" s="215"/>
      <c r="NPZ523" s="215"/>
      <c r="NQG523" s="212"/>
      <c r="NQH523" s="213"/>
      <c r="NQL523" s="214"/>
      <c r="NQP523" s="215"/>
      <c r="NQR523" s="215"/>
      <c r="NQX523" s="215"/>
      <c r="NQY523" s="215"/>
      <c r="NQZ523" s="215"/>
      <c r="NRB523" s="215"/>
      <c r="NRR523" s="215"/>
      <c r="NRT523" s="215"/>
      <c r="NRW523" s="215"/>
      <c r="NRY523" s="215"/>
      <c r="NSA523" s="215"/>
      <c r="NSC523" s="215"/>
      <c r="NSE523" s="215"/>
      <c r="NSL523" s="212"/>
      <c r="NSM523" s="213"/>
      <c r="NSQ523" s="214"/>
      <c r="NSU523" s="215"/>
      <c r="NSW523" s="215"/>
      <c r="NTC523" s="215"/>
      <c r="NTD523" s="215"/>
      <c r="NTE523" s="215"/>
      <c r="NTG523" s="215"/>
      <c r="NTW523" s="215"/>
      <c r="NTY523" s="215"/>
      <c r="NUB523" s="215"/>
      <c r="NUD523" s="215"/>
      <c r="NUF523" s="215"/>
      <c r="NUH523" s="215"/>
      <c r="NUJ523" s="215"/>
      <c r="NUQ523" s="212"/>
      <c r="NUR523" s="213"/>
      <c r="NUV523" s="214"/>
      <c r="NUZ523" s="215"/>
      <c r="NVB523" s="215"/>
      <c r="NVH523" s="215"/>
      <c r="NVI523" s="215"/>
      <c r="NVJ523" s="215"/>
      <c r="NVL523" s="215"/>
      <c r="NWB523" s="215"/>
      <c r="NWD523" s="215"/>
      <c r="NWG523" s="215"/>
      <c r="NWI523" s="215"/>
      <c r="NWK523" s="215"/>
      <c r="NWM523" s="215"/>
      <c r="NWO523" s="215"/>
      <c r="NWV523" s="212"/>
      <c r="NWW523" s="213"/>
      <c r="NXA523" s="214"/>
      <c r="NXE523" s="215"/>
      <c r="NXG523" s="215"/>
      <c r="NXM523" s="215"/>
      <c r="NXN523" s="215"/>
      <c r="NXO523" s="215"/>
      <c r="NXQ523" s="215"/>
      <c r="NYG523" s="215"/>
      <c r="NYI523" s="215"/>
      <c r="NYL523" s="215"/>
      <c r="NYN523" s="215"/>
      <c r="NYP523" s="215"/>
      <c r="NYR523" s="215"/>
      <c r="NYT523" s="215"/>
      <c r="NZA523" s="212"/>
      <c r="NZB523" s="213"/>
      <c r="NZF523" s="214"/>
      <c r="NZJ523" s="215"/>
      <c r="NZL523" s="215"/>
      <c r="NZR523" s="215"/>
      <c r="NZS523" s="215"/>
      <c r="NZT523" s="215"/>
      <c r="NZV523" s="215"/>
      <c r="OAL523" s="215"/>
      <c r="OAN523" s="215"/>
      <c r="OAQ523" s="215"/>
      <c r="OAS523" s="215"/>
      <c r="OAU523" s="215"/>
      <c r="OAW523" s="215"/>
      <c r="OAY523" s="215"/>
      <c r="OBF523" s="212"/>
      <c r="OBG523" s="213"/>
      <c r="OBK523" s="214"/>
      <c r="OBO523" s="215"/>
      <c r="OBQ523" s="215"/>
      <c r="OBW523" s="215"/>
      <c r="OBX523" s="215"/>
      <c r="OBY523" s="215"/>
      <c r="OCA523" s="215"/>
      <c r="OCQ523" s="215"/>
      <c r="OCS523" s="215"/>
      <c r="OCV523" s="215"/>
      <c r="OCX523" s="215"/>
      <c r="OCZ523" s="215"/>
      <c r="ODB523" s="215"/>
      <c r="ODD523" s="215"/>
      <c r="ODK523" s="212"/>
      <c r="ODL523" s="213"/>
      <c r="ODP523" s="214"/>
      <c r="ODT523" s="215"/>
      <c r="ODV523" s="215"/>
      <c r="OEB523" s="215"/>
      <c r="OEC523" s="215"/>
      <c r="OED523" s="215"/>
      <c r="OEF523" s="215"/>
      <c r="OEV523" s="215"/>
      <c r="OEX523" s="215"/>
      <c r="OFA523" s="215"/>
      <c r="OFC523" s="215"/>
      <c r="OFE523" s="215"/>
      <c r="OFG523" s="215"/>
      <c r="OFI523" s="215"/>
      <c r="OFP523" s="212"/>
      <c r="OFQ523" s="213"/>
      <c r="OFU523" s="214"/>
      <c r="OFY523" s="215"/>
      <c r="OGA523" s="215"/>
      <c r="OGG523" s="215"/>
      <c r="OGH523" s="215"/>
      <c r="OGI523" s="215"/>
      <c r="OGK523" s="215"/>
      <c r="OHA523" s="215"/>
      <c r="OHC523" s="215"/>
      <c r="OHF523" s="215"/>
      <c r="OHH523" s="215"/>
      <c r="OHJ523" s="215"/>
      <c r="OHL523" s="215"/>
      <c r="OHN523" s="215"/>
      <c r="OHU523" s="212"/>
      <c r="OHV523" s="213"/>
      <c r="OHZ523" s="214"/>
      <c r="OID523" s="215"/>
      <c r="OIF523" s="215"/>
      <c r="OIL523" s="215"/>
      <c r="OIM523" s="215"/>
      <c r="OIN523" s="215"/>
      <c r="OIP523" s="215"/>
      <c r="OJF523" s="215"/>
      <c r="OJH523" s="215"/>
      <c r="OJK523" s="215"/>
      <c r="OJM523" s="215"/>
      <c r="OJO523" s="215"/>
      <c r="OJQ523" s="215"/>
      <c r="OJS523" s="215"/>
      <c r="OJZ523" s="212"/>
      <c r="OKA523" s="213"/>
      <c r="OKE523" s="214"/>
      <c r="OKI523" s="215"/>
      <c r="OKK523" s="215"/>
      <c r="OKQ523" s="215"/>
      <c r="OKR523" s="215"/>
      <c r="OKS523" s="215"/>
      <c r="OKU523" s="215"/>
      <c r="OLK523" s="215"/>
      <c r="OLM523" s="215"/>
      <c r="OLP523" s="215"/>
      <c r="OLR523" s="215"/>
      <c r="OLT523" s="215"/>
      <c r="OLV523" s="215"/>
      <c r="OLX523" s="215"/>
      <c r="OME523" s="212"/>
      <c r="OMF523" s="213"/>
      <c r="OMJ523" s="214"/>
      <c r="OMN523" s="215"/>
      <c r="OMP523" s="215"/>
      <c r="OMV523" s="215"/>
      <c r="OMW523" s="215"/>
      <c r="OMX523" s="215"/>
      <c r="OMZ523" s="215"/>
      <c r="ONP523" s="215"/>
      <c r="ONR523" s="215"/>
      <c r="ONU523" s="215"/>
      <c r="ONW523" s="215"/>
      <c r="ONY523" s="215"/>
      <c r="OOA523" s="215"/>
      <c r="OOC523" s="215"/>
      <c r="OOJ523" s="212"/>
      <c r="OOK523" s="213"/>
      <c r="OOO523" s="214"/>
      <c r="OOS523" s="215"/>
      <c r="OOU523" s="215"/>
      <c r="OPA523" s="215"/>
      <c r="OPB523" s="215"/>
      <c r="OPC523" s="215"/>
      <c r="OPE523" s="215"/>
      <c r="OPU523" s="215"/>
      <c r="OPW523" s="215"/>
      <c r="OPZ523" s="215"/>
      <c r="OQB523" s="215"/>
      <c r="OQD523" s="215"/>
      <c r="OQF523" s="215"/>
      <c r="OQH523" s="215"/>
      <c r="OQO523" s="212"/>
      <c r="OQP523" s="213"/>
      <c r="OQT523" s="214"/>
      <c r="OQX523" s="215"/>
      <c r="OQZ523" s="215"/>
      <c r="ORF523" s="215"/>
      <c r="ORG523" s="215"/>
      <c r="ORH523" s="215"/>
      <c r="ORJ523" s="215"/>
      <c r="ORZ523" s="215"/>
      <c r="OSB523" s="215"/>
      <c r="OSE523" s="215"/>
      <c r="OSG523" s="215"/>
      <c r="OSI523" s="215"/>
      <c r="OSK523" s="215"/>
      <c r="OSM523" s="215"/>
      <c r="OST523" s="212"/>
      <c r="OSU523" s="213"/>
      <c r="OSY523" s="214"/>
      <c r="OTC523" s="215"/>
      <c r="OTE523" s="215"/>
      <c r="OTK523" s="215"/>
      <c r="OTL523" s="215"/>
      <c r="OTM523" s="215"/>
      <c r="OTO523" s="215"/>
      <c r="OUE523" s="215"/>
      <c r="OUG523" s="215"/>
      <c r="OUJ523" s="215"/>
      <c r="OUL523" s="215"/>
      <c r="OUN523" s="215"/>
      <c r="OUP523" s="215"/>
      <c r="OUR523" s="215"/>
      <c r="OUY523" s="212"/>
      <c r="OUZ523" s="213"/>
      <c r="OVD523" s="214"/>
      <c r="OVH523" s="215"/>
      <c r="OVJ523" s="215"/>
      <c r="OVP523" s="215"/>
      <c r="OVQ523" s="215"/>
      <c r="OVR523" s="215"/>
      <c r="OVT523" s="215"/>
      <c r="OWJ523" s="215"/>
      <c r="OWL523" s="215"/>
      <c r="OWO523" s="215"/>
      <c r="OWQ523" s="215"/>
      <c r="OWS523" s="215"/>
      <c r="OWU523" s="215"/>
      <c r="OWW523" s="215"/>
      <c r="OXD523" s="212"/>
      <c r="OXE523" s="213"/>
      <c r="OXI523" s="214"/>
      <c r="OXM523" s="215"/>
      <c r="OXO523" s="215"/>
      <c r="OXU523" s="215"/>
      <c r="OXV523" s="215"/>
      <c r="OXW523" s="215"/>
      <c r="OXY523" s="215"/>
      <c r="OYO523" s="215"/>
      <c r="OYQ523" s="215"/>
      <c r="OYT523" s="215"/>
      <c r="OYV523" s="215"/>
      <c r="OYX523" s="215"/>
      <c r="OYZ523" s="215"/>
      <c r="OZB523" s="215"/>
      <c r="OZI523" s="212"/>
      <c r="OZJ523" s="213"/>
      <c r="OZN523" s="214"/>
      <c r="OZR523" s="215"/>
      <c r="OZT523" s="215"/>
      <c r="OZZ523" s="215"/>
      <c r="PAA523" s="215"/>
      <c r="PAB523" s="215"/>
      <c r="PAD523" s="215"/>
      <c r="PAT523" s="215"/>
      <c r="PAV523" s="215"/>
      <c r="PAY523" s="215"/>
      <c r="PBA523" s="215"/>
      <c r="PBC523" s="215"/>
      <c r="PBE523" s="215"/>
      <c r="PBG523" s="215"/>
      <c r="PBN523" s="212"/>
      <c r="PBO523" s="213"/>
      <c r="PBS523" s="214"/>
      <c r="PBW523" s="215"/>
      <c r="PBY523" s="215"/>
      <c r="PCE523" s="215"/>
      <c r="PCF523" s="215"/>
      <c r="PCG523" s="215"/>
      <c r="PCI523" s="215"/>
      <c r="PCY523" s="215"/>
      <c r="PDA523" s="215"/>
      <c r="PDD523" s="215"/>
      <c r="PDF523" s="215"/>
      <c r="PDH523" s="215"/>
      <c r="PDJ523" s="215"/>
      <c r="PDL523" s="215"/>
      <c r="PDS523" s="212"/>
      <c r="PDT523" s="213"/>
      <c r="PDX523" s="214"/>
      <c r="PEB523" s="215"/>
      <c r="PED523" s="215"/>
      <c r="PEJ523" s="215"/>
      <c r="PEK523" s="215"/>
      <c r="PEL523" s="215"/>
      <c r="PEN523" s="215"/>
      <c r="PFD523" s="215"/>
      <c r="PFF523" s="215"/>
      <c r="PFI523" s="215"/>
      <c r="PFK523" s="215"/>
      <c r="PFM523" s="215"/>
      <c r="PFO523" s="215"/>
      <c r="PFQ523" s="215"/>
      <c r="PFX523" s="212"/>
      <c r="PFY523" s="213"/>
      <c r="PGC523" s="214"/>
      <c r="PGG523" s="215"/>
      <c r="PGI523" s="215"/>
      <c r="PGO523" s="215"/>
      <c r="PGP523" s="215"/>
      <c r="PGQ523" s="215"/>
      <c r="PGS523" s="215"/>
      <c r="PHI523" s="215"/>
      <c r="PHK523" s="215"/>
      <c r="PHN523" s="215"/>
      <c r="PHP523" s="215"/>
      <c r="PHR523" s="215"/>
      <c r="PHT523" s="215"/>
      <c r="PHV523" s="215"/>
      <c r="PIC523" s="212"/>
      <c r="PID523" s="213"/>
      <c r="PIH523" s="214"/>
      <c r="PIL523" s="215"/>
      <c r="PIN523" s="215"/>
      <c r="PIT523" s="215"/>
      <c r="PIU523" s="215"/>
      <c r="PIV523" s="215"/>
      <c r="PIX523" s="215"/>
      <c r="PJN523" s="215"/>
      <c r="PJP523" s="215"/>
      <c r="PJS523" s="215"/>
      <c r="PJU523" s="215"/>
      <c r="PJW523" s="215"/>
      <c r="PJY523" s="215"/>
      <c r="PKA523" s="215"/>
      <c r="PKH523" s="212"/>
      <c r="PKI523" s="213"/>
      <c r="PKM523" s="214"/>
      <c r="PKQ523" s="215"/>
      <c r="PKS523" s="215"/>
      <c r="PKY523" s="215"/>
      <c r="PKZ523" s="215"/>
      <c r="PLA523" s="215"/>
      <c r="PLC523" s="215"/>
      <c r="PLS523" s="215"/>
      <c r="PLU523" s="215"/>
      <c r="PLX523" s="215"/>
      <c r="PLZ523" s="215"/>
      <c r="PMB523" s="215"/>
      <c r="PMD523" s="215"/>
      <c r="PMF523" s="215"/>
      <c r="PMM523" s="212"/>
      <c r="PMN523" s="213"/>
      <c r="PMR523" s="214"/>
      <c r="PMV523" s="215"/>
      <c r="PMX523" s="215"/>
      <c r="PND523" s="215"/>
      <c r="PNE523" s="215"/>
      <c r="PNF523" s="215"/>
      <c r="PNH523" s="215"/>
      <c r="PNX523" s="215"/>
      <c r="PNZ523" s="215"/>
      <c r="POC523" s="215"/>
      <c r="POE523" s="215"/>
      <c r="POG523" s="215"/>
      <c r="POI523" s="215"/>
      <c r="POK523" s="215"/>
      <c r="POR523" s="212"/>
      <c r="POS523" s="213"/>
      <c r="POW523" s="214"/>
      <c r="PPA523" s="215"/>
      <c r="PPC523" s="215"/>
      <c r="PPI523" s="215"/>
      <c r="PPJ523" s="215"/>
      <c r="PPK523" s="215"/>
      <c r="PPM523" s="215"/>
      <c r="PQC523" s="215"/>
      <c r="PQE523" s="215"/>
      <c r="PQH523" s="215"/>
      <c r="PQJ523" s="215"/>
      <c r="PQL523" s="215"/>
      <c r="PQN523" s="215"/>
      <c r="PQP523" s="215"/>
      <c r="PQW523" s="212"/>
      <c r="PQX523" s="213"/>
      <c r="PRB523" s="214"/>
      <c r="PRF523" s="215"/>
      <c r="PRH523" s="215"/>
      <c r="PRN523" s="215"/>
      <c r="PRO523" s="215"/>
      <c r="PRP523" s="215"/>
      <c r="PRR523" s="215"/>
      <c r="PSH523" s="215"/>
      <c r="PSJ523" s="215"/>
      <c r="PSM523" s="215"/>
      <c r="PSO523" s="215"/>
      <c r="PSQ523" s="215"/>
      <c r="PSS523" s="215"/>
      <c r="PSU523" s="215"/>
      <c r="PTB523" s="212"/>
      <c r="PTC523" s="213"/>
      <c r="PTG523" s="214"/>
      <c r="PTK523" s="215"/>
      <c r="PTM523" s="215"/>
      <c r="PTS523" s="215"/>
      <c r="PTT523" s="215"/>
      <c r="PTU523" s="215"/>
      <c r="PTW523" s="215"/>
      <c r="PUM523" s="215"/>
      <c r="PUO523" s="215"/>
      <c r="PUR523" s="215"/>
      <c r="PUT523" s="215"/>
      <c r="PUV523" s="215"/>
      <c r="PUX523" s="215"/>
      <c r="PUZ523" s="215"/>
      <c r="PVG523" s="212"/>
      <c r="PVH523" s="213"/>
      <c r="PVL523" s="214"/>
      <c r="PVP523" s="215"/>
      <c r="PVR523" s="215"/>
      <c r="PVX523" s="215"/>
      <c r="PVY523" s="215"/>
      <c r="PVZ523" s="215"/>
      <c r="PWB523" s="215"/>
      <c r="PWR523" s="215"/>
      <c r="PWT523" s="215"/>
      <c r="PWW523" s="215"/>
      <c r="PWY523" s="215"/>
      <c r="PXA523" s="215"/>
      <c r="PXC523" s="215"/>
      <c r="PXE523" s="215"/>
      <c r="PXL523" s="212"/>
      <c r="PXM523" s="213"/>
      <c r="PXQ523" s="214"/>
      <c r="PXU523" s="215"/>
      <c r="PXW523" s="215"/>
      <c r="PYC523" s="215"/>
      <c r="PYD523" s="215"/>
      <c r="PYE523" s="215"/>
      <c r="PYG523" s="215"/>
      <c r="PYW523" s="215"/>
      <c r="PYY523" s="215"/>
      <c r="PZB523" s="215"/>
      <c r="PZD523" s="215"/>
      <c r="PZF523" s="215"/>
      <c r="PZH523" s="215"/>
      <c r="PZJ523" s="215"/>
      <c r="PZQ523" s="212"/>
      <c r="PZR523" s="213"/>
      <c r="PZV523" s="214"/>
      <c r="PZZ523" s="215"/>
      <c r="QAB523" s="215"/>
      <c r="QAH523" s="215"/>
      <c r="QAI523" s="215"/>
      <c r="QAJ523" s="215"/>
      <c r="QAL523" s="215"/>
      <c r="QBB523" s="215"/>
      <c r="QBD523" s="215"/>
      <c r="QBG523" s="215"/>
      <c r="QBI523" s="215"/>
      <c r="QBK523" s="215"/>
      <c r="QBM523" s="215"/>
      <c r="QBO523" s="215"/>
      <c r="QBV523" s="212"/>
      <c r="QBW523" s="213"/>
      <c r="QCA523" s="214"/>
      <c r="QCE523" s="215"/>
      <c r="QCG523" s="215"/>
      <c r="QCM523" s="215"/>
      <c r="QCN523" s="215"/>
      <c r="QCO523" s="215"/>
      <c r="QCQ523" s="215"/>
      <c r="QDG523" s="215"/>
      <c r="QDI523" s="215"/>
      <c r="QDL523" s="215"/>
      <c r="QDN523" s="215"/>
      <c r="QDP523" s="215"/>
      <c r="QDR523" s="215"/>
      <c r="QDT523" s="215"/>
      <c r="QEA523" s="212"/>
      <c r="QEB523" s="213"/>
      <c r="QEF523" s="214"/>
      <c r="QEJ523" s="215"/>
      <c r="QEL523" s="215"/>
      <c r="QER523" s="215"/>
      <c r="QES523" s="215"/>
      <c r="QET523" s="215"/>
      <c r="QEV523" s="215"/>
      <c r="QFL523" s="215"/>
      <c r="QFN523" s="215"/>
      <c r="QFQ523" s="215"/>
      <c r="QFS523" s="215"/>
      <c r="QFU523" s="215"/>
      <c r="QFW523" s="215"/>
      <c r="QFY523" s="215"/>
      <c r="QGF523" s="212"/>
      <c r="QGG523" s="213"/>
      <c r="QGK523" s="214"/>
      <c r="QGO523" s="215"/>
      <c r="QGQ523" s="215"/>
      <c r="QGW523" s="215"/>
      <c r="QGX523" s="215"/>
      <c r="QGY523" s="215"/>
      <c r="QHA523" s="215"/>
      <c r="QHQ523" s="215"/>
      <c r="QHS523" s="215"/>
      <c r="QHV523" s="215"/>
      <c r="QHX523" s="215"/>
      <c r="QHZ523" s="215"/>
      <c r="QIB523" s="215"/>
      <c r="QID523" s="215"/>
      <c r="QIK523" s="212"/>
      <c r="QIL523" s="213"/>
      <c r="QIP523" s="214"/>
      <c r="QIT523" s="215"/>
      <c r="QIV523" s="215"/>
      <c r="QJB523" s="215"/>
      <c r="QJC523" s="215"/>
      <c r="QJD523" s="215"/>
      <c r="QJF523" s="215"/>
      <c r="QJV523" s="215"/>
      <c r="QJX523" s="215"/>
      <c r="QKA523" s="215"/>
      <c r="QKC523" s="215"/>
      <c r="QKE523" s="215"/>
      <c r="QKG523" s="215"/>
      <c r="QKI523" s="215"/>
      <c r="QKP523" s="212"/>
      <c r="QKQ523" s="213"/>
      <c r="QKU523" s="214"/>
      <c r="QKY523" s="215"/>
      <c r="QLA523" s="215"/>
      <c r="QLG523" s="215"/>
      <c r="QLH523" s="215"/>
      <c r="QLI523" s="215"/>
      <c r="QLK523" s="215"/>
      <c r="QMA523" s="215"/>
      <c r="QMC523" s="215"/>
      <c r="QMF523" s="215"/>
      <c r="QMH523" s="215"/>
      <c r="QMJ523" s="215"/>
      <c r="QML523" s="215"/>
      <c r="QMN523" s="215"/>
      <c r="QMU523" s="212"/>
      <c r="QMV523" s="213"/>
      <c r="QMZ523" s="214"/>
      <c r="QND523" s="215"/>
      <c r="QNF523" s="215"/>
      <c r="QNL523" s="215"/>
      <c r="QNM523" s="215"/>
      <c r="QNN523" s="215"/>
      <c r="QNP523" s="215"/>
      <c r="QOF523" s="215"/>
      <c r="QOH523" s="215"/>
      <c r="QOK523" s="215"/>
      <c r="QOM523" s="215"/>
      <c r="QOO523" s="215"/>
      <c r="QOQ523" s="215"/>
      <c r="QOS523" s="215"/>
      <c r="QOZ523" s="212"/>
      <c r="QPA523" s="213"/>
      <c r="QPE523" s="214"/>
      <c r="QPI523" s="215"/>
      <c r="QPK523" s="215"/>
      <c r="QPQ523" s="215"/>
      <c r="QPR523" s="215"/>
      <c r="QPS523" s="215"/>
      <c r="QPU523" s="215"/>
      <c r="QQK523" s="215"/>
      <c r="QQM523" s="215"/>
      <c r="QQP523" s="215"/>
      <c r="QQR523" s="215"/>
      <c r="QQT523" s="215"/>
      <c r="QQV523" s="215"/>
      <c r="QQX523" s="215"/>
      <c r="QRE523" s="212"/>
      <c r="QRF523" s="213"/>
      <c r="QRJ523" s="214"/>
      <c r="QRN523" s="215"/>
      <c r="QRP523" s="215"/>
      <c r="QRV523" s="215"/>
      <c r="QRW523" s="215"/>
      <c r="QRX523" s="215"/>
      <c r="QRZ523" s="215"/>
      <c r="QSP523" s="215"/>
      <c r="QSR523" s="215"/>
      <c r="QSU523" s="215"/>
      <c r="QSW523" s="215"/>
      <c r="QSY523" s="215"/>
      <c r="QTA523" s="215"/>
      <c r="QTC523" s="215"/>
      <c r="QTJ523" s="212"/>
      <c r="QTK523" s="213"/>
      <c r="QTO523" s="214"/>
      <c r="QTS523" s="215"/>
      <c r="QTU523" s="215"/>
      <c r="QUA523" s="215"/>
      <c r="QUB523" s="215"/>
      <c r="QUC523" s="215"/>
      <c r="QUE523" s="215"/>
      <c r="QUU523" s="215"/>
      <c r="QUW523" s="215"/>
      <c r="QUZ523" s="215"/>
      <c r="QVB523" s="215"/>
      <c r="QVD523" s="215"/>
      <c r="QVF523" s="215"/>
      <c r="QVH523" s="215"/>
      <c r="QVO523" s="212"/>
      <c r="QVP523" s="213"/>
      <c r="QVT523" s="214"/>
      <c r="QVX523" s="215"/>
      <c r="QVZ523" s="215"/>
      <c r="QWF523" s="215"/>
      <c r="QWG523" s="215"/>
      <c r="QWH523" s="215"/>
      <c r="QWJ523" s="215"/>
      <c r="QWZ523" s="215"/>
      <c r="QXB523" s="215"/>
      <c r="QXE523" s="215"/>
      <c r="QXG523" s="215"/>
      <c r="QXI523" s="215"/>
      <c r="QXK523" s="215"/>
      <c r="QXM523" s="215"/>
      <c r="QXT523" s="212"/>
      <c r="QXU523" s="213"/>
      <c r="QXY523" s="214"/>
      <c r="QYC523" s="215"/>
      <c r="QYE523" s="215"/>
      <c r="QYK523" s="215"/>
      <c r="QYL523" s="215"/>
      <c r="QYM523" s="215"/>
      <c r="QYO523" s="215"/>
      <c r="QZE523" s="215"/>
      <c r="QZG523" s="215"/>
      <c r="QZJ523" s="215"/>
      <c r="QZL523" s="215"/>
      <c r="QZN523" s="215"/>
      <c r="QZP523" s="215"/>
      <c r="QZR523" s="215"/>
      <c r="QZY523" s="212"/>
      <c r="QZZ523" s="213"/>
      <c r="RAD523" s="214"/>
      <c r="RAH523" s="215"/>
      <c r="RAJ523" s="215"/>
      <c r="RAP523" s="215"/>
      <c r="RAQ523" s="215"/>
      <c r="RAR523" s="215"/>
      <c r="RAT523" s="215"/>
      <c r="RBJ523" s="215"/>
      <c r="RBL523" s="215"/>
      <c r="RBO523" s="215"/>
      <c r="RBQ523" s="215"/>
      <c r="RBS523" s="215"/>
      <c r="RBU523" s="215"/>
      <c r="RBW523" s="215"/>
      <c r="RCD523" s="212"/>
      <c r="RCE523" s="213"/>
      <c r="RCI523" s="214"/>
      <c r="RCM523" s="215"/>
      <c r="RCO523" s="215"/>
      <c r="RCU523" s="215"/>
      <c r="RCV523" s="215"/>
      <c r="RCW523" s="215"/>
      <c r="RCY523" s="215"/>
      <c r="RDO523" s="215"/>
      <c r="RDQ523" s="215"/>
      <c r="RDT523" s="215"/>
      <c r="RDV523" s="215"/>
      <c r="RDX523" s="215"/>
      <c r="RDZ523" s="215"/>
      <c r="REB523" s="215"/>
      <c r="REI523" s="212"/>
      <c r="REJ523" s="213"/>
      <c r="REN523" s="214"/>
      <c r="RER523" s="215"/>
      <c r="RET523" s="215"/>
      <c r="REZ523" s="215"/>
      <c r="RFA523" s="215"/>
      <c r="RFB523" s="215"/>
      <c r="RFD523" s="215"/>
      <c r="RFT523" s="215"/>
      <c r="RFV523" s="215"/>
      <c r="RFY523" s="215"/>
      <c r="RGA523" s="215"/>
      <c r="RGC523" s="215"/>
      <c r="RGE523" s="215"/>
      <c r="RGG523" s="215"/>
      <c r="RGN523" s="212"/>
      <c r="RGO523" s="213"/>
      <c r="RGS523" s="214"/>
      <c r="RGW523" s="215"/>
      <c r="RGY523" s="215"/>
      <c r="RHE523" s="215"/>
      <c r="RHF523" s="215"/>
      <c r="RHG523" s="215"/>
      <c r="RHI523" s="215"/>
      <c r="RHY523" s="215"/>
      <c r="RIA523" s="215"/>
      <c r="RID523" s="215"/>
      <c r="RIF523" s="215"/>
      <c r="RIH523" s="215"/>
      <c r="RIJ523" s="215"/>
      <c r="RIL523" s="215"/>
      <c r="RIS523" s="212"/>
      <c r="RIT523" s="213"/>
      <c r="RIX523" s="214"/>
      <c r="RJB523" s="215"/>
      <c r="RJD523" s="215"/>
      <c r="RJJ523" s="215"/>
      <c r="RJK523" s="215"/>
      <c r="RJL523" s="215"/>
      <c r="RJN523" s="215"/>
      <c r="RKD523" s="215"/>
      <c r="RKF523" s="215"/>
      <c r="RKI523" s="215"/>
      <c r="RKK523" s="215"/>
      <c r="RKM523" s="215"/>
      <c r="RKO523" s="215"/>
      <c r="RKQ523" s="215"/>
      <c r="RKX523" s="212"/>
      <c r="RKY523" s="213"/>
      <c r="RLC523" s="214"/>
      <c r="RLG523" s="215"/>
      <c r="RLI523" s="215"/>
      <c r="RLO523" s="215"/>
      <c r="RLP523" s="215"/>
      <c r="RLQ523" s="215"/>
      <c r="RLS523" s="215"/>
      <c r="RMI523" s="215"/>
      <c r="RMK523" s="215"/>
      <c r="RMN523" s="215"/>
      <c r="RMP523" s="215"/>
      <c r="RMR523" s="215"/>
      <c r="RMT523" s="215"/>
      <c r="RMV523" s="215"/>
      <c r="RNC523" s="212"/>
      <c r="RND523" s="213"/>
      <c r="RNH523" s="214"/>
      <c r="RNL523" s="215"/>
      <c r="RNN523" s="215"/>
      <c r="RNT523" s="215"/>
      <c r="RNU523" s="215"/>
      <c r="RNV523" s="215"/>
      <c r="RNX523" s="215"/>
      <c r="RON523" s="215"/>
      <c r="ROP523" s="215"/>
      <c r="ROS523" s="215"/>
      <c r="ROU523" s="215"/>
      <c r="ROW523" s="215"/>
      <c r="ROY523" s="215"/>
      <c r="RPA523" s="215"/>
      <c r="RPH523" s="212"/>
      <c r="RPI523" s="213"/>
      <c r="RPM523" s="214"/>
      <c r="RPQ523" s="215"/>
      <c r="RPS523" s="215"/>
      <c r="RPY523" s="215"/>
      <c r="RPZ523" s="215"/>
      <c r="RQA523" s="215"/>
      <c r="RQC523" s="215"/>
      <c r="RQS523" s="215"/>
      <c r="RQU523" s="215"/>
      <c r="RQX523" s="215"/>
      <c r="RQZ523" s="215"/>
      <c r="RRB523" s="215"/>
      <c r="RRD523" s="215"/>
      <c r="RRF523" s="215"/>
      <c r="RRM523" s="212"/>
      <c r="RRN523" s="213"/>
      <c r="RRR523" s="214"/>
      <c r="RRV523" s="215"/>
      <c r="RRX523" s="215"/>
      <c r="RSD523" s="215"/>
      <c r="RSE523" s="215"/>
      <c r="RSF523" s="215"/>
      <c r="RSH523" s="215"/>
      <c r="RSX523" s="215"/>
      <c r="RSZ523" s="215"/>
      <c r="RTC523" s="215"/>
      <c r="RTE523" s="215"/>
      <c r="RTG523" s="215"/>
      <c r="RTI523" s="215"/>
      <c r="RTK523" s="215"/>
      <c r="RTR523" s="212"/>
      <c r="RTS523" s="213"/>
      <c r="RTW523" s="214"/>
      <c r="RUA523" s="215"/>
      <c r="RUC523" s="215"/>
      <c r="RUI523" s="215"/>
      <c r="RUJ523" s="215"/>
      <c r="RUK523" s="215"/>
      <c r="RUM523" s="215"/>
      <c r="RVC523" s="215"/>
      <c r="RVE523" s="215"/>
      <c r="RVH523" s="215"/>
      <c r="RVJ523" s="215"/>
      <c r="RVL523" s="215"/>
      <c r="RVN523" s="215"/>
      <c r="RVP523" s="215"/>
      <c r="RVW523" s="212"/>
      <c r="RVX523" s="213"/>
      <c r="RWB523" s="214"/>
      <c r="RWF523" s="215"/>
      <c r="RWH523" s="215"/>
      <c r="RWN523" s="215"/>
      <c r="RWO523" s="215"/>
      <c r="RWP523" s="215"/>
      <c r="RWR523" s="215"/>
      <c r="RXH523" s="215"/>
      <c r="RXJ523" s="215"/>
      <c r="RXM523" s="215"/>
      <c r="RXO523" s="215"/>
      <c r="RXQ523" s="215"/>
      <c r="RXS523" s="215"/>
      <c r="RXU523" s="215"/>
      <c r="RYB523" s="212"/>
      <c r="RYC523" s="213"/>
      <c r="RYG523" s="214"/>
      <c r="RYK523" s="215"/>
      <c r="RYM523" s="215"/>
      <c r="RYS523" s="215"/>
      <c r="RYT523" s="215"/>
      <c r="RYU523" s="215"/>
      <c r="RYW523" s="215"/>
      <c r="RZM523" s="215"/>
      <c r="RZO523" s="215"/>
      <c r="RZR523" s="215"/>
      <c r="RZT523" s="215"/>
      <c r="RZV523" s="215"/>
      <c r="RZX523" s="215"/>
      <c r="RZZ523" s="215"/>
      <c r="SAG523" s="212"/>
      <c r="SAH523" s="213"/>
      <c r="SAL523" s="214"/>
      <c r="SAP523" s="215"/>
      <c r="SAR523" s="215"/>
      <c r="SAX523" s="215"/>
      <c r="SAY523" s="215"/>
      <c r="SAZ523" s="215"/>
      <c r="SBB523" s="215"/>
      <c r="SBR523" s="215"/>
      <c r="SBT523" s="215"/>
      <c r="SBW523" s="215"/>
      <c r="SBY523" s="215"/>
      <c r="SCA523" s="215"/>
      <c r="SCC523" s="215"/>
      <c r="SCE523" s="215"/>
      <c r="SCL523" s="212"/>
      <c r="SCM523" s="213"/>
      <c r="SCQ523" s="214"/>
      <c r="SCU523" s="215"/>
      <c r="SCW523" s="215"/>
      <c r="SDC523" s="215"/>
      <c r="SDD523" s="215"/>
      <c r="SDE523" s="215"/>
      <c r="SDG523" s="215"/>
      <c r="SDW523" s="215"/>
      <c r="SDY523" s="215"/>
      <c r="SEB523" s="215"/>
      <c r="SED523" s="215"/>
      <c r="SEF523" s="215"/>
      <c r="SEH523" s="215"/>
      <c r="SEJ523" s="215"/>
      <c r="SEQ523" s="212"/>
      <c r="SER523" s="213"/>
      <c r="SEV523" s="214"/>
      <c r="SEZ523" s="215"/>
      <c r="SFB523" s="215"/>
      <c r="SFH523" s="215"/>
      <c r="SFI523" s="215"/>
      <c r="SFJ523" s="215"/>
      <c r="SFL523" s="215"/>
      <c r="SGB523" s="215"/>
      <c r="SGD523" s="215"/>
      <c r="SGG523" s="215"/>
      <c r="SGI523" s="215"/>
      <c r="SGK523" s="215"/>
      <c r="SGM523" s="215"/>
      <c r="SGO523" s="215"/>
      <c r="SGV523" s="212"/>
      <c r="SGW523" s="213"/>
      <c r="SHA523" s="214"/>
      <c r="SHE523" s="215"/>
      <c r="SHG523" s="215"/>
      <c r="SHM523" s="215"/>
      <c r="SHN523" s="215"/>
      <c r="SHO523" s="215"/>
      <c r="SHQ523" s="215"/>
      <c r="SIG523" s="215"/>
      <c r="SII523" s="215"/>
      <c r="SIL523" s="215"/>
      <c r="SIN523" s="215"/>
      <c r="SIP523" s="215"/>
      <c r="SIR523" s="215"/>
      <c r="SIT523" s="215"/>
      <c r="SJA523" s="212"/>
      <c r="SJB523" s="213"/>
      <c r="SJF523" s="214"/>
      <c r="SJJ523" s="215"/>
      <c r="SJL523" s="215"/>
      <c r="SJR523" s="215"/>
      <c r="SJS523" s="215"/>
      <c r="SJT523" s="215"/>
      <c r="SJV523" s="215"/>
      <c r="SKL523" s="215"/>
      <c r="SKN523" s="215"/>
      <c r="SKQ523" s="215"/>
      <c r="SKS523" s="215"/>
      <c r="SKU523" s="215"/>
      <c r="SKW523" s="215"/>
      <c r="SKY523" s="215"/>
      <c r="SLF523" s="212"/>
      <c r="SLG523" s="213"/>
      <c r="SLK523" s="214"/>
      <c r="SLO523" s="215"/>
      <c r="SLQ523" s="215"/>
      <c r="SLW523" s="215"/>
      <c r="SLX523" s="215"/>
      <c r="SLY523" s="215"/>
      <c r="SMA523" s="215"/>
      <c r="SMQ523" s="215"/>
      <c r="SMS523" s="215"/>
      <c r="SMV523" s="215"/>
      <c r="SMX523" s="215"/>
      <c r="SMZ523" s="215"/>
      <c r="SNB523" s="215"/>
      <c r="SND523" s="215"/>
      <c r="SNK523" s="212"/>
      <c r="SNL523" s="213"/>
      <c r="SNP523" s="214"/>
      <c r="SNT523" s="215"/>
      <c r="SNV523" s="215"/>
      <c r="SOB523" s="215"/>
      <c r="SOC523" s="215"/>
      <c r="SOD523" s="215"/>
      <c r="SOF523" s="215"/>
      <c r="SOV523" s="215"/>
      <c r="SOX523" s="215"/>
      <c r="SPA523" s="215"/>
      <c r="SPC523" s="215"/>
      <c r="SPE523" s="215"/>
      <c r="SPG523" s="215"/>
      <c r="SPI523" s="215"/>
      <c r="SPP523" s="212"/>
      <c r="SPQ523" s="213"/>
      <c r="SPU523" s="214"/>
      <c r="SPY523" s="215"/>
      <c r="SQA523" s="215"/>
      <c r="SQG523" s="215"/>
      <c r="SQH523" s="215"/>
      <c r="SQI523" s="215"/>
      <c r="SQK523" s="215"/>
      <c r="SRA523" s="215"/>
      <c r="SRC523" s="215"/>
      <c r="SRF523" s="215"/>
      <c r="SRH523" s="215"/>
      <c r="SRJ523" s="215"/>
      <c r="SRL523" s="215"/>
      <c r="SRN523" s="215"/>
      <c r="SRU523" s="212"/>
      <c r="SRV523" s="213"/>
      <c r="SRZ523" s="214"/>
      <c r="SSD523" s="215"/>
      <c r="SSF523" s="215"/>
      <c r="SSL523" s="215"/>
      <c r="SSM523" s="215"/>
      <c r="SSN523" s="215"/>
      <c r="SSP523" s="215"/>
      <c r="STF523" s="215"/>
      <c r="STH523" s="215"/>
      <c r="STK523" s="215"/>
      <c r="STM523" s="215"/>
      <c r="STO523" s="215"/>
      <c r="STQ523" s="215"/>
      <c r="STS523" s="215"/>
      <c r="STZ523" s="212"/>
      <c r="SUA523" s="213"/>
      <c r="SUE523" s="214"/>
      <c r="SUI523" s="215"/>
      <c r="SUK523" s="215"/>
      <c r="SUQ523" s="215"/>
      <c r="SUR523" s="215"/>
      <c r="SUS523" s="215"/>
      <c r="SUU523" s="215"/>
      <c r="SVK523" s="215"/>
      <c r="SVM523" s="215"/>
      <c r="SVP523" s="215"/>
      <c r="SVR523" s="215"/>
      <c r="SVT523" s="215"/>
      <c r="SVV523" s="215"/>
      <c r="SVX523" s="215"/>
      <c r="SWE523" s="212"/>
      <c r="SWF523" s="213"/>
      <c r="SWJ523" s="214"/>
      <c r="SWN523" s="215"/>
      <c r="SWP523" s="215"/>
      <c r="SWV523" s="215"/>
      <c r="SWW523" s="215"/>
      <c r="SWX523" s="215"/>
      <c r="SWZ523" s="215"/>
      <c r="SXP523" s="215"/>
      <c r="SXR523" s="215"/>
      <c r="SXU523" s="215"/>
      <c r="SXW523" s="215"/>
      <c r="SXY523" s="215"/>
      <c r="SYA523" s="215"/>
      <c r="SYC523" s="215"/>
      <c r="SYJ523" s="212"/>
      <c r="SYK523" s="213"/>
      <c r="SYO523" s="214"/>
      <c r="SYS523" s="215"/>
      <c r="SYU523" s="215"/>
      <c r="SZA523" s="215"/>
      <c r="SZB523" s="215"/>
      <c r="SZC523" s="215"/>
      <c r="SZE523" s="215"/>
      <c r="SZU523" s="215"/>
      <c r="SZW523" s="215"/>
      <c r="SZZ523" s="215"/>
      <c r="TAB523" s="215"/>
      <c r="TAD523" s="215"/>
      <c r="TAF523" s="215"/>
      <c r="TAH523" s="215"/>
      <c r="TAO523" s="212"/>
      <c r="TAP523" s="213"/>
      <c r="TAT523" s="214"/>
      <c r="TAX523" s="215"/>
      <c r="TAZ523" s="215"/>
      <c r="TBF523" s="215"/>
      <c r="TBG523" s="215"/>
      <c r="TBH523" s="215"/>
      <c r="TBJ523" s="215"/>
      <c r="TBZ523" s="215"/>
      <c r="TCB523" s="215"/>
      <c r="TCE523" s="215"/>
      <c r="TCG523" s="215"/>
      <c r="TCI523" s="215"/>
      <c r="TCK523" s="215"/>
      <c r="TCM523" s="215"/>
      <c r="TCT523" s="212"/>
      <c r="TCU523" s="213"/>
      <c r="TCY523" s="214"/>
      <c r="TDC523" s="215"/>
      <c r="TDE523" s="215"/>
      <c r="TDK523" s="215"/>
      <c r="TDL523" s="215"/>
      <c r="TDM523" s="215"/>
      <c r="TDO523" s="215"/>
      <c r="TEE523" s="215"/>
      <c r="TEG523" s="215"/>
      <c r="TEJ523" s="215"/>
      <c r="TEL523" s="215"/>
      <c r="TEN523" s="215"/>
      <c r="TEP523" s="215"/>
      <c r="TER523" s="215"/>
      <c r="TEY523" s="212"/>
      <c r="TEZ523" s="213"/>
      <c r="TFD523" s="214"/>
      <c r="TFH523" s="215"/>
      <c r="TFJ523" s="215"/>
      <c r="TFP523" s="215"/>
      <c r="TFQ523" s="215"/>
      <c r="TFR523" s="215"/>
      <c r="TFT523" s="215"/>
      <c r="TGJ523" s="215"/>
      <c r="TGL523" s="215"/>
      <c r="TGO523" s="215"/>
      <c r="TGQ523" s="215"/>
      <c r="TGS523" s="215"/>
      <c r="TGU523" s="215"/>
      <c r="TGW523" s="215"/>
      <c r="THD523" s="212"/>
      <c r="THE523" s="213"/>
      <c r="THI523" s="214"/>
      <c r="THM523" s="215"/>
      <c r="THO523" s="215"/>
      <c r="THU523" s="215"/>
      <c r="THV523" s="215"/>
      <c r="THW523" s="215"/>
      <c r="THY523" s="215"/>
      <c r="TIO523" s="215"/>
      <c r="TIQ523" s="215"/>
      <c r="TIT523" s="215"/>
      <c r="TIV523" s="215"/>
      <c r="TIX523" s="215"/>
      <c r="TIZ523" s="215"/>
      <c r="TJB523" s="215"/>
      <c r="TJI523" s="212"/>
      <c r="TJJ523" s="213"/>
      <c r="TJN523" s="214"/>
      <c r="TJR523" s="215"/>
      <c r="TJT523" s="215"/>
      <c r="TJZ523" s="215"/>
      <c r="TKA523" s="215"/>
      <c r="TKB523" s="215"/>
      <c r="TKD523" s="215"/>
      <c r="TKT523" s="215"/>
      <c r="TKV523" s="215"/>
      <c r="TKY523" s="215"/>
      <c r="TLA523" s="215"/>
      <c r="TLC523" s="215"/>
      <c r="TLE523" s="215"/>
      <c r="TLG523" s="215"/>
      <c r="TLN523" s="212"/>
      <c r="TLO523" s="213"/>
      <c r="TLS523" s="214"/>
      <c r="TLW523" s="215"/>
      <c r="TLY523" s="215"/>
      <c r="TME523" s="215"/>
      <c r="TMF523" s="215"/>
      <c r="TMG523" s="215"/>
      <c r="TMI523" s="215"/>
      <c r="TMY523" s="215"/>
      <c r="TNA523" s="215"/>
      <c r="TND523" s="215"/>
      <c r="TNF523" s="215"/>
      <c r="TNH523" s="215"/>
      <c r="TNJ523" s="215"/>
      <c r="TNL523" s="215"/>
      <c r="TNS523" s="212"/>
      <c r="TNT523" s="213"/>
      <c r="TNX523" s="214"/>
      <c r="TOB523" s="215"/>
      <c r="TOD523" s="215"/>
      <c r="TOJ523" s="215"/>
      <c r="TOK523" s="215"/>
      <c r="TOL523" s="215"/>
      <c r="TON523" s="215"/>
      <c r="TPD523" s="215"/>
      <c r="TPF523" s="215"/>
      <c r="TPI523" s="215"/>
      <c r="TPK523" s="215"/>
      <c r="TPM523" s="215"/>
      <c r="TPO523" s="215"/>
      <c r="TPQ523" s="215"/>
      <c r="TPX523" s="212"/>
      <c r="TPY523" s="213"/>
      <c r="TQC523" s="214"/>
      <c r="TQG523" s="215"/>
      <c r="TQI523" s="215"/>
      <c r="TQO523" s="215"/>
      <c r="TQP523" s="215"/>
      <c r="TQQ523" s="215"/>
      <c r="TQS523" s="215"/>
      <c r="TRI523" s="215"/>
      <c r="TRK523" s="215"/>
      <c r="TRN523" s="215"/>
      <c r="TRP523" s="215"/>
      <c r="TRR523" s="215"/>
      <c r="TRT523" s="215"/>
      <c r="TRV523" s="215"/>
      <c r="TSC523" s="212"/>
      <c r="TSD523" s="213"/>
      <c r="TSH523" s="214"/>
      <c r="TSL523" s="215"/>
      <c r="TSN523" s="215"/>
      <c r="TST523" s="215"/>
      <c r="TSU523" s="215"/>
      <c r="TSV523" s="215"/>
      <c r="TSX523" s="215"/>
      <c r="TTN523" s="215"/>
      <c r="TTP523" s="215"/>
      <c r="TTS523" s="215"/>
      <c r="TTU523" s="215"/>
      <c r="TTW523" s="215"/>
      <c r="TTY523" s="215"/>
      <c r="TUA523" s="215"/>
      <c r="TUH523" s="212"/>
      <c r="TUI523" s="213"/>
      <c r="TUM523" s="214"/>
      <c r="TUQ523" s="215"/>
      <c r="TUS523" s="215"/>
      <c r="TUY523" s="215"/>
      <c r="TUZ523" s="215"/>
      <c r="TVA523" s="215"/>
      <c r="TVC523" s="215"/>
      <c r="TVS523" s="215"/>
      <c r="TVU523" s="215"/>
      <c r="TVX523" s="215"/>
      <c r="TVZ523" s="215"/>
      <c r="TWB523" s="215"/>
      <c r="TWD523" s="215"/>
      <c r="TWF523" s="215"/>
      <c r="TWM523" s="212"/>
      <c r="TWN523" s="213"/>
      <c r="TWR523" s="214"/>
      <c r="TWV523" s="215"/>
      <c r="TWX523" s="215"/>
      <c r="TXD523" s="215"/>
      <c r="TXE523" s="215"/>
      <c r="TXF523" s="215"/>
      <c r="TXH523" s="215"/>
      <c r="TXX523" s="215"/>
      <c r="TXZ523" s="215"/>
      <c r="TYC523" s="215"/>
      <c r="TYE523" s="215"/>
      <c r="TYG523" s="215"/>
      <c r="TYI523" s="215"/>
      <c r="TYK523" s="215"/>
      <c r="TYR523" s="212"/>
      <c r="TYS523" s="213"/>
      <c r="TYW523" s="214"/>
      <c r="TZA523" s="215"/>
      <c r="TZC523" s="215"/>
      <c r="TZI523" s="215"/>
      <c r="TZJ523" s="215"/>
      <c r="TZK523" s="215"/>
      <c r="TZM523" s="215"/>
      <c r="UAC523" s="215"/>
      <c r="UAE523" s="215"/>
      <c r="UAH523" s="215"/>
      <c r="UAJ523" s="215"/>
      <c r="UAL523" s="215"/>
      <c r="UAN523" s="215"/>
      <c r="UAP523" s="215"/>
      <c r="UAW523" s="212"/>
      <c r="UAX523" s="213"/>
      <c r="UBB523" s="214"/>
      <c r="UBF523" s="215"/>
      <c r="UBH523" s="215"/>
      <c r="UBN523" s="215"/>
      <c r="UBO523" s="215"/>
      <c r="UBP523" s="215"/>
      <c r="UBR523" s="215"/>
      <c r="UCH523" s="215"/>
      <c r="UCJ523" s="215"/>
      <c r="UCM523" s="215"/>
      <c r="UCO523" s="215"/>
      <c r="UCQ523" s="215"/>
      <c r="UCS523" s="215"/>
      <c r="UCU523" s="215"/>
      <c r="UDB523" s="212"/>
      <c r="UDC523" s="213"/>
      <c r="UDG523" s="214"/>
      <c r="UDK523" s="215"/>
      <c r="UDM523" s="215"/>
      <c r="UDS523" s="215"/>
      <c r="UDT523" s="215"/>
      <c r="UDU523" s="215"/>
      <c r="UDW523" s="215"/>
      <c r="UEM523" s="215"/>
      <c r="UEO523" s="215"/>
      <c r="UER523" s="215"/>
      <c r="UET523" s="215"/>
      <c r="UEV523" s="215"/>
      <c r="UEX523" s="215"/>
      <c r="UEZ523" s="215"/>
      <c r="UFG523" s="212"/>
      <c r="UFH523" s="213"/>
      <c r="UFL523" s="214"/>
      <c r="UFP523" s="215"/>
      <c r="UFR523" s="215"/>
      <c r="UFX523" s="215"/>
      <c r="UFY523" s="215"/>
      <c r="UFZ523" s="215"/>
      <c r="UGB523" s="215"/>
      <c r="UGR523" s="215"/>
      <c r="UGT523" s="215"/>
      <c r="UGW523" s="215"/>
      <c r="UGY523" s="215"/>
      <c r="UHA523" s="215"/>
      <c r="UHC523" s="215"/>
      <c r="UHE523" s="215"/>
      <c r="UHL523" s="212"/>
      <c r="UHM523" s="213"/>
      <c r="UHQ523" s="214"/>
      <c r="UHU523" s="215"/>
      <c r="UHW523" s="215"/>
      <c r="UIC523" s="215"/>
      <c r="UID523" s="215"/>
      <c r="UIE523" s="215"/>
      <c r="UIG523" s="215"/>
      <c r="UIW523" s="215"/>
      <c r="UIY523" s="215"/>
      <c r="UJB523" s="215"/>
      <c r="UJD523" s="215"/>
      <c r="UJF523" s="215"/>
      <c r="UJH523" s="215"/>
      <c r="UJJ523" s="215"/>
      <c r="UJQ523" s="212"/>
      <c r="UJR523" s="213"/>
      <c r="UJV523" s="214"/>
      <c r="UJZ523" s="215"/>
      <c r="UKB523" s="215"/>
      <c r="UKH523" s="215"/>
      <c r="UKI523" s="215"/>
      <c r="UKJ523" s="215"/>
      <c r="UKL523" s="215"/>
      <c r="ULB523" s="215"/>
      <c r="ULD523" s="215"/>
      <c r="ULG523" s="215"/>
      <c r="ULI523" s="215"/>
      <c r="ULK523" s="215"/>
      <c r="ULM523" s="215"/>
      <c r="ULO523" s="215"/>
      <c r="ULV523" s="212"/>
      <c r="ULW523" s="213"/>
      <c r="UMA523" s="214"/>
      <c r="UME523" s="215"/>
      <c r="UMG523" s="215"/>
      <c r="UMM523" s="215"/>
      <c r="UMN523" s="215"/>
      <c r="UMO523" s="215"/>
      <c r="UMQ523" s="215"/>
      <c r="UNG523" s="215"/>
      <c r="UNI523" s="215"/>
      <c r="UNL523" s="215"/>
      <c r="UNN523" s="215"/>
      <c r="UNP523" s="215"/>
      <c r="UNR523" s="215"/>
      <c r="UNT523" s="215"/>
      <c r="UOA523" s="212"/>
      <c r="UOB523" s="213"/>
      <c r="UOF523" s="214"/>
      <c r="UOJ523" s="215"/>
      <c r="UOL523" s="215"/>
      <c r="UOR523" s="215"/>
      <c r="UOS523" s="215"/>
      <c r="UOT523" s="215"/>
      <c r="UOV523" s="215"/>
      <c r="UPL523" s="215"/>
      <c r="UPN523" s="215"/>
      <c r="UPQ523" s="215"/>
      <c r="UPS523" s="215"/>
      <c r="UPU523" s="215"/>
      <c r="UPW523" s="215"/>
      <c r="UPY523" s="215"/>
      <c r="UQF523" s="212"/>
      <c r="UQG523" s="213"/>
      <c r="UQK523" s="214"/>
      <c r="UQO523" s="215"/>
      <c r="UQQ523" s="215"/>
      <c r="UQW523" s="215"/>
      <c r="UQX523" s="215"/>
      <c r="UQY523" s="215"/>
      <c r="URA523" s="215"/>
      <c r="URQ523" s="215"/>
      <c r="URS523" s="215"/>
      <c r="URV523" s="215"/>
      <c r="URX523" s="215"/>
      <c r="URZ523" s="215"/>
      <c r="USB523" s="215"/>
      <c r="USD523" s="215"/>
      <c r="USK523" s="212"/>
      <c r="USL523" s="213"/>
      <c r="USP523" s="214"/>
      <c r="UST523" s="215"/>
      <c r="USV523" s="215"/>
      <c r="UTB523" s="215"/>
      <c r="UTC523" s="215"/>
      <c r="UTD523" s="215"/>
      <c r="UTF523" s="215"/>
      <c r="UTV523" s="215"/>
      <c r="UTX523" s="215"/>
      <c r="UUA523" s="215"/>
      <c r="UUC523" s="215"/>
      <c r="UUE523" s="215"/>
      <c r="UUG523" s="215"/>
      <c r="UUI523" s="215"/>
      <c r="UUP523" s="212"/>
      <c r="UUQ523" s="213"/>
      <c r="UUU523" s="214"/>
      <c r="UUY523" s="215"/>
      <c r="UVA523" s="215"/>
      <c r="UVG523" s="215"/>
      <c r="UVH523" s="215"/>
      <c r="UVI523" s="215"/>
      <c r="UVK523" s="215"/>
      <c r="UWA523" s="215"/>
      <c r="UWC523" s="215"/>
      <c r="UWF523" s="215"/>
      <c r="UWH523" s="215"/>
      <c r="UWJ523" s="215"/>
      <c r="UWL523" s="215"/>
      <c r="UWN523" s="215"/>
      <c r="UWU523" s="212"/>
      <c r="UWV523" s="213"/>
      <c r="UWZ523" s="214"/>
      <c r="UXD523" s="215"/>
      <c r="UXF523" s="215"/>
      <c r="UXL523" s="215"/>
      <c r="UXM523" s="215"/>
      <c r="UXN523" s="215"/>
      <c r="UXP523" s="215"/>
      <c r="UYF523" s="215"/>
      <c r="UYH523" s="215"/>
      <c r="UYK523" s="215"/>
      <c r="UYM523" s="215"/>
      <c r="UYO523" s="215"/>
      <c r="UYQ523" s="215"/>
      <c r="UYS523" s="215"/>
      <c r="UYZ523" s="212"/>
      <c r="UZA523" s="213"/>
      <c r="UZE523" s="214"/>
      <c r="UZI523" s="215"/>
      <c r="UZK523" s="215"/>
      <c r="UZQ523" s="215"/>
      <c r="UZR523" s="215"/>
      <c r="UZS523" s="215"/>
      <c r="UZU523" s="215"/>
      <c r="VAK523" s="215"/>
      <c r="VAM523" s="215"/>
      <c r="VAP523" s="215"/>
      <c r="VAR523" s="215"/>
      <c r="VAT523" s="215"/>
      <c r="VAV523" s="215"/>
      <c r="VAX523" s="215"/>
      <c r="VBE523" s="212"/>
      <c r="VBF523" s="213"/>
      <c r="VBJ523" s="214"/>
      <c r="VBN523" s="215"/>
      <c r="VBP523" s="215"/>
      <c r="VBV523" s="215"/>
      <c r="VBW523" s="215"/>
      <c r="VBX523" s="215"/>
      <c r="VBZ523" s="215"/>
      <c r="VCP523" s="215"/>
      <c r="VCR523" s="215"/>
      <c r="VCU523" s="215"/>
      <c r="VCW523" s="215"/>
      <c r="VCY523" s="215"/>
      <c r="VDA523" s="215"/>
      <c r="VDC523" s="215"/>
      <c r="VDJ523" s="212"/>
      <c r="VDK523" s="213"/>
      <c r="VDO523" s="214"/>
      <c r="VDS523" s="215"/>
      <c r="VDU523" s="215"/>
      <c r="VEA523" s="215"/>
      <c r="VEB523" s="215"/>
      <c r="VEC523" s="215"/>
      <c r="VEE523" s="215"/>
      <c r="VEU523" s="215"/>
      <c r="VEW523" s="215"/>
      <c r="VEZ523" s="215"/>
      <c r="VFB523" s="215"/>
      <c r="VFD523" s="215"/>
      <c r="VFF523" s="215"/>
      <c r="VFH523" s="215"/>
      <c r="VFO523" s="212"/>
      <c r="VFP523" s="213"/>
      <c r="VFT523" s="214"/>
      <c r="VFX523" s="215"/>
      <c r="VFZ523" s="215"/>
      <c r="VGF523" s="215"/>
      <c r="VGG523" s="215"/>
      <c r="VGH523" s="215"/>
      <c r="VGJ523" s="215"/>
      <c r="VGZ523" s="215"/>
      <c r="VHB523" s="215"/>
      <c r="VHE523" s="215"/>
      <c r="VHG523" s="215"/>
      <c r="VHI523" s="215"/>
      <c r="VHK523" s="215"/>
      <c r="VHM523" s="215"/>
      <c r="VHT523" s="212"/>
      <c r="VHU523" s="213"/>
      <c r="VHY523" s="214"/>
      <c r="VIC523" s="215"/>
      <c r="VIE523" s="215"/>
      <c r="VIK523" s="215"/>
      <c r="VIL523" s="215"/>
      <c r="VIM523" s="215"/>
      <c r="VIO523" s="215"/>
      <c r="VJE523" s="215"/>
      <c r="VJG523" s="215"/>
      <c r="VJJ523" s="215"/>
      <c r="VJL523" s="215"/>
      <c r="VJN523" s="215"/>
      <c r="VJP523" s="215"/>
      <c r="VJR523" s="215"/>
      <c r="VJY523" s="212"/>
      <c r="VJZ523" s="213"/>
      <c r="VKD523" s="214"/>
      <c r="VKH523" s="215"/>
      <c r="VKJ523" s="215"/>
      <c r="VKP523" s="215"/>
      <c r="VKQ523" s="215"/>
      <c r="VKR523" s="215"/>
      <c r="VKT523" s="215"/>
      <c r="VLJ523" s="215"/>
      <c r="VLL523" s="215"/>
      <c r="VLO523" s="215"/>
      <c r="VLQ523" s="215"/>
      <c r="VLS523" s="215"/>
      <c r="VLU523" s="215"/>
      <c r="VLW523" s="215"/>
      <c r="VMD523" s="212"/>
      <c r="VME523" s="213"/>
      <c r="VMI523" s="214"/>
      <c r="VMM523" s="215"/>
      <c r="VMO523" s="215"/>
      <c r="VMU523" s="215"/>
      <c r="VMV523" s="215"/>
      <c r="VMW523" s="215"/>
      <c r="VMY523" s="215"/>
      <c r="VNO523" s="215"/>
      <c r="VNQ523" s="215"/>
      <c r="VNT523" s="215"/>
      <c r="VNV523" s="215"/>
      <c r="VNX523" s="215"/>
      <c r="VNZ523" s="215"/>
      <c r="VOB523" s="215"/>
      <c r="VOI523" s="212"/>
      <c r="VOJ523" s="213"/>
      <c r="VON523" s="214"/>
      <c r="VOR523" s="215"/>
      <c r="VOT523" s="215"/>
      <c r="VOZ523" s="215"/>
      <c r="VPA523" s="215"/>
      <c r="VPB523" s="215"/>
      <c r="VPD523" s="215"/>
      <c r="VPT523" s="215"/>
      <c r="VPV523" s="215"/>
      <c r="VPY523" s="215"/>
      <c r="VQA523" s="215"/>
      <c r="VQC523" s="215"/>
      <c r="VQE523" s="215"/>
      <c r="VQG523" s="215"/>
      <c r="VQN523" s="212"/>
      <c r="VQO523" s="213"/>
      <c r="VQS523" s="214"/>
      <c r="VQW523" s="215"/>
      <c r="VQY523" s="215"/>
      <c r="VRE523" s="215"/>
      <c r="VRF523" s="215"/>
      <c r="VRG523" s="215"/>
      <c r="VRI523" s="215"/>
      <c r="VRY523" s="215"/>
      <c r="VSA523" s="215"/>
      <c r="VSD523" s="215"/>
      <c r="VSF523" s="215"/>
      <c r="VSH523" s="215"/>
      <c r="VSJ523" s="215"/>
      <c r="VSL523" s="215"/>
      <c r="VSS523" s="212"/>
      <c r="VST523" s="213"/>
      <c r="VSX523" s="214"/>
      <c r="VTB523" s="215"/>
      <c r="VTD523" s="215"/>
      <c r="VTJ523" s="215"/>
      <c r="VTK523" s="215"/>
      <c r="VTL523" s="215"/>
      <c r="VTN523" s="215"/>
      <c r="VUD523" s="215"/>
      <c r="VUF523" s="215"/>
      <c r="VUI523" s="215"/>
      <c r="VUK523" s="215"/>
      <c r="VUM523" s="215"/>
      <c r="VUO523" s="215"/>
      <c r="VUQ523" s="215"/>
      <c r="VUX523" s="212"/>
      <c r="VUY523" s="213"/>
      <c r="VVC523" s="214"/>
      <c r="VVG523" s="215"/>
      <c r="VVI523" s="215"/>
      <c r="VVO523" s="215"/>
      <c r="VVP523" s="215"/>
      <c r="VVQ523" s="215"/>
      <c r="VVS523" s="215"/>
      <c r="VWI523" s="215"/>
      <c r="VWK523" s="215"/>
      <c r="VWN523" s="215"/>
      <c r="VWP523" s="215"/>
      <c r="VWR523" s="215"/>
      <c r="VWT523" s="215"/>
      <c r="VWV523" s="215"/>
      <c r="VXC523" s="212"/>
      <c r="VXD523" s="213"/>
      <c r="VXH523" s="214"/>
      <c r="VXL523" s="215"/>
      <c r="VXN523" s="215"/>
      <c r="VXT523" s="215"/>
      <c r="VXU523" s="215"/>
      <c r="VXV523" s="215"/>
      <c r="VXX523" s="215"/>
      <c r="VYN523" s="215"/>
      <c r="VYP523" s="215"/>
      <c r="VYS523" s="215"/>
      <c r="VYU523" s="215"/>
      <c r="VYW523" s="215"/>
      <c r="VYY523" s="215"/>
      <c r="VZA523" s="215"/>
      <c r="VZH523" s="212"/>
      <c r="VZI523" s="213"/>
      <c r="VZM523" s="214"/>
      <c r="VZQ523" s="215"/>
      <c r="VZS523" s="215"/>
      <c r="VZY523" s="215"/>
      <c r="VZZ523" s="215"/>
      <c r="WAA523" s="215"/>
      <c r="WAC523" s="215"/>
      <c r="WAS523" s="215"/>
      <c r="WAU523" s="215"/>
      <c r="WAX523" s="215"/>
      <c r="WAZ523" s="215"/>
      <c r="WBB523" s="215"/>
      <c r="WBD523" s="215"/>
      <c r="WBF523" s="215"/>
      <c r="WBM523" s="212"/>
      <c r="WBN523" s="213"/>
      <c r="WBR523" s="214"/>
      <c r="WBV523" s="215"/>
      <c r="WBX523" s="215"/>
      <c r="WCD523" s="215"/>
      <c r="WCE523" s="215"/>
      <c r="WCF523" s="215"/>
      <c r="WCH523" s="215"/>
      <c r="WCX523" s="215"/>
      <c r="WCZ523" s="215"/>
      <c r="WDC523" s="215"/>
      <c r="WDE523" s="215"/>
      <c r="WDG523" s="215"/>
      <c r="WDI523" s="215"/>
      <c r="WDK523" s="215"/>
      <c r="WDR523" s="212"/>
      <c r="WDS523" s="213"/>
      <c r="WDW523" s="214"/>
      <c r="WEA523" s="215"/>
      <c r="WEC523" s="215"/>
      <c r="WEI523" s="215"/>
      <c r="WEJ523" s="215"/>
      <c r="WEK523" s="215"/>
      <c r="WEM523" s="215"/>
      <c r="WFC523" s="215"/>
      <c r="WFE523" s="215"/>
      <c r="WFH523" s="215"/>
      <c r="WFJ523" s="215"/>
      <c r="WFL523" s="215"/>
      <c r="WFN523" s="215"/>
      <c r="WFP523" s="215"/>
      <c r="WFW523" s="212"/>
      <c r="WFX523" s="213"/>
      <c r="WGB523" s="214"/>
      <c r="WGF523" s="215"/>
      <c r="WGH523" s="215"/>
      <c r="WGN523" s="215"/>
      <c r="WGO523" s="215"/>
      <c r="WGP523" s="215"/>
      <c r="WGR523" s="215"/>
      <c r="WHH523" s="215"/>
      <c r="WHJ523" s="215"/>
      <c r="WHM523" s="215"/>
      <c r="WHO523" s="215"/>
      <c r="WHQ523" s="215"/>
      <c r="WHS523" s="215"/>
      <c r="WHU523" s="215"/>
      <c r="WIB523" s="212"/>
      <c r="WIC523" s="213"/>
      <c r="WIG523" s="214"/>
      <c r="WIK523" s="215"/>
      <c r="WIM523" s="215"/>
      <c r="WIS523" s="215"/>
      <c r="WIT523" s="215"/>
      <c r="WIU523" s="215"/>
      <c r="WIW523" s="215"/>
      <c r="WJM523" s="215"/>
      <c r="WJO523" s="215"/>
      <c r="WJR523" s="215"/>
      <c r="WJT523" s="215"/>
      <c r="WJV523" s="215"/>
      <c r="WJX523" s="215"/>
      <c r="WJZ523" s="215"/>
      <c r="WKG523" s="212"/>
      <c r="WKH523" s="213"/>
      <c r="WKL523" s="214"/>
      <c r="WKP523" s="215"/>
      <c r="WKR523" s="215"/>
      <c r="WKX523" s="215"/>
      <c r="WKY523" s="215"/>
      <c r="WKZ523" s="215"/>
      <c r="WLB523" s="215"/>
      <c r="WLR523" s="215"/>
      <c r="WLT523" s="215"/>
      <c r="WLW523" s="215"/>
      <c r="WLY523" s="215"/>
      <c r="WMA523" s="215"/>
      <c r="WMC523" s="215"/>
      <c r="WME523" s="215"/>
      <c r="WML523" s="212"/>
      <c r="WMM523" s="213"/>
      <c r="WMQ523" s="214"/>
      <c r="WMU523" s="215"/>
      <c r="WMW523" s="215"/>
      <c r="WNC523" s="215"/>
      <c r="WND523" s="215"/>
      <c r="WNE523" s="215"/>
      <c r="WNG523" s="215"/>
      <c r="WNW523" s="215"/>
      <c r="WNY523" s="215"/>
      <c r="WOB523" s="215"/>
      <c r="WOD523" s="215"/>
      <c r="WOF523" s="215"/>
      <c r="WOH523" s="215"/>
      <c r="WOJ523" s="215"/>
      <c r="WOQ523" s="212"/>
      <c r="WOR523" s="213"/>
      <c r="WOV523" s="214"/>
      <c r="WOZ523" s="215"/>
      <c r="WPB523" s="215"/>
      <c r="WPH523" s="215"/>
      <c r="WPI523" s="215"/>
      <c r="WPJ523" s="215"/>
      <c r="WPL523" s="215"/>
      <c r="WQB523" s="215"/>
      <c r="WQD523" s="215"/>
      <c r="WQG523" s="215"/>
      <c r="WQI523" s="215"/>
      <c r="WQK523" s="215"/>
      <c r="WQM523" s="215"/>
      <c r="WQO523" s="215"/>
      <c r="WQV523" s="212"/>
      <c r="WQW523" s="213"/>
      <c r="WRA523" s="214"/>
      <c r="WRE523" s="215"/>
      <c r="WRG523" s="215"/>
      <c r="WRM523" s="215"/>
      <c r="WRN523" s="215"/>
      <c r="WRO523" s="215"/>
      <c r="WRQ523" s="215"/>
      <c r="WSG523" s="215"/>
      <c r="WSI523" s="215"/>
      <c r="WSL523" s="215"/>
      <c r="WSN523" s="215"/>
      <c r="WSP523" s="215"/>
      <c r="WSR523" s="215"/>
      <c r="WST523" s="215"/>
      <c r="WTA523" s="212"/>
      <c r="WTB523" s="213"/>
      <c r="WTF523" s="214"/>
      <c r="WTJ523" s="215"/>
      <c r="WTL523" s="215"/>
      <c r="WTR523" s="215"/>
      <c r="WTS523" s="215"/>
      <c r="WTT523" s="215"/>
      <c r="WTV523" s="215"/>
      <c r="WUL523" s="215"/>
      <c r="WUN523" s="215"/>
      <c r="WUQ523" s="215"/>
      <c r="WUS523" s="215"/>
      <c r="WUU523" s="215"/>
      <c r="WUW523" s="215"/>
      <c r="WUY523" s="215"/>
      <c r="WVF523" s="212"/>
      <c r="WVG523" s="213"/>
      <c r="WVK523" s="214"/>
      <c r="WVO523" s="215"/>
      <c r="WVQ523" s="215"/>
      <c r="WVW523" s="215"/>
      <c r="WVX523" s="215"/>
      <c r="WVY523" s="215"/>
      <c r="WWA523" s="215"/>
      <c r="WWQ523" s="215"/>
      <c r="WWS523" s="215"/>
      <c r="WWV523" s="215"/>
      <c r="WWX523" s="215"/>
      <c r="WWZ523" s="215"/>
      <c r="WXB523" s="215"/>
      <c r="WXD523" s="215"/>
      <c r="WXK523" s="212"/>
      <c r="WXL523" s="213"/>
      <c r="WXP523" s="214"/>
      <c r="WXT523" s="215"/>
      <c r="WXV523" s="215"/>
      <c r="WYB523" s="215"/>
      <c r="WYC523" s="215"/>
      <c r="WYD523" s="215"/>
      <c r="WYF523" s="215"/>
      <c r="WYV523" s="215"/>
      <c r="WYX523" s="215"/>
      <c r="WZA523" s="215"/>
      <c r="WZC523" s="215"/>
      <c r="WZE523" s="215"/>
      <c r="WZG523" s="215"/>
      <c r="WZI523" s="215"/>
      <c r="WZP523" s="212"/>
      <c r="WZQ523" s="213"/>
      <c r="WZU523" s="214"/>
      <c r="WZY523" s="215"/>
      <c r="XAA523" s="215"/>
      <c r="XAG523" s="215"/>
      <c r="XAH523" s="215"/>
      <c r="XAI523" s="215"/>
      <c r="XAK523" s="215"/>
      <c r="XBA523" s="215"/>
      <c r="XBC523" s="215"/>
      <c r="XBF523" s="215"/>
      <c r="XBH523" s="215"/>
      <c r="XBJ523" s="215"/>
      <c r="XBL523" s="215"/>
      <c r="XBN523" s="215"/>
      <c r="XBU523" s="212"/>
      <c r="XBV523" s="213"/>
      <c r="XBZ523" s="214"/>
      <c r="XCD523" s="215"/>
      <c r="XCF523" s="215"/>
      <c r="XCL523" s="215"/>
      <c r="XCM523" s="215"/>
      <c r="XCN523" s="215"/>
      <c r="XCP523" s="215"/>
      <c r="XDF523" s="215"/>
      <c r="XDH523" s="215"/>
      <c r="XDK523" s="215"/>
      <c r="XDM523" s="215"/>
      <c r="XDO523" s="215"/>
      <c r="XDQ523" s="215"/>
      <c r="XDS523" s="215"/>
      <c r="XDZ523" s="212"/>
      <c r="XEA523" s="213"/>
      <c r="XEE523" s="214"/>
      <c r="XEI523" s="215"/>
      <c r="XEK523" s="215"/>
      <c r="XEQ523" s="215"/>
      <c r="XER523" s="215"/>
      <c r="XES523" s="215"/>
      <c r="XEU523" s="215"/>
    </row>
    <row r="524" spans="1:1022 1026:2048 2052:3066 3073:4092 4099:5118 5125:6144 6151:7168 7170:8192 8194:9216 9218:10240 10242:11263 11266:12287 12289:13297 13313:14323 14339:15349 15365:16375" ht="21" customHeight="1" x14ac:dyDescent="0.15">
      <c r="A524" s="63">
        <v>3364096</v>
      </c>
      <c r="B524" s="63">
        <v>2332</v>
      </c>
      <c r="C524" s="63" t="s">
        <v>90</v>
      </c>
      <c r="D524" s="110" t="s">
        <v>441</v>
      </c>
      <c r="E524" s="63" t="s">
        <v>56</v>
      </c>
      <c r="F524" s="63" t="s">
        <v>57</v>
      </c>
      <c r="G524" s="63">
        <v>3</v>
      </c>
      <c r="H524" s="64">
        <v>45828</v>
      </c>
      <c r="I524" s="63"/>
      <c r="J524" s="64"/>
      <c r="K524" s="63"/>
      <c r="L524" s="63"/>
      <c r="M524" s="64"/>
      <c r="N524" s="64"/>
      <c r="O524" s="64"/>
      <c r="P524" s="63"/>
      <c r="Q524" s="64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119"/>
      <c r="AF524" s="63"/>
      <c r="AG524" s="64"/>
      <c r="AH524" s="63"/>
      <c r="AI524" s="64"/>
      <c r="AJ524" s="63"/>
      <c r="AK524" s="64"/>
      <c r="AL524" s="63"/>
      <c r="AM524" s="64"/>
      <c r="AN524" s="63"/>
      <c r="AO524" s="64"/>
      <c r="AP524" s="63"/>
      <c r="AQ524" s="64"/>
      <c r="AR524" s="63"/>
      <c r="AS524" s="64"/>
      <c r="AT524" s="63"/>
      <c r="AU524" s="63"/>
      <c r="AV524" s="63"/>
      <c r="AW524" s="63"/>
      <c r="AX524" s="63"/>
      <c r="AY524" s="63" t="s">
        <v>970</v>
      </c>
      <c r="AZ524" s="235" t="str">
        <f t="shared" si="34"/>
        <v>Jan 00</v>
      </c>
      <c r="BA524" s="236" t="str">
        <f t="shared" si="32"/>
        <v>Jan 00</v>
      </c>
    </row>
    <row r="525" spans="1:1022 1026:2048 2052:3066 3073:4092 4099:5118 5125:6144 6151:7168 7170:8192 8194:9216 9218:10240 10242:11263 11266:12287 12289:13297 13313:14323 14339:15349 15365:16375" ht="15" x14ac:dyDescent="0.2">
      <c r="A525" s="63">
        <v>3371046</v>
      </c>
      <c r="B525" s="63">
        <v>2173</v>
      </c>
      <c r="C525" s="63" t="s">
        <v>83</v>
      </c>
      <c r="D525" s="154" t="s">
        <v>669</v>
      </c>
      <c r="E525" s="63" t="s">
        <v>56</v>
      </c>
      <c r="F525" s="63" t="s">
        <v>57</v>
      </c>
      <c r="G525" s="63">
        <v>3</v>
      </c>
      <c r="H525" s="64" t="s">
        <v>552</v>
      </c>
      <c r="I525" s="63"/>
      <c r="J525" s="64"/>
      <c r="K525" s="63"/>
      <c r="L525" s="63"/>
      <c r="M525" s="64"/>
      <c r="N525" s="64"/>
      <c r="O525" s="64"/>
      <c r="P525" s="63"/>
      <c r="Q525" s="64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119">
        <f>AllPlans[[#This Row],[Prep days*]]+AllPlans[[#This Row],[Hearing days*]]+AllPlans[[#This Row],[SV days*]]+AllPlans[[#This Row],[Travel days]]+AllPlans[[#This Row],[Reptg days*]]</f>
        <v>0</v>
      </c>
      <c r="AF525" s="63"/>
      <c r="AG525" s="64"/>
      <c r="AH525" s="63"/>
      <c r="AI525" s="64"/>
      <c r="AJ525" s="63"/>
      <c r="AK525" s="64"/>
      <c r="AL525" s="63"/>
      <c r="AM525" s="64"/>
      <c r="AN525" s="63"/>
      <c r="AO525" s="64"/>
      <c r="AP525" s="63"/>
      <c r="AQ525" s="64"/>
      <c r="AR525" s="63"/>
      <c r="AS525" s="64"/>
      <c r="AT525" s="63"/>
      <c r="AU525" s="63"/>
      <c r="AV525" s="63"/>
      <c r="AW525" s="63"/>
      <c r="AX525" s="63"/>
      <c r="AY525" s="296" t="s">
        <v>971</v>
      </c>
      <c r="AZ525" s="41" t="str">
        <f t="shared" si="34"/>
        <v>Jan 00</v>
      </c>
      <c r="BA525" s="41" t="str">
        <f t="shared" si="32"/>
        <v>Jan 00</v>
      </c>
    </row>
    <row r="526" spans="1:1022 1026:2048 2052:3066 3073:4092 4099:5118 5125:6144 6151:7168 7170:8192 8194:9216 9218:10240 10242:11263 11266:12287 12289:13297 13313:14323 14339:15349 15365:16375" ht="15" x14ac:dyDescent="0.15">
      <c r="A526" s="63" t="s">
        <v>53</v>
      </c>
      <c r="B526" s="63">
        <v>2249</v>
      </c>
      <c r="C526" s="63" t="s">
        <v>54</v>
      </c>
      <c r="D526" s="158" t="s">
        <v>972</v>
      </c>
      <c r="E526" s="63" t="s">
        <v>973</v>
      </c>
      <c r="F526" s="63" t="s">
        <v>74</v>
      </c>
      <c r="G526" s="63">
        <v>2</v>
      </c>
      <c r="H526" s="64">
        <v>44144</v>
      </c>
      <c r="I526" s="63"/>
      <c r="J526" s="64"/>
      <c r="K526" s="63"/>
      <c r="L526" s="63"/>
      <c r="M526" s="64"/>
      <c r="N526" s="64"/>
      <c r="O526" s="64"/>
      <c r="P526" s="63"/>
      <c r="Q526" s="64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119">
        <f>AllPlans[[#This Row],[Prep days*]]+AllPlans[[#This Row],[Hearing days*]]+AllPlans[[#This Row],[SV days*]]+AllPlans[[#This Row],[Travel days]]+AllPlans[[#This Row],[Reptg days*]]</f>
        <v>0</v>
      </c>
      <c r="AF526" s="63"/>
      <c r="AG526" s="64"/>
      <c r="AH526" s="63"/>
      <c r="AI526" s="64"/>
      <c r="AJ526" s="63"/>
      <c r="AK526" s="64"/>
      <c r="AL526" s="63"/>
      <c r="AM526" s="64"/>
      <c r="AN526" s="63"/>
      <c r="AO526" s="64"/>
      <c r="AP526" s="63"/>
      <c r="AQ526" s="64"/>
      <c r="AR526" s="63"/>
      <c r="AS526" s="64"/>
      <c r="AT526" s="63"/>
      <c r="AU526" s="63"/>
      <c r="AV526" s="96"/>
      <c r="AW526" s="116"/>
      <c r="AX526" s="63"/>
      <c r="AY526" s="304" t="s">
        <v>60</v>
      </c>
      <c r="AZ526" s="41" t="str">
        <f t="shared" si="34"/>
        <v>Jan 00</v>
      </c>
      <c r="BA526" s="41" t="str">
        <f t="shared" si="32"/>
        <v>Jan 00</v>
      </c>
    </row>
    <row r="527" spans="1:1022 1026:2048 2052:3066 3073:4092 4099:5118 5125:6144 6151:7168 7170:8192 8194:9216 9218:10240 10242:11263 11266:12287 12289:13297 13313:14323 14339:15349 15365:16375" ht="15" x14ac:dyDescent="0.2">
      <c r="A527" s="63">
        <v>3371039</v>
      </c>
      <c r="B527" s="63">
        <v>2441</v>
      </c>
      <c r="C527" s="63" t="s">
        <v>83</v>
      </c>
      <c r="D527" s="154" t="s">
        <v>974</v>
      </c>
      <c r="E527" s="63" t="s">
        <v>56</v>
      </c>
      <c r="F527" s="63" t="s">
        <v>57</v>
      </c>
      <c r="G527" s="63">
        <v>3</v>
      </c>
      <c r="H527" s="64" t="s">
        <v>552</v>
      </c>
      <c r="I527" s="63"/>
      <c r="J527" s="64"/>
      <c r="K527" s="63"/>
      <c r="L527" s="63"/>
      <c r="M527" s="64"/>
      <c r="N527" s="64"/>
      <c r="O527" s="64"/>
      <c r="P527" s="63"/>
      <c r="Q527" s="64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119">
        <f>AllPlans[[#This Row],[Prep days*]]+AllPlans[[#This Row],[Hearing days*]]+AllPlans[[#This Row],[SV days*]]+AllPlans[[#This Row],[Travel days]]+AllPlans[[#This Row],[Reptg days*]]</f>
        <v>0</v>
      </c>
      <c r="AF527" s="63"/>
      <c r="AG527" s="64"/>
      <c r="AH527" s="63"/>
      <c r="AI527" s="64"/>
      <c r="AJ527" s="63"/>
      <c r="AK527" s="64"/>
      <c r="AL527" s="63"/>
      <c r="AM527" s="64"/>
      <c r="AN527" s="63"/>
      <c r="AO527" s="64"/>
      <c r="AP527" s="63"/>
      <c r="AQ527" s="64"/>
      <c r="AR527" s="63"/>
      <c r="AS527" s="64"/>
      <c r="AT527" s="63"/>
      <c r="AU527" s="63"/>
      <c r="AV527" s="63"/>
      <c r="AW527" s="63"/>
      <c r="AX527" s="63"/>
      <c r="AY527" s="296" t="s">
        <v>975</v>
      </c>
      <c r="AZ527" s="41" t="str">
        <f t="shared" si="34"/>
        <v>Jan 00</v>
      </c>
      <c r="BA527" s="41" t="str">
        <f t="shared" si="32"/>
        <v>Jan 00</v>
      </c>
    </row>
    <row r="528" spans="1:1022 1026:2048 2052:3066 3073:4092 4099:5118 5125:6144 6151:7168 7170:8192 8194:9216 9218:10240 10242:11263 11266:12287 12289:13297 13313:14323 14339:15349 15365:16375" ht="14" x14ac:dyDescent="0.15">
      <c r="A528" s="237">
        <v>3365745</v>
      </c>
      <c r="B528" s="63">
        <v>2413</v>
      </c>
      <c r="C528" s="63" t="s">
        <v>67</v>
      </c>
      <c r="D528" s="163" t="s">
        <v>143</v>
      </c>
      <c r="E528" s="63" t="s">
        <v>705</v>
      </c>
      <c r="F528" s="63" t="s">
        <v>102</v>
      </c>
      <c r="G528" s="63">
        <v>2</v>
      </c>
      <c r="H528" s="64">
        <v>44141</v>
      </c>
      <c r="I528" s="63"/>
      <c r="J528" s="64"/>
      <c r="K528" s="63"/>
      <c r="L528" s="63"/>
      <c r="M528" s="64"/>
      <c r="N528" s="64"/>
      <c r="O528" s="64"/>
      <c r="P528" s="63"/>
      <c r="Q528" s="64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119">
        <f>AllPlans[[#This Row],[Prep days*]]+AllPlans[[#This Row],[Hearing days*]]+AllPlans[[#This Row],[SV days*]]+AllPlans[[#This Row],[Travel days]]+AllPlans[[#This Row],[Reptg days*]]</f>
        <v>0</v>
      </c>
      <c r="AF528" s="63"/>
      <c r="AG528" s="64"/>
      <c r="AH528" s="63"/>
      <c r="AI528" s="64"/>
      <c r="AJ528" s="63"/>
      <c r="AK528" s="64"/>
      <c r="AL528" s="63"/>
      <c r="AM528" s="64"/>
      <c r="AN528" s="63"/>
      <c r="AO528" s="64"/>
      <c r="AP528" s="63"/>
      <c r="AQ528" s="64"/>
      <c r="AR528" s="63"/>
      <c r="AS528" s="64"/>
      <c r="AT528" s="63"/>
      <c r="AU528" s="63"/>
      <c r="AV528" s="63"/>
      <c r="AW528" s="63"/>
      <c r="AX528" s="63"/>
      <c r="AY528" s="63" t="s">
        <v>145</v>
      </c>
      <c r="AZ528" s="41" t="str">
        <f t="shared" si="34"/>
        <v>Jan 00</v>
      </c>
      <c r="BA528" s="41" t="str">
        <f t="shared" si="32"/>
        <v>Jan 00</v>
      </c>
    </row>
    <row r="529" spans="1:53" ht="28" x14ac:dyDescent="0.2">
      <c r="A529" s="63">
        <v>3375672</v>
      </c>
      <c r="B529" s="63">
        <v>2139</v>
      </c>
      <c r="C529" s="64" t="s">
        <v>966</v>
      </c>
      <c r="D529" s="240" t="s">
        <v>976</v>
      </c>
      <c r="E529" s="64" t="s">
        <v>977</v>
      </c>
      <c r="F529" s="64" t="s">
        <v>57</v>
      </c>
      <c r="G529" s="64"/>
      <c r="H529" s="64" t="s">
        <v>552</v>
      </c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297" t="s">
        <v>978</v>
      </c>
      <c r="AZ529" s="64"/>
      <c r="BA529" s="64"/>
    </row>
    <row r="530" spans="1:53" ht="15" x14ac:dyDescent="0.2">
      <c r="A530" s="63">
        <v>3376546</v>
      </c>
      <c r="B530" s="63">
        <v>2189</v>
      </c>
      <c r="C530" s="64" t="s">
        <v>54</v>
      </c>
      <c r="D530" s="240" t="s">
        <v>979</v>
      </c>
      <c r="E530" s="64" t="s">
        <v>980</v>
      </c>
      <c r="F530" s="64" t="s">
        <v>57</v>
      </c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297" t="s">
        <v>981</v>
      </c>
      <c r="AZ530" s="64" t="str">
        <f>TEXT(J530,"MMM YY")</f>
        <v>Jan 00</v>
      </c>
      <c r="BA530" s="64" t="str">
        <f>TEXT(AO530,"MMM YY")</f>
        <v>Jan 00</v>
      </c>
    </row>
    <row r="531" spans="1:53" ht="28" x14ac:dyDescent="0.2">
      <c r="A531" s="63">
        <v>3376638</v>
      </c>
      <c r="B531" s="63">
        <v>2190</v>
      </c>
      <c r="C531" s="64" t="s">
        <v>104</v>
      </c>
      <c r="D531" s="281" t="s">
        <v>138</v>
      </c>
      <c r="E531" s="64" t="s">
        <v>982</v>
      </c>
      <c r="F531" s="64" t="s">
        <v>57</v>
      </c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297" t="s">
        <v>140</v>
      </c>
      <c r="AZ531" s="64"/>
      <c r="BA531" s="64"/>
    </row>
    <row r="532" spans="1:53" ht="14" x14ac:dyDescent="0.15">
      <c r="A532" s="63">
        <v>3376640</v>
      </c>
      <c r="B532" s="63">
        <v>2426</v>
      </c>
      <c r="C532" s="64" t="s">
        <v>54</v>
      </c>
      <c r="D532" s="240" t="s">
        <v>458</v>
      </c>
      <c r="E532" s="64" t="s">
        <v>92</v>
      </c>
      <c r="F532" s="64" t="s">
        <v>57</v>
      </c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 t="s">
        <v>983</v>
      </c>
      <c r="AZ532" s="64"/>
      <c r="BA532" s="64"/>
    </row>
    <row r="533" spans="1:53" ht="14" x14ac:dyDescent="0.15">
      <c r="A533" s="63">
        <v>3376687</v>
      </c>
      <c r="B533" s="63">
        <v>2109</v>
      </c>
      <c r="C533" s="64" t="s">
        <v>61</v>
      </c>
      <c r="D533" s="167" t="s">
        <v>984</v>
      </c>
      <c r="E533" s="64" t="s">
        <v>985</v>
      </c>
      <c r="F533" s="64" t="s">
        <v>57</v>
      </c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 t="s">
        <v>986</v>
      </c>
      <c r="AZ533" s="64"/>
      <c r="BA533" s="64"/>
    </row>
  </sheetData>
  <sortState xmlns:xlrd2="http://schemas.microsoft.com/office/spreadsheetml/2017/richdata2" ref="B131:BA501">
    <sortCondition ref="J1"/>
  </sortState>
  <phoneticPr fontId="11" type="noConversion"/>
  <conditionalFormatting sqref="A1:AX1">
    <cfRule type="expression" dxfId="19" priority="121">
      <formula>#REF!="SOS"</formula>
    </cfRule>
    <cfRule type="expression" dxfId="18" priority="122">
      <formula>#REF!="DPDTBW"</formula>
    </cfRule>
    <cfRule type="expression" dxfId="17" priority="123">
      <formula>#REF!="DPDW"</formula>
    </cfRule>
    <cfRule type="expression" dxfId="16" priority="124">
      <formula>#REF!="SOU"</formula>
    </cfRule>
    <cfRule type="expression" dxfId="15" priority="125">
      <formula>#REF!="UNS"</formula>
    </cfRule>
  </conditionalFormatting>
  <conditionalFormatting sqref="AF2:AY155 C2:AD325 A2:B344 AE2:AE502 AF156:AX161 AY156:AY283 AF162:AW162 AF163:AX265 AF266:AG267 AI266:AX267 AF268:AX283 AF284:AY293 AF294:AX344 AY294:AY405 C326:X326 AA326:AD326 C327:AD348 B345:B348 AF345:AU348 AW345:AX348 A345:A371 AV345:AV371 C351 C354 C356:C359 C367:C368 A373 AV373:AV385 C376 A376:A379 A381:A385 AV389:AV390 A390 AV392:AV394 AV396:AV397 A397 AV401:AV404 A402 AV411">
    <cfRule type="expression" dxfId="14" priority="116">
      <formula>$AU2="SOS"</formula>
    </cfRule>
    <cfRule type="expression" dxfId="13" priority="117">
      <formula>$AU2="DPDTBW"</formula>
    </cfRule>
    <cfRule type="expression" dxfId="12" priority="118">
      <formula>$AU2="DPDW"</formula>
    </cfRule>
    <cfRule type="expression" dxfId="11" priority="119">
      <formula>$AU2="SOU"</formula>
    </cfRule>
    <cfRule type="expression" dxfId="10" priority="120">
      <formula>$AU2="UNS"</formula>
    </cfRule>
  </conditionalFormatting>
  <conditionalFormatting sqref="AX162">
    <cfRule type="expression" dxfId="9" priority="11">
      <formula>$AU162="SOS"</formula>
    </cfRule>
    <cfRule type="expression" dxfId="8" priority="12">
      <formula>$AU162="DPDTBW"</formula>
    </cfRule>
    <cfRule type="expression" dxfId="7" priority="13">
      <formula>$AU162="DPDW"</formula>
    </cfRule>
    <cfRule type="expression" dxfId="6" priority="14">
      <formula>$AU162="SOU"</formula>
    </cfRule>
    <cfRule type="expression" dxfId="5" priority="15">
      <formula>$AU162="UNS"</formula>
    </cfRule>
  </conditionalFormatting>
  <conditionalFormatting sqref="AY1">
    <cfRule type="expression" dxfId="4" priority="91">
      <formula>#REF!="SOS"</formula>
    </cfRule>
    <cfRule type="expression" dxfId="3" priority="92">
      <formula>#REF!="DPDTBW"</formula>
    </cfRule>
    <cfRule type="expression" dxfId="2" priority="93">
      <formula>#REF!="DPDW"</formula>
    </cfRule>
    <cfRule type="expression" dxfId="1" priority="94">
      <formula>#REF!="SOU"</formula>
    </cfRule>
    <cfRule type="expression" dxfId="0" priority="95">
      <formula>#REF!="UNS"</formula>
    </cfRule>
  </conditionalFormatting>
  <pageMargins left="0.7" right="0.7" top="0.75" bottom="0.75" header="0.3" footer="0.3"/>
  <pageSetup paperSize="9" orientation="portrait" r:id="rId1"/>
  <headerFooter>
    <oddHeader>&amp;C&amp;"Aptos"&amp;10&amp;K000000 OFFICIAL&amp;1#_x000D_</oddHeader>
    <oddFooter>&amp;C_x000D_&amp;1#&amp;"Aptos"&amp;10&amp;K000000 OFFICIAL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3673-0C26-40C0-850D-C0D67AC94A96}">
  <dimension ref="A1:U12"/>
  <sheetViews>
    <sheetView workbookViewId="0">
      <selection activeCell="D14" sqref="D14"/>
    </sheetView>
  </sheetViews>
  <sheetFormatPr baseColWidth="10" defaultColWidth="8.83203125" defaultRowHeight="13" x14ac:dyDescent="0.15"/>
  <cols>
    <col min="2" max="2" width="25" customWidth="1"/>
  </cols>
  <sheetData>
    <row r="1" spans="1:21" x14ac:dyDescent="0.15">
      <c r="A1" s="15" t="s">
        <v>987</v>
      </c>
    </row>
    <row r="2" spans="1:21" x14ac:dyDescent="0.15">
      <c r="A2" s="16"/>
      <c r="B2" s="17" t="s">
        <v>988</v>
      </c>
      <c r="D2" s="15"/>
      <c r="E2" s="15" t="s">
        <v>989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x14ac:dyDescent="0.15">
      <c r="A3" s="17"/>
      <c r="B3" s="17" t="s">
        <v>990</v>
      </c>
    </row>
    <row r="4" spans="1:21" x14ac:dyDescent="0.15">
      <c r="A4" s="18"/>
      <c r="B4" s="17" t="s">
        <v>991</v>
      </c>
    </row>
    <row r="5" spans="1:21" x14ac:dyDescent="0.15">
      <c r="A5" s="19"/>
      <c r="B5" s="17" t="s">
        <v>992</v>
      </c>
    </row>
    <row r="8" spans="1:21" x14ac:dyDescent="0.15">
      <c r="A8" s="20"/>
    </row>
    <row r="9" spans="1:21" x14ac:dyDescent="0.15">
      <c r="A9" s="21"/>
    </row>
    <row r="10" spans="1:21" x14ac:dyDescent="0.15">
      <c r="A10" s="162"/>
    </row>
    <row r="11" spans="1:21" x14ac:dyDescent="0.15">
      <c r="A11" s="165"/>
    </row>
    <row r="12" spans="1:21" x14ac:dyDescent="0.15">
      <c r="A12" s="166"/>
    </row>
  </sheetData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DE20-9753-4AF5-981F-8ACF2D7DEFB9}">
  <dimension ref="A1:J478"/>
  <sheetViews>
    <sheetView tabSelected="1" workbookViewId="0">
      <selection activeCell="C29" sqref="C29"/>
    </sheetView>
  </sheetViews>
  <sheetFormatPr baseColWidth="10" defaultColWidth="8.83203125" defaultRowHeight="13" x14ac:dyDescent="0.15"/>
  <cols>
    <col min="1" max="1" width="50.83203125" customWidth="1"/>
    <col min="2" max="2" width="17" customWidth="1"/>
    <col min="3" max="3" width="47.5" customWidth="1"/>
  </cols>
  <sheetData>
    <row r="1" spans="1:10" ht="15" x14ac:dyDescent="0.2">
      <c r="A1" s="297" t="s">
        <v>993</v>
      </c>
      <c r="B1" s="297" t="s">
        <v>994</v>
      </c>
      <c r="C1" s="297"/>
      <c r="D1" s="297"/>
      <c r="E1" s="297"/>
      <c r="F1" s="297"/>
      <c r="G1" s="297"/>
      <c r="H1" s="297"/>
      <c r="I1" s="297"/>
      <c r="J1" s="297"/>
    </row>
    <row r="2" spans="1:10" ht="15" x14ac:dyDescent="0.2">
      <c r="A2" s="297" t="s">
        <v>995</v>
      </c>
      <c r="B2" s="297" t="s">
        <v>996</v>
      </c>
      <c r="C2" s="297"/>
      <c r="D2" s="297"/>
      <c r="E2" s="297"/>
      <c r="F2" s="297"/>
      <c r="G2" s="297"/>
      <c r="H2" s="297"/>
      <c r="I2" s="297"/>
      <c r="J2" s="297"/>
    </row>
    <row r="3" spans="1:10" ht="15" x14ac:dyDescent="0.2">
      <c r="A3" s="297" t="s">
        <v>997</v>
      </c>
      <c r="B3" s="297" t="s">
        <v>998</v>
      </c>
      <c r="C3" s="297"/>
      <c r="D3" s="297"/>
      <c r="E3" s="297"/>
      <c r="F3" s="297"/>
      <c r="G3" s="297"/>
      <c r="H3" s="297"/>
      <c r="I3" s="297"/>
      <c r="J3" s="297"/>
    </row>
    <row r="4" spans="1:10" ht="15" x14ac:dyDescent="0.2">
      <c r="A4" s="297" t="s">
        <v>299</v>
      </c>
      <c r="B4" s="297" t="s">
        <v>300</v>
      </c>
      <c r="C4" s="297"/>
      <c r="D4" s="297"/>
      <c r="E4" s="297"/>
      <c r="F4" s="297"/>
      <c r="G4" s="297"/>
      <c r="H4" s="297"/>
      <c r="I4" s="297"/>
      <c r="J4" s="297"/>
    </row>
    <row r="5" spans="1:10" ht="15" x14ac:dyDescent="0.2">
      <c r="A5" s="297" t="s">
        <v>536</v>
      </c>
      <c r="B5" s="297" t="s">
        <v>999</v>
      </c>
      <c r="C5" s="297"/>
      <c r="D5" s="297"/>
      <c r="E5" s="297"/>
      <c r="F5" s="297"/>
      <c r="G5" s="297"/>
      <c r="H5" s="297"/>
      <c r="I5" s="297"/>
      <c r="J5" s="297"/>
    </row>
    <row r="6" spans="1:10" ht="15" x14ac:dyDescent="0.2">
      <c r="A6" s="297" t="s">
        <v>444</v>
      </c>
      <c r="B6" s="297" t="s">
        <v>779</v>
      </c>
      <c r="C6" s="297"/>
      <c r="D6" s="297"/>
      <c r="E6" s="297"/>
      <c r="F6" s="297"/>
      <c r="G6" s="297"/>
      <c r="H6" s="297"/>
      <c r="I6" s="297"/>
      <c r="J6" s="297"/>
    </row>
    <row r="7" spans="1:10" ht="15" x14ac:dyDescent="0.2">
      <c r="A7" s="297" t="s">
        <v>1000</v>
      </c>
      <c r="B7" s="297" t="s">
        <v>1001</v>
      </c>
      <c r="C7" s="297"/>
      <c r="D7" s="297"/>
      <c r="E7" s="297"/>
      <c r="F7" s="297"/>
      <c r="G7" s="297"/>
      <c r="H7" s="297"/>
      <c r="I7" s="297"/>
      <c r="J7" s="297"/>
    </row>
    <row r="8" spans="1:10" ht="15" x14ac:dyDescent="0.2">
      <c r="A8" s="297" t="s">
        <v>1002</v>
      </c>
      <c r="B8" s="297" t="s">
        <v>1003</v>
      </c>
      <c r="C8" s="297"/>
      <c r="D8" s="297"/>
      <c r="E8" s="297"/>
      <c r="F8" s="297"/>
      <c r="G8" s="297"/>
      <c r="H8" s="297"/>
      <c r="I8" s="297"/>
      <c r="J8" s="297"/>
    </row>
    <row r="9" spans="1:10" ht="15" x14ac:dyDescent="0.2">
      <c r="A9" s="297" t="s">
        <v>1004</v>
      </c>
      <c r="B9" s="297" t="s">
        <v>1005</v>
      </c>
      <c r="C9" s="297"/>
      <c r="D9" s="297"/>
      <c r="E9" s="297"/>
      <c r="F9" s="297"/>
      <c r="G9" s="297"/>
      <c r="H9" s="297"/>
      <c r="I9" s="297"/>
      <c r="J9" s="297"/>
    </row>
    <row r="10" spans="1:10" ht="15" x14ac:dyDescent="0.2">
      <c r="A10" s="297" t="s">
        <v>1006</v>
      </c>
      <c r="B10" s="297" t="s">
        <v>1007</v>
      </c>
      <c r="C10" s="297"/>
      <c r="D10" s="297"/>
      <c r="E10" s="297"/>
      <c r="F10" s="297"/>
      <c r="G10" s="297"/>
      <c r="H10" s="297"/>
      <c r="I10" s="297"/>
      <c r="J10" s="297"/>
    </row>
    <row r="11" spans="1:10" ht="15" x14ac:dyDescent="0.2">
      <c r="A11" s="297" t="s">
        <v>1008</v>
      </c>
      <c r="B11" s="297" t="s">
        <v>1009</v>
      </c>
      <c r="C11" s="297"/>
      <c r="D11" s="297"/>
      <c r="E11" s="297"/>
      <c r="F11" s="297"/>
      <c r="G11" s="297"/>
      <c r="H11" s="297"/>
      <c r="I11" s="297"/>
      <c r="J11" s="297"/>
    </row>
    <row r="12" spans="1:10" ht="15" x14ac:dyDescent="0.2">
      <c r="A12" s="297" t="s">
        <v>62</v>
      </c>
      <c r="B12" s="297" t="s">
        <v>64</v>
      </c>
      <c r="C12" s="297"/>
      <c r="D12" s="297"/>
      <c r="E12" s="297"/>
      <c r="F12" s="297"/>
      <c r="G12" s="297"/>
      <c r="H12" s="297"/>
      <c r="I12" s="297"/>
      <c r="J12" s="297"/>
    </row>
    <row r="13" spans="1:10" ht="15" x14ac:dyDescent="0.2">
      <c r="A13" s="297" t="s">
        <v>333</v>
      </c>
      <c r="B13" s="297" t="s">
        <v>334</v>
      </c>
      <c r="C13" s="297"/>
      <c r="D13" s="297"/>
      <c r="E13" s="297"/>
      <c r="F13" s="297"/>
      <c r="G13" s="297"/>
      <c r="H13" s="297"/>
      <c r="I13" s="297"/>
      <c r="J13" s="297"/>
    </row>
    <row r="14" spans="1:10" ht="15" x14ac:dyDescent="0.2">
      <c r="A14" s="297" t="s">
        <v>422</v>
      </c>
      <c r="B14" s="297" t="s">
        <v>1010</v>
      </c>
      <c r="C14" s="297"/>
      <c r="D14" s="297"/>
      <c r="E14" s="297"/>
      <c r="F14" s="297"/>
      <c r="G14" s="297"/>
      <c r="H14" s="297"/>
      <c r="I14" s="297"/>
      <c r="J14" s="297"/>
    </row>
    <row r="15" spans="1:10" ht="15" x14ac:dyDescent="0.2">
      <c r="A15" s="297" t="s">
        <v>442</v>
      </c>
      <c r="B15" s="297" t="s">
        <v>1011</v>
      </c>
      <c r="C15" s="297"/>
      <c r="D15" s="297"/>
      <c r="E15" s="297"/>
      <c r="F15" s="297"/>
      <c r="G15" s="297"/>
      <c r="H15" s="297"/>
      <c r="I15" s="297"/>
      <c r="J15" s="297"/>
    </row>
    <row r="16" spans="1:10" ht="15" x14ac:dyDescent="0.2">
      <c r="A16" s="297" t="s">
        <v>1012</v>
      </c>
      <c r="B16" s="297" t="s">
        <v>1013</v>
      </c>
      <c r="C16" s="297"/>
      <c r="D16" s="297"/>
      <c r="E16" s="297"/>
      <c r="F16" s="297"/>
      <c r="G16" s="297"/>
      <c r="H16" s="297"/>
      <c r="I16" s="297"/>
      <c r="J16" s="297"/>
    </row>
    <row r="17" spans="1:10" ht="15" x14ac:dyDescent="0.2">
      <c r="A17" s="297" t="s">
        <v>682</v>
      </c>
      <c r="B17" s="297" t="s">
        <v>1014</v>
      </c>
      <c r="C17" s="297"/>
      <c r="D17" s="297"/>
      <c r="E17" s="297"/>
      <c r="F17" s="297"/>
      <c r="G17" s="297"/>
      <c r="H17" s="297"/>
      <c r="I17" s="297"/>
      <c r="J17" s="297"/>
    </row>
    <row r="18" spans="1:10" ht="15" x14ac:dyDescent="0.2">
      <c r="A18" s="297" t="s">
        <v>671</v>
      </c>
      <c r="B18" s="297" t="s">
        <v>1015</v>
      </c>
      <c r="C18" s="297"/>
      <c r="D18" s="297"/>
      <c r="E18" s="297"/>
      <c r="F18" s="297"/>
      <c r="G18" s="297"/>
      <c r="H18" s="297"/>
      <c r="I18" s="297"/>
      <c r="J18" s="297"/>
    </row>
    <row r="19" spans="1:10" ht="15" x14ac:dyDescent="0.2">
      <c r="A19" s="297" t="s">
        <v>317</v>
      </c>
      <c r="B19" s="297" t="s">
        <v>319</v>
      </c>
      <c r="C19" s="297"/>
      <c r="D19" s="297"/>
      <c r="E19" s="297"/>
      <c r="F19" s="297"/>
      <c r="G19" s="297"/>
      <c r="H19" s="297"/>
      <c r="I19" s="297"/>
      <c r="J19" s="297"/>
    </row>
    <row r="20" spans="1:10" ht="15" x14ac:dyDescent="0.2">
      <c r="A20" s="297" t="s">
        <v>431</v>
      </c>
      <c r="B20" s="297" t="s">
        <v>1016</v>
      </c>
      <c r="C20" s="297"/>
      <c r="D20" s="297"/>
      <c r="E20" s="297"/>
      <c r="F20" s="297"/>
      <c r="G20" s="297"/>
      <c r="H20" s="297"/>
      <c r="I20" s="297"/>
      <c r="J20" s="297"/>
    </row>
    <row r="21" spans="1:10" ht="15" x14ac:dyDescent="0.2">
      <c r="A21" s="297" t="s">
        <v>555</v>
      </c>
      <c r="B21" s="297" t="s">
        <v>882</v>
      </c>
      <c r="C21" s="297"/>
      <c r="D21" s="297"/>
      <c r="E21" s="297"/>
      <c r="F21" s="297"/>
      <c r="G21" s="297"/>
      <c r="H21" s="297"/>
      <c r="I21" s="297"/>
      <c r="J21" s="297"/>
    </row>
    <row r="22" spans="1:10" ht="15" x14ac:dyDescent="0.2">
      <c r="A22" s="297" t="s">
        <v>1017</v>
      </c>
      <c r="B22" s="297" t="s">
        <v>1018</v>
      </c>
      <c r="C22" s="297"/>
      <c r="D22" s="297"/>
      <c r="E22" s="297"/>
      <c r="F22" s="297"/>
      <c r="G22" s="297"/>
      <c r="H22" s="297"/>
      <c r="I22" s="297"/>
      <c r="J22" s="297"/>
    </row>
    <row r="23" spans="1:10" ht="15" x14ac:dyDescent="0.2">
      <c r="A23" s="297" t="s">
        <v>709</v>
      </c>
      <c r="B23" s="297" t="s">
        <v>1019</v>
      </c>
      <c r="C23" s="297"/>
      <c r="D23" s="297"/>
      <c r="E23" s="297"/>
      <c r="F23" s="297"/>
      <c r="G23" s="297"/>
      <c r="H23" s="297"/>
      <c r="I23" s="297"/>
      <c r="J23" s="297"/>
    </row>
    <row r="24" spans="1:10" ht="15" x14ac:dyDescent="0.2">
      <c r="A24" s="297" t="s">
        <v>223</v>
      </c>
      <c r="B24" s="297" t="s">
        <v>225</v>
      </c>
      <c r="C24" s="297"/>
      <c r="D24" s="297"/>
      <c r="E24" s="297"/>
      <c r="F24" s="297"/>
      <c r="G24" s="297"/>
      <c r="H24" s="297"/>
      <c r="I24" s="297"/>
      <c r="J24" s="297"/>
    </row>
    <row r="25" spans="1:10" ht="15" x14ac:dyDescent="0.2">
      <c r="A25" s="297" t="s">
        <v>522</v>
      </c>
      <c r="B25" s="297" t="s">
        <v>1020</v>
      </c>
      <c r="C25" s="297"/>
      <c r="D25" s="297"/>
      <c r="E25" s="297"/>
      <c r="F25" s="297"/>
      <c r="G25" s="297"/>
      <c r="H25" s="297"/>
      <c r="I25" s="297"/>
      <c r="J25" s="297"/>
    </row>
    <row r="26" spans="1:10" ht="15" x14ac:dyDescent="0.2">
      <c r="A26" s="297" t="s">
        <v>1021</v>
      </c>
      <c r="B26" s="297" t="s">
        <v>1022</v>
      </c>
      <c r="C26" s="297"/>
      <c r="D26" s="297"/>
      <c r="E26" s="297"/>
      <c r="F26" s="297"/>
      <c r="G26" s="297"/>
      <c r="H26" s="297"/>
      <c r="I26" s="297"/>
      <c r="J26" s="297"/>
    </row>
    <row r="27" spans="1:10" ht="15" x14ac:dyDescent="0.2">
      <c r="A27" s="297" t="s">
        <v>672</v>
      </c>
      <c r="B27" s="297" t="s">
        <v>1023</v>
      </c>
      <c r="C27" s="297"/>
      <c r="D27" s="297"/>
      <c r="E27" s="297"/>
      <c r="F27" s="297"/>
      <c r="G27" s="297"/>
      <c r="H27" s="297"/>
      <c r="I27" s="297"/>
      <c r="J27" s="297"/>
    </row>
    <row r="28" spans="1:10" ht="15" x14ac:dyDescent="0.2">
      <c r="A28" s="297" t="s">
        <v>520</v>
      </c>
      <c r="B28" s="297" t="s">
        <v>1024</v>
      </c>
      <c r="C28" s="297"/>
      <c r="D28" s="297"/>
      <c r="E28" s="297"/>
      <c r="F28" s="297"/>
      <c r="G28" s="297"/>
      <c r="H28" s="297"/>
      <c r="I28" s="297"/>
      <c r="J28" s="297"/>
    </row>
    <row r="29" spans="1:10" ht="15" x14ac:dyDescent="0.2">
      <c r="A29" s="297" t="s">
        <v>452</v>
      </c>
      <c r="B29" s="297" t="s">
        <v>1025</v>
      </c>
      <c r="C29" s="297"/>
      <c r="D29" s="297"/>
      <c r="E29" s="297"/>
      <c r="F29" s="297"/>
      <c r="G29" s="297"/>
      <c r="H29" s="297"/>
      <c r="I29" s="297"/>
      <c r="J29" s="297"/>
    </row>
    <row r="30" spans="1:10" ht="15" x14ac:dyDescent="0.2">
      <c r="A30" s="297" t="s">
        <v>712</v>
      </c>
      <c r="B30" s="297" t="s">
        <v>1026</v>
      </c>
      <c r="C30" s="297"/>
      <c r="D30" s="297"/>
      <c r="E30" s="297"/>
      <c r="F30" s="297"/>
      <c r="G30" s="297"/>
      <c r="H30" s="297"/>
      <c r="I30" s="297"/>
      <c r="J30" s="297"/>
    </row>
    <row r="31" spans="1:10" ht="15" x14ac:dyDescent="0.2">
      <c r="A31" s="297" t="s">
        <v>654</v>
      </c>
      <c r="B31" s="297" t="s">
        <v>1027</v>
      </c>
      <c r="C31" s="297"/>
      <c r="D31" s="297"/>
      <c r="E31" s="297"/>
      <c r="F31" s="297"/>
      <c r="G31" s="297"/>
      <c r="H31" s="297"/>
      <c r="I31" s="297"/>
      <c r="J31" s="297"/>
    </row>
    <row r="32" spans="1:10" ht="15" x14ac:dyDescent="0.2">
      <c r="A32" s="297" t="s">
        <v>1028</v>
      </c>
      <c r="B32" s="297" t="s">
        <v>1029</v>
      </c>
      <c r="C32" s="297"/>
      <c r="D32" s="297"/>
      <c r="E32" s="297"/>
      <c r="F32" s="297"/>
      <c r="G32" s="297"/>
      <c r="H32" s="297"/>
      <c r="I32" s="297"/>
      <c r="J32" s="297"/>
    </row>
    <row r="33" spans="1:10" ht="15" x14ac:dyDescent="0.2">
      <c r="A33" s="297" t="s">
        <v>504</v>
      </c>
      <c r="B33" s="297" t="s">
        <v>1030</v>
      </c>
      <c r="C33" s="297"/>
      <c r="D33" s="297"/>
      <c r="E33" s="297"/>
      <c r="F33" s="297"/>
      <c r="G33" s="297"/>
      <c r="H33" s="297"/>
      <c r="I33" s="297"/>
      <c r="J33" s="297"/>
    </row>
    <row r="34" spans="1:10" ht="15" x14ac:dyDescent="0.2">
      <c r="A34" s="297" t="s">
        <v>883</v>
      </c>
      <c r="B34" s="297" t="s">
        <v>884</v>
      </c>
      <c r="C34" s="297"/>
      <c r="D34" s="297"/>
      <c r="E34" s="297"/>
      <c r="F34" s="297"/>
      <c r="G34" s="297"/>
      <c r="H34" s="297"/>
      <c r="I34" s="297"/>
      <c r="J34" s="297"/>
    </row>
    <row r="35" spans="1:10" ht="15" x14ac:dyDescent="0.2">
      <c r="A35" s="297" t="s">
        <v>1031</v>
      </c>
      <c r="B35" s="297" t="s">
        <v>1032</v>
      </c>
      <c r="C35" s="297"/>
      <c r="D35" s="297"/>
      <c r="E35" s="297"/>
      <c r="F35" s="297"/>
      <c r="G35" s="297"/>
      <c r="H35" s="297"/>
      <c r="I35" s="297"/>
      <c r="J35" s="297"/>
    </row>
    <row r="36" spans="1:10" ht="15" x14ac:dyDescent="0.2">
      <c r="A36" s="297" t="s">
        <v>1033</v>
      </c>
      <c r="B36" s="297" t="s">
        <v>1034</v>
      </c>
      <c r="C36" s="297"/>
      <c r="D36" s="297"/>
      <c r="E36" s="297"/>
      <c r="F36" s="297"/>
      <c r="G36" s="297"/>
      <c r="H36" s="297"/>
      <c r="I36" s="297"/>
      <c r="J36" s="297"/>
    </row>
    <row r="37" spans="1:10" ht="15" x14ac:dyDescent="0.2">
      <c r="A37" s="297" t="s">
        <v>681</v>
      </c>
      <c r="B37" s="297" t="s">
        <v>1035</v>
      </c>
      <c r="C37" s="297"/>
      <c r="D37" s="297"/>
      <c r="E37" s="297"/>
      <c r="F37" s="297"/>
      <c r="G37" s="297"/>
      <c r="H37" s="297"/>
      <c r="I37" s="297"/>
      <c r="J37" s="297"/>
    </row>
    <row r="38" spans="1:10" ht="15" x14ac:dyDescent="0.2">
      <c r="A38" s="297" t="s">
        <v>885</v>
      </c>
      <c r="B38" s="297" t="s">
        <v>886</v>
      </c>
      <c r="C38" s="297"/>
      <c r="D38" s="297"/>
      <c r="E38" s="297"/>
      <c r="F38" s="297"/>
      <c r="G38" s="297"/>
      <c r="H38" s="297"/>
      <c r="I38" s="297"/>
      <c r="J38" s="297"/>
    </row>
    <row r="39" spans="1:10" ht="15" x14ac:dyDescent="0.2">
      <c r="A39" s="297" t="s">
        <v>410</v>
      </c>
      <c r="B39" s="297" t="s">
        <v>412</v>
      </c>
      <c r="C39" s="297"/>
      <c r="D39" s="297"/>
      <c r="E39" s="297"/>
      <c r="F39" s="297"/>
      <c r="G39" s="297"/>
      <c r="H39" s="297"/>
      <c r="I39" s="297"/>
      <c r="J39" s="297"/>
    </row>
    <row r="40" spans="1:10" ht="15" x14ac:dyDescent="0.2">
      <c r="A40" s="297" t="s">
        <v>419</v>
      </c>
      <c r="B40" s="297" t="s">
        <v>1036</v>
      </c>
      <c r="C40" s="297"/>
      <c r="D40" s="297"/>
      <c r="E40" s="297"/>
      <c r="F40" s="297"/>
      <c r="G40" s="297"/>
      <c r="H40" s="297"/>
      <c r="I40" s="297"/>
      <c r="J40" s="297"/>
    </row>
    <row r="41" spans="1:10" ht="15" x14ac:dyDescent="0.2">
      <c r="A41" s="297" t="s">
        <v>1037</v>
      </c>
      <c r="B41" s="297" t="s">
        <v>1038</v>
      </c>
      <c r="C41" s="297"/>
      <c r="D41" s="297"/>
      <c r="E41" s="297"/>
      <c r="F41" s="297"/>
      <c r="G41" s="297"/>
      <c r="H41" s="297"/>
      <c r="I41" s="297"/>
      <c r="J41" s="297"/>
    </row>
    <row r="42" spans="1:10" ht="15" x14ac:dyDescent="0.2">
      <c r="A42" s="297" t="s">
        <v>186</v>
      </c>
      <c r="B42" s="297" t="s">
        <v>188</v>
      </c>
      <c r="C42" s="297"/>
      <c r="D42" s="297"/>
      <c r="E42" s="297"/>
      <c r="F42" s="297"/>
      <c r="G42" s="297"/>
      <c r="H42" s="297"/>
      <c r="I42" s="297"/>
      <c r="J42" s="297"/>
    </row>
    <row r="43" spans="1:10" ht="15" x14ac:dyDescent="0.2">
      <c r="A43" s="297" t="s">
        <v>600</v>
      </c>
      <c r="B43" s="297" t="s">
        <v>1039</v>
      </c>
      <c r="C43" s="297"/>
      <c r="D43" s="297"/>
      <c r="E43" s="297"/>
      <c r="F43" s="297"/>
      <c r="G43" s="297"/>
      <c r="H43" s="297"/>
      <c r="I43" s="297"/>
      <c r="J43" s="297"/>
    </row>
    <row r="44" spans="1:10" ht="15" x14ac:dyDescent="0.2">
      <c r="A44" s="297" t="s">
        <v>1040</v>
      </c>
      <c r="B44" s="297" t="s">
        <v>1041</v>
      </c>
      <c r="C44" s="297"/>
      <c r="D44" s="297"/>
      <c r="E44" s="297"/>
      <c r="F44" s="297"/>
      <c r="G44" s="297"/>
      <c r="H44" s="297"/>
      <c r="I44" s="297"/>
      <c r="J44" s="297"/>
    </row>
    <row r="45" spans="1:10" ht="15" x14ac:dyDescent="0.2">
      <c r="A45" s="297" t="s">
        <v>650</v>
      </c>
      <c r="B45" s="297" t="s">
        <v>1042</v>
      </c>
      <c r="C45" s="297"/>
      <c r="D45" s="297"/>
      <c r="E45" s="297"/>
      <c r="F45" s="297"/>
      <c r="G45" s="297"/>
      <c r="H45" s="297"/>
      <c r="I45" s="297"/>
      <c r="J45" s="297"/>
    </row>
    <row r="46" spans="1:10" ht="15" x14ac:dyDescent="0.2">
      <c r="A46" s="297" t="s">
        <v>1043</v>
      </c>
      <c r="B46" s="297" t="s">
        <v>1044</v>
      </c>
      <c r="C46" s="297"/>
      <c r="D46" s="297"/>
      <c r="E46" s="297"/>
      <c r="F46" s="297"/>
      <c r="G46" s="297"/>
      <c r="H46" s="297"/>
      <c r="I46" s="297"/>
      <c r="J46" s="297"/>
    </row>
    <row r="47" spans="1:10" ht="15" x14ac:dyDescent="0.2">
      <c r="A47" s="297" t="s">
        <v>72</v>
      </c>
      <c r="B47" s="297" t="s">
        <v>76</v>
      </c>
      <c r="C47" s="297"/>
      <c r="D47" s="297"/>
      <c r="E47" s="297"/>
      <c r="F47" s="297"/>
      <c r="G47" s="297"/>
      <c r="H47" s="297"/>
      <c r="I47" s="297"/>
      <c r="J47" s="297"/>
    </row>
    <row r="48" spans="1:10" ht="15" x14ac:dyDescent="0.2">
      <c r="A48" s="297" t="s">
        <v>396</v>
      </c>
      <c r="B48" s="297" t="s">
        <v>887</v>
      </c>
      <c r="C48" s="297"/>
      <c r="D48" s="297"/>
      <c r="E48" s="297"/>
      <c r="F48" s="297"/>
      <c r="G48" s="297"/>
      <c r="H48" s="297"/>
      <c r="I48" s="297"/>
      <c r="J48" s="297"/>
    </row>
    <row r="49" spans="1:10" ht="15" x14ac:dyDescent="0.2">
      <c r="A49" s="297" t="s">
        <v>1045</v>
      </c>
      <c r="B49" s="297" t="s">
        <v>1046</v>
      </c>
      <c r="C49" s="297"/>
      <c r="D49" s="297"/>
      <c r="E49" s="297"/>
      <c r="F49" s="297"/>
      <c r="G49" s="297"/>
      <c r="H49" s="297"/>
      <c r="I49" s="297"/>
      <c r="J49" s="297"/>
    </row>
    <row r="50" spans="1:10" ht="15" x14ac:dyDescent="0.2">
      <c r="A50" s="297" t="s">
        <v>449</v>
      </c>
      <c r="B50" s="297" t="s">
        <v>1047</v>
      </c>
      <c r="C50" s="297"/>
      <c r="D50" s="297"/>
      <c r="E50" s="297"/>
      <c r="F50" s="297"/>
      <c r="G50" s="297"/>
      <c r="H50" s="297"/>
      <c r="I50" s="297"/>
      <c r="J50" s="297"/>
    </row>
    <row r="51" spans="1:10" ht="15" x14ac:dyDescent="0.2">
      <c r="A51" s="297" t="s">
        <v>501</v>
      </c>
      <c r="B51" s="297" t="s">
        <v>1048</v>
      </c>
      <c r="C51" s="297"/>
      <c r="D51" s="297"/>
      <c r="E51" s="297"/>
      <c r="F51" s="297"/>
      <c r="G51" s="297"/>
      <c r="H51" s="297"/>
      <c r="I51" s="297"/>
      <c r="J51" s="297"/>
    </row>
    <row r="52" spans="1:10" ht="15" x14ac:dyDescent="0.2">
      <c r="A52" s="297" t="s">
        <v>390</v>
      </c>
      <c r="B52" s="297" t="s">
        <v>1049</v>
      </c>
      <c r="C52" s="297"/>
      <c r="D52" s="297"/>
      <c r="E52" s="297"/>
      <c r="F52" s="297"/>
      <c r="G52" s="297"/>
      <c r="H52" s="297"/>
      <c r="I52" s="297"/>
      <c r="J52" s="297"/>
    </row>
    <row r="53" spans="1:10" ht="15" x14ac:dyDescent="0.2">
      <c r="A53" s="297" t="s">
        <v>889</v>
      </c>
      <c r="B53" s="297" t="s">
        <v>890</v>
      </c>
      <c r="C53" s="297"/>
      <c r="D53" s="297"/>
      <c r="E53" s="297"/>
      <c r="F53" s="297"/>
      <c r="G53" s="297"/>
      <c r="H53" s="297"/>
      <c r="I53" s="297"/>
      <c r="J53" s="297"/>
    </row>
    <row r="54" spans="1:10" ht="15" x14ac:dyDescent="0.2">
      <c r="A54" s="297" t="s">
        <v>1050</v>
      </c>
      <c r="B54" s="297" t="s">
        <v>1051</v>
      </c>
      <c r="C54" s="297"/>
      <c r="D54" s="297"/>
      <c r="E54" s="297"/>
      <c r="F54" s="297"/>
      <c r="G54" s="297"/>
      <c r="H54" s="297"/>
      <c r="I54" s="297"/>
      <c r="J54" s="297"/>
    </row>
    <row r="55" spans="1:10" ht="15" x14ac:dyDescent="0.2">
      <c r="A55" s="297" t="s">
        <v>532</v>
      </c>
      <c r="B55" s="297" t="s">
        <v>1052</v>
      </c>
      <c r="C55" s="297"/>
      <c r="D55" s="297"/>
      <c r="E55" s="297"/>
      <c r="F55" s="297"/>
      <c r="G55" s="297"/>
      <c r="H55" s="297"/>
      <c r="I55" s="297"/>
      <c r="J55" s="297"/>
    </row>
    <row r="56" spans="1:10" ht="15" x14ac:dyDescent="0.2">
      <c r="A56" s="297" t="s">
        <v>1053</v>
      </c>
      <c r="B56" s="297" t="s">
        <v>978</v>
      </c>
      <c r="C56" s="297"/>
      <c r="D56" s="297"/>
      <c r="E56" s="297"/>
      <c r="F56" s="297"/>
      <c r="G56" s="297"/>
      <c r="H56" s="297"/>
      <c r="I56" s="297"/>
      <c r="J56" s="297"/>
    </row>
    <row r="57" spans="1:10" ht="15" x14ac:dyDescent="0.2">
      <c r="A57" s="297" t="s">
        <v>266</v>
      </c>
      <c r="B57" s="297" t="s">
        <v>267</v>
      </c>
      <c r="C57" s="297"/>
      <c r="D57" s="297"/>
      <c r="E57" s="297"/>
      <c r="F57" s="297"/>
      <c r="G57" s="297"/>
      <c r="H57" s="297"/>
      <c r="I57" s="297"/>
      <c r="J57" s="297"/>
    </row>
    <row r="58" spans="1:10" ht="15" x14ac:dyDescent="0.2">
      <c r="A58" s="297" t="s">
        <v>803</v>
      </c>
      <c r="B58" s="297" t="s">
        <v>805</v>
      </c>
      <c r="C58" s="297"/>
      <c r="D58" s="297"/>
      <c r="E58" s="297"/>
      <c r="F58" s="297"/>
      <c r="G58" s="297"/>
      <c r="H58" s="297"/>
      <c r="I58" s="297"/>
      <c r="J58" s="297"/>
    </row>
    <row r="59" spans="1:10" ht="15" x14ac:dyDescent="0.2">
      <c r="A59" s="297" t="s">
        <v>984</v>
      </c>
      <c r="B59" s="297" t="s">
        <v>986</v>
      </c>
      <c r="C59" s="297"/>
      <c r="D59" s="297"/>
      <c r="E59" s="297"/>
      <c r="F59" s="297"/>
      <c r="G59" s="297"/>
      <c r="H59" s="297"/>
      <c r="I59" s="297"/>
      <c r="J59" s="297"/>
    </row>
    <row r="60" spans="1:10" ht="15" x14ac:dyDescent="0.2">
      <c r="A60" s="297" t="s">
        <v>1054</v>
      </c>
      <c r="B60" s="297" t="s">
        <v>1055</v>
      </c>
      <c r="C60" s="297"/>
      <c r="D60" s="297"/>
      <c r="E60" s="297"/>
      <c r="F60" s="297"/>
      <c r="G60" s="297"/>
      <c r="H60" s="297"/>
      <c r="I60" s="297"/>
      <c r="J60" s="297"/>
    </row>
    <row r="61" spans="1:10" ht="15" x14ac:dyDescent="0.2">
      <c r="A61" s="297" t="s">
        <v>120</v>
      </c>
      <c r="B61" s="297" t="s">
        <v>122</v>
      </c>
      <c r="C61" s="297"/>
      <c r="D61" s="297"/>
      <c r="E61" s="297"/>
      <c r="F61" s="297"/>
      <c r="G61" s="297"/>
      <c r="H61" s="297"/>
      <c r="I61" s="297"/>
      <c r="J61" s="297"/>
    </row>
    <row r="62" spans="1:10" ht="15" x14ac:dyDescent="0.2">
      <c r="A62" s="297" t="s">
        <v>1056</v>
      </c>
      <c r="B62" s="297" t="s">
        <v>1057</v>
      </c>
      <c r="C62" s="297"/>
      <c r="D62" s="297"/>
      <c r="E62" s="297"/>
      <c r="F62" s="297"/>
      <c r="G62" s="297"/>
      <c r="H62" s="297"/>
      <c r="I62" s="297"/>
      <c r="J62" s="297"/>
    </row>
    <row r="63" spans="1:10" ht="15" x14ac:dyDescent="0.2">
      <c r="A63" s="297" t="s">
        <v>286</v>
      </c>
      <c r="B63" s="297" t="s">
        <v>288</v>
      </c>
      <c r="C63" s="297"/>
      <c r="D63" s="297"/>
      <c r="E63" s="297"/>
      <c r="F63" s="297"/>
      <c r="G63" s="297"/>
      <c r="H63" s="297"/>
      <c r="I63" s="297"/>
      <c r="J63" s="297"/>
    </row>
    <row r="64" spans="1:10" ht="15" x14ac:dyDescent="0.2">
      <c r="A64" s="297" t="s">
        <v>1058</v>
      </c>
      <c r="B64" s="297" t="s">
        <v>1059</v>
      </c>
      <c r="C64" s="297"/>
      <c r="D64" s="297"/>
      <c r="E64" s="297"/>
      <c r="F64" s="297"/>
      <c r="G64" s="297"/>
      <c r="H64" s="297"/>
      <c r="I64" s="297"/>
      <c r="J64" s="297"/>
    </row>
    <row r="65" spans="1:10" ht="15" x14ac:dyDescent="0.2">
      <c r="A65" s="297" t="s">
        <v>475</v>
      </c>
      <c r="B65" s="297" t="s">
        <v>1060</v>
      </c>
      <c r="C65" s="297"/>
      <c r="D65" s="297"/>
      <c r="E65" s="297"/>
      <c r="F65" s="297"/>
      <c r="G65" s="297"/>
      <c r="H65" s="297"/>
      <c r="I65" s="297"/>
      <c r="J65" s="297"/>
    </row>
    <row r="66" spans="1:10" ht="15" x14ac:dyDescent="0.2">
      <c r="A66" s="297" t="s">
        <v>1061</v>
      </c>
      <c r="B66" s="297" t="s">
        <v>1062</v>
      </c>
      <c r="C66" s="297"/>
      <c r="D66" s="297"/>
      <c r="E66" s="297"/>
      <c r="F66" s="297"/>
      <c r="G66" s="297"/>
      <c r="H66" s="297"/>
      <c r="I66" s="297"/>
      <c r="J66" s="297"/>
    </row>
    <row r="67" spans="1:10" ht="15" x14ac:dyDescent="0.2">
      <c r="A67" s="297" t="s">
        <v>675</v>
      </c>
      <c r="B67" s="297" t="s">
        <v>1063</v>
      </c>
      <c r="C67" s="297"/>
      <c r="D67" s="297"/>
      <c r="E67" s="297"/>
      <c r="F67" s="297"/>
      <c r="G67" s="297"/>
      <c r="H67" s="297"/>
      <c r="I67" s="297"/>
      <c r="J67" s="297"/>
    </row>
    <row r="68" spans="1:10" ht="15" x14ac:dyDescent="0.2">
      <c r="A68" s="297" t="s">
        <v>496</v>
      </c>
      <c r="B68" s="297" t="s">
        <v>891</v>
      </c>
      <c r="C68" s="297"/>
      <c r="D68" s="297"/>
      <c r="E68" s="297"/>
      <c r="F68" s="297"/>
      <c r="G68" s="297"/>
      <c r="H68" s="297"/>
      <c r="I68" s="297"/>
      <c r="J68" s="297"/>
    </row>
    <row r="69" spans="1:10" ht="15" x14ac:dyDescent="0.2">
      <c r="A69" s="297" t="s">
        <v>512</v>
      </c>
      <c r="B69" s="297" t="s">
        <v>1064</v>
      </c>
      <c r="C69" s="297"/>
      <c r="D69" s="297"/>
      <c r="E69" s="297"/>
      <c r="F69" s="297"/>
      <c r="G69" s="297"/>
      <c r="H69" s="297"/>
      <c r="I69" s="297"/>
      <c r="J69" s="297"/>
    </row>
    <row r="70" spans="1:10" ht="15" x14ac:dyDescent="0.2">
      <c r="A70" s="297" t="s">
        <v>445</v>
      </c>
      <c r="B70" s="297" t="s">
        <v>865</v>
      </c>
      <c r="C70" s="297"/>
      <c r="D70" s="297"/>
      <c r="E70" s="297"/>
      <c r="F70" s="297"/>
      <c r="G70" s="297"/>
      <c r="H70" s="297"/>
      <c r="I70" s="297"/>
      <c r="J70" s="297"/>
    </row>
    <row r="71" spans="1:10" ht="15" x14ac:dyDescent="0.2">
      <c r="A71" s="297" t="s">
        <v>646</v>
      </c>
      <c r="B71" s="297" t="s">
        <v>892</v>
      </c>
      <c r="C71" s="297"/>
      <c r="D71" s="297"/>
      <c r="E71" s="297"/>
      <c r="F71" s="297"/>
      <c r="G71" s="297"/>
      <c r="H71" s="297"/>
      <c r="I71" s="297"/>
      <c r="J71" s="297"/>
    </row>
    <row r="72" spans="1:10" ht="15" x14ac:dyDescent="0.2">
      <c r="A72" s="297" t="s">
        <v>447</v>
      </c>
      <c r="B72" s="297" t="s">
        <v>1065</v>
      </c>
      <c r="C72" s="297"/>
      <c r="D72" s="297"/>
      <c r="E72" s="297"/>
      <c r="F72" s="297"/>
      <c r="G72" s="297"/>
      <c r="H72" s="297"/>
      <c r="I72" s="297"/>
      <c r="J72" s="297"/>
    </row>
    <row r="73" spans="1:10" ht="15" x14ac:dyDescent="0.2">
      <c r="A73" s="297" t="s">
        <v>570</v>
      </c>
      <c r="B73" s="297" t="s">
        <v>893</v>
      </c>
      <c r="C73" s="297"/>
      <c r="D73" s="297"/>
      <c r="E73" s="297"/>
      <c r="F73" s="297"/>
      <c r="G73" s="297"/>
      <c r="H73" s="297"/>
      <c r="I73" s="297"/>
      <c r="J73" s="297"/>
    </row>
    <row r="74" spans="1:10" ht="15" x14ac:dyDescent="0.2">
      <c r="A74" s="297" t="s">
        <v>353</v>
      </c>
      <c r="B74" s="297" t="s">
        <v>354</v>
      </c>
      <c r="C74" s="297"/>
      <c r="D74" s="297"/>
      <c r="E74" s="297"/>
      <c r="F74" s="297"/>
      <c r="G74" s="297"/>
      <c r="H74" s="297"/>
      <c r="I74" s="297"/>
      <c r="J74" s="297"/>
    </row>
    <row r="75" spans="1:10" ht="15" x14ac:dyDescent="0.2">
      <c r="A75" s="297" t="s">
        <v>1066</v>
      </c>
      <c r="B75" s="297" t="s">
        <v>1067</v>
      </c>
      <c r="C75" s="297"/>
      <c r="D75" s="297"/>
      <c r="E75" s="297"/>
      <c r="F75" s="297"/>
      <c r="G75" s="297"/>
      <c r="H75" s="297"/>
      <c r="I75" s="297"/>
      <c r="J75" s="297"/>
    </row>
    <row r="76" spans="1:10" ht="15" x14ac:dyDescent="0.2">
      <c r="A76" s="297" t="s">
        <v>1068</v>
      </c>
      <c r="B76" s="297" t="s">
        <v>1069</v>
      </c>
      <c r="C76" s="297"/>
      <c r="D76" s="297"/>
      <c r="E76" s="297"/>
      <c r="F76" s="297"/>
      <c r="G76" s="297"/>
      <c r="H76" s="297"/>
      <c r="I76" s="297"/>
      <c r="J76" s="297"/>
    </row>
    <row r="77" spans="1:10" ht="15" x14ac:dyDescent="0.2">
      <c r="A77" s="297" t="s">
        <v>1070</v>
      </c>
      <c r="B77" s="297" t="s">
        <v>1071</v>
      </c>
      <c r="C77" s="297"/>
      <c r="D77" s="297"/>
      <c r="E77" s="297"/>
      <c r="F77" s="297"/>
      <c r="G77" s="297"/>
      <c r="H77" s="297"/>
      <c r="I77" s="297"/>
      <c r="J77" s="297"/>
    </row>
    <row r="78" spans="1:10" ht="15" x14ac:dyDescent="0.2">
      <c r="A78" s="297" t="s">
        <v>1072</v>
      </c>
      <c r="B78" s="297" t="s">
        <v>1073</v>
      </c>
      <c r="C78" s="297"/>
      <c r="D78" s="297"/>
      <c r="E78" s="297"/>
      <c r="F78" s="297"/>
      <c r="G78" s="297"/>
      <c r="H78" s="297"/>
      <c r="I78" s="297"/>
      <c r="J78" s="297"/>
    </row>
    <row r="79" spans="1:10" ht="15" x14ac:dyDescent="0.2">
      <c r="A79" s="297" t="s">
        <v>785</v>
      </c>
      <c r="B79" s="297" t="s">
        <v>788</v>
      </c>
      <c r="C79" s="297"/>
      <c r="D79" s="297"/>
      <c r="E79" s="297"/>
      <c r="F79" s="297"/>
      <c r="G79" s="297"/>
      <c r="H79" s="297"/>
      <c r="I79" s="297"/>
      <c r="J79" s="297"/>
    </row>
    <row r="80" spans="1:10" ht="15" x14ac:dyDescent="0.2">
      <c r="A80" s="297" t="s">
        <v>1074</v>
      </c>
      <c r="B80" s="297" t="s">
        <v>1075</v>
      </c>
      <c r="C80" s="297"/>
      <c r="D80" s="297"/>
      <c r="E80" s="297"/>
      <c r="F80" s="297"/>
      <c r="G80" s="297"/>
      <c r="H80" s="297"/>
      <c r="I80" s="297"/>
      <c r="J80" s="297"/>
    </row>
    <row r="81" spans="1:10" ht="15" x14ac:dyDescent="0.2">
      <c r="A81" s="297" t="s">
        <v>408</v>
      </c>
      <c r="B81" s="297" t="s">
        <v>409</v>
      </c>
      <c r="C81" s="297"/>
      <c r="D81" s="297"/>
      <c r="E81" s="297"/>
      <c r="F81" s="297"/>
      <c r="G81" s="297"/>
      <c r="H81" s="297"/>
      <c r="I81" s="297"/>
      <c r="J81" s="297"/>
    </row>
    <row r="82" spans="1:10" ht="15" x14ac:dyDescent="0.2">
      <c r="A82" s="297" t="s">
        <v>1076</v>
      </c>
      <c r="B82" s="297" t="s">
        <v>1077</v>
      </c>
      <c r="C82" s="297"/>
      <c r="D82" s="297"/>
      <c r="E82" s="297"/>
      <c r="F82" s="297"/>
      <c r="G82" s="297"/>
      <c r="H82" s="297"/>
      <c r="I82" s="297"/>
      <c r="J82" s="297"/>
    </row>
    <row r="83" spans="1:10" ht="15" x14ac:dyDescent="0.2">
      <c r="A83" s="297" t="s">
        <v>714</v>
      </c>
      <c r="B83" s="297" t="s">
        <v>1078</v>
      </c>
      <c r="C83" s="297"/>
      <c r="D83" s="297"/>
      <c r="E83" s="297"/>
      <c r="F83" s="297"/>
      <c r="G83" s="297"/>
      <c r="H83" s="297"/>
      <c r="I83" s="297"/>
      <c r="J83" s="297"/>
    </row>
    <row r="84" spans="1:10" ht="15" x14ac:dyDescent="0.2">
      <c r="A84" s="297" t="s">
        <v>1079</v>
      </c>
      <c r="B84" s="297" t="s">
        <v>1080</v>
      </c>
      <c r="C84" s="297"/>
      <c r="D84" s="297"/>
      <c r="E84" s="297"/>
      <c r="F84" s="297"/>
      <c r="G84" s="297"/>
      <c r="H84" s="297"/>
      <c r="I84" s="297"/>
      <c r="J84" s="297"/>
    </row>
    <row r="85" spans="1:10" ht="15" x14ac:dyDescent="0.2">
      <c r="A85" s="297" t="s">
        <v>68</v>
      </c>
      <c r="B85" s="297" t="s">
        <v>70</v>
      </c>
      <c r="C85" s="297"/>
      <c r="D85" s="297"/>
      <c r="E85" s="297"/>
      <c r="F85" s="297"/>
      <c r="G85" s="297"/>
      <c r="H85" s="297"/>
      <c r="I85" s="297"/>
      <c r="J85" s="297"/>
    </row>
    <row r="86" spans="1:10" ht="15" x14ac:dyDescent="0.2">
      <c r="A86" s="297" t="s">
        <v>388</v>
      </c>
      <c r="B86" s="297" t="s">
        <v>1081</v>
      </c>
      <c r="C86" s="297"/>
      <c r="D86" s="297"/>
      <c r="E86" s="297"/>
      <c r="F86" s="297"/>
      <c r="G86" s="297"/>
      <c r="H86" s="297"/>
      <c r="I86" s="297"/>
      <c r="J86" s="297"/>
    </row>
    <row r="87" spans="1:10" ht="15" x14ac:dyDescent="0.2">
      <c r="A87" s="297" t="s">
        <v>571</v>
      </c>
      <c r="B87" s="297" t="s">
        <v>1082</v>
      </c>
      <c r="C87" s="297"/>
      <c r="D87" s="297"/>
      <c r="E87" s="297"/>
      <c r="F87" s="297"/>
      <c r="G87" s="297"/>
      <c r="H87" s="297"/>
      <c r="I87" s="297"/>
      <c r="J87" s="297"/>
    </row>
    <row r="88" spans="1:10" ht="15" x14ac:dyDescent="0.2">
      <c r="A88" s="297" t="s">
        <v>219</v>
      </c>
      <c r="B88" s="297" t="s">
        <v>220</v>
      </c>
      <c r="C88" s="297"/>
      <c r="D88" s="297"/>
      <c r="E88" s="297"/>
      <c r="F88" s="297"/>
      <c r="G88" s="297"/>
      <c r="H88" s="297"/>
      <c r="I88" s="297"/>
      <c r="J88" s="297"/>
    </row>
    <row r="89" spans="1:10" ht="15" x14ac:dyDescent="0.2">
      <c r="A89" s="297" t="s">
        <v>457</v>
      </c>
      <c r="B89" s="297" t="s">
        <v>1083</v>
      </c>
      <c r="C89" s="297"/>
      <c r="D89" s="297"/>
      <c r="E89" s="297"/>
      <c r="F89" s="297"/>
      <c r="G89" s="297"/>
      <c r="H89" s="297"/>
      <c r="I89" s="297"/>
      <c r="J89" s="297"/>
    </row>
    <row r="90" spans="1:10" ht="15" x14ac:dyDescent="0.2">
      <c r="A90" s="297" t="s">
        <v>735</v>
      </c>
      <c r="B90" s="297" t="s">
        <v>1084</v>
      </c>
      <c r="C90" s="297"/>
      <c r="D90" s="297"/>
      <c r="E90" s="297"/>
      <c r="F90" s="297"/>
      <c r="G90" s="297"/>
      <c r="H90" s="297"/>
      <c r="I90" s="297"/>
      <c r="J90" s="297"/>
    </row>
    <row r="91" spans="1:10" ht="15" x14ac:dyDescent="0.2">
      <c r="A91" s="297" t="s">
        <v>325</v>
      </c>
      <c r="B91" s="297" t="s">
        <v>327</v>
      </c>
      <c r="C91" s="297"/>
      <c r="D91" s="297"/>
      <c r="E91" s="297"/>
      <c r="F91" s="297"/>
      <c r="G91" s="297"/>
      <c r="H91" s="297"/>
      <c r="I91" s="297"/>
      <c r="J91" s="297"/>
    </row>
    <row r="92" spans="1:10" ht="15" x14ac:dyDescent="0.2">
      <c r="A92" s="297" t="s">
        <v>195</v>
      </c>
      <c r="B92" s="297" t="s">
        <v>196</v>
      </c>
      <c r="C92" s="297"/>
      <c r="D92" s="297"/>
      <c r="E92" s="297"/>
      <c r="F92" s="297"/>
      <c r="G92" s="297"/>
      <c r="H92" s="297"/>
      <c r="I92" s="297"/>
      <c r="J92" s="297"/>
    </row>
    <row r="93" spans="1:10" ht="15" x14ac:dyDescent="0.2">
      <c r="A93" s="297" t="s">
        <v>628</v>
      </c>
      <c r="B93" s="297" t="s">
        <v>894</v>
      </c>
      <c r="C93" s="297"/>
      <c r="D93" s="297"/>
      <c r="E93" s="297"/>
      <c r="F93" s="297"/>
      <c r="G93" s="297"/>
      <c r="H93" s="297"/>
      <c r="I93" s="297"/>
      <c r="J93" s="297"/>
    </row>
    <row r="94" spans="1:10" ht="15" x14ac:dyDescent="0.2">
      <c r="A94" s="297" t="s">
        <v>263</v>
      </c>
      <c r="B94" s="297" t="s">
        <v>265</v>
      </c>
      <c r="C94" s="297"/>
      <c r="D94" s="297"/>
      <c r="E94" s="297"/>
      <c r="F94" s="297"/>
      <c r="G94" s="297"/>
      <c r="H94" s="297"/>
      <c r="I94" s="297"/>
      <c r="J94" s="297"/>
    </row>
    <row r="95" spans="1:10" ht="15" x14ac:dyDescent="0.2">
      <c r="A95" s="297" t="s">
        <v>621</v>
      </c>
      <c r="B95" s="297" t="s">
        <v>895</v>
      </c>
      <c r="C95" s="297"/>
      <c r="D95" s="297"/>
      <c r="E95" s="297"/>
      <c r="F95" s="297"/>
      <c r="G95" s="297"/>
      <c r="H95" s="297"/>
      <c r="I95" s="297"/>
      <c r="J95" s="297"/>
    </row>
    <row r="96" spans="1:10" ht="15" x14ac:dyDescent="0.2">
      <c r="A96" s="297" t="s">
        <v>524</v>
      </c>
      <c r="B96" s="297" t="s">
        <v>1085</v>
      </c>
      <c r="C96" s="297"/>
      <c r="D96" s="297"/>
      <c r="E96" s="297"/>
      <c r="F96" s="297"/>
      <c r="G96" s="297"/>
      <c r="H96" s="297"/>
      <c r="I96" s="297"/>
      <c r="J96" s="297"/>
    </row>
    <row r="97" spans="1:10" ht="15" x14ac:dyDescent="0.2">
      <c r="A97" s="297" t="s">
        <v>1086</v>
      </c>
      <c r="B97" s="297" t="s">
        <v>1087</v>
      </c>
      <c r="C97" s="297"/>
      <c r="D97" s="297"/>
      <c r="E97" s="297"/>
      <c r="F97" s="297"/>
      <c r="G97" s="297"/>
      <c r="H97" s="297"/>
      <c r="I97" s="297"/>
      <c r="J97" s="297"/>
    </row>
    <row r="98" spans="1:10" ht="15" x14ac:dyDescent="0.2">
      <c r="A98" s="297" t="s">
        <v>172</v>
      </c>
      <c r="B98" s="297" t="s">
        <v>174</v>
      </c>
      <c r="C98" s="297"/>
      <c r="D98" s="297"/>
      <c r="E98" s="297"/>
      <c r="F98" s="297"/>
      <c r="G98" s="297"/>
      <c r="H98" s="297"/>
      <c r="I98" s="297"/>
      <c r="J98" s="297"/>
    </row>
    <row r="99" spans="1:10" ht="15" x14ac:dyDescent="0.2">
      <c r="A99" s="297" t="s">
        <v>310</v>
      </c>
      <c r="B99" s="297" t="s">
        <v>311</v>
      </c>
      <c r="C99" s="297"/>
      <c r="D99" s="297"/>
      <c r="E99" s="297"/>
      <c r="F99" s="297"/>
      <c r="G99" s="297"/>
      <c r="H99" s="297"/>
      <c r="I99" s="297"/>
      <c r="J99" s="297"/>
    </row>
    <row r="100" spans="1:10" ht="15" x14ac:dyDescent="0.2">
      <c r="A100" s="297" t="s">
        <v>1088</v>
      </c>
      <c r="B100" s="297" t="s">
        <v>1089</v>
      </c>
      <c r="C100" s="297"/>
      <c r="D100" s="297"/>
      <c r="E100" s="297"/>
      <c r="F100" s="297"/>
      <c r="G100" s="297"/>
      <c r="H100" s="297"/>
      <c r="I100" s="297"/>
      <c r="J100" s="297"/>
    </row>
    <row r="101" spans="1:10" ht="15" x14ac:dyDescent="0.2">
      <c r="A101" s="297" t="s">
        <v>602</v>
      </c>
      <c r="B101" s="297" t="s">
        <v>1090</v>
      </c>
      <c r="C101" s="297"/>
      <c r="D101" s="297"/>
      <c r="E101" s="297"/>
      <c r="F101" s="297"/>
      <c r="G101" s="297"/>
      <c r="H101" s="297"/>
      <c r="I101" s="297"/>
      <c r="J101" s="297"/>
    </row>
    <row r="102" spans="1:10" ht="15" x14ac:dyDescent="0.2">
      <c r="A102" s="297" t="s">
        <v>729</v>
      </c>
      <c r="B102" s="297" t="s">
        <v>1091</v>
      </c>
      <c r="C102" s="297"/>
      <c r="D102" s="297"/>
      <c r="E102" s="297"/>
      <c r="F102" s="297"/>
      <c r="G102" s="297"/>
      <c r="H102" s="297"/>
      <c r="I102" s="297"/>
      <c r="J102" s="297"/>
    </row>
    <row r="103" spans="1:10" ht="15" x14ac:dyDescent="0.2">
      <c r="A103" s="297" t="s">
        <v>205</v>
      </c>
      <c r="B103" s="297" t="s">
        <v>207</v>
      </c>
      <c r="C103" s="297"/>
      <c r="D103" s="297"/>
      <c r="E103" s="297"/>
      <c r="F103" s="297"/>
      <c r="G103" s="297"/>
      <c r="H103" s="297"/>
      <c r="I103" s="297"/>
      <c r="J103" s="297"/>
    </row>
    <row r="104" spans="1:10" ht="15" x14ac:dyDescent="0.2">
      <c r="A104" s="297" t="s">
        <v>1092</v>
      </c>
      <c r="B104" s="297" t="s">
        <v>1093</v>
      </c>
      <c r="C104" s="297"/>
      <c r="D104" s="297"/>
      <c r="E104" s="297"/>
      <c r="F104" s="297"/>
      <c r="G104" s="297"/>
      <c r="H104" s="297"/>
      <c r="I104" s="297"/>
      <c r="J104" s="297"/>
    </row>
    <row r="105" spans="1:10" ht="15" x14ac:dyDescent="0.2">
      <c r="A105" s="297" t="s">
        <v>1094</v>
      </c>
      <c r="B105" s="297" t="s">
        <v>1095</v>
      </c>
      <c r="C105" s="297"/>
      <c r="D105" s="297"/>
      <c r="E105" s="297"/>
      <c r="F105" s="297"/>
      <c r="G105" s="297"/>
      <c r="H105" s="297"/>
      <c r="I105" s="297"/>
      <c r="J105" s="297"/>
    </row>
    <row r="106" spans="1:10" ht="15" x14ac:dyDescent="0.2">
      <c r="A106" s="297" t="s">
        <v>126</v>
      </c>
      <c r="B106" s="297" t="s">
        <v>128</v>
      </c>
      <c r="C106" s="297"/>
      <c r="D106" s="297"/>
      <c r="E106" s="297"/>
      <c r="F106" s="297"/>
      <c r="G106" s="297"/>
      <c r="H106" s="297"/>
      <c r="I106" s="297"/>
      <c r="J106" s="297"/>
    </row>
    <row r="107" spans="1:10" ht="15" x14ac:dyDescent="0.2">
      <c r="A107" s="297" t="s">
        <v>1096</v>
      </c>
      <c r="B107" s="297" t="s">
        <v>1097</v>
      </c>
      <c r="C107" s="297"/>
      <c r="D107" s="297"/>
      <c r="E107" s="297"/>
      <c r="F107" s="297"/>
      <c r="G107" s="297"/>
      <c r="H107" s="297"/>
      <c r="I107" s="297"/>
      <c r="J107" s="297"/>
    </row>
    <row r="108" spans="1:10" ht="15" x14ac:dyDescent="0.2">
      <c r="A108" s="297" t="s">
        <v>432</v>
      </c>
      <c r="B108" s="297" t="s">
        <v>1098</v>
      </c>
      <c r="C108" s="297"/>
      <c r="D108" s="297"/>
      <c r="E108" s="297"/>
      <c r="F108" s="297"/>
      <c r="G108" s="297"/>
      <c r="H108" s="297"/>
      <c r="I108" s="297"/>
      <c r="J108" s="297"/>
    </row>
    <row r="109" spans="1:10" ht="15" x14ac:dyDescent="0.2">
      <c r="A109" s="297" t="s">
        <v>386</v>
      </c>
      <c r="B109" s="297" t="s">
        <v>897</v>
      </c>
      <c r="C109" s="297"/>
      <c r="D109" s="297"/>
      <c r="E109" s="297"/>
      <c r="F109" s="297"/>
      <c r="G109" s="297"/>
      <c r="H109" s="297"/>
      <c r="I109" s="297"/>
      <c r="J109" s="297"/>
    </row>
    <row r="110" spans="1:10" ht="15" x14ac:dyDescent="0.2">
      <c r="A110" s="297" t="s">
        <v>1099</v>
      </c>
      <c r="B110" s="297" t="s">
        <v>1100</v>
      </c>
      <c r="C110" s="297"/>
      <c r="D110" s="297"/>
      <c r="E110" s="297"/>
      <c r="F110" s="297"/>
      <c r="G110" s="297"/>
      <c r="H110" s="297"/>
      <c r="I110" s="297"/>
      <c r="J110" s="297"/>
    </row>
    <row r="111" spans="1:10" ht="15" x14ac:dyDescent="0.2">
      <c r="A111" s="297" t="s">
        <v>1101</v>
      </c>
      <c r="B111" s="297" t="s">
        <v>1102</v>
      </c>
      <c r="C111" s="297"/>
      <c r="D111" s="297"/>
      <c r="E111" s="297"/>
      <c r="F111" s="297"/>
      <c r="G111" s="297"/>
      <c r="H111" s="297"/>
      <c r="I111" s="297"/>
      <c r="J111" s="297"/>
    </row>
    <row r="112" spans="1:10" ht="15" x14ac:dyDescent="0.2">
      <c r="A112" s="297" t="s">
        <v>123</v>
      </c>
      <c r="B112" s="297" t="s">
        <v>125</v>
      </c>
      <c r="C112" s="297"/>
      <c r="D112" s="297"/>
      <c r="E112" s="297"/>
      <c r="F112" s="297"/>
      <c r="G112" s="297"/>
      <c r="H112" s="297"/>
      <c r="I112" s="297"/>
      <c r="J112" s="297"/>
    </row>
    <row r="113" spans="1:10" ht="15" x14ac:dyDescent="0.2">
      <c r="A113" s="297" t="s">
        <v>350</v>
      </c>
      <c r="B113" s="297" t="s">
        <v>352</v>
      </c>
      <c r="C113" s="297"/>
      <c r="D113" s="297"/>
      <c r="E113" s="297"/>
      <c r="F113" s="297"/>
      <c r="G113" s="297"/>
      <c r="H113" s="297"/>
      <c r="I113" s="297"/>
      <c r="J113" s="297"/>
    </row>
    <row r="114" spans="1:10" ht="15" x14ac:dyDescent="0.2">
      <c r="A114" s="297" t="s">
        <v>365</v>
      </c>
      <c r="B114" s="297" t="s">
        <v>368</v>
      </c>
      <c r="C114" s="297"/>
      <c r="D114" s="297"/>
      <c r="E114" s="297"/>
      <c r="F114" s="297"/>
      <c r="G114" s="297"/>
      <c r="H114" s="297"/>
      <c r="I114" s="297"/>
      <c r="J114" s="297"/>
    </row>
    <row r="115" spans="1:10" ht="15" x14ac:dyDescent="0.2">
      <c r="A115" s="297" t="s">
        <v>1103</v>
      </c>
      <c r="B115" s="297" t="s">
        <v>1104</v>
      </c>
      <c r="C115" s="297"/>
      <c r="D115" s="297"/>
      <c r="E115" s="297"/>
      <c r="F115" s="297"/>
      <c r="G115" s="297"/>
      <c r="H115" s="297"/>
      <c r="I115" s="297"/>
      <c r="J115" s="297"/>
    </row>
    <row r="116" spans="1:10" ht="15" x14ac:dyDescent="0.2">
      <c r="A116" s="297" t="s">
        <v>1105</v>
      </c>
      <c r="B116" s="297" t="s">
        <v>1106</v>
      </c>
      <c r="C116" s="297"/>
      <c r="D116" s="297"/>
      <c r="E116" s="297"/>
      <c r="F116" s="297"/>
      <c r="G116" s="297"/>
      <c r="H116" s="297"/>
      <c r="I116" s="297"/>
      <c r="J116" s="297"/>
    </row>
    <row r="117" spans="1:10" ht="15" x14ac:dyDescent="0.2">
      <c r="A117" s="297" t="s">
        <v>1107</v>
      </c>
      <c r="B117" s="297" t="s">
        <v>1108</v>
      </c>
      <c r="C117" s="297"/>
      <c r="D117" s="297"/>
      <c r="E117" s="297"/>
      <c r="F117" s="297"/>
      <c r="G117" s="297"/>
      <c r="H117" s="297"/>
      <c r="I117" s="297"/>
      <c r="J117" s="297"/>
    </row>
    <row r="118" spans="1:10" ht="15" x14ac:dyDescent="0.2">
      <c r="A118" s="297" t="s">
        <v>730</v>
      </c>
      <c r="B118" s="297" t="s">
        <v>1109</v>
      </c>
      <c r="C118" s="297"/>
      <c r="D118" s="297"/>
      <c r="E118" s="297"/>
      <c r="F118" s="297"/>
      <c r="G118" s="297"/>
      <c r="H118" s="297"/>
      <c r="I118" s="297"/>
      <c r="J118" s="297"/>
    </row>
    <row r="119" spans="1:10" ht="15" x14ac:dyDescent="0.2">
      <c r="A119" s="297" t="s">
        <v>1110</v>
      </c>
      <c r="B119" s="297" t="s">
        <v>1111</v>
      </c>
      <c r="C119" s="297"/>
      <c r="D119" s="297"/>
      <c r="E119" s="297"/>
      <c r="F119" s="297"/>
      <c r="G119" s="297"/>
      <c r="H119" s="297"/>
      <c r="I119" s="297"/>
      <c r="J119" s="297"/>
    </row>
    <row r="120" spans="1:10" ht="15" x14ac:dyDescent="0.2">
      <c r="A120" s="297" t="s">
        <v>199</v>
      </c>
      <c r="B120" s="297" t="s">
        <v>201</v>
      </c>
      <c r="C120" s="297"/>
      <c r="D120" s="297"/>
      <c r="E120" s="297"/>
      <c r="F120" s="297"/>
      <c r="G120" s="297"/>
      <c r="H120" s="297"/>
      <c r="I120" s="297"/>
      <c r="J120" s="297"/>
    </row>
    <row r="121" spans="1:10" ht="15" x14ac:dyDescent="0.2">
      <c r="A121" s="297" t="s">
        <v>517</v>
      </c>
      <c r="B121" s="297" t="s">
        <v>1112</v>
      </c>
      <c r="C121" s="297"/>
      <c r="D121" s="297"/>
      <c r="E121" s="297"/>
      <c r="F121" s="297"/>
      <c r="G121" s="297"/>
      <c r="H121" s="297"/>
      <c r="I121" s="297"/>
      <c r="J121" s="297"/>
    </row>
    <row r="122" spans="1:10" ht="15" x14ac:dyDescent="0.2">
      <c r="A122" s="297" t="s">
        <v>175</v>
      </c>
      <c r="B122" s="297" t="s">
        <v>177</v>
      </c>
      <c r="C122" s="297"/>
      <c r="D122" s="297"/>
      <c r="E122" s="297"/>
      <c r="F122" s="297"/>
      <c r="G122" s="297"/>
      <c r="H122" s="297"/>
      <c r="I122" s="297"/>
      <c r="J122" s="297"/>
    </row>
    <row r="123" spans="1:10" ht="15" x14ac:dyDescent="0.2">
      <c r="A123" s="297" t="s">
        <v>736</v>
      </c>
      <c r="B123" s="297" t="s">
        <v>1113</v>
      </c>
      <c r="C123" s="297"/>
      <c r="D123" s="297"/>
      <c r="E123" s="297"/>
      <c r="F123" s="297"/>
      <c r="G123" s="297"/>
      <c r="H123" s="297"/>
      <c r="I123" s="297"/>
      <c r="J123" s="297"/>
    </row>
    <row r="124" spans="1:10" ht="15" x14ac:dyDescent="0.2">
      <c r="A124" s="297" t="s">
        <v>473</v>
      </c>
      <c r="B124" s="297" t="s">
        <v>784</v>
      </c>
      <c r="C124" s="297"/>
      <c r="D124" s="297"/>
      <c r="E124" s="297"/>
      <c r="F124" s="297"/>
      <c r="G124" s="297"/>
      <c r="H124" s="297"/>
      <c r="I124" s="297"/>
      <c r="J124" s="297"/>
    </row>
    <row r="125" spans="1:10" ht="15" x14ac:dyDescent="0.2">
      <c r="A125" s="297" t="s">
        <v>507</v>
      </c>
      <c r="B125" s="297" t="s">
        <v>1114</v>
      </c>
      <c r="C125" s="297"/>
      <c r="D125" s="297"/>
      <c r="E125" s="297"/>
      <c r="F125" s="297"/>
      <c r="G125" s="297"/>
      <c r="H125" s="297"/>
      <c r="I125" s="297"/>
      <c r="J125" s="297"/>
    </row>
    <row r="126" spans="1:10" ht="15" x14ac:dyDescent="0.2">
      <c r="A126" s="297" t="s">
        <v>848</v>
      </c>
      <c r="B126" s="297" t="s">
        <v>1115</v>
      </c>
      <c r="C126" s="297"/>
      <c r="D126" s="297"/>
      <c r="E126" s="297"/>
      <c r="F126" s="297"/>
      <c r="G126" s="297"/>
      <c r="H126" s="297"/>
      <c r="I126" s="297"/>
      <c r="J126" s="297"/>
    </row>
    <row r="127" spans="1:10" ht="15" x14ac:dyDescent="0.2">
      <c r="A127" s="297" t="s">
        <v>723</v>
      </c>
      <c r="B127" s="297" t="s">
        <v>1116</v>
      </c>
      <c r="C127" s="297"/>
      <c r="D127" s="297"/>
      <c r="E127" s="297"/>
      <c r="F127" s="297"/>
      <c r="G127" s="297"/>
      <c r="H127" s="297"/>
      <c r="I127" s="297"/>
      <c r="J127" s="297"/>
    </row>
    <row r="128" spans="1:10" ht="15" x14ac:dyDescent="0.2">
      <c r="A128" s="297" t="s">
        <v>873</v>
      </c>
      <c r="B128" s="297" t="s">
        <v>874</v>
      </c>
      <c r="C128" s="297"/>
      <c r="D128" s="297"/>
      <c r="E128" s="297"/>
      <c r="F128" s="297"/>
      <c r="G128" s="297"/>
      <c r="H128" s="297"/>
      <c r="I128" s="297"/>
      <c r="J128" s="297"/>
    </row>
    <row r="129" spans="1:10" ht="15" x14ac:dyDescent="0.2">
      <c r="A129" s="297" t="s">
        <v>240</v>
      </c>
      <c r="B129" s="297" t="s">
        <v>241</v>
      </c>
      <c r="C129" s="297"/>
      <c r="D129" s="297"/>
      <c r="E129" s="297"/>
      <c r="F129" s="297"/>
      <c r="G129" s="297"/>
      <c r="H129" s="297"/>
      <c r="I129" s="297"/>
      <c r="J129" s="297"/>
    </row>
    <row r="130" spans="1:10" ht="15" x14ac:dyDescent="0.2">
      <c r="A130" s="297" t="s">
        <v>1117</v>
      </c>
      <c r="B130" s="297" t="s">
        <v>1118</v>
      </c>
      <c r="C130" s="297"/>
      <c r="D130" s="297"/>
      <c r="E130" s="297"/>
      <c r="F130" s="297"/>
      <c r="G130" s="297"/>
      <c r="H130" s="297"/>
      <c r="I130" s="297"/>
      <c r="J130" s="297"/>
    </row>
    <row r="131" spans="1:10" ht="15" x14ac:dyDescent="0.2">
      <c r="A131" s="297" t="s">
        <v>664</v>
      </c>
      <c r="B131" s="297" t="s">
        <v>1119</v>
      </c>
      <c r="C131" s="297"/>
      <c r="D131" s="297"/>
      <c r="E131" s="297"/>
      <c r="F131" s="297"/>
      <c r="G131" s="297"/>
      <c r="H131" s="297"/>
      <c r="I131" s="297"/>
      <c r="J131" s="297"/>
    </row>
    <row r="132" spans="1:10" ht="15" x14ac:dyDescent="0.2">
      <c r="A132" s="297" t="s">
        <v>1120</v>
      </c>
      <c r="B132" s="297" t="s">
        <v>1121</v>
      </c>
      <c r="C132" s="297"/>
      <c r="D132" s="297"/>
      <c r="E132" s="297"/>
      <c r="F132" s="297"/>
      <c r="G132" s="297"/>
      <c r="H132" s="297"/>
      <c r="I132" s="297"/>
      <c r="J132" s="297"/>
    </row>
    <row r="133" spans="1:10" ht="15" x14ac:dyDescent="0.2">
      <c r="A133" s="297" t="s">
        <v>1122</v>
      </c>
      <c r="B133" s="297" t="s">
        <v>1123</v>
      </c>
      <c r="C133" s="297"/>
      <c r="D133" s="297"/>
      <c r="E133" s="297"/>
      <c r="F133" s="297"/>
      <c r="G133" s="297"/>
      <c r="H133" s="297"/>
      <c r="I133" s="297"/>
      <c r="J133" s="297"/>
    </row>
    <row r="134" spans="1:10" ht="15" x14ac:dyDescent="0.2">
      <c r="A134" s="297" t="s">
        <v>1124</v>
      </c>
      <c r="B134" s="297" t="s">
        <v>1125</v>
      </c>
      <c r="C134" s="297"/>
      <c r="D134" s="297"/>
      <c r="E134" s="297"/>
      <c r="F134" s="297"/>
      <c r="G134" s="297"/>
      <c r="H134" s="297"/>
      <c r="I134" s="297"/>
      <c r="J134" s="297"/>
    </row>
    <row r="135" spans="1:10" ht="15" x14ac:dyDescent="0.2">
      <c r="A135" s="297" t="s">
        <v>1126</v>
      </c>
      <c r="B135" s="297" t="s">
        <v>1127</v>
      </c>
      <c r="C135" s="297"/>
      <c r="D135" s="297"/>
      <c r="E135" s="297"/>
      <c r="F135" s="297"/>
      <c r="G135" s="297"/>
      <c r="H135" s="297"/>
      <c r="I135" s="297"/>
      <c r="J135" s="297"/>
    </row>
    <row r="136" spans="1:10" ht="15" x14ac:dyDescent="0.2">
      <c r="A136" s="297" t="s">
        <v>510</v>
      </c>
      <c r="B136" s="297" t="s">
        <v>1128</v>
      </c>
      <c r="C136" s="297"/>
      <c r="D136" s="297"/>
      <c r="E136" s="297"/>
      <c r="F136" s="297"/>
      <c r="G136" s="297"/>
      <c r="H136" s="297"/>
      <c r="I136" s="297"/>
      <c r="J136" s="297"/>
    </row>
    <row r="137" spans="1:10" ht="15" x14ac:dyDescent="0.2">
      <c r="A137" s="297" t="s">
        <v>344</v>
      </c>
      <c r="B137" s="297" t="s">
        <v>346</v>
      </c>
      <c r="C137" s="297"/>
      <c r="D137" s="297"/>
      <c r="E137" s="297"/>
      <c r="F137" s="297"/>
      <c r="G137" s="297"/>
      <c r="H137" s="297"/>
      <c r="I137" s="297"/>
      <c r="J137" s="297"/>
    </row>
    <row r="138" spans="1:10" ht="15" x14ac:dyDescent="0.2">
      <c r="A138" s="297" t="s">
        <v>149</v>
      </c>
      <c r="B138" s="297" t="s">
        <v>151</v>
      </c>
      <c r="C138" s="297"/>
      <c r="D138" s="297"/>
      <c r="E138" s="297"/>
      <c r="F138" s="297"/>
      <c r="G138" s="297"/>
      <c r="H138" s="297"/>
      <c r="I138" s="297"/>
      <c r="J138" s="297"/>
    </row>
    <row r="139" spans="1:10" ht="15" x14ac:dyDescent="0.2">
      <c r="A139" s="297" t="s">
        <v>307</v>
      </c>
      <c r="B139" s="297" t="s">
        <v>308</v>
      </c>
      <c r="C139" s="297"/>
      <c r="D139" s="297"/>
      <c r="E139" s="297"/>
      <c r="F139" s="297"/>
      <c r="G139" s="297"/>
      <c r="H139" s="297"/>
      <c r="I139" s="297"/>
      <c r="J139" s="297"/>
    </row>
    <row r="140" spans="1:10" ht="15" x14ac:dyDescent="0.2">
      <c r="A140" s="297" t="s">
        <v>558</v>
      </c>
      <c r="B140" s="297" t="s">
        <v>901</v>
      </c>
      <c r="C140" s="297"/>
      <c r="D140" s="297"/>
      <c r="E140" s="297"/>
      <c r="F140" s="297"/>
      <c r="G140" s="297"/>
      <c r="H140" s="297"/>
      <c r="I140" s="297"/>
      <c r="J140" s="297"/>
    </row>
    <row r="141" spans="1:10" ht="15" x14ac:dyDescent="0.2">
      <c r="A141" s="297" t="s">
        <v>297</v>
      </c>
      <c r="B141" s="297" t="s">
        <v>298</v>
      </c>
      <c r="C141" s="297"/>
      <c r="D141" s="297"/>
      <c r="E141" s="297"/>
      <c r="F141" s="297"/>
      <c r="G141" s="297"/>
      <c r="H141" s="297"/>
      <c r="I141" s="297"/>
      <c r="J141" s="297"/>
    </row>
    <row r="142" spans="1:10" ht="15" x14ac:dyDescent="0.2">
      <c r="A142" s="297" t="s">
        <v>1129</v>
      </c>
      <c r="B142" s="297" t="s">
        <v>1130</v>
      </c>
      <c r="C142" s="297"/>
      <c r="D142" s="297"/>
      <c r="E142" s="297"/>
      <c r="F142" s="297"/>
      <c r="G142" s="297"/>
      <c r="H142" s="297"/>
      <c r="I142" s="297"/>
      <c r="J142" s="297"/>
    </row>
    <row r="143" spans="1:10" ht="15" x14ac:dyDescent="0.2">
      <c r="A143" s="297" t="s">
        <v>1131</v>
      </c>
      <c r="B143" s="297" t="s">
        <v>1132</v>
      </c>
      <c r="C143" s="297"/>
      <c r="D143" s="297"/>
      <c r="E143" s="297"/>
      <c r="F143" s="297"/>
      <c r="G143" s="297"/>
      <c r="H143" s="297"/>
      <c r="I143" s="297"/>
      <c r="J143" s="297"/>
    </row>
    <row r="144" spans="1:10" ht="15" x14ac:dyDescent="0.2">
      <c r="A144" s="297" t="s">
        <v>1133</v>
      </c>
      <c r="B144" s="297" t="s">
        <v>904</v>
      </c>
      <c r="C144" s="297"/>
      <c r="D144" s="297"/>
      <c r="E144" s="297"/>
      <c r="F144" s="297"/>
      <c r="G144" s="297"/>
      <c r="H144" s="297"/>
      <c r="I144" s="297"/>
      <c r="J144" s="297"/>
    </row>
    <row r="145" spans="1:10" ht="15" x14ac:dyDescent="0.2">
      <c r="A145" s="297" t="s">
        <v>1134</v>
      </c>
      <c r="B145" s="297" t="s">
        <v>1135</v>
      </c>
      <c r="C145" s="297"/>
      <c r="D145" s="297"/>
      <c r="E145" s="297"/>
      <c r="F145" s="297"/>
      <c r="G145" s="297"/>
      <c r="H145" s="297"/>
      <c r="I145" s="297"/>
      <c r="J145" s="297"/>
    </row>
    <row r="146" spans="1:10" ht="15" x14ac:dyDescent="0.2">
      <c r="A146" s="297" t="s">
        <v>620</v>
      </c>
      <c r="B146" s="297" t="s">
        <v>839</v>
      </c>
      <c r="C146" s="297"/>
      <c r="D146" s="297"/>
      <c r="E146" s="297"/>
      <c r="F146" s="297"/>
      <c r="G146" s="297"/>
      <c r="H146" s="297"/>
      <c r="I146" s="297"/>
      <c r="J146" s="297"/>
    </row>
    <row r="147" spans="1:10" ht="15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</row>
    <row r="148" spans="1:10" ht="15" x14ac:dyDescent="0.2">
      <c r="A148" s="297" t="s">
        <v>1136</v>
      </c>
      <c r="B148" s="297" t="s">
        <v>949</v>
      </c>
      <c r="C148" s="297"/>
      <c r="D148" s="297"/>
      <c r="E148" s="297"/>
      <c r="F148" s="297"/>
      <c r="G148" s="297"/>
      <c r="H148" s="297"/>
      <c r="I148" s="297"/>
      <c r="J148" s="297"/>
    </row>
    <row r="149" spans="1:10" ht="15" x14ac:dyDescent="0.2">
      <c r="A149" s="297" t="s">
        <v>420</v>
      </c>
      <c r="B149" s="297" t="s">
        <v>1137</v>
      </c>
      <c r="C149" s="297"/>
      <c r="D149" s="297"/>
      <c r="E149" s="297"/>
      <c r="F149" s="297"/>
      <c r="G149" s="297"/>
      <c r="H149" s="297"/>
      <c r="I149" s="297"/>
      <c r="J149" s="297"/>
    </row>
    <row r="150" spans="1:10" ht="15" x14ac:dyDescent="0.2">
      <c r="A150" s="297" t="s">
        <v>1138</v>
      </c>
      <c r="B150" s="297" t="s">
        <v>1139</v>
      </c>
      <c r="C150" s="297"/>
      <c r="D150" s="297"/>
      <c r="E150" s="297"/>
      <c r="F150" s="297"/>
      <c r="G150" s="297"/>
      <c r="H150" s="297"/>
      <c r="I150" s="297"/>
      <c r="J150" s="297"/>
    </row>
    <row r="151" spans="1:10" ht="15" x14ac:dyDescent="0.2">
      <c r="A151" s="297" t="s">
        <v>541</v>
      </c>
      <c r="B151" s="297" t="s">
        <v>825</v>
      </c>
      <c r="C151" s="297"/>
      <c r="D151" s="297"/>
      <c r="E151" s="297"/>
      <c r="F151" s="297"/>
      <c r="G151" s="297"/>
      <c r="H151" s="297"/>
      <c r="I151" s="297"/>
      <c r="J151" s="297"/>
    </row>
    <row r="152" spans="1:10" ht="15" x14ac:dyDescent="0.2">
      <c r="A152" s="297" t="s">
        <v>604</v>
      </c>
      <c r="B152" s="297" t="s">
        <v>1140</v>
      </c>
      <c r="C152" s="297"/>
      <c r="D152" s="297"/>
      <c r="E152" s="297"/>
      <c r="F152" s="297"/>
      <c r="G152" s="297"/>
      <c r="H152" s="297"/>
      <c r="I152" s="297"/>
      <c r="J152" s="297"/>
    </row>
    <row r="153" spans="1:10" ht="15" x14ac:dyDescent="0.2">
      <c r="A153" s="297" t="s">
        <v>610</v>
      </c>
      <c r="B153" s="297" t="s">
        <v>1141</v>
      </c>
      <c r="C153" s="297"/>
      <c r="D153" s="297"/>
      <c r="E153" s="297"/>
      <c r="F153" s="297"/>
      <c r="G153" s="297"/>
      <c r="H153" s="297"/>
      <c r="I153" s="297"/>
      <c r="J153" s="297"/>
    </row>
    <row r="154" spans="1:10" ht="15" x14ac:dyDescent="0.2">
      <c r="A154" s="297" t="s">
        <v>335</v>
      </c>
      <c r="B154" s="297" t="s">
        <v>336</v>
      </c>
      <c r="C154" s="297"/>
      <c r="D154" s="297"/>
      <c r="E154" s="297"/>
      <c r="F154" s="297"/>
      <c r="G154" s="297"/>
      <c r="H154" s="297"/>
      <c r="I154" s="297"/>
      <c r="J154" s="297"/>
    </row>
    <row r="155" spans="1:10" ht="15" x14ac:dyDescent="0.2">
      <c r="A155" s="297" t="s">
        <v>450</v>
      </c>
      <c r="B155" s="297" t="s">
        <v>910</v>
      </c>
      <c r="C155" s="297"/>
      <c r="D155" s="297"/>
      <c r="E155" s="297"/>
      <c r="F155" s="297"/>
      <c r="G155" s="297"/>
      <c r="H155" s="297"/>
      <c r="I155" s="297"/>
      <c r="J155" s="297"/>
    </row>
    <row r="156" spans="1:10" ht="15" x14ac:dyDescent="0.2">
      <c r="A156" s="297" t="s">
        <v>250</v>
      </c>
      <c r="B156" s="297" t="s">
        <v>252</v>
      </c>
      <c r="C156" s="297"/>
      <c r="D156" s="297"/>
      <c r="E156" s="297"/>
      <c r="F156" s="297"/>
      <c r="G156" s="297"/>
      <c r="H156" s="297"/>
      <c r="I156" s="297"/>
      <c r="J156" s="297"/>
    </row>
    <row r="157" spans="1:10" ht="15" x14ac:dyDescent="0.2">
      <c r="A157" s="297" t="s">
        <v>515</v>
      </c>
      <c r="B157" s="297" t="s">
        <v>1142</v>
      </c>
      <c r="C157" s="297"/>
      <c r="D157" s="297"/>
      <c r="E157" s="297"/>
      <c r="F157" s="297"/>
      <c r="G157" s="297"/>
      <c r="H157" s="297"/>
      <c r="I157" s="297"/>
      <c r="J157" s="297"/>
    </row>
    <row r="158" spans="1:10" ht="15" x14ac:dyDescent="0.2">
      <c r="A158" s="297" t="s">
        <v>505</v>
      </c>
      <c r="B158" s="297" t="s">
        <v>1143</v>
      </c>
      <c r="C158" s="297"/>
      <c r="D158" s="297"/>
      <c r="E158" s="297"/>
      <c r="F158" s="297"/>
      <c r="G158" s="297"/>
      <c r="H158" s="297"/>
      <c r="I158" s="297"/>
      <c r="J158" s="297"/>
    </row>
    <row r="159" spans="1:10" ht="15" x14ac:dyDescent="0.2">
      <c r="A159" s="297" t="s">
        <v>841</v>
      </c>
      <c r="B159" s="297" t="s">
        <v>843</v>
      </c>
      <c r="C159" s="297"/>
      <c r="D159" s="297"/>
      <c r="E159" s="297"/>
      <c r="F159" s="297"/>
      <c r="G159" s="297"/>
      <c r="H159" s="297"/>
      <c r="I159" s="297"/>
      <c r="J159" s="297"/>
    </row>
    <row r="160" spans="1:10" ht="15" x14ac:dyDescent="0.2">
      <c r="A160" s="297" t="s">
        <v>494</v>
      </c>
      <c r="B160" s="297" t="s">
        <v>1144</v>
      </c>
      <c r="C160" s="297"/>
      <c r="D160" s="297"/>
      <c r="E160" s="297"/>
      <c r="F160" s="297"/>
      <c r="G160" s="297"/>
      <c r="H160" s="297"/>
      <c r="I160" s="297"/>
      <c r="J160" s="297"/>
    </row>
    <row r="161" spans="1:10" ht="15" x14ac:dyDescent="0.2">
      <c r="A161" s="297" t="s">
        <v>342</v>
      </c>
      <c r="B161" s="297" t="s">
        <v>343</v>
      </c>
      <c r="C161" s="297"/>
      <c r="D161" s="297"/>
      <c r="E161" s="297"/>
      <c r="F161" s="297"/>
      <c r="G161" s="297"/>
      <c r="H161" s="297"/>
      <c r="I161" s="297"/>
      <c r="J161" s="297"/>
    </row>
    <row r="162" spans="1:10" ht="15" x14ac:dyDescent="0.2">
      <c r="A162" s="297" t="s">
        <v>911</v>
      </c>
      <c r="B162" s="297" t="s">
        <v>913</v>
      </c>
      <c r="C162" s="297"/>
      <c r="D162" s="297"/>
      <c r="E162" s="297"/>
      <c r="F162" s="297"/>
      <c r="G162" s="297"/>
      <c r="H162" s="297"/>
      <c r="I162" s="297"/>
      <c r="J162" s="297"/>
    </row>
    <row r="163" spans="1:10" ht="15" x14ac:dyDescent="0.2">
      <c r="A163" s="297" t="s">
        <v>638</v>
      </c>
      <c r="B163" s="297" t="s">
        <v>915</v>
      </c>
      <c r="C163" s="297"/>
      <c r="D163" s="297"/>
      <c r="E163" s="297"/>
      <c r="F163" s="297"/>
      <c r="G163" s="297"/>
      <c r="H163" s="297"/>
      <c r="I163" s="297"/>
      <c r="J163" s="297"/>
    </row>
    <row r="164" spans="1:10" ht="15" x14ac:dyDescent="0.2">
      <c r="A164" s="297" t="s">
        <v>459</v>
      </c>
      <c r="B164" s="297" t="s">
        <v>1145</v>
      </c>
      <c r="C164" s="297"/>
      <c r="D164" s="297"/>
      <c r="E164" s="297"/>
      <c r="F164" s="297"/>
      <c r="G164" s="297"/>
      <c r="H164" s="297"/>
      <c r="I164" s="297"/>
      <c r="J164" s="297"/>
    </row>
    <row r="165" spans="1:10" ht="15" x14ac:dyDescent="0.2">
      <c r="A165" s="297" t="s">
        <v>435</v>
      </c>
      <c r="B165" s="297" t="s">
        <v>981</v>
      </c>
      <c r="C165" s="297"/>
      <c r="D165" s="297"/>
      <c r="E165" s="297"/>
      <c r="F165" s="297"/>
      <c r="G165" s="297"/>
      <c r="H165" s="297"/>
      <c r="I165" s="297"/>
      <c r="J165" s="297"/>
    </row>
    <row r="166" spans="1:10" ht="15" x14ac:dyDescent="0.2">
      <c r="A166" s="297" t="s">
        <v>155</v>
      </c>
      <c r="B166" s="297" t="s">
        <v>156</v>
      </c>
      <c r="C166" s="297"/>
      <c r="D166" s="297"/>
      <c r="E166" s="297"/>
      <c r="F166" s="297"/>
      <c r="G166" s="297"/>
      <c r="H166" s="297"/>
      <c r="I166" s="297"/>
      <c r="J166" s="297"/>
    </row>
    <row r="167" spans="1:10" ht="15" x14ac:dyDescent="0.2">
      <c r="A167" s="297" t="s">
        <v>1146</v>
      </c>
      <c r="B167" s="297" t="s">
        <v>1147</v>
      </c>
      <c r="C167" s="297"/>
      <c r="D167" s="297"/>
      <c r="E167" s="297"/>
      <c r="F167" s="297"/>
      <c r="G167" s="297"/>
      <c r="H167" s="297"/>
      <c r="I167" s="297"/>
      <c r="J167" s="297"/>
    </row>
    <row r="168" spans="1:10" ht="15" x14ac:dyDescent="0.2">
      <c r="A168" s="297" t="s">
        <v>1148</v>
      </c>
      <c r="B168" s="297" t="s">
        <v>1149</v>
      </c>
      <c r="C168" s="297"/>
      <c r="D168" s="297"/>
      <c r="E168" s="297"/>
      <c r="F168" s="297"/>
      <c r="G168" s="297"/>
      <c r="H168" s="297"/>
      <c r="I168" s="297"/>
      <c r="J168" s="297"/>
    </row>
    <row r="169" spans="1:10" ht="15" x14ac:dyDescent="0.2">
      <c r="A169" s="297" t="s">
        <v>483</v>
      </c>
      <c r="B169" s="297" t="s">
        <v>917</v>
      </c>
      <c r="C169" s="297"/>
      <c r="D169" s="297"/>
      <c r="E169" s="297"/>
      <c r="F169" s="297"/>
      <c r="G169" s="297"/>
      <c r="H169" s="297"/>
      <c r="I169" s="297"/>
      <c r="J169" s="297"/>
    </row>
    <row r="170" spans="1:10" ht="15" x14ac:dyDescent="0.2">
      <c r="A170" s="297" t="s">
        <v>105</v>
      </c>
      <c r="B170" s="297" t="s">
        <v>108</v>
      </c>
      <c r="C170" s="297"/>
      <c r="D170" s="297"/>
      <c r="E170" s="297"/>
      <c r="F170" s="297"/>
      <c r="G170" s="297"/>
      <c r="H170" s="297"/>
      <c r="I170" s="297"/>
      <c r="J170" s="297"/>
    </row>
    <row r="171" spans="1:10" ht="15" x14ac:dyDescent="0.2">
      <c r="A171" s="297" t="s">
        <v>775</v>
      </c>
      <c r="B171" s="297" t="s">
        <v>776</v>
      </c>
      <c r="C171" s="297"/>
      <c r="D171" s="297"/>
      <c r="E171" s="297"/>
      <c r="F171" s="297"/>
      <c r="G171" s="297"/>
      <c r="H171" s="297"/>
      <c r="I171" s="297"/>
      <c r="J171" s="297"/>
    </row>
    <row r="172" spans="1:10" ht="15" x14ac:dyDescent="0.2">
      <c r="A172" s="297" t="s">
        <v>626</v>
      </c>
      <c r="B172" s="297" t="s">
        <v>858</v>
      </c>
      <c r="C172" s="297"/>
      <c r="D172" s="297"/>
      <c r="E172" s="297"/>
      <c r="F172" s="297"/>
      <c r="G172" s="297"/>
      <c r="H172" s="297"/>
      <c r="I172" s="297"/>
      <c r="J172" s="297"/>
    </row>
    <row r="173" spans="1:10" ht="15" x14ac:dyDescent="0.2">
      <c r="A173" s="297" t="s">
        <v>462</v>
      </c>
      <c r="B173" s="297" t="s">
        <v>1150</v>
      </c>
      <c r="C173" s="297"/>
      <c r="D173" s="297"/>
      <c r="E173" s="297"/>
      <c r="F173" s="297"/>
      <c r="G173" s="297"/>
      <c r="H173" s="297"/>
      <c r="I173" s="297"/>
      <c r="J173" s="297"/>
    </row>
    <row r="174" spans="1:10" ht="15" x14ac:dyDescent="0.2">
      <c r="A174" s="297" t="s">
        <v>322</v>
      </c>
      <c r="B174" s="297" t="s">
        <v>324</v>
      </c>
      <c r="C174" s="297"/>
      <c r="D174" s="297"/>
      <c r="E174" s="297"/>
      <c r="F174" s="297"/>
      <c r="G174" s="297"/>
      <c r="H174" s="297"/>
      <c r="I174" s="297"/>
      <c r="J174" s="297"/>
    </row>
    <row r="175" spans="1:10" ht="15" x14ac:dyDescent="0.2">
      <c r="A175" s="297" t="s">
        <v>1151</v>
      </c>
      <c r="B175" s="297" t="s">
        <v>1152</v>
      </c>
      <c r="C175" s="297"/>
      <c r="D175" s="297"/>
      <c r="E175" s="297"/>
      <c r="F175" s="297"/>
      <c r="G175" s="297"/>
      <c r="H175" s="297"/>
      <c r="I175" s="297"/>
      <c r="J175" s="297"/>
    </row>
    <row r="176" spans="1:10" ht="15" x14ac:dyDescent="0.2">
      <c r="A176" s="297" t="s">
        <v>168</v>
      </c>
      <c r="B176" s="297" t="s">
        <v>170</v>
      </c>
      <c r="C176" s="297"/>
      <c r="D176" s="297"/>
      <c r="E176" s="297"/>
      <c r="F176" s="297"/>
      <c r="G176" s="297"/>
      <c r="H176" s="297"/>
      <c r="I176" s="297"/>
      <c r="J176" s="297"/>
    </row>
    <row r="177" spans="1:10" ht="15" x14ac:dyDescent="0.2">
      <c r="A177" s="297" t="s">
        <v>1153</v>
      </c>
      <c r="B177" s="297" t="s">
        <v>1154</v>
      </c>
      <c r="C177" s="297"/>
      <c r="D177" s="297"/>
      <c r="E177" s="297"/>
      <c r="F177" s="297"/>
      <c r="G177" s="297"/>
      <c r="H177" s="297"/>
      <c r="I177" s="297"/>
      <c r="J177" s="297"/>
    </row>
    <row r="178" spans="1:10" ht="15" x14ac:dyDescent="0.2">
      <c r="A178" s="297" t="s">
        <v>791</v>
      </c>
      <c r="B178" s="297" t="s">
        <v>794</v>
      </c>
      <c r="C178" s="297"/>
      <c r="D178" s="297"/>
      <c r="E178" s="297"/>
      <c r="F178" s="297"/>
      <c r="G178" s="297"/>
      <c r="H178" s="297"/>
      <c r="I178" s="297"/>
      <c r="J178" s="297"/>
    </row>
    <row r="179" spans="1:10" ht="15" x14ac:dyDescent="0.2">
      <c r="A179" s="297" t="s">
        <v>582</v>
      </c>
      <c r="B179" s="297" t="s">
        <v>919</v>
      </c>
      <c r="C179" s="297"/>
      <c r="D179" s="297"/>
      <c r="E179" s="297"/>
      <c r="F179" s="297"/>
      <c r="G179" s="297"/>
      <c r="H179" s="297"/>
      <c r="I179" s="297"/>
      <c r="J179" s="297"/>
    </row>
    <row r="180" spans="1:10" ht="15" x14ac:dyDescent="0.2">
      <c r="A180" s="297" t="s">
        <v>596</v>
      </c>
      <c r="B180" s="297" t="s">
        <v>597</v>
      </c>
      <c r="C180" s="297"/>
      <c r="D180" s="297"/>
      <c r="E180" s="297"/>
      <c r="F180" s="297"/>
      <c r="G180" s="297"/>
      <c r="H180" s="297"/>
      <c r="I180" s="297"/>
      <c r="J180" s="297"/>
    </row>
    <row r="181" spans="1:10" ht="15" x14ac:dyDescent="0.2">
      <c r="A181" s="297" t="s">
        <v>372</v>
      </c>
      <c r="B181" s="297" t="s">
        <v>1155</v>
      </c>
      <c r="C181" s="297"/>
      <c r="D181" s="297"/>
      <c r="E181" s="297"/>
      <c r="F181" s="297"/>
      <c r="G181" s="297"/>
      <c r="H181" s="297"/>
      <c r="I181" s="297"/>
      <c r="J181" s="297"/>
    </row>
    <row r="182" spans="1:10" ht="15" x14ac:dyDescent="0.2">
      <c r="A182" s="297" t="s">
        <v>617</v>
      </c>
      <c r="B182" s="297" t="s">
        <v>1156</v>
      </c>
      <c r="C182" s="297"/>
      <c r="D182" s="297"/>
      <c r="E182" s="297"/>
      <c r="F182" s="297"/>
      <c r="G182" s="297"/>
      <c r="H182" s="297"/>
      <c r="I182" s="297"/>
      <c r="J182" s="297"/>
    </row>
    <row r="183" spans="1:10" ht="15" x14ac:dyDescent="0.2">
      <c r="A183" s="297" t="s">
        <v>111</v>
      </c>
      <c r="B183" s="297" t="s">
        <v>113</v>
      </c>
      <c r="C183" s="297"/>
      <c r="D183" s="297"/>
      <c r="E183" s="297"/>
      <c r="F183" s="297"/>
      <c r="G183" s="297"/>
      <c r="H183" s="297"/>
      <c r="I183" s="297"/>
      <c r="J183" s="297"/>
    </row>
    <row r="184" spans="1:10" ht="15" x14ac:dyDescent="0.2">
      <c r="A184" s="297" t="s">
        <v>157</v>
      </c>
      <c r="B184" s="297" t="s">
        <v>159</v>
      </c>
      <c r="C184" s="297"/>
      <c r="D184" s="297"/>
      <c r="E184" s="297"/>
      <c r="F184" s="297"/>
      <c r="G184" s="297"/>
      <c r="H184" s="297"/>
      <c r="I184" s="297"/>
      <c r="J184" s="297"/>
    </row>
    <row r="185" spans="1:10" ht="15" x14ac:dyDescent="0.2">
      <c r="A185" s="297" t="s">
        <v>1157</v>
      </c>
      <c r="B185" s="297" t="s">
        <v>921</v>
      </c>
      <c r="C185" s="297"/>
      <c r="D185" s="297"/>
      <c r="E185" s="297"/>
      <c r="F185" s="297"/>
      <c r="G185" s="297"/>
      <c r="H185" s="297"/>
      <c r="I185" s="297"/>
      <c r="J185" s="297"/>
    </row>
    <row r="186" spans="1:10" ht="15" x14ac:dyDescent="0.2">
      <c r="A186" s="297" t="s">
        <v>370</v>
      </c>
      <c r="B186" s="297" t="s">
        <v>371</v>
      </c>
      <c r="C186" s="297"/>
      <c r="D186" s="297"/>
      <c r="E186" s="297"/>
      <c r="F186" s="297"/>
      <c r="G186" s="297"/>
      <c r="H186" s="297"/>
      <c r="I186" s="297"/>
      <c r="J186" s="297"/>
    </row>
    <row r="187" spans="1:10" ht="15" x14ac:dyDescent="0.2">
      <c r="A187" s="297" t="s">
        <v>1158</v>
      </c>
      <c r="B187" s="297" t="s">
        <v>1159</v>
      </c>
      <c r="C187" s="297"/>
      <c r="D187" s="297"/>
      <c r="E187" s="297"/>
      <c r="F187" s="297"/>
      <c r="G187" s="297"/>
      <c r="H187" s="297"/>
      <c r="I187" s="297"/>
      <c r="J187" s="297"/>
    </row>
    <row r="188" spans="1:10" ht="15" x14ac:dyDescent="0.2">
      <c r="A188" s="297" t="s">
        <v>574</v>
      </c>
      <c r="B188" s="297" t="s">
        <v>1160</v>
      </c>
      <c r="C188" s="297"/>
      <c r="D188" s="297"/>
      <c r="E188" s="297"/>
      <c r="F188" s="297"/>
      <c r="G188" s="297"/>
      <c r="H188" s="297"/>
      <c r="I188" s="297"/>
      <c r="J188" s="297"/>
    </row>
    <row r="189" spans="1:10" ht="15" x14ac:dyDescent="0.2">
      <c r="A189" s="297" t="s">
        <v>616</v>
      </c>
      <c r="B189" s="297" t="s">
        <v>796</v>
      </c>
      <c r="C189" s="297"/>
      <c r="D189" s="297"/>
      <c r="E189" s="297"/>
      <c r="F189" s="297"/>
      <c r="G189" s="297"/>
      <c r="H189" s="297"/>
      <c r="I189" s="297"/>
      <c r="J189" s="297"/>
    </row>
    <row r="190" spans="1:10" ht="15" x14ac:dyDescent="0.2">
      <c r="A190" s="297" t="s">
        <v>478</v>
      </c>
      <c r="B190" s="297" t="s">
        <v>1161</v>
      </c>
      <c r="C190" s="297"/>
      <c r="D190" s="297"/>
      <c r="E190" s="297"/>
      <c r="F190" s="297"/>
      <c r="G190" s="297"/>
      <c r="H190" s="297"/>
      <c r="I190" s="297"/>
      <c r="J190" s="297"/>
    </row>
    <row r="191" spans="1:10" ht="15" x14ac:dyDescent="0.2">
      <c r="A191" s="297" t="s">
        <v>78</v>
      </c>
      <c r="B191" s="297" t="s">
        <v>82</v>
      </c>
      <c r="C191" s="297"/>
      <c r="D191" s="297"/>
      <c r="E191" s="297"/>
      <c r="F191" s="297"/>
      <c r="G191" s="297"/>
      <c r="H191" s="297"/>
      <c r="I191" s="297"/>
      <c r="J191" s="297"/>
    </row>
    <row r="192" spans="1:10" ht="15" x14ac:dyDescent="0.2">
      <c r="A192" s="297" t="s">
        <v>742</v>
      </c>
      <c r="B192" s="297" t="s">
        <v>1162</v>
      </c>
      <c r="C192" s="297"/>
      <c r="D192" s="297"/>
      <c r="E192" s="297"/>
      <c r="F192" s="297"/>
      <c r="G192" s="297"/>
      <c r="H192" s="297"/>
      <c r="I192" s="297"/>
      <c r="J192" s="297"/>
    </row>
    <row r="193" spans="1:10" ht="15" x14ac:dyDescent="0.2">
      <c r="A193" s="297" t="s">
        <v>526</v>
      </c>
      <c r="B193" s="297" t="s">
        <v>1163</v>
      </c>
      <c r="C193" s="297"/>
      <c r="D193" s="297"/>
      <c r="E193" s="297"/>
      <c r="F193" s="297"/>
      <c r="G193" s="297"/>
      <c r="H193" s="297"/>
      <c r="I193" s="297"/>
      <c r="J193" s="297"/>
    </row>
    <row r="194" spans="1:10" ht="15" x14ac:dyDescent="0.2">
      <c r="A194" s="297" t="s">
        <v>751</v>
      </c>
      <c r="B194" s="297" t="s">
        <v>1164</v>
      </c>
      <c r="C194" s="297"/>
      <c r="D194" s="297"/>
      <c r="E194" s="297"/>
      <c r="F194" s="297"/>
      <c r="G194" s="297"/>
      <c r="H194" s="297"/>
      <c r="I194" s="297"/>
      <c r="J194" s="297"/>
    </row>
    <row r="195" spans="1:10" ht="15" x14ac:dyDescent="0.2">
      <c r="A195" s="297" t="s">
        <v>490</v>
      </c>
      <c r="B195" s="297" t="s">
        <v>923</v>
      </c>
      <c r="C195" s="297"/>
      <c r="D195" s="297"/>
      <c r="E195" s="297"/>
      <c r="F195" s="297"/>
      <c r="G195" s="297"/>
      <c r="H195" s="297"/>
      <c r="I195" s="297"/>
      <c r="J195" s="297"/>
    </row>
    <row r="196" spans="1:10" ht="15" x14ac:dyDescent="0.2">
      <c r="A196" s="297" t="s">
        <v>1165</v>
      </c>
      <c r="B196" s="297" t="s">
        <v>1166</v>
      </c>
      <c r="C196" s="297"/>
      <c r="D196" s="297"/>
      <c r="E196" s="297"/>
      <c r="F196" s="297"/>
      <c r="G196" s="297"/>
      <c r="H196" s="297"/>
      <c r="I196" s="297"/>
      <c r="J196" s="297"/>
    </row>
    <row r="197" spans="1:10" ht="15" x14ac:dyDescent="0.2">
      <c r="A197" s="297" t="s">
        <v>1167</v>
      </c>
      <c r="B197" s="297" t="s">
        <v>1168</v>
      </c>
      <c r="C197" s="297"/>
      <c r="D197" s="297"/>
      <c r="E197" s="297"/>
      <c r="F197" s="297"/>
      <c r="G197" s="297"/>
      <c r="H197" s="297"/>
      <c r="I197" s="297"/>
      <c r="J197" s="297"/>
    </row>
    <row r="198" spans="1:10" ht="15" x14ac:dyDescent="0.2">
      <c r="A198" s="297" t="s">
        <v>482</v>
      </c>
      <c r="B198" s="297" t="s">
        <v>924</v>
      </c>
      <c r="C198" s="297"/>
      <c r="D198" s="297"/>
      <c r="E198" s="297"/>
      <c r="F198" s="297"/>
      <c r="G198" s="297"/>
      <c r="H198" s="297"/>
      <c r="I198" s="297"/>
      <c r="J198" s="297"/>
    </row>
    <row r="199" spans="1:10" ht="15" x14ac:dyDescent="0.2">
      <c r="A199" s="297" t="s">
        <v>548</v>
      </c>
      <c r="B199" s="297" t="s">
        <v>1169</v>
      </c>
      <c r="C199" s="297"/>
      <c r="D199" s="297"/>
      <c r="E199" s="297"/>
      <c r="F199" s="297"/>
      <c r="G199" s="297"/>
      <c r="H199" s="297"/>
      <c r="I199" s="297"/>
      <c r="J199" s="297"/>
    </row>
    <row r="200" spans="1:10" ht="15" x14ac:dyDescent="0.2">
      <c r="A200" s="297" t="s">
        <v>229</v>
      </c>
      <c r="B200" s="297" t="s">
        <v>230</v>
      </c>
      <c r="C200" s="297"/>
      <c r="D200" s="297"/>
      <c r="E200" s="297"/>
      <c r="F200" s="297"/>
      <c r="G200" s="297"/>
      <c r="H200" s="297"/>
      <c r="I200" s="297"/>
      <c r="J200" s="297"/>
    </row>
    <row r="201" spans="1:10" ht="15" x14ac:dyDescent="0.2">
      <c r="A201" s="297" t="s">
        <v>248</v>
      </c>
      <c r="B201" s="297" t="s">
        <v>249</v>
      </c>
      <c r="C201" s="297"/>
      <c r="D201" s="297"/>
      <c r="E201" s="297"/>
      <c r="F201" s="297"/>
      <c r="G201" s="297"/>
      <c r="H201" s="297"/>
      <c r="I201" s="297"/>
      <c r="J201" s="297"/>
    </row>
    <row r="202" spans="1:10" ht="15" x14ac:dyDescent="0.2">
      <c r="A202" s="297" t="s">
        <v>1170</v>
      </c>
      <c r="B202" s="297" t="s">
        <v>1171</v>
      </c>
      <c r="C202" s="297"/>
      <c r="D202" s="297"/>
      <c r="E202" s="297"/>
      <c r="F202" s="297"/>
      <c r="G202" s="297"/>
      <c r="H202" s="297"/>
      <c r="I202" s="297"/>
      <c r="J202" s="297"/>
    </row>
    <row r="203" spans="1:10" ht="15" x14ac:dyDescent="0.2">
      <c r="A203" s="297" t="s">
        <v>1172</v>
      </c>
      <c r="B203" s="297" t="s">
        <v>1173</v>
      </c>
      <c r="C203" s="297"/>
      <c r="D203" s="297"/>
      <c r="E203" s="297"/>
      <c r="F203" s="297"/>
      <c r="G203" s="297"/>
      <c r="H203" s="297"/>
      <c r="I203" s="297"/>
      <c r="J203" s="297"/>
    </row>
    <row r="204" spans="1:10" ht="15" x14ac:dyDescent="0.2">
      <c r="A204" s="297" t="s">
        <v>926</v>
      </c>
      <c r="B204" s="297" t="s">
        <v>927</v>
      </c>
      <c r="C204" s="297"/>
      <c r="D204" s="297"/>
      <c r="E204" s="297"/>
      <c r="F204" s="297"/>
      <c r="G204" s="297"/>
      <c r="H204" s="297"/>
      <c r="I204" s="297"/>
      <c r="J204" s="297"/>
    </row>
    <row r="205" spans="1:10" ht="15" x14ac:dyDescent="0.2">
      <c r="A205" s="297" t="s">
        <v>531</v>
      </c>
      <c r="B205" s="297" t="s">
        <v>1174</v>
      </c>
      <c r="C205" s="297"/>
      <c r="D205" s="297"/>
      <c r="E205" s="297"/>
      <c r="F205" s="297"/>
      <c r="G205" s="297"/>
      <c r="H205" s="297"/>
      <c r="I205" s="297"/>
      <c r="J205" s="297"/>
    </row>
    <row r="206" spans="1:10" ht="15" x14ac:dyDescent="0.2">
      <c r="A206" s="297" t="s">
        <v>928</v>
      </c>
      <c r="B206" s="297" t="s">
        <v>929</v>
      </c>
      <c r="C206" s="297"/>
      <c r="D206" s="297"/>
      <c r="E206" s="297"/>
      <c r="F206" s="297"/>
      <c r="G206" s="297"/>
      <c r="H206" s="297"/>
      <c r="I206" s="297"/>
      <c r="J206" s="297"/>
    </row>
    <row r="207" spans="1:10" ht="15" x14ac:dyDescent="0.2">
      <c r="A207" s="297" t="s">
        <v>400</v>
      </c>
      <c r="B207" s="297" t="s">
        <v>931</v>
      </c>
      <c r="C207" s="297"/>
      <c r="D207" s="297"/>
      <c r="E207" s="297"/>
      <c r="F207" s="297"/>
      <c r="G207" s="297"/>
      <c r="H207" s="297"/>
      <c r="I207" s="297"/>
      <c r="J207" s="297"/>
    </row>
    <row r="208" spans="1:10" ht="15" x14ac:dyDescent="0.2">
      <c r="A208" s="297" t="s">
        <v>544</v>
      </c>
      <c r="B208" s="297" t="s">
        <v>1175</v>
      </c>
      <c r="C208" s="297"/>
      <c r="D208" s="297"/>
      <c r="E208" s="297"/>
      <c r="F208" s="297"/>
      <c r="G208" s="297"/>
      <c r="H208" s="297"/>
      <c r="I208" s="297"/>
      <c r="J208" s="297"/>
    </row>
    <row r="209" spans="1:10" ht="15" x14ac:dyDescent="0.2">
      <c r="A209" s="297" t="s">
        <v>1176</v>
      </c>
      <c r="B209" s="297" t="s">
        <v>1177</v>
      </c>
      <c r="C209" s="297"/>
      <c r="D209" s="297"/>
      <c r="E209" s="297"/>
      <c r="F209" s="297"/>
      <c r="G209" s="297"/>
      <c r="H209" s="297"/>
      <c r="I209" s="297"/>
      <c r="J209" s="297"/>
    </row>
    <row r="210" spans="1:10" ht="15" x14ac:dyDescent="0.2">
      <c r="A210" s="297" t="s">
        <v>347</v>
      </c>
      <c r="B210" s="297" t="s">
        <v>349</v>
      </c>
      <c r="C210" s="297"/>
      <c r="D210" s="297"/>
      <c r="E210" s="297"/>
      <c r="F210" s="297"/>
      <c r="G210" s="297"/>
      <c r="H210" s="297"/>
      <c r="I210" s="297"/>
      <c r="J210" s="297"/>
    </row>
    <row r="211" spans="1:10" ht="15" x14ac:dyDescent="0.2">
      <c r="A211" s="297" t="s">
        <v>1178</v>
      </c>
      <c r="B211" s="297" t="s">
        <v>1179</v>
      </c>
      <c r="C211" s="297"/>
      <c r="D211" s="297"/>
      <c r="E211" s="297"/>
      <c r="F211" s="297"/>
      <c r="G211" s="297"/>
      <c r="H211" s="297"/>
      <c r="I211" s="297"/>
      <c r="J211" s="297"/>
    </row>
    <row r="212" spans="1:10" ht="15" x14ac:dyDescent="0.2">
      <c r="A212" s="297" t="s">
        <v>355</v>
      </c>
      <c r="B212" s="297" t="s">
        <v>356</v>
      </c>
      <c r="C212" s="297"/>
      <c r="D212" s="297"/>
      <c r="E212" s="297"/>
      <c r="F212" s="297"/>
      <c r="G212" s="297"/>
      <c r="H212" s="297"/>
      <c r="I212" s="297"/>
      <c r="J212" s="297"/>
    </row>
    <row r="213" spans="1:10" ht="15" x14ac:dyDescent="0.2">
      <c r="A213" s="297" t="s">
        <v>1180</v>
      </c>
      <c r="B213" s="297" t="s">
        <v>1181</v>
      </c>
      <c r="C213" s="297"/>
      <c r="D213" s="297"/>
      <c r="E213" s="297"/>
      <c r="F213" s="297"/>
      <c r="G213" s="297"/>
      <c r="H213" s="297"/>
      <c r="I213" s="297"/>
      <c r="J213" s="297"/>
    </row>
    <row r="214" spans="1:10" ht="15" x14ac:dyDescent="0.2">
      <c r="A214" s="297" t="s">
        <v>280</v>
      </c>
      <c r="B214" s="297" t="s">
        <v>282</v>
      </c>
      <c r="C214" s="297"/>
      <c r="D214" s="297"/>
      <c r="E214" s="297"/>
      <c r="F214" s="297"/>
      <c r="G214" s="297"/>
      <c r="H214" s="297"/>
      <c r="I214" s="297"/>
      <c r="J214" s="297"/>
    </row>
    <row r="215" spans="1:10" ht="15" x14ac:dyDescent="0.2">
      <c r="A215" s="297" t="s">
        <v>1182</v>
      </c>
      <c r="B215" s="297" t="s">
        <v>1183</v>
      </c>
      <c r="C215" s="297"/>
      <c r="D215" s="297"/>
      <c r="E215" s="297"/>
      <c r="F215" s="297"/>
      <c r="G215" s="297"/>
      <c r="H215" s="297"/>
      <c r="I215" s="297"/>
      <c r="J215" s="297"/>
    </row>
    <row r="216" spans="1:10" ht="15" x14ac:dyDescent="0.2">
      <c r="A216" s="297" t="s">
        <v>875</v>
      </c>
      <c r="B216" s="297" t="s">
        <v>877</v>
      </c>
      <c r="C216" s="297"/>
      <c r="D216" s="297"/>
      <c r="E216" s="297"/>
      <c r="F216" s="297"/>
      <c r="G216" s="297"/>
      <c r="H216" s="297"/>
      <c r="I216" s="297"/>
      <c r="J216" s="297"/>
    </row>
    <row r="217" spans="1:10" ht="15" x14ac:dyDescent="0.2">
      <c r="A217" s="297" t="s">
        <v>1184</v>
      </c>
      <c r="B217" s="297" t="s">
        <v>1185</v>
      </c>
      <c r="C217" s="297"/>
      <c r="D217" s="297"/>
      <c r="E217" s="297"/>
      <c r="F217" s="297"/>
      <c r="G217" s="297"/>
      <c r="H217" s="297"/>
      <c r="I217" s="297"/>
      <c r="J217" s="297"/>
    </row>
    <row r="218" spans="1:10" ht="15" x14ac:dyDescent="0.2">
      <c r="A218" s="297" t="s">
        <v>217</v>
      </c>
      <c r="B218" s="297" t="s">
        <v>218</v>
      </c>
      <c r="C218" s="297"/>
      <c r="D218" s="297"/>
      <c r="E218" s="297"/>
      <c r="F218" s="297"/>
      <c r="G218" s="297"/>
      <c r="H218" s="297"/>
      <c r="I218" s="297"/>
      <c r="J218" s="297"/>
    </row>
    <row r="219" spans="1:10" ht="15" x14ac:dyDescent="0.2">
      <c r="A219" s="297" t="s">
        <v>686</v>
      </c>
      <c r="B219" s="297" t="s">
        <v>1186</v>
      </c>
      <c r="C219" s="297"/>
      <c r="D219" s="297"/>
      <c r="E219" s="297"/>
      <c r="F219" s="297"/>
      <c r="G219" s="297"/>
      <c r="H219" s="297"/>
      <c r="I219" s="297"/>
      <c r="J219" s="297"/>
    </row>
    <row r="220" spans="1:10" ht="15" x14ac:dyDescent="0.2">
      <c r="A220" s="297" t="s">
        <v>1187</v>
      </c>
      <c r="B220" s="297" t="s">
        <v>1188</v>
      </c>
      <c r="C220" s="297"/>
      <c r="D220" s="297"/>
      <c r="E220" s="297"/>
      <c r="F220" s="297"/>
      <c r="G220" s="297"/>
      <c r="H220" s="297"/>
      <c r="I220" s="297"/>
      <c r="J220" s="297"/>
    </row>
    <row r="221" spans="1:10" ht="15" x14ac:dyDescent="0.2">
      <c r="A221" s="297" t="s">
        <v>1189</v>
      </c>
      <c r="B221" s="297" t="s">
        <v>1190</v>
      </c>
      <c r="C221" s="297"/>
      <c r="D221" s="297"/>
      <c r="E221" s="297"/>
      <c r="F221" s="297"/>
      <c r="G221" s="297"/>
      <c r="H221" s="297"/>
      <c r="I221" s="297"/>
      <c r="J221" s="297"/>
    </row>
    <row r="222" spans="1:10" ht="15" x14ac:dyDescent="0.2">
      <c r="A222" s="297" t="s">
        <v>1191</v>
      </c>
      <c r="B222" s="297" t="s">
        <v>1192</v>
      </c>
      <c r="C222" s="297"/>
      <c r="D222" s="297"/>
      <c r="E222" s="297"/>
      <c r="F222" s="297"/>
      <c r="G222" s="297"/>
      <c r="H222" s="297"/>
      <c r="I222" s="297"/>
      <c r="J222" s="297"/>
    </row>
    <row r="223" spans="1:10" ht="15" x14ac:dyDescent="0.2">
      <c r="A223" s="297" t="s">
        <v>1193</v>
      </c>
      <c r="B223" s="297" t="s">
        <v>1194</v>
      </c>
      <c r="C223" s="297"/>
      <c r="D223" s="297"/>
      <c r="E223" s="297"/>
      <c r="F223" s="297"/>
      <c r="G223" s="297"/>
      <c r="H223" s="297"/>
      <c r="I223" s="297"/>
      <c r="J223" s="297"/>
    </row>
    <row r="224" spans="1:10" ht="15" x14ac:dyDescent="0.2">
      <c r="A224" s="297" t="s">
        <v>519</v>
      </c>
      <c r="B224" s="297" t="s">
        <v>1195</v>
      </c>
      <c r="C224" s="297"/>
      <c r="D224" s="297"/>
      <c r="E224" s="297"/>
      <c r="F224" s="297"/>
      <c r="G224" s="297"/>
      <c r="H224" s="297"/>
      <c r="I224" s="297"/>
      <c r="J224" s="297"/>
    </row>
    <row r="225" spans="1:10" ht="15" x14ac:dyDescent="0.2">
      <c r="A225" s="297" t="s">
        <v>477</v>
      </c>
      <c r="B225" s="297" t="s">
        <v>1196</v>
      </c>
      <c r="C225" s="297"/>
      <c r="D225" s="297"/>
      <c r="E225" s="297"/>
      <c r="F225" s="297"/>
      <c r="G225" s="297"/>
      <c r="H225" s="297"/>
      <c r="I225" s="297"/>
      <c r="J225" s="297"/>
    </row>
    <row r="226" spans="1:10" ht="15" x14ac:dyDescent="0.2">
      <c r="A226" s="297" t="s">
        <v>398</v>
      </c>
      <c r="B226" s="297" t="s">
        <v>1197</v>
      </c>
      <c r="C226" s="297"/>
      <c r="D226" s="297"/>
      <c r="E226" s="297"/>
      <c r="F226" s="297"/>
      <c r="G226" s="297"/>
      <c r="H226" s="297"/>
      <c r="I226" s="297"/>
      <c r="J226" s="297"/>
    </row>
    <row r="227" spans="1:10" ht="15" x14ac:dyDescent="0.2">
      <c r="A227" s="297" t="s">
        <v>1198</v>
      </c>
      <c r="B227" s="297" t="s">
        <v>1199</v>
      </c>
      <c r="C227" s="297"/>
      <c r="D227" s="297"/>
      <c r="E227" s="297"/>
      <c r="F227" s="297"/>
      <c r="G227" s="297"/>
      <c r="H227" s="297"/>
      <c r="I227" s="297"/>
      <c r="J227" s="297"/>
    </row>
    <row r="228" spans="1:10" ht="15" x14ac:dyDescent="0.2">
      <c r="A228" s="297" t="s">
        <v>1200</v>
      </c>
      <c r="B228" s="297" t="s">
        <v>834</v>
      </c>
      <c r="C228" s="297"/>
      <c r="D228" s="297"/>
      <c r="E228" s="297"/>
      <c r="F228" s="297"/>
      <c r="G228" s="297"/>
      <c r="H228" s="297"/>
      <c r="I228" s="297"/>
      <c r="J228" s="297"/>
    </row>
    <row r="229" spans="1:10" ht="15" x14ac:dyDescent="0.2">
      <c r="A229" s="297" t="s">
        <v>165</v>
      </c>
      <c r="B229" s="297" t="s">
        <v>167</v>
      </c>
      <c r="C229" s="297"/>
      <c r="D229" s="297"/>
      <c r="E229" s="297"/>
      <c r="F229" s="297"/>
      <c r="G229" s="297"/>
      <c r="H229" s="297"/>
      <c r="I229" s="297"/>
      <c r="J229" s="297"/>
    </row>
    <row r="230" spans="1:10" ht="15" x14ac:dyDescent="0.2">
      <c r="A230" s="297" t="s">
        <v>1201</v>
      </c>
      <c r="B230" s="297" t="s">
        <v>1202</v>
      </c>
      <c r="C230" s="297"/>
      <c r="D230" s="297"/>
      <c r="E230" s="297"/>
      <c r="F230" s="297"/>
      <c r="G230" s="297"/>
      <c r="H230" s="297"/>
      <c r="I230" s="297"/>
      <c r="J230" s="297"/>
    </row>
    <row r="231" spans="1:10" ht="15" x14ac:dyDescent="0.2">
      <c r="A231" s="297" t="s">
        <v>1203</v>
      </c>
      <c r="B231" s="297" t="s">
        <v>1204</v>
      </c>
      <c r="C231" s="297"/>
      <c r="D231" s="297"/>
      <c r="E231" s="297"/>
      <c r="F231" s="297"/>
      <c r="G231" s="297"/>
      <c r="H231" s="297"/>
      <c r="I231" s="297"/>
      <c r="J231" s="297"/>
    </row>
    <row r="232" spans="1:10" ht="15" x14ac:dyDescent="0.2">
      <c r="A232" s="297" t="s">
        <v>1205</v>
      </c>
      <c r="B232" s="297" t="s">
        <v>1206</v>
      </c>
      <c r="C232" s="297"/>
      <c r="D232" s="297"/>
      <c r="E232" s="297"/>
      <c r="F232" s="297"/>
      <c r="G232" s="297"/>
      <c r="H232" s="297"/>
      <c r="I232" s="297"/>
      <c r="J232" s="297"/>
    </row>
    <row r="233" spans="1:10" ht="15" x14ac:dyDescent="0.2">
      <c r="A233" s="297" t="s">
        <v>1207</v>
      </c>
      <c r="B233" s="297" t="s">
        <v>1208</v>
      </c>
      <c r="C233" s="297"/>
      <c r="D233" s="297"/>
      <c r="E233" s="297"/>
      <c r="F233" s="297"/>
      <c r="G233" s="297"/>
      <c r="H233" s="297"/>
      <c r="I233" s="297"/>
      <c r="J233" s="297"/>
    </row>
    <row r="234" spans="1:10" ht="15" x14ac:dyDescent="0.2">
      <c r="A234" s="297" t="s">
        <v>1209</v>
      </c>
      <c r="B234" s="297" t="s">
        <v>1210</v>
      </c>
      <c r="C234" s="297"/>
      <c r="D234" s="297"/>
      <c r="E234" s="297"/>
      <c r="F234" s="297"/>
      <c r="G234" s="297"/>
      <c r="H234" s="297"/>
      <c r="I234" s="297"/>
      <c r="J234" s="297"/>
    </row>
    <row r="235" spans="1:10" ht="15" x14ac:dyDescent="0.2">
      <c r="A235" s="297" t="s">
        <v>485</v>
      </c>
      <c r="B235" s="297" t="s">
        <v>1211</v>
      </c>
      <c r="C235" s="297"/>
      <c r="D235" s="297"/>
      <c r="E235" s="297"/>
      <c r="F235" s="297"/>
      <c r="G235" s="297"/>
      <c r="H235" s="297"/>
      <c r="I235" s="297"/>
      <c r="J235" s="297"/>
    </row>
    <row r="236" spans="1:10" ht="15" x14ac:dyDescent="0.2">
      <c r="A236" s="297" t="s">
        <v>315</v>
      </c>
      <c r="B236" s="297" t="s">
        <v>316</v>
      </c>
      <c r="C236" s="297"/>
      <c r="D236" s="297"/>
      <c r="E236" s="297"/>
      <c r="F236" s="297"/>
      <c r="G236" s="297"/>
      <c r="H236" s="297"/>
      <c r="I236" s="297"/>
      <c r="J236" s="297"/>
    </row>
    <row r="237" spans="1:10" ht="15" x14ac:dyDescent="0.2">
      <c r="A237" s="297" t="s">
        <v>383</v>
      </c>
      <c r="B237" s="297" t="s">
        <v>1212</v>
      </c>
      <c r="C237" s="297"/>
      <c r="D237" s="297"/>
      <c r="E237" s="297"/>
      <c r="F237" s="297"/>
      <c r="G237" s="297"/>
      <c r="H237" s="297"/>
      <c r="I237" s="297"/>
      <c r="J237" s="297"/>
    </row>
    <row r="238" spans="1:10" ht="15" x14ac:dyDescent="0.2">
      <c r="A238" s="297" t="s">
        <v>1213</v>
      </c>
      <c r="B238" s="297" t="s">
        <v>1214</v>
      </c>
      <c r="C238" s="297"/>
      <c r="D238" s="297"/>
      <c r="E238" s="297"/>
      <c r="F238" s="297"/>
      <c r="G238" s="297"/>
      <c r="H238" s="297"/>
      <c r="I238" s="297"/>
      <c r="J238" s="297"/>
    </row>
    <row r="239" spans="1:10" ht="15" x14ac:dyDescent="0.2">
      <c r="A239" s="297" t="s">
        <v>1215</v>
      </c>
      <c r="B239" s="297" t="s">
        <v>1216</v>
      </c>
      <c r="C239" s="297"/>
      <c r="D239" s="297"/>
      <c r="E239" s="297"/>
      <c r="F239" s="297"/>
      <c r="G239" s="297"/>
      <c r="H239" s="297"/>
      <c r="I239" s="297"/>
      <c r="J239" s="297"/>
    </row>
    <row r="240" spans="1:10" ht="15" x14ac:dyDescent="0.2">
      <c r="A240" s="297" t="s">
        <v>97</v>
      </c>
      <c r="B240" s="297" t="s">
        <v>99</v>
      </c>
      <c r="C240" s="297"/>
      <c r="D240" s="297"/>
      <c r="E240" s="297"/>
      <c r="F240" s="297"/>
      <c r="G240" s="297"/>
      <c r="H240" s="297"/>
      <c r="I240" s="297"/>
      <c r="J240" s="297"/>
    </row>
    <row r="241" spans="1:10" ht="15" x14ac:dyDescent="0.2">
      <c r="A241" s="297" t="s">
        <v>733</v>
      </c>
      <c r="B241" s="297" t="s">
        <v>1217</v>
      </c>
      <c r="C241" s="297"/>
      <c r="D241" s="297"/>
      <c r="E241" s="297"/>
      <c r="F241" s="297"/>
      <c r="G241" s="297"/>
      <c r="H241" s="297"/>
      <c r="I241" s="297"/>
      <c r="J241" s="297"/>
    </row>
    <row r="242" spans="1:10" ht="15" x14ac:dyDescent="0.2">
      <c r="A242" s="297" t="s">
        <v>134</v>
      </c>
      <c r="B242" s="297" t="s">
        <v>137</v>
      </c>
      <c r="C242" s="297"/>
      <c r="D242" s="297"/>
      <c r="E242" s="297"/>
      <c r="F242" s="297"/>
      <c r="G242" s="297"/>
      <c r="H242" s="297"/>
      <c r="I242" s="297"/>
      <c r="J242" s="297"/>
    </row>
    <row r="243" spans="1:10" ht="15" x14ac:dyDescent="0.2">
      <c r="A243" s="297" t="s">
        <v>271</v>
      </c>
      <c r="B243" s="297" t="s">
        <v>272</v>
      </c>
      <c r="C243" s="297"/>
      <c r="D243" s="297"/>
      <c r="E243" s="297"/>
      <c r="F243" s="297"/>
      <c r="G243" s="297"/>
      <c r="H243" s="297"/>
      <c r="I243" s="297"/>
      <c r="J243" s="297"/>
    </row>
    <row r="244" spans="1:10" ht="15" x14ac:dyDescent="0.2">
      <c r="A244" s="297" t="s">
        <v>458</v>
      </c>
      <c r="B244" s="297" t="s">
        <v>983</v>
      </c>
      <c r="C244" s="297"/>
      <c r="D244" s="297"/>
      <c r="E244" s="297"/>
      <c r="F244" s="297"/>
      <c r="G244" s="297"/>
      <c r="H244" s="297"/>
      <c r="I244" s="297"/>
      <c r="J244" s="297"/>
    </row>
    <row r="245" spans="1:10" ht="15" x14ac:dyDescent="0.2">
      <c r="A245" s="297" t="s">
        <v>295</v>
      </c>
      <c r="B245" s="297" t="s">
        <v>296</v>
      </c>
      <c r="C245" s="297"/>
      <c r="D245" s="297"/>
      <c r="E245" s="297"/>
      <c r="F245" s="297"/>
      <c r="G245" s="297"/>
      <c r="H245" s="297"/>
      <c r="I245" s="297"/>
      <c r="J245" s="297"/>
    </row>
    <row r="246" spans="1:10" ht="15" x14ac:dyDescent="0.2">
      <c r="A246" s="297" t="s">
        <v>572</v>
      </c>
      <c r="B246" s="297" t="s">
        <v>1218</v>
      </c>
      <c r="C246" s="297"/>
      <c r="D246" s="297"/>
      <c r="E246" s="297"/>
      <c r="F246" s="297"/>
      <c r="G246" s="297"/>
      <c r="H246" s="297"/>
      <c r="I246" s="297"/>
      <c r="J246" s="297"/>
    </row>
    <row r="247" spans="1:10" ht="15" x14ac:dyDescent="0.2">
      <c r="A247" s="297" t="s">
        <v>634</v>
      </c>
      <c r="B247" s="297" t="s">
        <v>1219</v>
      </c>
      <c r="C247" s="297"/>
      <c r="D247" s="297"/>
      <c r="E247" s="297"/>
      <c r="F247" s="297"/>
      <c r="G247" s="297"/>
      <c r="H247" s="297"/>
      <c r="I247" s="297"/>
      <c r="J247" s="297"/>
    </row>
    <row r="248" spans="1:10" ht="15" x14ac:dyDescent="0.2">
      <c r="A248" s="297" t="s">
        <v>358</v>
      </c>
      <c r="B248" s="297" t="s">
        <v>359</v>
      </c>
      <c r="C248" s="297"/>
      <c r="D248" s="297"/>
      <c r="E248" s="297"/>
      <c r="F248" s="297"/>
      <c r="G248" s="297"/>
      <c r="H248" s="297"/>
      <c r="I248" s="297"/>
      <c r="J248" s="297"/>
    </row>
    <row r="249" spans="1:10" ht="15" x14ac:dyDescent="0.2">
      <c r="A249" s="297" t="s">
        <v>581</v>
      </c>
      <c r="B249" s="297" t="s">
        <v>1220</v>
      </c>
      <c r="C249" s="297"/>
      <c r="D249" s="297"/>
      <c r="E249" s="297"/>
      <c r="F249" s="297"/>
      <c r="G249" s="297"/>
      <c r="H249" s="297"/>
      <c r="I249" s="297"/>
      <c r="J249" s="297"/>
    </row>
    <row r="250" spans="1:10" ht="15" x14ac:dyDescent="0.2">
      <c r="A250" s="297" t="s">
        <v>1221</v>
      </c>
      <c r="B250" s="297" t="s">
        <v>1222</v>
      </c>
      <c r="C250" s="297"/>
      <c r="D250" s="297"/>
      <c r="E250" s="297"/>
      <c r="F250" s="297"/>
      <c r="G250" s="297"/>
      <c r="H250" s="297"/>
      <c r="I250" s="297"/>
      <c r="J250" s="297"/>
    </row>
    <row r="251" spans="1:10" ht="15" x14ac:dyDescent="0.2">
      <c r="A251" s="297" t="s">
        <v>471</v>
      </c>
      <c r="B251" s="297" t="s">
        <v>595</v>
      </c>
      <c r="C251" s="297"/>
      <c r="D251" s="297"/>
      <c r="E251" s="297"/>
      <c r="F251" s="297"/>
      <c r="G251" s="297"/>
      <c r="H251" s="297"/>
      <c r="I251" s="297"/>
      <c r="J251" s="297"/>
    </row>
    <row r="252" spans="1:10" ht="15" x14ac:dyDescent="0.2">
      <c r="A252" s="297" t="s">
        <v>379</v>
      </c>
      <c r="B252" s="297" t="s">
        <v>1223</v>
      </c>
      <c r="C252" s="297"/>
      <c r="D252" s="297"/>
      <c r="E252" s="297"/>
      <c r="F252" s="297"/>
      <c r="G252" s="297"/>
      <c r="H252" s="297"/>
      <c r="I252" s="297"/>
      <c r="J252" s="297"/>
    </row>
    <row r="253" spans="1:10" ht="15" x14ac:dyDescent="0.2">
      <c r="A253" s="297" t="s">
        <v>424</v>
      </c>
      <c r="B253" s="297" t="s">
        <v>936</v>
      </c>
      <c r="C253" s="297"/>
      <c r="D253" s="297"/>
      <c r="E253" s="297"/>
      <c r="F253" s="297"/>
      <c r="G253" s="297"/>
      <c r="H253" s="297"/>
      <c r="I253" s="297"/>
      <c r="J253" s="297"/>
    </row>
    <row r="254" spans="1:10" ht="15" x14ac:dyDescent="0.2">
      <c r="A254" s="297" t="s">
        <v>514</v>
      </c>
      <c r="B254" s="297" t="s">
        <v>1224</v>
      </c>
      <c r="C254" s="297"/>
      <c r="D254" s="297"/>
      <c r="E254" s="297"/>
      <c r="F254" s="297"/>
      <c r="G254" s="297"/>
      <c r="H254" s="297"/>
      <c r="I254" s="297"/>
      <c r="J254" s="297"/>
    </row>
    <row r="255" spans="1:10" ht="15" x14ac:dyDescent="0.2">
      <c r="A255" s="297" t="s">
        <v>937</v>
      </c>
      <c r="B255" s="297" t="s">
        <v>938</v>
      </c>
      <c r="C255" s="297"/>
      <c r="D255" s="297"/>
      <c r="E255" s="297"/>
      <c r="F255" s="297"/>
      <c r="G255" s="297"/>
      <c r="H255" s="297"/>
      <c r="I255" s="297"/>
      <c r="J255" s="297"/>
    </row>
    <row r="256" spans="1:10" ht="15" x14ac:dyDescent="0.2">
      <c r="A256" s="297" t="s">
        <v>1225</v>
      </c>
      <c r="B256" s="297" t="s">
        <v>1226</v>
      </c>
      <c r="C256" s="297"/>
      <c r="D256" s="297"/>
      <c r="E256" s="297"/>
      <c r="F256" s="297"/>
      <c r="G256" s="297"/>
      <c r="H256" s="297"/>
      <c r="I256" s="297"/>
      <c r="J256" s="297"/>
    </row>
    <row r="257" spans="1:10" ht="15" x14ac:dyDescent="0.2">
      <c r="A257" s="297" t="s">
        <v>550</v>
      </c>
      <c r="B257" s="297" t="s">
        <v>940</v>
      </c>
      <c r="C257" s="297"/>
      <c r="D257" s="297"/>
      <c r="E257" s="297"/>
      <c r="F257" s="297"/>
      <c r="G257" s="297"/>
      <c r="H257" s="297"/>
      <c r="I257" s="297"/>
      <c r="J257" s="297"/>
    </row>
    <row r="258" spans="1:10" ht="15" x14ac:dyDescent="0.2">
      <c r="A258" s="297" t="s">
        <v>433</v>
      </c>
      <c r="B258" s="297" t="s">
        <v>1227</v>
      </c>
      <c r="C258" s="297"/>
      <c r="D258" s="297"/>
      <c r="E258" s="297"/>
      <c r="F258" s="297"/>
      <c r="G258" s="297"/>
      <c r="H258" s="297"/>
      <c r="I258" s="297"/>
      <c r="J258" s="297"/>
    </row>
    <row r="259" spans="1:10" ht="15" x14ac:dyDescent="0.2">
      <c r="A259" s="297" t="s">
        <v>1228</v>
      </c>
      <c r="B259" s="297" t="s">
        <v>1229</v>
      </c>
      <c r="C259" s="297"/>
      <c r="D259" s="297"/>
      <c r="E259" s="297"/>
      <c r="F259" s="297"/>
      <c r="G259" s="297"/>
      <c r="H259" s="297"/>
      <c r="I259" s="297"/>
      <c r="J259" s="297"/>
    </row>
    <row r="260" spans="1:10" ht="15" x14ac:dyDescent="0.2">
      <c r="A260" s="297" t="s">
        <v>1230</v>
      </c>
      <c r="B260" s="297" t="s">
        <v>1231</v>
      </c>
      <c r="C260" s="297"/>
      <c r="D260" s="297"/>
      <c r="E260" s="297"/>
      <c r="F260" s="297"/>
      <c r="G260" s="297"/>
      <c r="H260" s="297"/>
      <c r="I260" s="297"/>
      <c r="J260" s="297"/>
    </row>
    <row r="261" spans="1:10" ht="15" x14ac:dyDescent="0.2">
      <c r="A261" s="297" t="s">
        <v>836</v>
      </c>
      <c r="B261" s="297" t="s">
        <v>837</v>
      </c>
      <c r="C261" s="297"/>
      <c r="D261" s="297"/>
      <c r="E261" s="297"/>
      <c r="F261" s="297"/>
      <c r="G261" s="297"/>
      <c r="H261" s="297"/>
      <c r="I261" s="297"/>
      <c r="J261" s="297"/>
    </row>
    <row r="262" spans="1:10" ht="15" x14ac:dyDescent="0.2">
      <c r="A262" s="297" t="s">
        <v>1232</v>
      </c>
      <c r="B262" s="297" t="s">
        <v>1233</v>
      </c>
      <c r="C262" s="297"/>
      <c r="D262" s="297"/>
      <c r="E262" s="297"/>
      <c r="F262" s="297"/>
      <c r="G262" s="297"/>
      <c r="H262" s="297"/>
      <c r="I262" s="297"/>
      <c r="J262" s="297"/>
    </row>
    <row r="263" spans="1:10" ht="15" x14ac:dyDescent="0.2">
      <c r="A263" s="297" t="s">
        <v>456</v>
      </c>
      <c r="B263" s="297" t="s">
        <v>1234</v>
      </c>
      <c r="C263" s="297"/>
      <c r="D263" s="297"/>
      <c r="E263" s="297"/>
      <c r="F263" s="297"/>
      <c r="G263" s="297"/>
      <c r="H263" s="297"/>
      <c r="I263" s="297"/>
      <c r="J263" s="297"/>
    </row>
    <row r="264" spans="1:10" ht="15" x14ac:dyDescent="0.2">
      <c r="A264" s="297" t="s">
        <v>1235</v>
      </c>
      <c r="B264" s="297" t="s">
        <v>1236</v>
      </c>
      <c r="C264" s="297"/>
      <c r="D264" s="297"/>
      <c r="E264" s="297"/>
      <c r="F264" s="297"/>
      <c r="G264" s="297"/>
      <c r="H264" s="297"/>
      <c r="I264" s="297"/>
      <c r="J264" s="297"/>
    </row>
    <row r="265" spans="1:10" ht="15" x14ac:dyDescent="0.2">
      <c r="A265" s="297" t="s">
        <v>415</v>
      </c>
      <c r="B265" s="297" t="s">
        <v>1237</v>
      </c>
      <c r="C265" s="297"/>
      <c r="D265" s="297"/>
      <c r="E265" s="297"/>
      <c r="F265" s="297"/>
      <c r="G265" s="297"/>
      <c r="H265" s="297"/>
      <c r="I265" s="297"/>
      <c r="J265" s="297"/>
    </row>
    <row r="266" spans="1:10" ht="15" x14ac:dyDescent="0.2">
      <c r="A266" s="297" t="s">
        <v>943</v>
      </c>
      <c r="B266" s="297" t="s">
        <v>945</v>
      </c>
      <c r="C266" s="297"/>
      <c r="D266" s="297"/>
      <c r="E266" s="297"/>
      <c r="F266" s="297"/>
      <c r="G266" s="297"/>
      <c r="H266" s="297"/>
      <c r="I266" s="297"/>
      <c r="J266" s="297"/>
    </row>
    <row r="267" spans="1:10" ht="15" x14ac:dyDescent="0.2">
      <c r="A267" s="297" t="s">
        <v>1238</v>
      </c>
      <c r="B267" s="297" t="s">
        <v>1239</v>
      </c>
      <c r="C267" s="297"/>
      <c r="D267" s="297"/>
      <c r="E267" s="297"/>
      <c r="F267" s="297"/>
      <c r="G267" s="297"/>
      <c r="H267" s="297"/>
      <c r="I267" s="297"/>
      <c r="J267" s="297"/>
    </row>
    <row r="268" spans="1:10" ht="15" x14ac:dyDescent="0.2">
      <c r="A268" s="297" t="s">
        <v>84</v>
      </c>
      <c r="B268" s="297" t="s">
        <v>86</v>
      </c>
      <c r="C268" s="297"/>
      <c r="D268" s="297"/>
      <c r="E268" s="297"/>
      <c r="F268" s="297"/>
      <c r="G268" s="297"/>
      <c r="H268" s="297"/>
      <c r="I268" s="297"/>
      <c r="J268" s="297"/>
    </row>
    <row r="269" spans="1:10" ht="15" x14ac:dyDescent="0.2">
      <c r="A269" s="297" t="s">
        <v>546</v>
      </c>
      <c r="B269" s="297" t="s">
        <v>210</v>
      </c>
      <c r="C269" s="297"/>
      <c r="D269" s="297"/>
      <c r="E269" s="297"/>
      <c r="F269" s="297"/>
      <c r="G269" s="297"/>
      <c r="H269" s="297"/>
      <c r="I269" s="297"/>
      <c r="J269" s="297"/>
    </row>
    <row r="270" spans="1:10" ht="15" x14ac:dyDescent="0.2">
      <c r="A270" s="297" t="s">
        <v>468</v>
      </c>
      <c r="B270" s="297" t="s">
        <v>856</v>
      </c>
      <c r="C270" s="297"/>
      <c r="D270" s="297"/>
      <c r="E270" s="297"/>
      <c r="F270" s="297"/>
      <c r="G270" s="297"/>
      <c r="H270" s="297"/>
      <c r="I270" s="297"/>
      <c r="J270" s="297"/>
    </row>
    <row r="271" spans="1:10" ht="15" x14ac:dyDescent="0.2">
      <c r="A271" s="297" t="s">
        <v>337</v>
      </c>
      <c r="B271" s="297" t="s">
        <v>338</v>
      </c>
      <c r="C271" s="297"/>
      <c r="D271" s="297"/>
      <c r="E271" s="297"/>
      <c r="F271" s="297"/>
      <c r="G271" s="297"/>
      <c r="H271" s="297"/>
      <c r="I271" s="297"/>
      <c r="J271" s="297"/>
    </row>
    <row r="272" spans="1:10" ht="15" x14ac:dyDescent="0.2">
      <c r="A272" s="297" t="s">
        <v>363</v>
      </c>
      <c r="B272" s="297" t="s">
        <v>364</v>
      </c>
      <c r="C272" s="297"/>
      <c r="D272" s="297"/>
      <c r="E272" s="297"/>
      <c r="F272" s="297"/>
      <c r="G272" s="297"/>
      <c r="H272" s="297"/>
      <c r="I272" s="297"/>
      <c r="J272" s="297"/>
    </row>
    <row r="273" spans="1:10" ht="15" x14ac:dyDescent="0.2">
      <c r="A273" s="297" t="s">
        <v>1240</v>
      </c>
      <c r="B273" s="297" t="s">
        <v>1241</v>
      </c>
      <c r="C273" s="297"/>
      <c r="D273" s="297"/>
      <c r="E273" s="297"/>
      <c r="F273" s="297"/>
      <c r="G273" s="297"/>
      <c r="H273" s="297"/>
      <c r="I273" s="297"/>
      <c r="J273" s="297"/>
    </row>
    <row r="274" spans="1:10" ht="15" x14ac:dyDescent="0.2">
      <c r="A274" s="297" t="s">
        <v>481</v>
      </c>
      <c r="B274" s="297" t="s">
        <v>1242</v>
      </c>
      <c r="C274" s="297"/>
      <c r="D274" s="297"/>
      <c r="E274" s="297"/>
      <c r="F274" s="297"/>
      <c r="G274" s="297"/>
      <c r="H274" s="297"/>
      <c r="I274" s="297"/>
      <c r="J274" s="297"/>
    </row>
    <row r="275" spans="1:10" ht="15" x14ac:dyDescent="0.2">
      <c r="A275" s="297" t="s">
        <v>1243</v>
      </c>
      <c r="B275" s="297" t="s">
        <v>1244</v>
      </c>
      <c r="C275" s="297"/>
      <c r="D275" s="297"/>
      <c r="E275" s="297"/>
      <c r="F275" s="297"/>
      <c r="G275" s="297"/>
      <c r="H275" s="297"/>
      <c r="I275" s="297"/>
      <c r="J275" s="297"/>
    </row>
    <row r="276" spans="1:10" ht="15" x14ac:dyDescent="0.2">
      <c r="A276" s="297" t="s">
        <v>1245</v>
      </c>
      <c r="B276" s="297" t="s">
        <v>1246</v>
      </c>
      <c r="C276" s="297"/>
      <c r="D276" s="297"/>
      <c r="E276" s="297"/>
      <c r="F276" s="297"/>
      <c r="G276" s="297"/>
      <c r="H276" s="297"/>
      <c r="I276" s="297"/>
      <c r="J276" s="297"/>
    </row>
    <row r="277" spans="1:10" ht="15" x14ac:dyDescent="0.2">
      <c r="A277" s="297" t="s">
        <v>391</v>
      </c>
      <c r="B277" s="297" t="s">
        <v>1247</v>
      </c>
      <c r="C277" s="297"/>
      <c r="D277" s="297"/>
      <c r="E277" s="297"/>
      <c r="F277" s="297"/>
      <c r="G277" s="297"/>
      <c r="H277" s="297"/>
      <c r="I277" s="297"/>
      <c r="J277" s="297"/>
    </row>
    <row r="278" spans="1:10" ht="15" x14ac:dyDescent="0.2">
      <c r="A278" s="297" t="s">
        <v>1248</v>
      </c>
      <c r="B278" s="297" t="s">
        <v>1249</v>
      </c>
      <c r="C278" s="297"/>
      <c r="D278" s="297"/>
      <c r="E278" s="297"/>
      <c r="F278" s="297"/>
      <c r="G278" s="297"/>
      <c r="H278" s="297"/>
      <c r="I278" s="297"/>
      <c r="J278" s="297"/>
    </row>
    <row r="279" spans="1:10" ht="15" x14ac:dyDescent="0.2">
      <c r="A279" s="297" t="s">
        <v>1250</v>
      </c>
      <c r="B279" s="297" t="s">
        <v>1251</v>
      </c>
      <c r="C279" s="297"/>
      <c r="D279" s="297"/>
      <c r="E279" s="297"/>
      <c r="F279" s="297"/>
      <c r="G279" s="297"/>
      <c r="H279" s="297"/>
      <c r="I279" s="297"/>
      <c r="J279" s="297"/>
    </row>
    <row r="280" spans="1:10" ht="15" x14ac:dyDescent="0.2">
      <c r="A280" s="297" t="s">
        <v>946</v>
      </c>
      <c r="B280" s="297" t="s">
        <v>947</v>
      </c>
      <c r="C280" s="297"/>
      <c r="D280" s="297"/>
      <c r="E280" s="297"/>
      <c r="F280" s="297"/>
      <c r="G280" s="297"/>
      <c r="H280" s="297"/>
      <c r="I280" s="297"/>
      <c r="J280" s="297"/>
    </row>
    <row r="281" spans="1:10" ht="15" x14ac:dyDescent="0.2">
      <c r="A281" s="297" t="s">
        <v>1252</v>
      </c>
      <c r="B281" s="297" t="s">
        <v>1253</v>
      </c>
      <c r="C281" s="297"/>
      <c r="D281" s="297"/>
      <c r="E281" s="297"/>
      <c r="F281" s="297"/>
      <c r="G281" s="297"/>
      <c r="H281" s="297"/>
      <c r="I281" s="297"/>
      <c r="J281" s="297"/>
    </row>
    <row r="282" spans="1:10" ht="15" x14ac:dyDescent="0.2">
      <c r="A282" s="297" t="s">
        <v>553</v>
      </c>
      <c r="B282" s="297" t="s">
        <v>1254</v>
      </c>
      <c r="C282" s="297"/>
      <c r="D282" s="297"/>
      <c r="E282" s="297"/>
      <c r="F282" s="297"/>
      <c r="G282" s="297"/>
      <c r="H282" s="297"/>
      <c r="I282" s="297"/>
      <c r="J282" s="297"/>
    </row>
    <row r="283" spans="1:10" ht="15" x14ac:dyDescent="0.2">
      <c r="A283" s="297" t="s">
        <v>534</v>
      </c>
      <c r="B283" s="297" t="s">
        <v>1255</v>
      </c>
      <c r="C283" s="297"/>
      <c r="D283" s="297"/>
      <c r="E283" s="297"/>
      <c r="F283" s="297"/>
      <c r="G283" s="297"/>
      <c r="H283" s="297"/>
      <c r="I283" s="297"/>
      <c r="J283" s="297"/>
    </row>
    <row r="284" spans="1:10" ht="15" x14ac:dyDescent="0.2">
      <c r="A284" s="297" t="s">
        <v>214</v>
      </c>
      <c r="B284" s="297" t="s">
        <v>216</v>
      </c>
      <c r="C284" s="297"/>
      <c r="D284" s="297"/>
      <c r="E284" s="297"/>
      <c r="F284" s="297"/>
      <c r="G284" s="297"/>
      <c r="H284" s="297"/>
      <c r="I284" s="297"/>
      <c r="J284" s="297"/>
    </row>
    <row r="285" spans="1:10" ht="15" x14ac:dyDescent="0.2">
      <c r="A285" s="297" t="s">
        <v>389</v>
      </c>
      <c r="B285" s="297" t="s">
        <v>950</v>
      </c>
      <c r="C285" s="297"/>
      <c r="D285" s="297"/>
      <c r="E285" s="297"/>
      <c r="F285" s="297"/>
      <c r="G285" s="297"/>
      <c r="H285" s="297"/>
      <c r="I285" s="297"/>
      <c r="J285" s="297"/>
    </row>
    <row r="286" spans="1:10" ht="15" x14ac:dyDescent="0.2">
      <c r="A286" s="297" t="s">
        <v>500</v>
      </c>
      <c r="B286" s="297" t="s">
        <v>1256</v>
      </c>
      <c r="C286" s="297"/>
      <c r="D286" s="297"/>
      <c r="E286" s="297"/>
      <c r="F286" s="297"/>
      <c r="G286" s="297"/>
      <c r="H286" s="297"/>
      <c r="I286" s="297"/>
      <c r="J286" s="297"/>
    </row>
    <row r="287" spans="1:10" ht="15" x14ac:dyDescent="0.2">
      <c r="A287" s="297" t="s">
        <v>503</v>
      </c>
      <c r="B287" s="297" t="s">
        <v>1257</v>
      </c>
      <c r="C287" s="297"/>
      <c r="D287" s="297"/>
      <c r="E287" s="297"/>
      <c r="F287" s="297"/>
      <c r="G287" s="297"/>
      <c r="H287" s="297"/>
      <c r="I287" s="297"/>
      <c r="J287" s="297"/>
    </row>
    <row r="288" spans="1:10" ht="15" x14ac:dyDescent="0.2">
      <c r="A288" s="297" t="s">
        <v>430</v>
      </c>
      <c r="B288" s="297" t="s">
        <v>1258</v>
      </c>
      <c r="C288" s="297"/>
      <c r="D288" s="297"/>
      <c r="E288" s="297"/>
      <c r="F288" s="297"/>
      <c r="G288" s="297"/>
      <c r="H288" s="297"/>
      <c r="I288" s="297"/>
      <c r="J288" s="297"/>
    </row>
    <row r="289" spans="1:10" ht="15" x14ac:dyDescent="0.2">
      <c r="A289" s="297" t="s">
        <v>633</v>
      </c>
      <c r="B289" s="297" t="s">
        <v>844</v>
      </c>
      <c r="C289" s="297"/>
      <c r="D289" s="297"/>
      <c r="E289" s="297"/>
      <c r="F289" s="297"/>
      <c r="G289" s="297"/>
      <c r="H289" s="297"/>
      <c r="I289" s="297"/>
      <c r="J289" s="297"/>
    </row>
    <row r="290" spans="1:10" ht="15" x14ac:dyDescent="0.2">
      <c r="A290" s="297" t="s">
        <v>463</v>
      </c>
      <c r="B290" s="297" t="s">
        <v>1259</v>
      </c>
      <c r="C290" s="297"/>
      <c r="D290" s="297"/>
      <c r="E290" s="297"/>
      <c r="F290" s="297"/>
      <c r="G290" s="297"/>
      <c r="H290" s="297"/>
      <c r="I290" s="297"/>
      <c r="J290" s="297"/>
    </row>
    <row r="291" spans="1:10" ht="15" x14ac:dyDescent="0.2">
      <c r="A291" s="297" t="s">
        <v>655</v>
      </c>
      <c r="B291" s="297" t="s">
        <v>951</v>
      </c>
      <c r="C291" s="297"/>
      <c r="D291" s="297"/>
      <c r="E291" s="297"/>
      <c r="F291" s="297"/>
      <c r="G291" s="297"/>
      <c r="H291" s="297"/>
      <c r="I291" s="297"/>
      <c r="J291" s="297"/>
    </row>
    <row r="292" spans="1:10" ht="15" x14ac:dyDescent="0.2">
      <c r="A292" s="297" t="s">
        <v>817</v>
      </c>
      <c r="B292" s="297" t="s">
        <v>819</v>
      </c>
      <c r="C292" s="297"/>
      <c r="D292" s="297"/>
      <c r="E292" s="297"/>
      <c r="F292" s="297"/>
      <c r="G292" s="297"/>
      <c r="H292" s="297"/>
      <c r="I292" s="297"/>
      <c r="J292" s="297"/>
    </row>
    <row r="293" spans="1:10" ht="15" x14ac:dyDescent="0.2">
      <c r="A293" s="297" t="s">
        <v>242</v>
      </c>
      <c r="B293" s="297" t="s">
        <v>243</v>
      </c>
      <c r="C293" s="297"/>
      <c r="D293" s="297"/>
      <c r="E293" s="297"/>
      <c r="F293" s="297"/>
      <c r="G293" s="297"/>
      <c r="H293" s="297"/>
      <c r="I293" s="297"/>
      <c r="J293" s="297"/>
    </row>
    <row r="294" spans="1:10" ht="15" x14ac:dyDescent="0.2">
      <c r="A294" s="297" t="s">
        <v>1260</v>
      </c>
      <c r="B294" s="297" t="s">
        <v>1261</v>
      </c>
      <c r="C294" s="297"/>
      <c r="D294" s="297"/>
      <c r="E294" s="297"/>
      <c r="F294" s="297"/>
      <c r="G294" s="297"/>
      <c r="H294" s="297"/>
      <c r="I294" s="297"/>
      <c r="J294" s="297"/>
    </row>
    <row r="295" spans="1:10" ht="15" x14ac:dyDescent="0.2">
      <c r="A295" s="297" t="s">
        <v>395</v>
      </c>
      <c r="B295" s="297" t="s">
        <v>1262</v>
      </c>
      <c r="C295" s="297"/>
      <c r="D295" s="297"/>
      <c r="E295" s="297"/>
      <c r="F295" s="297"/>
      <c r="G295" s="297"/>
      <c r="H295" s="297"/>
      <c r="I295" s="297"/>
      <c r="J295" s="297"/>
    </row>
    <row r="296" spans="1:10" ht="15" x14ac:dyDescent="0.2">
      <c r="A296" s="297" t="s">
        <v>146</v>
      </c>
      <c r="B296" s="297" t="s">
        <v>148</v>
      </c>
      <c r="C296" s="297"/>
      <c r="D296" s="297"/>
      <c r="E296" s="297"/>
      <c r="F296" s="297"/>
      <c r="G296" s="297"/>
      <c r="H296" s="297"/>
      <c r="I296" s="297"/>
      <c r="J296" s="297"/>
    </row>
    <row r="297" spans="1:10" ht="15" x14ac:dyDescent="0.2">
      <c r="A297" s="297" t="s">
        <v>1263</v>
      </c>
      <c r="B297" s="297" t="s">
        <v>1264</v>
      </c>
      <c r="C297" s="297"/>
      <c r="D297" s="297"/>
      <c r="E297" s="297"/>
      <c r="F297" s="297"/>
      <c r="G297" s="297"/>
      <c r="H297" s="297"/>
      <c r="I297" s="297"/>
      <c r="J297" s="297"/>
    </row>
    <row r="298" spans="1:10" ht="15" x14ac:dyDescent="0.2">
      <c r="A298" s="297" t="s">
        <v>560</v>
      </c>
      <c r="B298" s="297" t="s">
        <v>952</v>
      </c>
      <c r="C298" s="297"/>
      <c r="D298" s="297"/>
      <c r="E298" s="297"/>
      <c r="F298" s="297"/>
      <c r="G298" s="297"/>
      <c r="H298" s="297"/>
      <c r="I298" s="297"/>
      <c r="J298" s="297"/>
    </row>
    <row r="299" spans="1:10" ht="15" x14ac:dyDescent="0.2">
      <c r="A299" s="297" t="s">
        <v>748</v>
      </c>
      <c r="B299" s="297" t="s">
        <v>1265</v>
      </c>
      <c r="C299" s="297"/>
      <c r="D299" s="297"/>
      <c r="E299" s="297"/>
      <c r="F299" s="297"/>
      <c r="G299" s="297"/>
      <c r="H299" s="297"/>
      <c r="I299" s="297"/>
      <c r="J299" s="297"/>
    </row>
    <row r="300" spans="1:10" ht="15" x14ac:dyDescent="0.2">
      <c r="A300" s="297" t="s">
        <v>1266</v>
      </c>
      <c r="B300" s="297" t="s">
        <v>1267</v>
      </c>
      <c r="C300" s="297"/>
      <c r="D300" s="297"/>
      <c r="E300" s="297"/>
      <c r="F300" s="297"/>
      <c r="G300" s="297"/>
      <c r="H300" s="297"/>
      <c r="I300" s="297"/>
      <c r="J300" s="297"/>
    </row>
    <row r="301" spans="1:10" ht="15" x14ac:dyDescent="0.2">
      <c r="A301" s="297" t="s">
        <v>662</v>
      </c>
      <c r="B301" s="297" t="s">
        <v>1268</v>
      </c>
      <c r="C301" s="297"/>
      <c r="D301" s="297"/>
      <c r="E301" s="297"/>
      <c r="F301" s="297"/>
      <c r="G301" s="297"/>
      <c r="H301" s="297"/>
      <c r="I301" s="297"/>
      <c r="J301" s="297"/>
    </row>
    <row r="302" spans="1:10" ht="15" x14ac:dyDescent="0.2">
      <c r="A302" s="297" t="s">
        <v>1269</v>
      </c>
      <c r="B302" s="297" t="s">
        <v>1270</v>
      </c>
      <c r="C302" s="297"/>
      <c r="D302" s="297"/>
      <c r="E302" s="297"/>
      <c r="F302" s="297"/>
      <c r="G302" s="297"/>
      <c r="H302" s="297"/>
      <c r="I302" s="297"/>
      <c r="J302" s="297"/>
    </row>
    <row r="303" spans="1:10" ht="15" x14ac:dyDescent="0.2">
      <c r="A303" s="297" t="s">
        <v>1271</v>
      </c>
      <c r="B303" s="297" t="s">
        <v>1272</v>
      </c>
      <c r="C303" s="297"/>
      <c r="D303" s="297"/>
      <c r="E303" s="297"/>
      <c r="F303" s="297"/>
      <c r="G303" s="297"/>
      <c r="H303" s="297"/>
      <c r="I303" s="297"/>
      <c r="J303" s="297"/>
    </row>
    <row r="304" spans="1:10" ht="15" x14ac:dyDescent="0.2">
      <c r="A304" s="297" t="s">
        <v>652</v>
      </c>
      <c r="B304" s="297" t="s">
        <v>953</v>
      </c>
      <c r="C304" s="297"/>
      <c r="D304" s="297"/>
      <c r="E304" s="297"/>
      <c r="F304" s="297"/>
      <c r="G304" s="297"/>
      <c r="H304" s="297"/>
      <c r="I304" s="297"/>
      <c r="J304" s="297"/>
    </row>
    <row r="305" spans="1:10" ht="15" x14ac:dyDescent="0.2">
      <c r="A305" s="297" t="s">
        <v>1273</v>
      </c>
      <c r="B305" s="297" t="s">
        <v>1274</v>
      </c>
      <c r="C305" s="297"/>
      <c r="D305" s="297"/>
      <c r="E305" s="297"/>
      <c r="F305" s="297"/>
      <c r="G305" s="297"/>
      <c r="H305" s="297"/>
      <c r="I305" s="297"/>
      <c r="J305" s="297"/>
    </row>
    <row r="306" spans="1:10" ht="15" x14ac:dyDescent="0.2">
      <c r="A306" s="297" t="s">
        <v>1275</v>
      </c>
      <c r="B306" s="297" t="s">
        <v>1276</v>
      </c>
      <c r="C306" s="297"/>
      <c r="D306" s="297"/>
      <c r="E306" s="297"/>
      <c r="F306" s="297"/>
      <c r="G306" s="297"/>
      <c r="H306" s="297"/>
      <c r="I306" s="297"/>
      <c r="J306" s="297"/>
    </row>
    <row r="307" spans="1:10" ht="15" x14ac:dyDescent="0.2">
      <c r="A307" s="297" t="s">
        <v>1277</v>
      </c>
      <c r="B307" s="297" t="s">
        <v>1278</v>
      </c>
      <c r="C307" s="297"/>
      <c r="D307" s="297"/>
      <c r="E307" s="297"/>
      <c r="F307" s="297"/>
      <c r="G307" s="297"/>
      <c r="H307" s="297"/>
      <c r="I307" s="297"/>
      <c r="J307" s="297"/>
    </row>
    <row r="308" spans="1:10" ht="15" x14ac:dyDescent="0.2">
      <c r="A308" s="297" t="s">
        <v>320</v>
      </c>
      <c r="B308" s="297" t="s">
        <v>321</v>
      </c>
      <c r="C308" s="297"/>
      <c r="D308" s="297"/>
      <c r="E308" s="297"/>
      <c r="F308" s="297"/>
      <c r="G308" s="297"/>
      <c r="H308" s="297"/>
      <c r="I308" s="297"/>
      <c r="J308" s="297"/>
    </row>
    <row r="309" spans="1:10" ht="15" x14ac:dyDescent="0.2">
      <c r="A309" s="297" t="s">
        <v>472</v>
      </c>
      <c r="B309" s="297" t="s">
        <v>954</v>
      </c>
      <c r="C309" s="297"/>
      <c r="D309" s="297"/>
      <c r="E309" s="297"/>
      <c r="F309" s="297"/>
      <c r="G309" s="297"/>
      <c r="H309" s="297"/>
      <c r="I309" s="297"/>
      <c r="J309" s="297"/>
    </row>
    <row r="310" spans="1:10" ht="15" x14ac:dyDescent="0.2">
      <c r="A310" s="297" t="s">
        <v>301</v>
      </c>
      <c r="B310" s="297" t="s">
        <v>303</v>
      </c>
      <c r="C310" s="297"/>
      <c r="D310" s="297"/>
      <c r="E310" s="297"/>
      <c r="F310" s="297"/>
      <c r="G310" s="297"/>
      <c r="H310" s="297"/>
      <c r="I310" s="297"/>
      <c r="J310" s="297"/>
    </row>
    <row r="311" spans="1:10" ht="15" x14ac:dyDescent="0.2">
      <c r="A311" s="297" t="s">
        <v>1279</v>
      </c>
      <c r="B311" s="297" t="s">
        <v>1280</v>
      </c>
      <c r="C311" s="297"/>
      <c r="D311" s="297"/>
      <c r="E311" s="297"/>
      <c r="F311" s="297"/>
      <c r="G311" s="297"/>
      <c r="H311" s="297"/>
      <c r="I311" s="297"/>
      <c r="J311" s="297"/>
    </row>
    <row r="312" spans="1:10" ht="15" x14ac:dyDescent="0.2">
      <c r="A312" s="297" t="s">
        <v>1281</v>
      </c>
      <c r="B312" s="297" t="s">
        <v>1282</v>
      </c>
      <c r="C312" s="297"/>
      <c r="D312" s="297"/>
      <c r="E312" s="297"/>
      <c r="F312" s="297"/>
      <c r="G312" s="297"/>
      <c r="H312" s="297"/>
      <c r="I312" s="297"/>
      <c r="J312" s="297"/>
    </row>
    <row r="313" spans="1:10" ht="15" x14ac:dyDescent="0.2">
      <c r="A313" s="297" t="s">
        <v>533</v>
      </c>
      <c r="B313" s="297" t="s">
        <v>1283</v>
      </c>
      <c r="C313" s="297"/>
      <c r="D313" s="297"/>
      <c r="E313" s="297"/>
      <c r="F313" s="297"/>
      <c r="G313" s="297"/>
      <c r="H313" s="297"/>
      <c r="I313" s="297"/>
      <c r="J313" s="297"/>
    </row>
    <row r="314" spans="1:10" ht="15" x14ac:dyDescent="0.2">
      <c r="A314" s="297" t="s">
        <v>439</v>
      </c>
      <c r="B314" s="297" t="s">
        <v>1284</v>
      </c>
      <c r="C314" s="297"/>
      <c r="D314" s="297"/>
      <c r="E314" s="297"/>
      <c r="F314" s="297"/>
      <c r="G314" s="297"/>
      <c r="H314" s="297"/>
      <c r="I314" s="297"/>
      <c r="J314" s="297"/>
    </row>
    <row r="315" spans="1:10" ht="15" x14ac:dyDescent="0.2">
      <c r="A315" s="297" t="s">
        <v>1285</v>
      </c>
      <c r="B315" s="297" t="s">
        <v>1286</v>
      </c>
      <c r="C315" s="297"/>
      <c r="D315" s="297"/>
      <c r="E315" s="297"/>
      <c r="F315" s="297"/>
      <c r="G315" s="297"/>
      <c r="H315" s="297"/>
      <c r="I315" s="297"/>
      <c r="J315" s="297"/>
    </row>
    <row r="316" spans="1:10" ht="15" x14ac:dyDescent="0.2">
      <c r="A316" s="297" t="s">
        <v>87</v>
      </c>
      <c r="B316" s="297" t="s">
        <v>89</v>
      </c>
      <c r="C316" s="297"/>
      <c r="D316" s="297"/>
      <c r="E316" s="297"/>
      <c r="F316" s="297"/>
      <c r="G316" s="297"/>
      <c r="H316" s="297"/>
      <c r="I316" s="297"/>
      <c r="J316" s="297"/>
    </row>
    <row r="317" spans="1:10" ht="15" x14ac:dyDescent="0.2">
      <c r="A317" s="297" t="s">
        <v>540</v>
      </c>
      <c r="B317" s="297" t="s">
        <v>1287</v>
      </c>
      <c r="C317" s="297"/>
      <c r="D317" s="297"/>
      <c r="E317" s="297"/>
      <c r="F317" s="297"/>
      <c r="G317" s="297"/>
      <c r="H317" s="297"/>
      <c r="I317" s="297"/>
      <c r="J317" s="297"/>
    </row>
    <row r="318" spans="1:10" ht="15" x14ac:dyDescent="0.2">
      <c r="A318" s="297" t="s">
        <v>556</v>
      </c>
      <c r="B318" s="297" t="s">
        <v>1288</v>
      </c>
      <c r="C318" s="297"/>
      <c r="D318" s="297"/>
      <c r="E318" s="297"/>
      <c r="F318" s="297"/>
      <c r="G318" s="297"/>
      <c r="H318" s="297"/>
      <c r="I318" s="297"/>
      <c r="J318" s="297"/>
    </row>
    <row r="319" spans="1:10" ht="15" x14ac:dyDescent="0.2">
      <c r="A319" s="297" t="s">
        <v>1289</v>
      </c>
      <c r="B319" s="297" t="s">
        <v>1290</v>
      </c>
      <c r="C319" s="297"/>
      <c r="D319" s="297"/>
      <c r="E319" s="297"/>
      <c r="F319" s="297"/>
      <c r="G319" s="297"/>
      <c r="H319" s="297"/>
      <c r="I319" s="297"/>
      <c r="J319" s="297"/>
    </row>
    <row r="320" spans="1:10" ht="15" x14ac:dyDescent="0.2">
      <c r="A320" s="297" t="s">
        <v>1291</v>
      </c>
      <c r="B320" s="297" t="s">
        <v>1292</v>
      </c>
      <c r="C320" s="297"/>
      <c r="D320" s="297"/>
      <c r="E320" s="297"/>
      <c r="F320" s="297"/>
      <c r="G320" s="297"/>
      <c r="H320" s="297"/>
      <c r="I320" s="297"/>
      <c r="J320" s="297"/>
    </row>
    <row r="321" spans="1:10" ht="15" x14ac:dyDescent="0.2">
      <c r="A321" s="297" t="s">
        <v>397</v>
      </c>
      <c r="B321" s="297" t="s">
        <v>822</v>
      </c>
      <c r="C321" s="297"/>
      <c r="D321" s="297"/>
      <c r="E321" s="297"/>
      <c r="F321" s="297"/>
      <c r="G321" s="297"/>
      <c r="H321" s="297"/>
      <c r="I321" s="297"/>
      <c r="J321" s="297"/>
    </row>
    <row r="322" spans="1:10" ht="15" x14ac:dyDescent="0.2">
      <c r="A322" s="297" t="s">
        <v>852</v>
      </c>
      <c r="B322" s="297" t="s">
        <v>853</v>
      </c>
      <c r="C322" s="297"/>
      <c r="D322" s="297"/>
      <c r="E322" s="297"/>
      <c r="F322" s="297"/>
      <c r="G322" s="297"/>
      <c r="H322" s="297"/>
      <c r="I322" s="297"/>
      <c r="J322" s="297"/>
    </row>
    <row r="323" spans="1:10" ht="15" x14ac:dyDescent="0.2">
      <c r="A323" s="297" t="s">
        <v>1293</v>
      </c>
      <c r="B323" s="297" t="s">
        <v>1294</v>
      </c>
      <c r="C323" s="297"/>
      <c r="D323" s="297"/>
      <c r="E323" s="297"/>
      <c r="F323" s="297"/>
      <c r="G323" s="297"/>
      <c r="H323" s="297"/>
      <c r="I323" s="297"/>
      <c r="J323" s="297"/>
    </row>
    <row r="324" spans="1:10" ht="15" x14ac:dyDescent="0.2">
      <c r="A324" s="297" t="s">
        <v>339</v>
      </c>
      <c r="B324" s="297" t="s">
        <v>341</v>
      </c>
      <c r="C324" s="297"/>
      <c r="D324" s="297"/>
      <c r="E324" s="297"/>
      <c r="F324" s="297"/>
      <c r="G324" s="297"/>
      <c r="H324" s="297"/>
      <c r="I324" s="297"/>
      <c r="J324" s="297"/>
    </row>
    <row r="325" spans="1:10" ht="15" x14ac:dyDescent="0.2">
      <c r="A325" s="297" t="s">
        <v>593</v>
      </c>
      <c r="B325" s="297" t="s">
        <v>881</v>
      </c>
      <c r="C325" s="297"/>
      <c r="D325" s="297"/>
      <c r="E325" s="297"/>
      <c r="F325" s="297"/>
      <c r="G325" s="297"/>
      <c r="H325" s="297"/>
      <c r="I325" s="297"/>
      <c r="J325" s="297"/>
    </row>
    <row r="326" spans="1:10" ht="15" x14ac:dyDescent="0.2">
      <c r="A326" s="297" t="s">
        <v>721</v>
      </c>
      <c r="B326" s="297" t="s">
        <v>1295</v>
      </c>
      <c r="C326" s="297"/>
      <c r="D326" s="297"/>
      <c r="E326" s="297"/>
      <c r="F326" s="297"/>
      <c r="G326" s="297"/>
      <c r="H326" s="297"/>
      <c r="I326" s="297"/>
      <c r="J326" s="297"/>
    </row>
    <row r="327" spans="1:10" ht="15" x14ac:dyDescent="0.2">
      <c r="A327" s="297" t="s">
        <v>277</v>
      </c>
      <c r="B327" s="297" t="s">
        <v>279</v>
      </c>
      <c r="C327" s="297"/>
      <c r="D327" s="297"/>
      <c r="E327" s="297"/>
      <c r="F327" s="297"/>
      <c r="G327" s="297"/>
      <c r="H327" s="297"/>
      <c r="I327" s="297"/>
      <c r="J327" s="297"/>
    </row>
    <row r="328" spans="1:10" ht="15" x14ac:dyDescent="0.2">
      <c r="A328" s="297" t="s">
        <v>1296</v>
      </c>
      <c r="B328" s="297" t="s">
        <v>1297</v>
      </c>
      <c r="C328" s="297"/>
      <c r="D328" s="297"/>
      <c r="E328" s="297"/>
      <c r="F328" s="297"/>
      <c r="G328" s="297"/>
      <c r="H328" s="297"/>
      <c r="I328" s="297"/>
      <c r="J328" s="297"/>
    </row>
    <row r="329" spans="1:10" ht="15" x14ac:dyDescent="0.2">
      <c r="A329" s="297" t="s">
        <v>237</v>
      </c>
      <c r="B329" s="297" t="s">
        <v>239</v>
      </c>
      <c r="C329" s="297"/>
      <c r="D329" s="297"/>
      <c r="E329" s="297"/>
      <c r="F329" s="297"/>
      <c r="G329" s="297"/>
      <c r="H329" s="297"/>
      <c r="I329" s="297"/>
      <c r="J329" s="297"/>
    </row>
    <row r="330" spans="1:10" ht="15" x14ac:dyDescent="0.2">
      <c r="A330" s="297" t="s">
        <v>234</v>
      </c>
      <c r="B330" s="297" t="s">
        <v>236</v>
      </c>
      <c r="C330" s="297"/>
      <c r="D330" s="297"/>
      <c r="E330" s="297"/>
      <c r="F330" s="297"/>
      <c r="G330" s="297"/>
      <c r="H330" s="297"/>
      <c r="I330" s="297"/>
      <c r="J330" s="297"/>
    </row>
    <row r="331" spans="1:10" ht="15" x14ac:dyDescent="0.2">
      <c r="A331" s="297" t="s">
        <v>497</v>
      </c>
      <c r="B331" s="297" t="s">
        <v>1298</v>
      </c>
      <c r="C331" s="297"/>
      <c r="D331" s="297"/>
      <c r="E331" s="297"/>
      <c r="F331" s="297"/>
      <c r="G331" s="297"/>
      <c r="H331" s="297"/>
      <c r="I331" s="297"/>
      <c r="J331" s="297"/>
    </row>
    <row r="332" spans="1:10" ht="15" x14ac:dyDescent="0.2">
      <c r="A332" s="297" t="s">
        <v>275</v>
      </c>
      <c r="B332" s="297" t="s">
        <v>276</v>
      </c>
      <c r="C332" s="297"/>
      <c r="D332" s="297"/>
      <c r="E332" s="297"/>
      <c r="F332" s="297"/>
      <c r="G332" s="297"/>
      <c r="H332" s="297"/>
      <c r="I332" s="297"/>
      <c r="J332" s="297"/>
    </row>
    <row r="333" spans="1:10" ht="15" x14ac:dyDescent="0.2">
      <c r="A333" s="297" t="s">
        <v>1299</v>
      </c>
      <c r="B333" s="297" t="s">
        <v>1300</v>
      </c>
      <c r="C333" s="297"/>
      <c r="D333" s="297"/>
      <c r="E333" s="297"/>
      <c r="F333" s="297"/>
      <c r="G333" s="297"/>
      <c r="H333" s="297"/>
      <c r="I333" s="297"/>
      <c r="J333" s="297"/>
    </row>
    <row r="334" spans="1:10" ht="15" x14ac:dyDescent="0.2">
      <c r="A334" s="297" t="s">
        <v>1301</v>
      </c>
      <c r="B334" s="297" t="s">
        <v>1302</v>
      </c>
      <c r="C334" s="297"/>
      <c r="D334" s="297"/>
      <c r="E334" s="297"/>
      <c r="F334" s="297"/>
      <c r="G334" s="297"/>
      <c r="H334" s="297"/>
      <c r="I334" s="297"/>
      <c r="J334" s="297"/>
    </row>
    <row r="335" spans="1:10" ht="15" x14ac:dyDescent="0.2">
      <c r="A335" s="297" t="s">
        <v>421</v>
      </c>
      <c r="B335" s="297" t="s">
        <v>1303</v>
      </c>
      <c r="C335" s="297"/>
      <c r="D335" s="297"/>
      <c r="E335" s="297"/>
      <c r="F335" s="297"/>
      <c r="G335" s="297"/>
      <c r="H335" s="297"/>
      <c r="I335" s="297"/>
      <c r="J335" s="297"/>
    </row>
    <row r="336" spans="1:10" ht="15" x14ac:dyDescent="0.2">
      <c r="A336" s="297" t="s">
        <v>1304</v>
      </c>
      <c r="B336" s="297" t="s">
        <v>960</v>
      </c>
      <c r="C336" s="297"/>
      <c r="D336" s="297"/>
      <c r="E336" s="297"/>
      <c r="F336" s="297"/>
      <c r="G336" s="297"/>
      <c r="H336" s="297"/>
      <c r="I336" s="297"/>
      <c r="J336" s="297"/>
    </row>
    <row r="337" spans="1:10" ht="15" x14ac:dyDescent="0.2">
      <c r="A337" s="297" t="s">
        <v>961</v>
      </c>
      <c r="B337" s="297" t="s">
        <v>1305</v>
      </c>
      <c r="C337" s="297"/>
      <c r="D337" s="297"/>
      <c r="E337" s="297"/>
      <c r="F337" s="297"/>
      <c r="G337" s="297"/>
      <c r="H337" s="297"/>
      <c r="I337" s="297"/>
      <c r="J337" s="297"/>
    </row>
    <row r="338" spans="1:10" ht="15" x14ac:dyDescent="0.2">
      <c r="A338" s="297" t="s">
        <v>665</v>
      </c>
      <c r="B338" s="297" t="s">
        <v>1306</v>
      </c>
      <c r="C338" s="297"/>
      <c r="D338" s="297"/>
      <c r="E338" s="297"/>
      <c r="F338" s="297"/>
      <c r="G338" s="297"/>
      <c r="H338" s="297"/>
      <c r="I338" s="297"/>
      <c r="J338" s="297"/>
    </row>
    <row r="339" spans="1:10" ht="15" x14ac:dyDescent="0.2">
      <c r="A339" s="297" t="s">
        <v>259</v>
      </c>
      <c r="B339" s="297" t="s">
        <v>261</v>
      </c>
      <c r="C339" s="297"/>
      <c r="D339" s="297"/>
      <c r="E339" s="297"/>
      <c r="F339" s="297"/>
      <c r="G339" s="297"/>
      <c r="H339" s="297"/>
      <c r="I339" s="297"/>
      <c r="J339" s="297"/>
    </row>
    <row r="340" spans="1:10" ht="15" x14ac:dyDescent="0.2">
      <c r="A340" s="297" t="s">
        <v>329</v>
      </c>
      <c r="B340" s="297" t="s">
        <v>331</v>
      </c>
      <c r="C340" s="297"/>
      <c r="D340" s="297"/>
      <c r="E340" s="297"/>
      <c r="F340" s="297"/>
      <c r="G340" s="297"/>
      <c r="H340" s="297"/>
      <c r="I340" s="297"/>
      <c r="J340" s="297"/>
    </row>
    <row r="341" spans="1:10" ht="15" x14ac:dyDescent="0.2">
      <c r="A341" s="297" t="s">
        <v>814</v>
      </c>
      <c r="B341" s="297" t="s">
        <v>816</v>
      </c>
      <c r="C341" s="297"/>
      <c r="D341" s="297"/>
      <c r="E341" s="297"/>
      <c r="F341" s="297"/>
      <c r="G341" s="297"/>
      <c r="H341" s="297"/>
      <c r="I341" s="297"/>
      <c r="J341" s="297"/>
    </row>
    <row r="342" spans="1:10" ht="15" x14ac:dyDescent="0.2">
      <c r="A342" s="297" t="s">
        <v>360</v>
      </c>
      <c r="B342" s="297" t="s">
        <v>362</v>
      </c>
      <c r="C342" s="297"/>
      <c r="D342" s="297"/>
      <c r="E342" s="297"/>
      <c r="F342" s="297"/>
      <c r="G342" s="297"/>
      <c r="H342" s="297"/>
      <c r="I342" s="297"/>
      <c r="J342" s="297"/>
    </row>
    <row r="343" spans="1:10" ht="15" x14ac:dyDescent="0.2">
      <c r="A343" s="297" t="s">
        <v>109</v>
      </c>
      <c r="B343" s="297" t="s">
        <v>110</v>
      </c>
      <c r="C343" s="297"/>
      <c r="D343" s="297"/>
      <c r="E343" s="297"/>
      <c r="F343" s="297"/>
      <c r="G343" s="297"/>
      <c r="H343" s="297"/>
      <c r="I343" s="297"/>
      <c r="J343" s="297"/>
    </row>
    <row r="344" spans="1:10" ht="15" x14ac:dyDescent="0.2">
      <c r="A344" s="297" t="s">
        <v>1307</v>
      </c>
      <c r="B344" s="297" t="s">
        <v>1308</v>
      </c>
      <c r="C344" s="297"/>
      <c r="D344" s="297"/>
      <c r="E344" s="297"/>
      <c r="F344" s="297"/>
      <c r="G344" s="297"/>
      <c r="H344" s="297"/>
      <c r="I344" s="297"/>
      <c r="J344" s="297"/>
    </row>
    <row r="345" spans="1:10" ht="15" x14ac:dyDescent="0.2">
      <c r="A345" s="297" t="s">
        <v>1309</v>
      </c>
      <c r="B345" s="297" t="s">
        <v>1310</v>
      </c>
      <c r="C345" s="297"/>
      <c r="D345" s="297"/>
      <c r="E345" s="297"/>
      <c r="F345" s="297"/>
      <c r="G345" s="297"/>
      <c r="H345" s="297"/>
      <c r="I345" s="297"/>
      <c r="J345" s="297"/>
    </row>
    <row r="346" spans="1:10" ht="15" x14ac:dyDescent="0.2">
      <c r="A346" s="297" t="s">
        <v>962</v>
      </c>
      <c r="B346" s="297" t="s">
        <v>964</v>
      </c>
      <c r="C346" s="297"/>
      <c r="D346" s="297"/>
      <c r="E346" s="297"/>
      <c r="F346" s="297"/>
      <c r="G346" s="297"/>
      <c r="H346" s="297"/>
      <c r="I346" s="297"/>
      <c r="J346" s="297"/>
    </row>
    <row r="347" spans="1:10" ht="15" x14ac:dyDescent="0.2">
      <c r="A347" s="297" t="s">
        <v>65</v>
      </c>
      <c r="B347" s="297" t="s">
        <v>66</v>
      </c>
      <c r="C347" s="297"/>
      <c r="D347" s="297"/>
      <c r="E347" s="297"/>
      <c r="F347" s="297"/>
      <c r="G347" s="297"/>
      <c r="H347" s="297"/>
      <c r="I347" s="297"/>
      <c r="J347" s="297"/>
    </row>
    <row r="348" spans="1:10" ht="15" x14ac:dyDescent="0.2">
      <c r="A348" s="297" t="s">
        <v>538</v>
      </c>
      <c r="B348" s="297" t="s">
        <v>1311</v>
      </c>
      <c r="C348" s="297"/>
      <c r="D348" s="297"/>
      <c r="E348" s="297"/>
      <c r="F348" s="297"/>
      <c r="G348" s="297"/>
      <c r="H348" s="297"/>
      <c r="I348" s="297"/>
      <c r="J348" s="297"/>
    </row>
    <row r="349" spans="1:10" ht="15" x14ac:dyDescent="0.2">
      <c r="A349" s="297" t="s">
        <v>129</v>
      </c>
      <c r="B349" s="297" t="s">
        <v>131</v>
      </c>
      <c r="C349" s="297"/>
      <c r="D349" s="297"/>
      <c r="E349" s="297"/>
      <c r="F349" s="297"/>
      <c r="G349" s="297"/>
      <c r="H349" s="297"/>
      <c r="I349" s="297"/>
      <c r="J349" s="297"/>
    </row>
    <row r="350" spans="1:10" ht="15" x14ac:dyDescent="0.2">
      <c r="A350" s="297" t="s">
        <v>760</v>
      </c>
      <c r="B350" s="297" t="s">
        <v>1312</v>
      </c>
      <c r="C350" s="297"/>
      <c r="D350" s="297"/>
      <c r="E350" s="297"/>
      <c r="F350" s="297"/>
      <c r="G350" s="297"/>
      <c r="H350" s="297"/>
      <c r="I350" s="297"/>
      <c r="J350" s="297"/>
    </row>
    <row r="351" spans="1:10" ht="15" x14ac:dyDescent="0.2">
      <c r="A351" s="297" t="s">
        <v>273</v>
      </c>
      <c r="B351" s="297" t="s">
        <v>274</v>
      </c>
      <c r="C351" s="297"/>
      <c r="D351" s="297"/>
      <c r="E351" s="297"/>
      <c r="F351" s="297"/>
      <c r="G351" s="297"/>
      <c r="H351" s="297"/>
      <c r="I351" s="297"/>
      <c r="J351" s="297"/>
    </row>
    <row r="352" spans="1:10" ht="15" x14ac:dyDescent="0.2">
      <c r="A352" s="297" t="s">
        <v>404</v>
      </c>
      <c r="B352" s="297" t="s">
        <v>407</v>
      </c>
      <c r="C352" s="297"/>
      <c r="D352" s="297"/>
      <c r="E352" s="297"/>
      <c r="F352" s="297"/>
      <c r="G352" s="297"/>
      <c r="H352" s="297"/>
      <c r="I352" s="297"/>
      <c r="J352" s="297"/>
    </row>
    <row r="353" spans="1:10" ht="15" x14ac:dyDescent="0.2">
      <c r="A353" s="297" t="s">
        <v>1313</v>
      </c>
      <c r="B353" s="297" t="s">
        <v>1314</v>
      </c>
      <c r="C353" s="297"/>
      <c r="D353" s="297"/>
      <c r="E353" s="297"/>
      <c r="F353" s="297"/>
      <c r="G353" s="297"/>
      <c r="H353" s="297"/>
      <c r="I353" s="297"/>
      <c r="J353" s="297"/>
    </row>
    <row r="354" spans="1:10" ht="15" x14ac:dyDescent="0.2">
      <c r="A354" s="297" t="s">
        <v>1315</v>
      </c>
      <c r="B354" s="297" t="s">
        <v>1316</v>
      </c>
      <c r="C354" s="297"/>
      <c r="D354" s="297"/>
      <c r="E354" s="297"/>
      <c r="F354" s="297"/>
      <c r="G354" s="297"/>
      <c r="H354" s="297"/>
      <c r="I354" s="297"/>
      <c r="J354" s="297"/>
    </row>
    <row r="355" spans="1:10" ht="15" x14ac:dyDescent="0.2">
      <c r="A355" s="297" t="s">
        <v>516</v>
      </c>
      <c r="B355" s="297" t="s">
        <v>1317</v>
      </c>
      <c r="C355" s="297"/>
      <c r="D355" s="297"/>
      <c r="E355" s="297"/>
      <c r="F355" s="297"/>
      <c r="G355" s="297"/>
      <c r="H355" s="297"/>
      <c r="I355" s="297"/>
      <c r="J355" s="297"/>
    </row>
    <row r="356" spans="1:10" ht="15" x14ac:dyDescent="0.2">
      <c r="A356" s="297" t="s">
        <v>451</v>
      </c>
      <c r="B356" s="297" t="s">
        <v>965</v>
      </c>
      <c r="C356" s="297"/>
      <c r="D356" s="297"/>
      <c r="E356" s="297"/>
      <c r="F356" s="297"/>
      <c r="G356" s="297"/>
      <c r="H356" s="297"/>
      <c r="I356" s="297"/>
      <c r="J356" s="297"/>
    </row>
    <row r="357" spans="1:10" ht="15" x14ac:dyDescent="0.2">
      <c r="A357" s="297" t="s">
        <v>1318</v>
      </c>
      <c r="B357" s="297" t="s">
        <v>1319</v>
      </c>
      <c r="C357" s="297"/>
      <c r="D357" s="297"/>
      <c r="E357" s="297"/>
      <c r="F357" s="297"/>
      <c r="G357" s="297"/>
      <c r="H357" s="297"/>
      <c r="I357" s="297"/>
      <c r="J357" s="297"/>
    </row>
    <row r="358" spans="1:10" ht="15" x14ac:dyDescent="0.2">
      <c r="A358" s="297" t="s">
        <v>1320</v>
      </c>
      <c r="B358" s="297" t="s">
        <v>1321</v>
      </c>
      <c r="C358" s="297"/>
      <c r="D358" s="297"/>
      <c r="E358" s="297"/>
      <c r="F358" s="297"/>
      <c r="G358" s="297"/>
      <c r="H358" s="297"/>
      <c r="I358" s="297"/>
      <c r="J358" s="297"/>
    </row>
    <row r="359" spans="1:10" ht="15" x14ac:dyDescent="0.2">
      <c r="A359" s="297" t="s">
        <v>1322</v>
      </c>
      <c r="B359" s="297" t="s">
        <v>1323</v>
      </c>
      <c r="C359" s="297"/>
      <c r="D359" s="297"/>
      <c r="E359" s="297"/>
      <c r="F359" s="297"/>
      <c r="G359" s="297"/>
      <c r="H359" s="297"/>
      <c r="I359" s="297"/>
      <c r="J359" s="297"/>
    </row>
    <row r="360" spans="1:10" ht="15" x14ac:dyDescent="0.2">
      <c r="A360" s="297" t="s">
        <v>967</v>
      </c>
      <c r="B360" s="297" t="s">
        <v>968</v>
      </c>
      <c r="C360" s="297"/>
      <c r="D360" s="297"/>
      <c r="E360" s="297"/>
      <c r="F360" s="297"/>
      <c r="G360" s="297"/>
      <c r="H360" s="297"/>
      <c r="I360" s="297"/>
      <c r="J360" s="297"/>
    </row>
    <row r="361" spans="1:10" ht="15" x14ac:dyDescent="0.2">
      <c r="A361" s="297" t="s">
        <v>543</v>
      </c>
      <c r="B361" s="297" t="s">
        <v>969</v>
      </c>
      <c r="C361" s="297"/>
      <c r="D361" s="297"/>
      <c r="E361" s="297"/>
      <c r="F361" s="297"/>
      <c r="G361" s="297"/>
      <c r="H361" s="297"/>
      <c r="I361" s="297"/>
      <c r="J361" s="297"/>
    </row>
    <row r="362" spans="1:10" ht="15" x14ac:dyDescent="0.2">
      <c r="A362" s="297" t="s">
        <v>1324</v>
      </c>
      <c r="B362" s="297" t="s">
        <v>1325</v>
      </c>
      <c r="C362" s="297"/>
      <c r="D362" s="297"/>
      <c r="E362" s="297"/>
      <c r="F362" s="297"/>
      <c r="G362" s="297"/>
      <c r="H362" s="297"/>
      <c r="I362" s="297"/>
      <c r="J362" s="297"/>
    </row>
    <row r="363" spans="1:10" ht="15" x14ac:dyDescent="0.2">
      <c r="A363" s="297" t="s">
        <v>1326</v>
      </c>
      <c r="B363" s="297" t="s">
        <v>1327</v>
      </c>
      <c r="C363" s="297"/>
      <c r="D363" s="297"/>
      <c r="E363" s="297"/>
      <c r="F363" s="297"/>
      <c r="G363" s="297"/>
      <c r="H363" s="297"/>
      <c r="I363" s="297"/>
      <c r="J363" s="297"/>
    </row>
    <row r="364" spans="1:10" ht="15" x14ac:dyDescent="0.2">
      <c r="A364" s="297" t="s">
        <v>1328</v>
      </c>
      <c r="B364" s="297" t="s">
        <v>1329</v>
      </c>
      <c r="C364" s="297"/>
      <c r="D364" s="297"/>
      <c r="E364" s="297"/>
      <c r="F364" s="297"/>
      <c r="G364" s="297"/>
      <c r="H364" s="297"/>
      <c r="I364" s="297"/>
      <c r="J364" s="297"/>
    </row>
    <row r="365" spans="1:10" ht="15" x14ac:dyDescent="0.2">
      <c r="A365" s="297" t="s">
        <v>441</v>
      </c>
      <c r="B365" s="297" t="s">
        <v>970</v>
      </c>
      <c r="C365" s="297"/>
      <c r="D365" s="297"/>
      <c r="E365" s="297"/>
      <c r="F365" s="297"/>
      <c r="G365" s="297"/>
      <c r="H365" s="297"/>
      <c r="I365" s="297"/>
      <c r="J365" s="297"/>
    </row>
    <row r="366" spans="1:10" ht="15" x14ac:dyDescent="0.2">
      <c r="A366" s="297" t="s">
        <v>669</v>
      </c>
      <c r="B366" s="297" t="s">
        <v>971</v>
      </c>
      <c r="C366" s="297"/>
      <c r="D366" s="297"/>
      <c r="E366" s="297"/>
      <c r="F366" s="297"/>
      <c r="G366" s="297"/>
      <c r="H366" s="297"/>
      <c r="I366" s="297"/>
      <c r="J366" s="297"/>
    </row>
    <row r="367" spans="1:10" ht="15" x14ac:dyDescent="0.2">
      <c r="A367" s="297" t="s">
        <v>117</v>
      </c>
      <c r="B367" s="297" t="s">
        <v>119</v>
      </c>
      <c r="C367" s="297"/>
      <c r="D367" s="297"/>
      <c r="E367" s="297"/>
      <c r="F367" s="297"/>
      <c r="G367" s="297"/>
      <c r="H367" s="297"/>
      <c r="I367" s="297"/>
      <c r="J367" s="297"/>
    </row>
    <row r="368" spans="1:10" ht="15" x14ac:dyDescent="0.2">
      <c r="A368" s="297" t="s">
        <v>539</v>
      </c>
      <c r="B368" s="297" t="s">
        <v>828</v>
      </c>
      <c r="C368" s="297"/>
      <c r="D368" s="297"/>
      <c r="E368" s="297"/>
      <c r="F368" s="297"/>
      <c r="G368" s="297"/>
      <c r="H368" s="297"/>
      <c r="I368" s="297"/>
      <c r="J368" s="297"/>
    </row>
    <row r="369" spans="1:10" ht="15" x14ac:dyDescent="0.2">
      <c r="A369" s="297" t="s">
        <v>1330</v>
      </c>
      <c r="B369" s="297" t="s">
        <v>1331</v>
      </c>
      <c r="C369" s="297"/>
      <c r="D369" s="297"/>
      <c r="E369" s="297"/>
      <c r="F369" s="297"/>
      <c r="G369" s="297"/>
      <c r="H369" s="297"/>
      <c r="I369" s="297"/>
      <c r="J369" s="297"/>
    </row>
    <row r="370" spans="1:10" ht="15" x14ac:dyDescent="0.2">
      <c r="A370" s="297" t="s">
        <v>94</v>
      </c>
      <c r="B370" s="297" t="s">
        <v>96</v>
      </c>
      <c r="C370" s="297"/>
      <c r="D370" s="297"/>
      <c r="E370" s="297"/>
      <c r="F370" s="297"/>
      <c r="G370" s="297"/>
      <c r="H370" s="297"/>
      <c r="I370" s="297"/>
      <c r="J370" s="297"/>
    </row>
    <row r="371" spans="1:10" ht="15" x14ac:dyDescent="0.2">
      <c r="A371" s="297" t="s">
        <v>191</v>
      </c>
      <c r="B371" s="297" t="s">
        <v>193</v>
      </c>
      <c r="C371" s="297"/>
      <c r="D371" s="297"/>
      <c r="E371" s="297"/>
      <c r="F371" s="297"/>
      <c r="G371" s="297"/>
      <c r="H371" s="297"/>
      <c r="I371" s="297"/>
      <c r="J371" s="297"/>
    </row>
    <row r="372" spans="1:10" ht="15" x14ac:dyDescent="0.2">
      <c r="A372" s="297" t="s">
        <v>381</v>
      </c>
      <c r="B372" s="297" t="s">
        <v>1332</v>
      </c>
      <c r="C372" s="297"/>
      <c r="D372" s="297"/>
      <c r="E372" s="297"/>
      <c r="F372" s="297"/>
      <c r="G372" s="297"/>
      <c r="H372" s="297"/>
      <c r="I372" s="297"/>
      <c r="J372" s="297"/>
    </row>
    <row r="373" spans="1:10" ht="15" x14ac:dyDescent="0.2">
      <c r="A373" s="297" t="s">
        <v>648</v>
      </c>
      <c r="B373" s="297" t="s">
        <v>831</v>
      </c>
      <c r="C373" s="297"/>
      <c r="D373" s="297"/>
      <c r="E373" s="297"/>
      <c r="F373" s="297"/>
      <c r="G373" s="297"/>
      <c r="H373" s="297"/>
      <c r="I373" s="297"/>
      <c r="J373" s="297"/>
    </row>
    <row r="374" spans="1:10" ht="15" x14ac:dyDescent="0.2">
      <c r="A374" s="297" t="s">
        <v>91</v>
      </c>
      <c r="B374" s="297" t="s">
        <v>93</v>
      </c>
      <c r="C374" s="297"/>
      <c r="D374" s="297"/>
      <c r="E374" s="297"/>
      <c r="F374" s="297"/>
      <c r="G374" s="297"/>
      <c r="H374" s="297"/>
      <c r="I374" s="297"/>
      <c r="J374" s="297"/>
    </row>
    <row r="375" spans="1:10" ht="15" x14ac:dyDescent="0.2">
      <c r="A375" s="297" t="s">
        <v>695</v>
      </c>
      <c r="B375" s="297" t="s">
        <v>1333</v>
      </c>
      <c r="C375" s="297"/>
      <c r="D375" s="297"/>
      <c r="E375" s="297"/>
      <c r="F375" s="297"/>
      <c r="G375" s="297"/>
      <c r="H375" s="297"/>
      <c r="I375" s="297"/>
      <c r="J375" s="297"/>
    </row>
    <row r="376" spans="1:10" ht="15" x14ac:dyDescent="0.2">
      <c r="A376" s="297" t="s">
        <v>55</v>
      </c>
      <c r="B376" s="297" t="s">
        <v>60</v>
      </c>
      <c r="C376" s="297"/>
      <c r="D376" s="297"/>
      <c r="E376" s="297"/>
      <c r="F376" s="297"/>
      <c r="G376" s="297"/>
      <c r="H376" s="297"/>
      <c r="I376" s="297"/>
      <c r="J376" s="297"/>
    </row>
    <row r="377" spans="1:10" ht="15" x14ac:dyDescent="0.2">
      <c r="A377" s="297" t="s">
        <v>661</v>
      </c>
      <c r="B377" s="297" t="s">
        <v>1334</v>
      </c>
      <c r="C377" s="297"/>
      <c r="D377" s="297"/>
      <c r="E377" s="297"/>
      <c r="F377" s="297"/>
      <c r="G377" s="297"/>
      <c r="H377" s="297"/>
      <c r="I377" s="297"/>
      <c r="J377" s="297"/>
    </row>
    <row r="378" spans="1:10" ht="15" x14ac:dyDescent="0.2">
      <c r="A378" s="297" t="s">
        <v>495</v>
      </c>
      <c r="B378" s="297" t="s">
        <v>1335</v>
      </c>
      <c r="C378" s="297"/>
      <c r="D378" s="297"/>
      <c r="E378" s="297"/>
      <c r="F378" s="297"/>
      <c r="G378" s="297"/>
      <c r="H378" s="297"/>
      <c r="I378" s="297"/>
      <c r="J378" s="297"/>
    </row>
    <row r="379" spans="1:10" ht="15" x14ac:dyDescent="0.2">
      <c r="A379" s="297" t="s">
        <v>312</v>
      </c>
      <c r="B379" s="297" t="s">
        <v>314</v>
      </c>
      <c r="C379" s="297"/>
      <c r="D379" s="297"/>
      <c r="E379" s="297"/>
      <c r="F379" s="297"/>
      <c r="G379" s="297"/>
      <c r="H379" s="297"/>
      <c r="I379" s="297"/>
      <c r="J379" s="297"/>
    </row>
    <row r="380" spans="1:10" ht="15" x14ac:dyDescent="0.2">
      <c r="A380" s="297" t="s">
        <v>100</v>
      </c>
      <c r="B380" s="297" t="s">
        <v>103</v>
      </c>
      <c r="C380" s="297"/>
      <c r="D380" s="297"/>
      <c r="E380" s="297"/>
      <c r="F380" s="297"/>
      <c r="G380" s="297"/>
      <c r="H380" s="297"/>
      <c r="I380" s="297"/>
      <c r="J380" s="297"/>
    </row>
    <row r="381" spans="1:10" ht="15" x14ac:dyDescent="0.2">
      <c r="A381" s="297" t="s">
        <v>426</v>
      </c>
      <c r="B381" s="297" t="s">
        <v>1336</v>
      </c>
      <c r="C381" s="297"/>
      <c r="D381" s="297"/>
      <c r="E381" s="297"/>
      <c r="F381" s="297"/>
      <c r="G381" s="297"/>
      <c r="H381" s="297"/>
      <c r="I381" s="297"/>
      <c r="J381" s="297"/>
    </row>
    <row r="382" spans="1:10" ht="15" x14ac:dyDescent="0.2">
      <c r="A382" s="297" t="s">
        <v>375</v>
      </c>
      <c r="B382" s="297" t="s">
        <v>1337</v>
      </c>
      <c r="C382" s="297"/>
      <c r="D382" s="297"/>
      <c r="E382" s="297"/>
      <c r="F382" s="297"/>
      <c r="G382" s="297"/>
      <c r="H382" s="297"/>
      <c r="I382" s="297"/>
      <c r="J382" s="297"/>
    </row>
    <row r="383" spans="1:10" ht="15" x14ac:dyDescent="0.2">
      <c r="A383" s="297" t="s">
        <v>221</v>
      </c>
      <c r="B383" s="297" t="s">
        <v>222</v>
      </c>
      <c r="C383" s="297"/>
      <c r="D383" s="297"/>
      <c r="E383" s="297"/>
      <c r="F383" s="297"/>
      <c r="G383" s="297"/>
      <c r="H383" s="297"/>
      <c r="I383" s="297"/>
      <c r="J383" s="297"/>
    </row>
    <row r="384" spans="1:10" ht="15" x14ac:dyDescent="0.2">
      <c r="A384" s="297" t="s">
        <v>1338</v>
      </c>
      <c r="B384" s="297" t="s">
        <v>1339</v>
      </c>
      <c r="C384" s="297"/>
      <c r="D384" s="297"/>
      <c r="E384" s="297"/>
      <c r="F384" s="297"/>
      <c r="G384" s="297"/>
      <c r="H384" s="297"/>
      <c r="I384" s="297"/>
      <c r="J384" s="297"/>
    </row>
    <row r="385" spans="1:10" ht="15" x14ac:dyDescent="0.2">
      <c r="A385" s="297" t="s">
        <v>1340</v>
      </c>
      <c r="B385" s="297" t="s">
        <v>1341</v>
      </c>
      <c r="C385" s="297"/>
      <c r="D385" s="297"/>
      <c r="E385" s="297"/>
      <c r="F385" s="297"/>
      <c r="G385" s="297"/>
      <c r="H385" s="297"/>
      <c r="I385" s="297"/>
      <c r="J385" s="297"/>
    </row>
    <row r="386" spans="1:10" ht="15" x14ac:dyDescent="0.2">
      <c r="A386" s="297" t="s">
        <v>1342</v>
      </c>
      <c r="B386" s="297" t="s">
        <v>1343</v>
      </c>
      <c r="C386" s="297"/>
      <c r="D386" s="297"/>
      <c r="E386" s="297"/>
      <c r="F386" s="297"/>
      <c r="G386" s="297"/>
      <c r="H386" s="297"/>
      <c r="I386" s="297"/>
      <c r="J386" s="297"/>
    </row>
    <row r="387" spans="1:10" ht="15" x14ac:dyDescent="0.2">
      <c r="A387" s="297" t="s">
        <v>1344</v>
      </c>
      <c r="B387" s="297" t="s">
        <v>1345</v>
      </c>
      <c r="C387" s="297"/>
      <c r="D387" s="297"/>
      <c r="E387" s="297"/>
      <c r="F387" s="297"/>
      <c r="G387" s="297"/>
      <c r="H387" s="297"/>
      <c r="I387" s="297"/>
      <c r="J387" s="297"/>
    </row>
    <row r="388" spans="1:10" ht="15" x14ac:dyDescent="0.2">
      <c r="A388" s="297" t="s">
        <v>1346</v>
      </c>
      <c r="B388" s="297" t="s">
        <v>1347</v>
      </c>
      <c r="C388" s="297"/>
      <c r="D388" s="297"/>
      <c r="E388" s="297"/>
      <c r="F388" s="297"/>
      <c r="G388" s="297"/>
      <c r="H388" s="297"/>
      <c r="I388" s="297"/>
      <c r="J388" s="297"/>
    </row>
    <row r="389" spans="1:10" ht="15" x14ac:dyDescent="0.2">
      <c r="A389" s="297" t="s">
        <v>1348</v>
      </c>
      <c r="B389" s="297" t="s">
        <v>1349</v>
      </c>
      <c r="C389" s="297"/>
      <c r="D389" s="297"/>
      <c r="E389" s="297"/>
      <c r="F389" s="297"/>
      <c r="G389" s="297"/>
      <c r="H389" s="297"/>
      <c r="I389" s="297"/>
      <c r="J389" s="297"/>
    </row>
    <row r="390" spans="1:10" ht="15" x14ac:dyDescent="0.2">
      <c r="A390" s="297" t="s">
        <v>132</v>
      </c>
      <c r="B390" s="297" t="s">
        <v>133</v>
      </c>
      <c r="C390" s="297"/>
      <c r="D390" s="297"/>
      <c r="E390" s="297"/>
      <c r="F390" s="297"/>
      <c r="G390" s="297"/>
      <c r="H390" s="297"/>
      <c r="I390" s="297"/>
      <c r="J390" s="297"/>
    </row>
    <row r="391" spans="1:10" ht="15" x14ac:dyDescent="0.2">
      <c r="A391" s="297" t="s">
        <v>141</v>
      </c>
      <c r="B391" s="297" t="s">
        <v>142</v>
      </c>
      <c r="C391" s="297"/>
      <c r="D391" s="297"/>
      <c r="E391" s="297"/>
      <c r="F391" s="297"/>
      <c r="G391" s="297"/>
      <c r="H391" s="297"/>
      <c r="I391" s="297"/>
      <c r="J391" s="297"/>
    </row>
    <row r="392" spans="1:10" ht="15" x14ac:dyDescent="0.2">
      <c r="A392" s="297" t="s">
        <v>160</v>
      </c>
      <c r="B392" s="297" t="s">
        <v>163</v>
      </c>
      <c r="C392" s="297"/>
      <c r="D392" s="297"/>
      <c r="E392" s="297"/>
      <c r="F392" s="297"/>
      <c r="G392" s="297"/>
      <c r="H392" s="297"/>
      <c r="I392" s="297"/>
      <c r="J392" s="297"/>
    </row>
    <row r="393" spans="1:10" ht="15" x14ac:dyDescent="0.2">
      <c r="A393" s="297" t="s">
        <v>1350</v>
      </c>
      <c r="B393" s="297" t="s">
        <v>1351</v>
      </c>
      <c r="C393" s="297"/>
      <c r="D393" s="297"/>
      <c r="E393" s="297"/>
      <c r="F393" s="297"/>
      <c r="G393" s="297"/>
      <c r="H393" s="297"/>
      <c r="I393" s="297"/>
      <c r="J393" s="297"/>
    </row>
    <row r="394" spans="1:10" ht="15" x14ac:dyDescent="0.2">
      <c r="A394" s="297" t="s">
        <v>974</v>
      </c>
      <c r="B394" s="297" t="s">
        <v>975</v>
      </c>
      <c r="C394" s="297"/>
      <c r="D394" s="297"/>
      <c r="E394" s="297"/>
      <c r="F394" s="297"/>
      <c r="G394" s="297"/>
      <c r="H394" s="297"/>
      <c r="I394" s="297"/>
      <c r="J394" s="297"/>
    </row>
    <row r="395" spans="1:10" ht="15" x14ac:dyDescent="0.2">
      <c r="A395" s="297" t="s">
        <v>143</v>
      </c>
      <c r="B395" s="297" t="s">
        <v>145</v>
      </c>
      <c r="C395" s="297"/>
      <c r="D395" s="297"/>
      <c r="E395" s="297"/>
      <c r="F395" s="297"/>
      <c r="G395" s="297"/>
      <c r="H395" s="297"/>
      <c r="I395" s="297"/>
      <c r="J395" s="297"/>
    </row>
    <row r="396" spans="1:10" ht="15" x14ac:dyDescent="0.2">
      <c r="A396" s="297" t="s">
        <v>211</v>
      </c>
      <c r="B396" s="297" t="s">
        <v>213</v>
      </c>
      <c r="C396" s="297"/>
      <c r="D396" s="297"/>
      <c r="E396" s="297"/>
      <c r="F396" s="297"/>
      <c r="G396" s="297"/>
      <c r="H396" s="297"/>
      <c r="I396" s="297"/>
      <c r="J396" s="297"/>
    </row>
    <row r="397" spans="1:10" ht="15" x14ac:dyDescent="0.2">
      <c r="A397" s="297" t="s">
        <v>428</v>
      </c>
      <c r="B397" s="297" t="s">
        <v>1352</v>
      </c>
      <c r="C397" s="297"/>
      <c r="D397" s="297"/>
      <c r="E397" s="297"/>
      <c r="F397" s="297"/>
      <c r="G397" s="297"/>
      <c r="H397" s="297"/>
      <c r="I397" s="297"/>
      <c r="J397" s="297"/>
    </row>
    <row r="398" spans="1:10" ht="15" x14ac:dyDescent="0.2">
      <c r="A398" s="297" t="s">
        <v>718</v>
      </c>
      <c r="B398" s="297" t="s">
        <v>1353</v>
      </c>
      <c r="C398" s="297"/>
      <c r="D398" s="297"/>
      <c r="E398" s="297"/>
      <c r="F398" s="297"/>
      <c r="G398" s="297"/>
      <c r="H398" s="297"/>
      <c r="I398" s="297"/>
      <c r="J398" s="297"/>
    </row>
    <row r="399" spans="1:10" ht="15" x14ac:dyDescent="0.2">
      <c r="A399" s="297" t="s">
        <v>202</v>
      </c>
      <c r="B399" s="297" t="s">
        <v>204</v>
      </c>
      <c r="C399" s="297"/>
      <c r="D399" s="297"/>
      <c r="E399" s="297"/>
      <c r="F399" s="297"/>
      <c r="G399" s="297"/>
      <c r="H399" s="297"/>
      <c r="I399" s="297"/>
      <c r="J399" s="297"/>
    </row>
    <row r="400" spans="1:10" ht="15" x14ac:dyDescent="0.2">
      <c r="A400" s="297" t="s">
        <v>1354</v>
      </c>
      <c r="B400" s="297" t="s">
        <v>846</v>
      </c>
      <c r="C400" s="297"/>
      <c r="D400" s="297"/>
      <c r="E400" s="297"/>
      <c r="F400" s="297"/>
      <c r="G400" s="297"/>
      <c r="H400" s="297"/>
      <c r="I400" s="297"/>
      <c r="J400" s="297"/>
    </row>
    <row r="401" spans="1:10" ht="15" x14ac:dyDescent="0.2">
      <c r="A401" s="297" t="s">
        <v>152</v>
      </c>
      <c r="B401" s="297" t="s">
        <v>154</v>
      </c>
      <c r="C401" s="297"/>
      <c r="D401" s="297"/>
      <c r="E401" s="297"/>
      <c r="F401" s="297"/>
      <c r="G401" s="297"/>
      <c r="H401" s="297"/>
      <c r="I401" s="297"/>
      <c r="J401" s="297"/>
    </row>
    <row r="402" spans="1:10" ht="15" x14ac:dyDescent="0.2">
      <c r="A402" s="297" t="s">
        <v>1355</v>
      </c>
      <c r="B402" s="297" t="s">
        <v>1356</v>
      </c>
      <c r="C402" s="297"/>
      <c r="D402" s="297"/>
      <c r="E402" s="297"/>
      <c r="F402" s="297"/>
      <c r="G402" s="297"/>
      <c r="H402" s="297"/>
      <c r="I402" s="297"/>
      <c r="J402" s="297"/>
    </row>
    <row r="403" spans="1:10" ht="15" x14ac:dyDescent="0.2">
      <c r="A403" s="297" t="s">
        <v>653</v>
      </c>
      <c r="B403" s="297" t="s">
        <v>1357</v>
      </c>
      <c r="C403" s="297"/>
      <c r="D403" s="297"/>
      <c r="E403" s="297"/>
      <c r="F403" s="297"/>
      <c r="G403" s="297"/>
      <c r="H403" s="297"/>
      <c r="I403" s="297"/>
      <c r="J403" s="297"/>
    </row>
    <row r="404" spans="1:10" ht="15" x14ac:dyDescent="0.2">
      <c r="A404" s="297" t="s">
        <v>1358</v>
      </c>
      <c r="B404" s="297" t="s">
        <v>1359</v>
      </c>
      <c r="C404" s="297"/>
      <c r="D404" s="297"/>
      <c r="E404" s="297"/>
      <c r="F404" s="297"/>
      <c r="G404" s="297"/>
      <c r="H404" s="297"/>
      <c r="I404" s="297"/>
      <c r="J404" s="297"/>
    </row>
    <row r="405" spans="1:10" ht="15" x14ac:dyDescent="0.2">
      <c r="A405" s="297" t="s">
        <v>1360</v>
      </c>
      <c r="B405" s="297" t="s">
        <v>1361</v>
      </c>
      <c r="C405" s="297"/>
      <c r="D405" s="297"/>
      <c r="E405" s="297"/>
      <c r="F405" s="297"/>
      <c r="G405" s="297"/>
      <c r="H405" s="297"/>
      <c r="I405" s="297"/>
      <c r="J405" s="297"/>
    </row>
    <row r="406" spans="1:10" ht="15" x14ac:dyDescent="0.2">
      <c r="A406" s="297" t="s">
        <v>466</v>
      </c>
      <c r="B406" s="297" t="s">
        <v>1362</v>
      </c>
      <c r="C406" s="297"/>
      <c r="D406" s="297"/>
      <c r="E406" s="297"/>
      <c r="F406" s="297"/>
      <c r="G406" s="297"/>
      <c r="H406" s="297"/>
      <c r="I406" s="297"/>
      <c r="J406" s="297"/>
    </row>
    <row r="407" spans="1:10" ht="15" x14ac:dyDescent="0.2">
      <c r="A407" s="297" t="s">
        <v>423</v>
      </c>
      <c r="B407" s="297" t="s">
        <v>1363</v>
      </c>
      <c r="C407" s="297"/>
      <c r="D407" s="297"/>
      <c r="E407" s="297"/>
      <c r="F407" s="297"/>
      <c r="G407" s="297"/>
      <c r="H407" s="297"/>
      <c r="I407" s="297"/>
      <c r="J407" s="297"/>
    </row>
    <row r="408" spans="1:10" ht="15" x14ac:dyDescent="0.2">
      <c r="A408" s="297" t="s">
        <v>613</v>
      </c>
      <c r="B408" s="297" t="s">
        <v>1364</v>
      </c>
      <c r="C408" s="297"/>
      <c r="D408" s="297"/>
      <c r="E408" s="297"/>
      <c r="F408" s="297"/>
      <c r="G408" s="297"/>
      <c r="H408" s="297"/>
      <c r="I408" s="297"/>
      <c r="J408" s="297"/>
    </row>
    <row r="409" spans="1:10" ht="15" x14ac:dyDescent="0.2">
      <c r="A409" s="297" t="s">
        <v>486</v>
      </c>
      <c r="B409" s="297" t="s">
        <v>1365</v>
      </c>
      <c r="C409" s="297"/>
      <c r="D409" s="297"/>
      <c r="E409" s="297"/>
      <c r="F409" s="297"/>
      <c r="G409" s="297"/>
      <c r="H409" s="297"/>
      <c r="I409" s="297"/>
      <c r="J409" s="297"/>
    </row>
    <row r="410" spans="1:10" ht="15" x14ac:dyDescent="0.2">
      <c r="A410" s="297" t="s">
        <v>189</v>
      </c>
      <c r="B410" s="297" t="s">
        <v>190</v>
      </c>
      <c r="C410" s="297"/>
      <c r="D410" s="297"/>
      <c r="E410" s="297"/>
      <c r="F410" s="297"/>
      <c r="G410" s="297"/>
      <c r="H410" s="297"/>
      <c r="I410" s="297"/>
      <c r="J410" s="297"/>
    </row>
    <row r="411" spans="1:10" ht="15" x14ac:dyDescent="0.2">
      <c r="A411" s="1" t="str">
        <f t="shared" ref="A411:A437" si="0">C411&amp;" CC"</f>
        <v>Buckinghamshire CC</v>
      </c>
      <c r="B411" s="1" t="s">
        <v>888</v>
      </c>
      <c r="C411" s="1" t="s">
        <v>492</v>
      </c>
      <c r="D411" s="297"/>
      <c r="E411" s="297"/>
      <c r="F411" s="297"/>
      <c r="G411" s="297"/>
      <c r="H411" s="297"/>
      <c r="I411" s="297"/>
      <c r="J411" s="297"/>
    </row>
    <row r="412" spans="1:10" ht="15" x14ac:dyDescent="0.2">
      <c r="A412" s="1" t="str">
        <f t="shared" si="0"/>
        <v>Cambridgeshire CC</v>
      </c>
      <c r="B412" s="1" t="s">
        <v>1366</v>
      </c>
      <c r="C412" s="1" t="s">
        <v>1367</v>
      </c>
      <c r="D412" s="297"/>
      <c r="E412" s="297"/>
      <c r="F412" s="297"/>
      <c r="G412" s="297"/>
      <c r="H412" s="297"/>
      <c r="I412" s="297"/>
      <c r="J412" s="297"/>
    </row>
    <row r="413" spans="1:10" ht="15" x14ac:dyDescent="0.2">
      <c r="A413" s="1" t="str">
        <f t="shared" si="0"/>
        <v>Cumbria CC</v>
      </c>
      <c r="B413" s="1" t="s">
        <v>292</v>
      </c>
      <c r="C413" s="1" t="s">
        <v>1368</v>
      </c>
      <c r="D413" s="297"/>
      <c r="E413" s="297"/>
      <c r="F413" s="297"/>
      <c r="G413" s="297"/>
      <c r="H413" s="297"/>
      <c r="I413" s="297"/>
      <c r="J413" s="297"/>
    </row>
    <row r="414" spans="1:10" ht="15" x14ac:dyDescent="0.2">
      <c r="A414" s="1" t="str">
        <f t="shared" si="0"/>
        <v>Derbyshire CC</v>
      </c>
      <c r="B414" s="1" t="s">
        <v>810</v>
      </c>
      <c r="C414" s="1" t="s">
        <v>1369</v>
      </c>
      <c r="D414" s="297"/>
      <c r="E414" s="297"/>
      <c r="F414" s="297"/>
      <c r="G414" s="297"/>
      <c r="H414" s="297"/>
      <c r="I414" s="297"/>
      <c r="J414" s="297"/>
    </row>
    <row r="415" spans="1:10" ht="15" x14ac:dyDescent="0.2">
      <c r="A415" s="1" t="str">
        <f t="shared" si="0"/>
        <v>Devon CC</v>
      </c>
      <c r="B415" s="1" t="s">
        <v>198</v>
      </c>
      <c r="C415" s="1" t="s">
        <v>1370</v>
      </c>
      <c r="D415" s="297"/>
      <c r="E415" s="297"/>
      <c r="F415" s="297"/>
      <c r="G415" s="297"/>
      <c r="H415" s="297"/>
      <c r="I415" s="297"/>
      <c r="J415" s="297"/>
    </row>
    <row r="416" spans="1:10" ht="15" x14ac:dyDescent="0.2">
      <c r="A416" s="1" t="str">
        <f t="shared" si="0"/>
        <v>Dorset CC</v>
      </c>
      <c r="B416" s="1" t="s">
        <v>1371</v>
      </c>
      <c r="C416" s="1" t="s">
        <v>1372</v>
      </c>
      <c r="D416" s="297"/>
      <c r="E416" s="297"/>
      <c r="F416" s="297"/>
      <c r="G416" s="297"/>
      <c r="H416" s="297"/>
      <c r="I416" s="297"/>
      <c r="J416" s="297"/>
    </row>
    <row r="417" spans="1:10" ht="15" x14ac:dyDescent="0.2">
      <c r="A417" s="1" t="str">
        <f t="shared" si="0"/>
        <v>East Sussex CC</v>
      </c>
      <c r="B417" s="1" t="s">
        <v>1373</v>
      </c>
      <c r="C417" s="1" t="s">
        <v>1374</v>
      </c>
      <c r="D417" s="297"/>
      <c r="E417" s="297"/>
      <c r="F417" s="297"/>
      <c r="G417" s="297"/>
      <c r="H417" s="297"/>
      <c r="I417" s="297"/>
      <c r="J417" s="297"/>
    </row>
    <row r="418" spans="1:10" ht="15" x14ac:dyDescent="0.2">
      <c r="A418" s="1" t="str">
        <f t="shared" si="0"/>
        <v>Essex CC</v>
      </c>
      <c r="B418" s="1" t="s">
        <v>1375</v>
      </c>
      <c r="C418" s="1" t="s">
        <v>1376</v>
      </c>
      <c r="D418" s="297"/>
      <c r="E418" s="297"/>
      <c r="F418" s="297"/>
      <c r="G418" s="297"/>
      <c r="H418" s="297"/>
      <c r="I418" s="297"/>
      <c r="J418" s="297"/>
    </row>
    <row r="419" spans="1:10" ht="15" x14ac:dyDescent="0.2">
      <c r="A419" s="1" t="str">
        <f t="shared" si="0"/>
        <v>Gloucestershire CC</v>
      </c>
      <c r="B419" s="1" t="s">
        <v>1377</v>
      </c>
      <c r="C419" s="1" t="s">
        <v>527</v>
      </c>
      <c r="D419" s="297"/>
      <c r="E419" s="297"/>
      <c r="F419" s="297"/>
      <c r="G419" s="297"/>
      <c r="H419" s="297"/>
      <c r="I419" s="297"/>
      <c r="J419" s="297"/>
    </row>
    <row r="420" spans="1:10" ht="15" x14ac:dyDescent="0.2">
      <c r="A420" s="1" t="str">
        <f t="shared" si="0"/>
        <v>Hampshire CC</v>
      </c>
      <c r="B420" s="1" t="s">
        <v>782</v>
      </c>
      <c r="C420" s="1" t="s">
        <v>1378</v>
      </c>
      <c r="D420" s="297"/>
      <c r="E420" s="297"/>
      <c r="F420" s="297"/>
      <c r="G420" s="297"/>
      <c r="H420" s="297"/>
      <c r="I420" s="297"/>
      <c r="J420" s="297"/>
    </row>
    <row r="421" spans="1:10" ht="15" x14ac:dyDescent="0.2">
      <c r="A421" s="1" t="str">
        <f t="shared" si="0"/>
        <v>Hertfordshire CC</v>
      </c>
      <c r="B421" s="1" t="s">
        <v>1379</v>
      </c>
      <c r="C421" s="1" t="s">
        <v>1380</v>
      </c>
      <c r="D421" s="297"/>
      <c r="E421" s="297"/>
      <c r="F421" s="297"/>
      <c r="G421" s="297"/>
      <c r="H421" s="297"/>
      <c r="I421" s="297"/>
      <c r="J421" s="297"/>
    </row>
    <row r="422" spans="1:10" ht="15" x14ac:dyDescent="0.2">
      <c r="A422" s="1" t="str">
        <f t="shared" si="0"/>
        <v>Kent CC</v>
      </c>
      <c r="B422" s="1" t="s">
        <v>1381</v>
      </c>
      <c r="C422" s="1" t="s">
        <v>563</v>
      </c>
      <c r="D422" s="297"/>
      <c r="E422" s="297"/>
      <c r="F422" s="297"/>
      <c r="G422" s="297"/>
      <c r="H422" s="297"/>
      <c r="I422" s="297"/>
      <c r="J422" s="297"/>
    </row>
    <row r="423" spans="1:10" ht="15" x14ac:dyDescent="0.2">
      <c r="A423" s="1" t="str">
        <f t="shared" si="0"/>
        <v>Lancashire CC</v>
      </c>
      <c r="B423" s="1" t="s">
        <v>1382</v>
      </c>
      <c r="C423" s="1" t="s">
        <v>1383</v>
      </c>
      <c r="D423" s="297"/>
      <c r="E423" s="297"/>
      <c r="F423" s="297"/>
      <c r="G423" s="297"/>
      <c r="H423" s="297"/>
      <c r="I423" s="297"/>
      <c r="J423" s="297"/>
    </row>
    <row r="424" spans="1:10" ht="15" x14ac:dyDescent="0.2">
      <c r="A424" s="1" t="str">
        <f t="shared" si="0"/>
        <v>Leicestershire CC</v>
      </c>
      <c r="B424" s="1" t="s">
        <v>1384</v>
      </c>
      <c r="C424" s="1" t="s">
        <v>1385</v>
      </c>
      <c r="D424" s="297"/>
      <c r="E424" s="297"/>
      <c r="F424" s="297"/>
      <c r="G424" s="297"/>
      <c r="H424" s="297"/>
      <c r="I424" s="297"/>
      <c r="J424" s="297"/>
    </row>
    <row r="425" spans="1:10" ht="15" x14ac:dyDescent="0.2">
      <c r="A425" s="1" t="str">
        <f t="shared" si="0"/>
        <v>Lincolnshire CC</v>
      </c>
      <c r="B425" s="1" t="s">
        <v>116</v>
      </c>
      <c r="C425" s="1" t="s">
        <v>1386</v>
      </c>
      <c r="D425" s="297"/>
      <c r="E425" s="297"/>
      <c r="F425" s="297"/>
      <c r="G425" s="297"/>
      <c r="H425" s="297"/>
      <c r="I425" s="297"/>
      <c r="J425" s="297"/>
    </row>
    <row r="426" spans="1:10" ht="15" x14ac:dyDescent="0.2">
      <c r="A426" s="1" t="str">
        <f t="shared" si="0"/>
        <v>Norfolk CC</v>
      </c>
      <c r="B426" s="1" t="s">
        <v>306</v>
      </c>
      <c r="C426" s="1" t="s">
        <v>1387</v>
      </c>
      <c r="D426" s="297"/>
      <c r="E426" s="297"/>
      <c r="F426" s="297"/>
      <c r="G426" s="297"/>
      <c r="H426" s="297"/>
      <c r="I426" s="297"/>
      <c r="J426" s="297"/>
    </row>
    <row r="427" spans="1:10" ht="15" x14ac:dyDescent="0.2">
      <c r="A427" s="1" t="str">
        <f t="shared" si="0"/>
        <v>Northamptonshire CC</v>
      </c>
      <c r="B427" s="1" t="s">
        <v>285</v>
      </c>
      <c r="C427" s="1" t="s">
        <v>1388</v>
      </c>
      <c r="D427" s="297"/>
      <c r="E427" s="297"/>
      <c r="F427" s="297"/>
      <c r="G427" s="297"/>
      <c r="H427" s="297"/>
      <c r="I427" s="297"/>
      <c r="J427" s="297"/>
    </row>
    <row r="428" spans="1:10" ht="15" x14ac:dyDescent="0.2">
      <c r="A428" s="1" t="str">
        <f t="shared" si="0"/>
        <v>North Yorkshire CC</v>
      </c>
      <c r="B428" s="1" t="s">
        <v>1389</v>
      </c>
      <c r="C428" s="1" t="s">
        <v>764</v>
      </c>
      <c r="D428" s="297"/>
      <c r="E428" s="297"/>
      <c r="F428" s="297"/>
      <c r="G428" s="297"/>
      <c r="H428" s="297"/>
      <c r="I428" s="297"/>
      <c r="J428" s="297"/>
    </row>
    <row r="429" spans="1:10" ht="15" x14ac:dyDescent="0.2">
      <c r="A429" s="1" t="str">
        <f t="shared" si="0"/>
        <v>Nottinghamshire CC</v>
      </c>
      <c r="B429" s="1" t="s">
        <v>1390</v>
      </c>
      <c r="C429" s="1" t="s">
        <v>1391</v>
      </c>
      <c r="D429" s="297"/>
      <c r="E429" s="297"/>
      <c r="F429" s="297"/>
      <c r="G429" s="297"/>
      <c r="H429" s="297"/>
      <c r="I429" s="297"/>
      <c r="J429" s="297"/>
    </row>
    <row r="430" spans="1:10" ht="15" x14ac:dyDescent="0.2">
      <c r="A430" s="1" t="str">
        <f t="shared" si="0"/>
        <v>Oxfordshire CC</v>
      </c>
      <c r="B430" s="1" t="s">
        <v>180</v>
      </c>
      <c r="C430" s="1" t="s">
        <v>1392</v>
      </c>
      <c r="D430" s="297"/>
      <c r="E430" s="297"/>
      <c r="F430" s="297"/>
      <c r="G430" s="297"/>
      <c r="H430" s="297"/>
      <c r="I430" s="297"/>
      <c r="J430" s="297"/>
    </row>
    <row r="431" spans="1:10" ht="15" x14ac:dyDescent="0.2">
      <c r="A431" s="1" t="str">
        <f t="shared" si="0"/>
        <v>Somerset CC</v>
      </c>
      <c r="B431" s="1" t="s">
        <v>1393</v>
      </c>
      <c r="C431" s="1" t="s">
        <v>789</v>
      </c>
      <c r="D431" s="297"/>
      <c r="E431" s="297"/>
      <c r="F431" s="297"/>
      <c r="G431" s="297"/>
      <c r="H431" s="297"/>
      <c r="I431" s="297"/>
      <c r="J431" s="297"/>
    </row>
    <row r="432" spans="1:10" ht="15" x14ac:dyDescent="0.2">
      <c r="A432" s="1" t="str">
        <f t="shared" si="0"/>
        <v>Staffordshire CC</v>
      </c>
      <c r="B432" s="1" t="s">
        <v>185</v>
      </c>
      <c r="C432" s="1" t="s">
        <v>1394</v>
      </c>
      <c r="D432" s="297"/>
      <c r="E432" s="297"/>
      <c r="F432" s="297"/>
      <c r="G432" s="297"/>
      <c r="H432" s="297"/>
      <c r="I432" s="297"/>
      <c r="J432" s="297"/>
    </row>
    <row r="433" spans="1:10" ht="15" x14ac:dyDescent="0.2">
      <c r="A433" s="1" t="str">
        <f t="shared" si="0"/>
        <v>Suffolk CC</v>
      </c>
      <c r="B433" s="1" t="s">
        <v>1395</v>
      </c>
      <c r="C433" s="1" t="s">
        <v>1396</v>
      </c>
      <c r="D433" s="297"/>
      <c r="E433" s="297"/>
      <c r="F433" s="297"/>
      <c r="G433" s="297"/>
      <c r="H433" s="297"/>
      <c r="I433" s="297"/>
      <c r="J433" s="297"/>
    </row>
    <row r="434" spans="1:10" ht="15" x14ac:dyDescent="0.2">
      <c r="A434" s="1" t="str">
        <f t="shared" si="0"/>
        <v>Surrey CC</v>
      </c>
      <c r="B434" s="1" t="s">
        <v>1397</v>
      </c>
      <c r="C434" s="1" t="s">
        <v>1398</v>
      </c>
      <c r="D434" s="297"/>
      <c r="E434" s="297"/>
      <c r="F434" s="297"/>
      <c r="G434" s="297"/>
      <c r="H434" s="297"/>
      <c r="I434" s="297"/>
      <c r="J434" s="297"/>
    </row>
    <row r="435" spans="1:10" ht="15" x14ac:dyDescent="0.2">
      <c r="A435" s="1" t="str">
        <f t="shared" si="0"/>
        <v>Warwickshire CC</v>
      </c>
      <c r="B435" s="1" t="s">
        <v>1399</v>
      </c>
      <c r="C435" s="1" t="s">
        <v>1400</v>
      </c>
      <c r="D435" s="297"/>
      <c r="E435" s="297"/>
      <c r="F435" s="297"/>
      <c r="G435" s="297"/>
      <c r="H435" s="297"/>
      <c r="I435" s="297"/>
      <c r="J435" s="297"/>
    </row>
    <row r="436" spans="1:10" ht="15" x14ac:dyDescent="0.2">
      <c r="A436" s="1" t="str">
        <f t="shared" si="0"/>
        <v>West Sussex CC</v>
      </c>
      <c r="B436" s="1" t="s">
        <v>1401</v>
      </c>
      <c r="C436" s="1" t="s">
        <v>1402</v>
      </c>
      <c r="D436" s="297"/>
      <c r="E436" s="297"/>
      <c r="F436" s="297"/>
      <c r="G436" s="297"/>
      <c r="H436" s="297"/>
      <c r="I436" s="297"/>
      <c r="J436" s="297"/>
    </row>
    <row r="437" spans="1:10" ht="16" thickBot="1" x14ac:dyDescent="0.25">
      <c r="A437" s="1" t="str">
        <f t="shared" si="0"/>
        <v>Worcestershire CC</v>
      </c>
      <c r="B437" s="1" t="s">
        <v>590</v>
      </c>
      <c r="C437" s="1" t="s">
        <v>1403</v>
      </c>
      <c r="D437" s="297"/>
      <c r="E437" s="297"/>
      <c r="F437" s="297"/>
      <c r="G437" s="297"/>
      <c r="H437" s="297"/>
      <c r="I437" s="297"/>
      <c r="J437" s="297"/>
    </row>
    <row r="438" spans="1:10" ht="15" x14ac:dyDescent="0.2">
      <c r="A438" s="297" t="s">
        <v>1404</v>
      </c>
      <c r="B438" s="297" t="s">
        <v>1405</v>
      </c>
      <c r="C438" s="305" t="str">
        <f t="shared" ref="C438:C469" si="1">A438&amp;D438</f>
        <v>Babergh &amp; Mid Suffolk1966</v>
      </c>
      <c r="D438" s="306">
        <v>1966</v>
      </c>
      <c r="E438" s="307" t="str">
        <f t="shared" ref="E438:E470" si="2">B438</f>
        <v>JSP033</v>
      </c>
      <c r="F438" s="297"/>
      <c r="G438" s="297"/>
      <c r="H438" s="297"/>
      <c r="I438" s="297"/>
      <c r="J438" s="297"/>
    </row>
    <row r="439" spans="1:10" ht="15" x14ac:dyDescent="0.2">
      <c r="A439" s="297" t="s">
        <v>859</v>
      </c>
      <c r="B439" s="297" t="s">
        <v>862</v>
      </c>
      <c r="C439" s="308" t="str">
        <f t="shared" si="1"/>
        <v>Central Lancashire842</v>
      </c>
      <c r="D439" s="309">
        <v>842</v>
      </c>
      <c r="E439" s="310" t="str">
        <f t="shared" si="2"/>
        <v>JSP002</v>
      </c>
      <c r="F439" s="297"/>
      <c r="G439" s="297"/>
      <c r="H439" s="297"/>
      <c r="I439" s="297"/>
      <c r="J439" s="297"/>
    </row>
    <row r="440" spans="1:10" ht="15" x14ac:dyDescent="0.2">
      <c r="A440" s="297" t="s">
        <v>268</v>
      </c>
      <c r="B440" s="297" t="s">
        <v>269</v>
      </c>
      <c r="C440" s="308" t="str">
        <f t="shared" si="1"/>
        <v>Central Lincolnshire1753</v>
      </c>
      <c r="D440" s="309">
        <v>1753</v>
      </c>
      <c r="E440" s="310" t="str">
        <f t="shared" si="2"/>
        <v>JSP003</v>
      </c>
      <c r="F440" s="297"/>
      <c r="G440" s="297"/>
      <c r="H440" s="297"/>
      <c r="I440" s="297"/>
      <c r="J440" s="297"/>
    </row>
    <row r="441" spans="1:10" ht="15" x14ac:dyDescent="0.2">
      <c r="A441" s="297" t="s">
        <v>268</v>
      </c>
      <c r="B441" s="297" t="s">
        <v>1406</v>
      </c>
      <c r="C441" s="308" t="str">
        <f t="shared" si="1"/>
        <v>Central Lincolnshire1486</v>
      </c>
      <c r="D441" s="309">
        <v>1486</v>
      </c>
      <c r="E441" s="310" t="str">
        <f t="shared" si="2"/>
        <v>JSP031</v>
      </c>
      <c r="F441" s="297"/>
      <c r="G441" s="297"/>
      <c r="H441" s="297"/>
      <c r="I441" s="297"/>
      <c r="J441" s="297"/>
    </row>
    <row r="442" spans="1:10" ht="15" x14ac:dyDescent="0.2">
      <c r="A442" s="297" t="s">
        <v>579</v>
      </c>
      <c r="B442" s="297" t="s">
        <v>1407</v>
      </c>
      <c r="C442" s="308" t="str">
        <f t="shared" si="1"/>
        <v>Chiltern and South Bucks1940</v>
      </c>
      <c r="D442" s="309">
        <v>1940</v>
      </c>
      <c r="E442" s="310" t="str">
        <f t="shared" si="2"/>
        <v>JSP014</v>
      </c>
      <c r="F442" s="297"/>
      <c r="G442" s="297"/>
      <c r="H442" s="297"/>
      <c r="I442" s="297"/>
      <c r="J442" s="297"/>
    </row>
    <row r="443" spans="1:10" ht="15" x14ac:dyDescent="0.2">
      <c r="A443" s="297" t="s">
        <v>1408</v>
      </c>
      <c r="B443" s="297" t="s">
        <v>1407</v>
      </c>
      <c r="C443" s="308" t="str">
        <f t="shared" si="1"/>
        <v>Christchurch and East Dorset398</v>
      </c>
      <c r="D443" s="309">
        <v>398</v>
      </c>
      <c r="E443" s="310" t="str">
        <f t="shared" si="2"/>
        <v>JSP014</v>
      </c>
      <c r="F443" s="297"/>
      <c r="G443" s="297"/>
      <c r="H443" s="297"/>
      <c r="I443" s="297"/>
      <c r="J443" s="297"/>
    </row>
    <row r="444" spans="1:10" ht="15" x14ac:dyDescent="0.2">
      <c r="A444" s="297" t="s">
        <v>1409</v>
      </c>
      <c r="B444" s="297" t="s">
        <v>1410</v>
      </c>
      <c r="C444" s="308" t="str">
        <f t="shared" si="1"/>
        <v>Devon JSP</v>
      </c>
      <c r="D444" s="309"/>
      <c r="E444" s="310" t="str">
        <f t="shared" si="2"/>
        <v>JSP005</v>
      </c>
      <c r="F444" s="297"/>
      <c r="G444" s="297"/>
      <c r="H444" s="297"/>
      <c r="I444" s="297"/>
      <c r="J444" s="297"/>
    </row>
    <row r="445" spans="1:10" ht="15" x14ac:dyDescent="0.2">
      <c r="A445" s="297" t="s">
        <v>1411</v>
      </c>
      <c r="B445" s="297" t="s">
        <v>1412</v>
      </c>
      <c r="C445" s="308" t="str">
        <f t="shared" si="1"/>
        <v>East Hampshire and South Downs National Park919</v>
      </c>
      <c r="D445" s="309">
        <v>919</v>
      </c>
      <c r="E445" s="310" t="str">
        <f t="shared" si="2"/>
        <v>JSP006</v>
      </c>
      <c r="F445" s="297"/>
      <c r="G445" s="297"/>
      <c r="H445" s="297"/>
      <c r="I445" s="297"/>
      <c r="J445" s="297"/>
    </row>
    <row r="446" spans="1:10" ht="15" x14ac:dyDescent="0.2">
      <c r="A446" s="297" t="s">
        <v>1413</v>
      </c>
      <c r="B446" s="297" t="s">
        <v>1414</v>
      </c>
      <c r="C446" s="308" t="str">
        <f t="shared" si="1"/>
        <v>Gloucester, Cheltenham and Tewkesbury1109</v>
      </c>
      <c r="D446" s="309">
        <v>1109</v>
      </c>
      <c r="E446" s="310" t="str">
        <f t="shared" si="2"/>
        <v>JSP008</v>
      </c>
      <c r="F446" s="297"/>
      <c r="G446" s="297"/>
      <c r="H446" s="297"/>
      <c r="I446" s="297"/>
      <c r="J446" s="297"/>
    </row>
    <row r="447" spans="1:10" ht="15" x14ac:dyDescent="0.2">
      <c r="A447" s="297" t="s">
        <v>1413</v>
      </c>
      <c r="B447" s="297" t="s">
        <v>1415</v>
      </c>
      <c r="C447" s="308" t="str">
        <f t="shared" si="1"/>
        <v>Gloucester, Cheltenham and Tewkesbury</v>
      </c>
      <c r="D447" s="309"/>
      <c r="E447" s="310" t="str">
        <f t="shared" si="2"/>
        <v>JSP026</v>
      </c>
      <c r="F447" s="297"/>
      <c r="G447" s="297"/>
      <c r="H447" s="297"/>
      <c r="I447" s="297"/>
      <c r="J447" s="297"/>
    </row>
    <row r="448" spans="1:10" ht="15" x14ac:dyDescent="0.2">
      <c r="A448" s="297" t="s">
        <v>1416</v>
      </c>
      <c r="B448" s="297" t="s">
        <v>1417</v>
      </c>
      <c r="C448" s="308" t="str">
        <f t="shared" si="1"/>
        <v>Greater Manchester Spatial</v>
      </c>
      <c r="D448" s="309"/>
      <c r="E448" s="310" t="str">
        <f t="shared" si="2"/>
        <v>JSP009</v>
      </c>
      <c r="F448" s="297"/>
      <c r="G448" s="297"/>
      <c r="H448" s="297"/>
      <c r="I448" s="297"/>
      <c r="J448" s="297"/>
    </row>
    <row r="449" spans="1:10" ht="15" x14ac:dyDescent="0.2">
      <c r="A449" s="297" t="s">
        <v>1418</v>
      </c>
      <c r="B449" s="297" t="s">
        <v>1419</v>
      </c>
      <c r="C449" s="308" t="str">
        <f t="shared" si="1"/>
        <v>Greater Norwich Partnership1055</v>
      </c>
      <c r="D449" s="309">
        <v>1055</v>
      </c>
      <c r="E449" s="310" t="str">
        <f t="shared" si="2"/>
        <v>JSP010</v>
      </c>
      <c r="F449" s="297"/>
      <c r="G449" s="297"/>
      <c r="H449" s="297"/>
      <c r="I449" s="297"/>
      <c r="J449" s="297"/>
    </row>
    <row r="450" spans="1:10" ht="15" x14ac:dyDescent="0.2">
      <c r="A450" s="297" t="s">
        <v>1418</v>
      </c>
      <c r="B450" s="297" t="s">
        <v>1420</v>
      </c>
      <c r="C450" s="308" t="str">
        <f t="shared" si="1"/>
        <v>Greater Norwich Partnership1350</v>
      </c>
      <c r="D450" s="309">
        <v>1350</v>
      </c>
      <c r="E450" s="310" t="str">
        <f t="shared" si="2"/>
        <v>JSP011</v>
      </c>
      <c r="F450" s="297"/>
      <c r="G450" s="297"/>
      <c r="H450" s="297"/>
      <c r="I450" s="297"/>
      <c r="J450" s="297"/>
    </row>
    <row r="451" spans="1:10" ht="15" x14ac:dyDescent="0.2">
      <c r="A451" s="297" t="s">
        <v>1421</v>
      </c>
      <c r="B451" s="297" t="s">
        <v>907</v>
      </c>
      <c r="C451" s="308" t="str">
        <f t="shared" si="1"/>
        <v>Greater Nottingham Aligned1052</v>
      </c>
      <c r="D451" s="309">
        <v>1052</v>
      </c>
      <c r="E451" s="310" t="str">
        <f t="shared" si="2"/>
        <v>JSP012</v>
      </c>
      <c r="F451" s="297"/>
      <c r="G451" s="297"/>
      <c r="H451" s="297"/>
      <c r="I451" s="297"/>
      <c r="J451" s="297"/>
    </row>
    <row r="452" spans="1:10" ht="15" x14ac:dyDescent="0.2">
      <c r="A452" s="297" t="s">
        <v>1422</v>
      </c>
      <c r="B452" s="297" t="s">
        <v>1423</v>
      </c>
      <c r="C452" s="308" t="str">
        <f t="shared" si="1"/>
        <v>Joint Black Country766</v>
      </c>
      <c r="D452" s="309">
        <v>766</v>
      </c>
      <c r="E452" s="310" t="str">
        <f t="shared" si="2"/>
        <v>JSP013</v>
      </c>
      <c r="F452" s="297"/>
      <c r="G452" s="297"/>
      <c r="H452" s="297"/>
      <c r="I452" s="297"/>
      <c r="J452" s="297"/>
    </row>
    <row r="453" spans="1:10" ht="15" x14ac:dyDescent="0.2">
      <c r="A453" s="297" t="s">
        <v>1422</v>
      </c>
      <c r="B453" s="297" t="s">
        <v>1424</v>
      </c>
      <c r="C453" s="308" t="str">
        <f t="shared" si="1"/>
        <v>Joint Black Country</v>
      </c>
      <c r="D453" s="309"/>
      <c r="E453" s="310" t="str">
        <f t="shared" si="2"/>
        <v>JSP028</v>
      </c>
      <c r="F453" s="297"/>
      <c r="G453" s="297"/>
      <c r="H453" s="297"/>
      <c r="I453" s="297"/>
      <c r="J453" s="297"/>
    </row>
    <row r="454" spans="1:10" ht="15" x14ac:dyDescent="0.2">
      <c r="A454" s="297" t="s">
        <v>1425</v>
      </c>
      <c r="B454" s="297" t="s">
        <v>1426</v>
      </c>
      <c r="C454" s="308" t="str">
        <f t="shared" si="1"/>
        <v>Lewes with South Downs National Park623</v>
      </c>
      <c r="D454" s="309">
        <v>623</v>
      </c>
      <c r="E454" s="310" t="str">
        <f t="shared" si="2"/>
        <v>JSP015</v>
      </c>
      <c r="F454" s="297"/>
      <c r="G454" s="297"/>
      <c r="H454" s="297"/>
      <c r="I454" s="297"/>
      <c r="J454" s="297"/>
    </row>
    <row r="455" spans="1:10" ht="15" x14ac:dyDescent="0.2">
      <c r="A455" s="297" t="s">
        <v>1427</v>
      </c>
      <c r="B455" s="297" t="s">
        <v>1428</v>
      </c>
      <c r="C455" s="308" t="str">
        <f t="shared" si="1"/>
        <v>Mid Sussex and South Downs National Park47</v>
      </c>
      <c r="D455" s="309">
        <v>47</v>
      </c>
      <c r="E455" s="310" t="str">
        <f t="shared" si="2"/>
        <v>JSP016</v>
      </c>
      <c r="F455" s="297"/>
      <c r="G455" s="297"/>
      <c r="H455" s="297"/>
      <c r="I455" s="297"/>
      <c r="J455" s="297"/>
    </row>
    <row r="456" spans="1:10" ht="15" x14ac:dyDescent="0.2">
      <c r="A456" s="297" t="s">
        <v>1429</v>
      </c>
      <c r="B456" s="297" t="s">
        <v>1430</v>
      </c>
      <c r="C456" s="308" t="str">
        <f t="shared" si="1"/>
        <v>Newcastle / Gateshead1501</v>
      </c>
      <c r="D456" s="309">
        <v>1501</v>
      </c>
      <c r="E456" s="310" t="str">
        <f t="shared" si="2"/>
        <v>JSP007</v>
      </c>
      <c r="F456" s="297"/>
      <c r="G456" s="297"/>
      <c r="H456" s="297"/>
      <c r="I456" s="297"/>
      <c r="J456" s="297"/>
    </row>
    <row r="457" spans="1:10" ht="15" x14ac:dyDescent="0.2">
      <c r="A457" s="297" t="s">
        <v>1431</v>
      </c>
      <c r="B457" s="297" t="s">
        <v>1432</v>
      </c>
      <c r="C457" s="308" t="str">
        <f t="shared" si="1"/>
        <v>Newcastle-Under-Lyme and Stoke On Trent550</v>
      </c>
      <c r="D457" s="309">
        <v>550</v>
      </c>
      <c r="E457" s="310" t="str">
        <f t="shared" si="2"/>
        <v>JSP017</v>
      </c>
      <c r="F457" s="297"/>
      <c r="G457" s="297"/>
      <c r="H457" s="297"/>
      <c r="I457" s="297"/>
      <c r="J457" s="297"/>
    </row>
    <row r="458" spans="1:10" ht="15" x14ac:dyDescent="0.2">
      <c r="A458" s="297" t="s">
        <v>1431</v>
      </c>
      <c r="B458" s="297" t="s">
        <v>1433</v>
      </c>
      <c r="C458" s="308" t="str">
        <f t="shared" si="1"/>
        <v>Newcastle-Under-Lyme and Stoke On Trent</v>
      </c>
      <c r="D458" s="309"/>
      <c r="E458" s="310" t="str">
        <f t="shared" si="2"/>
        <v>JSP029</v>
      </c>
      <c r="F458" s="297"/>
      <c r="G458" s="297"/>
      <c r="H458" s="297"/>
      <c r="I458" s="297"/>
      <c r="J458" s="297"/>
    </row>
    <row r="459" spans="1:10" ht="15" x14ac:dyDescent="0.2">
      <c r="A459" s="297" t="s">
        <v>257</v>
      </c>
      <c r="B459" s="297" t="s">
        <v>258</v>
      </c>
      <c r="C459" s="308" t="str">
        <f t="shared" si="1"/>
        <v>North Devon and Torridge1585</v>
      </c>
      <c r="D459" s="309">
        <v>1585</v>
      </c>
      <c r="E459" s="310" t="str">
        <f t="shared" si="2"/>
        <v>JSP018</v>
      </c>
      <c r="F459" s="297"/>
      <c r="G459" s="297"/>
      <c r="H459" s="297"/>
      <c r="I459" s="297"/>
      <c r="J459" s="297"/>
    </row>
    <row r="460" spans="1:10" ht="15" x14ac:dyDescent="0.2">
      <c r="A460" s="22" t="s">
        <v>138</v>
      </c>
      <c r="B460" s="297" t="s">
        <v>140</v>
      </c>
      <c r="C460" s="308" t="str">
        <f t="shared" si="1"/>
        <v>North Northamptonshire1367</v>
      </c>
      <c r="D460" s="309">
        <v>1367</v>
      </c>
      <c r="E460" s="310" t="str">
        <f t="shared" si="2"/>
        <v>JSP019</v>
      </c>
      <c r="F460" s="297"/>
      <c r="G460" s="297"/>
      <c r="H460" s="297"/>
      <c r="I460" s="297"/>
      <c r="J460" s="297"/>
    </row>
    <row r="461" spans="1:10" ht="15" x14ac:dyDescent="0.2">
      <c r="A461" s="297" t="s">
        <v>138</v>
      </c>
      <c r="B461" s="297" t="s">
        <v>1434</v>
      </c>
      <c r="C461" s="308" t="str">
        <f t="shared" si="1"/>
        <v>North Northamptonshire434</v>
      </c>
      <c r="D461" s="309">
        <v>434</v>
      </c>
      <c r="E461" s="310" t="str">
        <f t="shared" si="2"/>
        <v>JSP032</v>
      </c>
      <c r="F461" s="297"/>
      <c r="G461" s="297"/>
      <c r="H461" s="297"/>
      <c r="I461" s="297"/>
      <c r="J461" s="297"/>
    </row>
    <row r="462" spans="1:10" ht="15" x14ac:dyDescent="0.2">
      <c r="A462" s="297" t="s">
        <v>393</v>
      </c>
      <c r="B462" s="297" t="s">
        <v>942</v>
      </c>
      <c r="C462" s="308" t="str">
        <f t="shared" si="1"/>
        <v>Plymouth and South West Devon1819</v>
      </c>
      <c r="D462" s="309">
        <v>1819</v>
      </c>
      <c r="E462" s="310" t="str">
        <f t="shared" si="2"/>
        <v>JSP020</v>
      </c>
      <c r="F462" s="297"/>
      <c r="G462" s="297"/>
      <c r="H462" s="297"/>
      <c r="I462" s="297"/>
      <c r="J462" s="297"/>
    </row>
    <row r="463" spans="1:10" ht="15" x14ac:dyDescent="0.2">
      <c r="A463" s="297" t="s">
        <v>385</v>
      </c>
      <c r="B463" s="297" t="s">
        <v>1435</v>
      </c>
      <c r="C463" s="308" t="str">
        <f t="shared" si="1"/>
        <v>South East Lincs1833</v>
      </c>
      <c r="D463" s="309">
        <v>1833</v>
      </c>
      <c r="E463" s="310" t="str">
        <f t="shared" si="2"/>
        <v>JSP021</v>
      </c>
      <c r="F463" s="297"/>
      <c r="G463" s="297"/>
      <c r="H463" s="297"/>
      <c r="I463" s="297"/>
      <c r="J463" s="297"/>
    </row>
    <row r="464" spans="1:10" ht="15" x14ac:dyDescent="0.2">
      <c r="A464" s="297" t="s">
        <v>744</v>
      </c>
      <c r="B464" s="297" t="s">
        <v>747</v>
      </c>
      <c r="C464" s="308" t="str">
        <f t="shared" si="1"/>
        <v>South Worcestershire</v>
      </c>
      <c r="D464" s="309"/>
      <c r="E464" s="310" t="str">
        <f t="shared" si="2"/>
        <v>JSP022</v>
      </c>
      <c r="F464" s="297"/>
      <c r="G464" s="297"/>
      <c r="H464" s="297"/>
      <c r="I464" s="297"/>
      <c r="J464" s="297"/>
    </row>
    <row r="465" spans="1:10" ht="15" x14ac:dyDescent="0.2">
      <c r="A465" s="297" t="s">
        <v>744</v>
      </c>
      <c r="B465" s="297" t="s">
        <v>1436</v>
      </c>
      <c r="C465" s="308" t="str">
        <f t="shared" si="1"/>
        <v>South Worcestershire1402</v>
      </c>
      <c r="D465" s="309">
        <v>1402</v>
      </c>
      <c r="E465" s="310" t="str">
        <f t="shared" si="2"/>
        <v>JSP030</v>
      </c>
      <c r="F465" s="297"/>
      <c r="G465" s="297"/>
      <c r="H465" s="297"/>
      <c r="I465" s="297"/>
      <c r="J465" s="297"/>
    </row>
    <row r="466" spans="1:10" ht="15" x14ac:dyDescent="0.2">
      <c r="A466" s="297" t="s">
        <v>1437</v>
      </c>
      <c r="B466" s="297" t="s">
        <v>1438</v>
      </c>
      <c r="C466" s="308" t="str">
        <f t="shared" si="1"/>
        <v>West Dorset, Weymouth and Portland1319</v>
      </c>
      <c r="D466" s="309">
        <v>1319</v>
      </c>
      <c r="E466" s="310" t="str">
        <f t="shared" si="2"/>
        <v>JSP023</v>
      </c>
      <c r="F466" s="297"/>
      <c r="G466" s="297"/>
      <c r="H466" s="297"/>
      <c r="I466" s="297"/>
      <c r="J466" s="297"/>
    </row>
    <row r="467" spans="1:10" ht="15" x14ac:dyDescent="0.2">
      <c r="A467" s="297" t="s">
        <v>1439</v>
      </c>
      <c r="B467" s="297" t="s">
        <v>1440</v>
      </c>
      <c r="C467" s="308" t="str">
        <f t="shared" si="1"/>
        <v>West Northamptonshire803</v>
      </c>
      <c r="D467" s="309">
        <v>803</v>
      </c>
      <c r="E467" s="310" t="str">
        <f t="shared" si="2"/>
        <v>JSP024</v>
      </c>
      <c r="F467" s="297"/>
      <c r="G467" s="297"/>
      <c r="H467" s="297"/>
      <c r="I467" s="297"/>
      <c r="J467" s="297"/>
    </row>
    <row r="468" spans="1:10" ht="15" x14ac:dyDescent="0.2">
      <c r="A468" s="297" t="s">
        <v>469</v>
      </c>
      <c r="B468" s="297" t="s">
        <v>1441</v>
      </c>
      <c r="C468" s="308" t="str">
        <f t="shared" si="1"/>
        <v>West of England1873</v>
      </c>
      <c r="D468" s="309">
        <v>1873</v>
      </c>
      <c r="E468" s="310" t="str">
        <f t="shared" si="2"/>
        <v>JSP025</v>
      </c>
      <c r="F468" s="297"/>
      <c r="G468" s="297"/>
      <c r="H468" s="297"/>
      <c r="I468" s="297"/>
      <c r="J468" s="297"/>
    </row>
    <row r="469" spans="1:10" ht="15" x14ac:dyDescent="0.2">
      <c r="A469" s="297" t="s">
        <v>1442</v>
      </c>
      <c r="B469" s="297" t="s">
        <v>1443</v>
      </c>
      <c r="C469" s="308" t="str">
        <f t="shared" si="1"/>
        <v>Broadland, Norwich, S Norfolk2254</v>
      </c>
      <c r="D469" s="309">
        <v>2254</v>
      </c>
      <c r="E469" s="310" t="str">
        <f t="shared" si="2"/>
        <v>JSP034</v>
      </c>
      <c r="F469" s="297"/>
      <c r="G469" s="297"/>
      <c r="H469" s="297"/>
      <c r="I469" s="297"/>
      <c r="J469" s="297"/>
    </row>
    <row r="470" spans="1:10" ht="16" thickBot="1" x14ac:dyDescent="0.25">
      <c r="A470" s="297" t="s">
        <v>1444</v>
      </c>
      <c r="B470" s="297" t="s">
        <v>1445</v>
      </c>
      <c r="C470" s="311"/>
      <c r="D470" s="312"/>
      <c r="E470" s="313" t="str">
        <f t="shared" si="2"/>
        <v>JSP035</v>
      </c>
      <c r="F470" s="297"/>
      <c r="G470" s="297"/>
      <c r="H470" s="297"/>
      <c r="I470" s="297"/>
      <c r="J470" s="297"/>
    </row>
    <row r="471" spans="1:10" ht="15" x14ac:dyDescent="0.2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</row>
    <row r="472" spans="1:10" ht="15" x14ac:dyDescent="0.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</row>
    <row r="473" spans="1:10" ht="15" x14ac:dyDescent="0.2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</row>
    <row r="474" spans="1:10" ht="15" x14ac:dyDescent="0.2">
      <c r="A474" s="297" t="s">
        <v>1446</v>
      </c>
      <c r="B474" s="297" t="s">
        <v>782</v>
      </c>
      <c r="C474" s="297"/>
      <c r="D474" s="297"/>
      <c r="E474" s="297"/>
      <c r="F474" s="297"/>
      <c r="G474" s="297"/>
      <c r="H474" s="297"/>
      <c r="I474" s="297"/>
      <c r="J474" s="297"/>
    </row>
    <row r="475" spans="1:10" ht="15" x14ac:dyDescent="0.2">
      <c r="A475" s="297" t="s">
        <v>1447</v>
      </c>
      <c r="B475" s="297" t="s">
        <v>362</v>
      </c>
      <c r="C475" s="297"/>
      <c r="D475" s="297"/>
      <c r="E475" s="297"/>
      <c r="F475" s="297"/>
      <c r="G475" s="297"/>
      <c r="H475" s="297"/>
      <c r="I475" s="297"/>
      <c r="J475" s="297"/>
    </row>
    <row r="476" spans="1:10" ht="31.25" customHeight="1" x14ac:dyDescent="0.2">
      <c r="A476" s="314" t="s">
        <v>1448</v>
      </c>
      <c r="B476" s="1" t="s">
        <v>1373</v>
      </c>
      <c r="C476" s="297"/>
      <c r="D476" s="297"/>
      <c r="E476" s="297"/>
      <c r="F476" s="297"/>
      <c r="G476" s="297"/>
      <c r="H476" s="297"/>
      <c r="I476" s="297"/>
      <c r="J476" s="297"/>
    </row>
    <row r="477" spans="1:10" ht="15" x14ac:dyDescent="0.2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</row>
    <row r="478" spans="1:10" ht="15" x14ac:dyDescent="0.2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</row>
  </sheetData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F60B-0AF5-4127-A63F-AEF6B3FDABAA}">
  <dimension ref="A1:H360"/>
  <sheetViews>
    <sheetView workbookViewId="0">
      <selection sqref="A1:H360"/>
    </sheetView>
  </sheetViews>
  <sheetFormatPr baseColWidth="10" defaultColWidth="8.83203125" defaultRowHeight="13" x14ac:dyDescent="0.15"/>
  <cols>
    <col min="1" max="1" width="12.33203125" customWidth="1"/>
    <col min="2" max="2" width="14.5" customWidth="1"/>
    <col min="3" max="3" width="13.6640625" customWidth="1"/>
    <col min="4" max="4" width="26.33203125" customWidth="1"/>
    <col min="5" max="5" width="25.33203125" customWidth="1"/>
    <col min="6" max="6" width="15.33203125" customWidth="1"/>
    <col min="7" max="7" width="27" customWidth="1"/>
    <col min="8" max="8" width="12.6640625" customWidth="1"/>
  </cols>
  <sheetData>
    <row r="1" spans="1:8" x14ac:dyDescent="0.15">
      <c r="A1" t="s">
        <v>1449</v>
      </c>
      <c r="B1" t="s">
        <v>1450</v>
      </c>
      <c r="C1" t="s">
        <v>1451</v>
      </c>
      <c r="D1" t="s">
        <v>1452</v>
      </c>
      <c r="E1" t="s">
        <v>1453</v>
      </c>
      <c r="F1" t="s">
        <v>1454</v>
      </c>
      <c r="G1" t="s">
        <v>1455</v>
      </c>
      <c r="H1" t="s">
        <v>1456</v>
      </c>
    </row>
    <row r="2" spans="1:8" x14ac:dyDescent="0.15">
      <c r="A2" t="s">
        <v>1457</v>
      </c>
      <c r="B2" t="s">
        <v>1458</v>
      </c>
      <c r="C2" t="s">
        <v>1459</v>
      </c>
      <c r="D2" t="s">
        <v>1460</v>
      </c>
      <c r="E2">
        <v>53.163360595703097</v>
      </c>
      <c r="F2" t="s">
        <v>1461</v>
      </c>
      <c r="G2">
        <v>-2.7029800415039</v>
      </c>
      <c r="H2" t="s">
        <v>447</v>
      </c>
    </row>
    <row r="3" spans="1:8" x14ac:dyDescent="0.15">
      <c r="A3" t="s">
        <v>1462</v>
      </c>
      <c r="B3" t="s">
        <v>1458</v>
      </c>
      <c r="C3" t="s">
        <v>1369</v>
      </c>
      <c r="D3" t="s">
        <v>1463</v>
      </c>
      <c r="E3">
        <v>53.255748748779297</v>
      </c>
      <c r="F3" t="s">
        <v>1464</v>
      </c>
      <c r="G3">
        <v>-1.40114998817443</v>
      </c>
      <c r="H3" t="s">
        <v>1465</v>
      </c>
    </row>
    <row r="4" spans="1:8" x14ac:dyDescent="0.15">
      <c r="A4" t="s">
        <v>1466</v>
      </c>
      <c r="B4" t="s">
        <v>1458</v>
      </c>
      <c r="C4" t="s">
        <v>1376</v>
      </c>
      <c r="D4" t="s">
        <v>1467</v>
      </c>
      <c r="E4">
        <v>51.877010345458899</v>
      </c>
      <c r="F4" t="s">
        <v>1468</v>
      </c>
      <c r="G4">
        <v>0.85977602005004805</v>
      </c>
      <c r="H4" t="s">
        <v>1469</v>
      </c>
    </row>
    <row r="5" spans="1:8" x14ac:dyDescent="0.15">
      <c r="A5" t="s">
        <v>1470</v>
      </c>
      <c r="B5" t="s">
        <v>1458</v>
      </c>
      <c r="C5" t="s">
        <v>1378</v>
      </c>
      <c r="D5" t="s">
        <v>1471</v>
      </c>
      <c r="E5">
        <v>50.853931427001903</v>
      </c>
      <c r="F5" t="s">
        <v>1472</v>
      </c>
      <c r="G5">
        <v>-1.2374199628829901</v>
      </c>
      <c r="H5" t="s">
        <v>1473</v>
      </c>
    </row>
    <row r="6" spans="1:8" x14ac:dyDescent="0.15">
      <c r="A6" t="s">
        <v>1474</v>
      </c>
      <c r="B6" t="s">
        <v>1458</v>
      </c>
      <c r="C6" t="s">
        <v>1380</v>
      </c>
      <c r="D6" t="s">
        <v>1467</v>
      </c>
      <c r="E6">
        <v>51.7684516906738</v>
      </c>
      <c r="F6" t="s">
        <v>1475</v>
      </c>
      <c r="G6">
        <v>-0.55097997188568104</v>
      </c>
      <c r="H6" t="s">
        <v>1476</v>
      </c>
    </row>
    <row r="7" spans="1:8" x14ac:dyDescent="0.15">
      <c r="A7" t="s">
        <v>1477</v>
      </c>
      <c r="B7" t="s">
        <v>1458</v>
      </c>
      <c r="C7" t="s">
        <v>563</v>
      </c>
      <c r="D7" t="s">
        <v>1471</v>
      </c>
      <c r="E7">
        <v>51.447708129882798</v>
      </c>
      <c r="F7" t="s">
        <v>1478</v>
      </c>
      <c r="G7">
        <v>0.56317299604415805</v>
      </c>
      <c r="H7" t="s">
        <v>1479</v>
      </c>
    </row>
    <row r="8" spans="1:8" x14ac:dyDescent="0.15">
      <c r="A8" t="s">
        <v>1480</v>
      </c>
      <c r="B8" t="s">
        <v>1458</v>
      </c>
      <c r="C8" t="s">
        <v>1383</v>
      </c>
      <c r="D8" t="s">
        <v>1460</v>
      </c>
      <c r="E8">
        <v>54.056198120117102</v>
      </c>
      <c r="F8" t="s">
        <v>1481</v>
      </c>
      <c r="G8">
        <v>-2.6944499015808101</v>
      </c>
      <c r="H8" t="s">
        <v>1482</v>
      </c>
    </row>
    <row r="9" spans="1:8" x14ac:dyDescent="0.15">
      <c r="A9" t="s">
        <v>1483</v>
      </c>
      <c r="B9" t="s">
        <v>1458</v>
      </c>
      <c r="C9" t="s">
        <v>1385</v>
      </c>
      <c r="D9" t="s">
        <v>1463</v>
      </c>
      <c r="E9">
        <v>52.667648315429602</v>
      </c>
      <c r="F9" t="s">
        <v>1484</v>
      </c>
      <c r="G9">
        <v>-0.62629997730255105</v>
      </c>
      <c r="H9" t="s">
        <v>1485</v>
      </c>
    </row>
    <row r="10" spans="1:8" x14ac:dyDescent="0.15">
      <c r="A10" t="s">
        <v>1486</v>
      </c>
      <c r="B10" t="s">
        <v>1458</v>
      </c>
      <c r="C10" t="s">
        <v>1386</v>
      </c>
      <c r="D10" t="s">
        <v>1463</v>
      </c>
      <c r="E10">
        <v>52.787578582763601</v>
      </c>
      <c r="F10" t="s">
        <v>1487</v>
      </c>
      <c r="G10">
        <v>-3.0579999089241E-2</v>
      </c>
      <c r="H10" t="s">
        <v>1488</v>
      </c>
    </row>
    <row r="11" spans="1:8" x14ac:dyDescent="0.15">
      <c r="A11" t="s">
        <v>1489</v>
      </c>
      <c r="B11" t="s">
        <v>1458</v>
      </c>
      <c r="C11" t="s">
        <v>1391</v>
      </c>
      <c r="D11" t="s">
        <v>1463</v>
      </c>
      <c r="E11">
        <v>53.356040954589801</v>
      </c>
      <c r="F11" t="s">
        <v>1490</v>
      </c>
      <c r="G11">
        <v>-0.97869998216628995</v>
      </c>
      <c r="H11" t="s">
        <v>1491</v>
      </c>
    </row>
    <row r="12" spans="1:8" x14ac:dyDescent="0.15">
      <c r="A12" t="s">
        <v>1492</v>
      </c>
      <c r="B12" t="s">
        <v>1458</v>
      </c>
      <c r="C12" t="s">
        <v>1398</v>
      </c>
      <c r="D12" t="s">
        <v>1471</v>
      </c>
      <c r="E12">
        <v>51.3083686828613</v>
      </c>
      <c r="F12" t="s">
        <v>1493</v>
      </c>
      <c r="G12">
        <v>-0.57981997728347701</v>
      </c>
      <c r="H12" t="s">
        <v>1494</v>
      </c>
    </row>
    <row r="13" spans="1:8" x14ac:dyDescent="0.15">
      <c r="A13" t="s">
        <v>1495</v>
      </c>
      <c r="B13" t="s">
        <v>1458</v>
      </c>
      <c r="C13" t="s">
        <v>1496</v>
      </c>
      <c r="D13" t="s">
        <v>1497</v>
      </c>
      <c r="E13">
        <v>54.969879150390597</v>
      </c>
      <c r="F13" t="s">
        <v>1498</v>
      </c>
      <c r="G13">
        <v>-1.44695997238159</v>
      </c>
      <c r="H13" t="s">
        <v>1499</v>
      </c>
    </row>
    <row r="14" spans="1:8" x14ac:dyDescent="0.15">
      <c r="A14" t="s">
        <v>1500</v>
      </c>
      <c r="B14" t="s">
        <v>1458</v>
      </c>
      <c r="C14" t="s">
        <v>1501</v>
      </c>
      <c r="D14" t="s">
        <v>1502</v>
      </c>
      <c r="E14">
        <v>53.720481872558501</v>
      </c>
      <c r="F14" t="s">
        <v>1503</v>
      </c>
      <c r="G14">
        <v>-1.96182000637054</v>
      </c>
      <c r="H14" t="s">
        <v>1504</v>
      </c>
    </row>
    <row r="15" spans="1:8" x14ac:dyDescent="0.15">
      <c r="A15" t="s">
        <v>1505</v>
      </c>
      <c r="B15" t="s">
        <v>1458</v>
      </c>
      <c r="C15" t="s">
        <v>1506</v>
      </c>
      <c r="D15" t="s">
        <v>1506</v>
      </c>
      <c r="E15">
        <v>51.525859832763601</v>
      </c>
      <c r="F15" t="s">
        <v>1507</v>
      </c>
      <c r="G15">
        <v>-0.33217999339103699</v>
      </c>
      <c r="H15" t="s">
        <v>1508</v>
      </c>
    </row>
    <row r="16" spans="1:8" x14ac:dyDescent="0.15">
      <c r="A16" t="s">
        <v>1509</v>
      </c>
      <c r="B16" t="s">
        <v>1458</v>
      </c>
      <c r="C16" t="s">
        <v>1506</v>
      </c>
      <c r="D16" t="s">
        <v>1506</v>
      </c>
      <c r="E16">
        <v>51.4658813476562</v>
      </c>
      <c r="F16" t="s">
        <v>1507</v>
      </c>
      <c r="G16">
        <v>-7.3090001940727206E-2</v>
      </c>
      <c r="H16" t="s">
        <v>1510</v>
      </c>
    </row>
    <row r="17" spans="1:8" x14ac:dyDescent="0.15">
      <c r="A17" t="s">
        <v>1511</v>
      </c>
      <c r="B17" t="s">
        <v>1458</v>
      </c>
      <c r="C17" t="s">
        <v>1512</v>
      </c>
      <c r="D17" t="s">
        <v>1467</v>
      </c>
      <c r="E17">
        <v>51.891021728515597</v>
      </c>
      <c r="F17" t="s">
        <v>1513</v>
      </c>
      <c r="G17">
        <v>-0.423189997673034</v>
      </c>
      <c r="H17" t="s">
        <v>1514</v>
      </c>
    </row>
    <row r="18" spans="1:8" x14ac:dyDescent="0.15">
      <c r="A18" t="s">
        <v>1515</v>
      </c>
      <c r="B18" t="s">
        <v>1458</v>
      </c>
      <c r="C18" t="s">
        <v>1374</v>
      </c>
      <c r="D18" t="s">
        <v>1471</v>
      </c>
      <c r="E18">
        <v>50.867679595947202</v>
      </c>
      <c r="F18" t="s">
        <v>1516</v>
      </c>
      <c r="G18">
        <v>0.579428970813751</v>
      </c>
      <c r="H18" t="s">
        <v>1517</v>
      </c>
    </row>
    <row r="19" spans="1:8" x14ac:dyDescent="0.15">
      <c r="A19" t="s">
        <v>1518</v>
      </c>
      <c r="B19" t="s">
        <v>1458</v>
      </c>
      <c r="C19" t="s">
        <v>1376</v>
      </c>
      <c r="D19" t="s">
        <v>1467</v>
      </c>
      <c r="E19">
        <v>51.590930938720703</v>
      </c>
      <c r="F19" t="s">
        <v>1468</v>
      </c>
      <c r="G19">
        <v>0.68347299098968495</v>
      </c>
      <c r="H19" t="s">
        <v>1519</v>
      </c>
    </row>
    <row r="20" spans="1:8" x14ac:dyDescent="0.15">
      <c r="A20" t="s">
        <v>1520</v>
      </c>
      <c r="B20" t="s">
        <v>1458</v>
      </c>
      <c r="C20" t="s">
        <v>527</v>
      </c>
      <c r="D20" t="s">
        <v>1521</v>
      </c>
      <c r="E20">
        <v>51.898609161376903</v>
      </c>
      <c r="F20" t="s">
        <v>1522</v>
      </c>
      <c r="G20">
        <v>-2.0751500129699698</v>
      </c>
      <c r="H20" t="s">
        <v>1523</v>
      </c>
    </row>
    <row r="21" spans="1:8" x14ac:dyDescent="0.15">
      <c r="A21" t="s">
        <v>1524</v>
      </c>
      <c r="B21" t="s">
        <v>1458</v>
      </c>
      <c r="C21" t="s">
        <v>1378</v>
      </c>
      <c r="D21" t="s">
        <v>1471</v>
      </c>
      <c r="E21">
        <v>50.970130920410099</v>
      </c>
      <c r="F21" t="s">
        <v>1472</v>
      </c>
      <c r="G21">
        <v>-1.84152996540069</v>
      </c>
      <c r="H21" t="s">
        <v>1525</v>
      </c>
    </row>
    <row r="22" spans="1:8" x14ac:dyDescent="0.15">
      <c r="A22" t="s">
        <v>1526</v>
      </c>
      <c r="B22" t="s">
        <v>1458</v>
      </c>
      <c r="C22" t="s">
        <v>1380</v>
      </c>
      <c r="D22" t="s">
        <v>1467</v>
      </c>
      <c r="E22">
        <v>51.7735595703125</v>
      </c>
      <c r="F22" t="s">
        <v>1475</v>
      </c>
      <c r="G22">
        <v>-0.34070000052451999</v>
      </c>
      <c r="H22" t="s">
        <v>1527</v>
      </c>
    </row>
    <row r="23" spans="1:8" x14ac:dyDescent="0.15">
      <c r="A23" t="s">
        <v>1528</v>
      </c>
      <c r="B23" t="s">
        <v>1458</v>
      </c>
      <c r="C23" t="s">
        <v>1529</v>
      </c>
      <c r="D23" t="s">
        <v>1502</v>
      </c>
      <c r="E23">
        <v>53.523361206054602</v>
      </c>
      <c r="F23" t="s">
        <v>1530</v>
      </c>
      <c r="G23">
        <v>-0.13926999270915899</v>
      </c>
      <c r="H23" t="s">
        <v>1531</v>
      </c>
    </row>
    <row r="24" spans="1:8" x14ac:dyDescent="0.15">
      <c r="A24" t="s">
        <v>1532</v>
      </c>
      <c r="B24" t="s">
        <v>1458</v>
      </c>
      <c r="C24" t="s">
        <v>1383</v>
      </c>
      <c r="D24" t="s">
        <v>1460</v>
      </c>
      <c r="E24">
        <v>53.684780120849602</v>
      </c>
      <c r="F24" t="s">
        <v>1481</v>
      </c>
      <c r="G24">
        <v>-2.2614901065826398</v>
      </c>
      <c r="H24" t="s">
        <v>1533</v>
      </c>
    </row>
    <row r="25" spans="1:8" x14ac:dyDescent="0.15">
      <c r="A25" t="s">
        <v>1534</v>
      </c>
      <c r="B25" t="s">
        <v>1458</v>
      </c>
      <c r="C25" t="s">
        <v>1391</v>
      </c>
      <c r="D25" t="s">
        <v>1463</v>
      </c>
      <c r="E25">
        <v>53.109600067138601</v>
      </c>
      <c r="F25" t="s">
        <v>1490</v>
      </c>
      <c r="G25">
        <v>-0.94643002748489302</v>
      </c>
      <c r="H25" t="s">
        <v>1535</v>
      </c>
    </row>
    <row r="26" spans="1:8" x14ac:dyDescent="0.15">
      <c r="A26" t="s">
        <v>1536</v>
      </c>
      <c r="B26" t="s">
        <v>1458</v>
      </c>
      <c r="C26" t="s">
        <v>1394</v>
      </c>
      <c r="D26" t="s">
        <v>1537</v>
      </c>
      <c r="E26">
        <v>52.836509704589801</v>
      </c>
      <c r="F26" t="s">
        <v>1538</v>
      </c>
      <c r="G26">
        <v>-1.8143800497055</v>
      </c>
      <c r="H26" t="s">
        <v>1539</v>
      </c>
    </row>
    <row r="27" spans="1:8" x14ac:dyDescent="0.15">
      <c r="A27" t="s">
        <v>1540</v>
      </c>
      <c r="B27" t="s">
        <v>1458</v>
      </c>
      <c r="C27" t="s">
        <v>1394</v>
      </c>
      <c r="D27" t="s">
        <v>1537</v>
      </c>
      <c r="E27">
        <v>53.035160064697202</v>
      </c>
      <c r="F27" t="s">
        <v>1538</v>
      </c>
      <c r="G27">
        <v>-1.9978599548339799</v>
      </c>
      <c r="H27" t="s">
        <v>1541</v>
      </c>
    </row>
    <row r="28" spans="1:8" x14ac:dyDescent="0.15">
      <c r="A28" t="s">
        <v>1542</v>
      </c>
      <c r="B28" t="s">
        <v>1458</v>
      </c>
      <c r="C28" t="s">
        <v>1398</v>
      </c>
      <c r="D28" t="s">
        <v>1471</v>
      </c>
      <c r="E28">
        <v>51.268028259277301</v>
      </c>
      <c r="F28" t="s">
        <v>1493</v>
      </c>
      <c r="G28">
        <v>-0.339109987020492</v>
      </c>
      <c r="H28" t="s">
        <v>557</v>
      </c>
    </row>
    <row r="29" spans="1:8" x14ac:dyDescent="0.15">
      <c r="A29" t="s">
        <v>1543</v>
      </c>
      <c r="B29" t="s">
        <v>1458</v>
      </c>
      <c r="C29" t="s">
        <v>1544</v>
      </c>
      <c r="D29" t="s">
        <v>1460</v>
      </c>
      <c r="E29">
        <v>53.470088958740199</v>
      </c>
      <c r="F29" t="s">
        <v>1545</v>
      </c>
      <c r="G29">
        <v>-2.2335898876190101</v>
      </c>
      <c r="H29" t="s">
        <v>1546</v>
      </c>
    </row>
    <row r="30" spans="1:8" x14ac:dyDescent="0.15">
      <c r="A30" t="s">
        <v>1547</v>
      </c>
      <c r="B30" t="s">
        <v>1458</v>
      </c>
      <c r="C30" t="s">
        <v>1506</v>
      </c>
      <c r="D30" t="s">
        <v>1506</v>
      </c>
      <c r="E30">
        <v>51.565189361572202</v>
      </c>
      <c r="F30" t="s">
        <v>1507</v>
      </c>
      <c r="G30">
        <v>0.23536799848079601</v>
      </c>
      <c r="H30" t="s">
        <v>1548</v>
      </c>
    </row>
    <row r="31" spans="1:8" x14ac:dyDescent="0.15">
      <c r="A31" t="s">
        <v>1549</v>
      </c>
      <c r="B31" t="s">
        <v>1458</v>
      </c>
      <c r="C31" t="s">
        <v>1550</v>
      </c>
      <c r="D31" t="s">
        <v>1471</v>
      </c>
      <c r="E31">
        <v>50.875190734863203</v>
      </c>
      <c r="F31" t="s">
        <v>1551</v>
      </c>
      <c r="G31">
        <v>-1.59253001213073</v>
      </c>
      <c r="H31" t="s">
        <v>519</v>
      </c>
    </row>
    <row r="32" spans="1:8" x14ac:dyDescent="0.15">
      <c r="A32" t="s">
        <v>1552</v>
      </c>
      <c r="B32" t="s">
        <v>1458</v>
      </c>
      <c r="C32" t="s">
        <v>1369</v>
      </c>
      <c r="D32" t="s">
        <v>1463</v>
      </c>
      <c r="E32">
        <v>52.914638519287102</v>
      </c>
      <c r="F32" t="s">
        <v>1464</v>
      </c>
      <c r="G32">
        <v>-1.47188997268676</v>
      </c>
      <c r="H32" t="s">
        <v>1553</v>
      </c>
    </row>
    <row r="33" spans="1:8" x14ac:dyDescent="0.15">
      <c r="A33" t="s">
        <v>1554</v>
      </c>
      <c r="B33" t="s">
        <v>1458</v>
      </c>
      <c r="C33" t="s">
        <v>1374</v>
      </c>
      <c r="D33" t="s">
        <v>1471</v>
      </c>
      <c r="E33">
        <v>50.971790313720703</v>
      </c>
      <c r="F33" t="s">
        <v>1516</v>
      </c>
      <c r="G33">
        <v>0.206982001662254</v>
      </c>
      <c r="H33" t="s">
        <v>1555</v>
      </c>
    </row>
    <row r="34" spans="1:8" x14ac:dyDescent="0.15">
      <c r="A34" t="s">
        <v>1556</v>
      </c>
      <c r="B34" t="s">
        <v>1458</v>
      </c>
      <c r="C34" t="s">
        <v>1376</v>
      </c>
      <c r="D34" t="s">
        <v>1467</v>
      </c>
      <c r="E34">
        <v>51.935920715332003</v>
      </c>
      <c r="F34" t="s">
        <v>1468</v>
      </c>
      <c r="G34">
        <v>0.294485002756118</v>
      </c>
      <c r="H34" t="s">
        <v>1557</v>
      </c>
    </row>
    <row r="35" spans="1:8" x14ac:dyDescent="0.15">
      <c r="A35" t="s">
        <v>1558</v>
      </c>
      <c r="B35" t="s">
        <v>1458</v>
      </c>
      <c r="C35" t="s">
        <v>527</v>
      </c>
      <c r="D35" t="s">
        <v>1521</v>
      </c>
      <c r="E35">
        <v>51.720008850097599</v>
      </c>
      <c r="F35" t="s">
        <v>1522</v>
      </c>
      <c r="G35">
        <v>-2.3081998825073198</v>
      </c>
      <c r="H35" t="s">
        <v>1559</v>
      </c>
    </row>
    <row r="36" spans="1:8" x14ac:dyDescent="0.15">
      <c r="A36" t="s">
        <v>1560</v>
      </c>
      <c r="B36" t="s">
        <v>1458</v>
      </c>
      <c r="C36" t="s">
        <v>1378</v>
      </c>
      <c r="D36" t="s">
        <v>1471</v>
      </c>
      <c r="E36">
        <v>51.134170532226499</v>
      </c>
      <c r="F36" t="s">
        <v>1472</v>
      </c>
      <c r="G36">
        <v>-1.5021400451660101</v>
      </c>
      <c r="H36" t="s">
        <v>1561</v>
      </c>
    </row>
    <row r="37" spans="1:8" x14ac:dyDescent="0.15">
      <c r="A37" t="s">
        <v>1562</v>
      </c>
      <c r="B37" t="s">
        <v>1458</v>
      </c>
      <c r="C37" t="s">
        <v>1380</v>
      </c>
      <c r="D37" t="s">
        <v>1467</v>
      </c>
      <c r="E37">
        <v>51.760871887207003</v>
      </c>
      <c r="F37" t="s">
        <v>1475</v>
      </c>
      <c r="G37">
        <v>-0.185179993510246</v>
      </c>
      <c r="H37" t="s">
        <v>1563</v>
      </c>
    </row>
    <row r="38" spans="1:8" x14ac:dyDescent="0.15">
      <c r="A38" t="s">
        <v>1564</v>
      </c>
      <c r="B38" t="s">
        <v>1458</v>
      </c>
      <c r="C38" t="s">
        <v>764</v>
      </c>
      <c r="D38" t="s">
        <v>1502</v>
      </c>
      <c r="E38">
        <v>54.009700775146399</v>
      </c>
      <c r="F38" t="s">
        <v>1565</v>
      </c>
      <c r="G38">
        <v>-2.2822299003600999</v>
      </c>
      <c r="H38" t="s">
        <v>1566</v>
      </c>
    </row>
    <row r="39" spans="1:8" x14ac:dyDescent="0.15">
      <c r="A39" t="s">
        <v>1567</v>
      </c>
      <c r="B39" t="s">
        <v>1458</v>
      </c>
      <c r="C39" t="s">
        <v>764</v>
      </c>
      <c r="D39" t="s">
        <v>1502</v>
      </c>
      <c r="E39">
        <v>53.9658203125</v>
      </c>
      <c r="F39" t="s">
        <v>1565</v>
      </c>
      <c r="G39">
        <v>-1.0737500190734801</v>
      </c>
      <c r="H39" t="s">
        <v>1568</v>
      </c>
    </row>
    <row r="40" spans="1:8" x14ac:dyDescent="0.15">
      <c r="A40" t="s">
        <v>1569</v>
      </c>
      <c r="B40" t="s">
        <v>1458</v>
      </c>
      <c r="C40" t="s">
        <v>1392</v>
      </c>
      <c r="D40" t="s">
        <v>1471</v>
      </c>
      <c r="E40">
        <v>51.887199401855398</v>
      </c>
      <c r="F40" t="s">
        <v>1570</v>
      </c>
      <c r="G40">
        <v>-1.2850600481033301</v>
      </c>
      <c r="H40" t="s">
        <v>1571</v>
      </c>
    </row>
    <row r="41" spans="1:8" x14ac:dyDescent="0.15">
      <c r="A41" t="s">
        <v>1572</v>
      </c>
      <c r="B41" t="s">
        <v>1458</v>
      </c>
      <c r="C41" t="s">
        <v>662</v>
      </c>
      <c r="D41" t="s">
        <v>1537</v>
      </c>
      <c r="E41">
        <v>52.714168548583899</v>
      </c>
      <c r="F41" t="s">
        <v>1573</v>
      </c>
      <c r="G41">
        <v>-2.4894099235534601</v>
      </c>
      <c r="H41" t="s">
        <v>1574</v>
      </c>
    </row>
    <row r="42" spans="1:8" x14ac:dyDescent="0.15">
      <c r="A42" t="s">
        <v>1575</v>
      </c>
      <c r="B42" t="s">
        <v>1458</v>
      </c>
      <c r="C42" t="s">
        <v>1394</v>
      </c>
      <c r="D42" t="s">
        <v>1537</v>
      </c>
      <c r="E42">
        <v>52.6969184875488</v>
      </c>
      <c r="F42" t="s">
        <v>1538</v>
      </c>
      <c r="G42">
        <v>-2.1549499034881499</v>
      </c>
      <c r="H42" t="s">
        <v>1576</v>
      </c>
    </row>
    <row r="43" spans="1:8" x14ac:dyDescent="0.15">
      <c r="A43" t="s">
        <v>1577</v>
      </c>
      <c r="B43" t="s">
        <v>1458</v>
      </c>
      <c r="C43" t="s">
        <v>1398</v>
      </c>
      <c r="D43" t="s">
        <v>1471</v>
      </c>
      <c r="E43">
        <v>51.227489471435497</v>
      </c>
      <c r="F43" t="s">
        <v>1493</v>
      </c>
      <c r="G43">
        <v>-0.30603000521659801</v>
      </c>
      <c r="H43" t="s">
        <v>1578</v>
      </c>
    </row>
    <row r="44" spans="1:8" x14ac:dyDescent="0.15">
      <c r="A44" t="s">
        <v>1579</v>
      </c>
      <c r="B44" t="s">
        <v>1458</v>
      </c>
      <c r="C44" t="s">
        <v>1402</v>
      </c>
      <c r="D44" t="s">
        <v>1471</v>
      </c>
      <c r="E44">
        <v>50.810718536376903</v>
      </c>
      <c r="F44" t="s">
        <v>1580</v>
      </c>
      <c r="G44">
        <v>-0.62831997871398904</v>
      </c>
      <c r="H44" t="s">
        <v>1581</v>
      </c>
    </row>
    <row r="45" spans="1:8" x14ac:dyDescent="0.15">
      <c r="A45" t="s">
        <v>1582</v>
      </c>
      <c r="B45" t="s">
        <v>1458</v>
      </c>
      <c r="C45" t="s">
        <v>1544</v>
      </c>
      <c r="D45" t="s">
        <v>1460</v>
      </c>
      <c r="E45">
        <v>53.391159057617102</v>
      </c>
      <c r="F45" t="s">
        <v>1545</v>
      </c>
      <c r="G45">
        <v>-2.1246700286865199</v>
      </c>
      <c r="H45" t="s">
        <v>1583</v>
      </c>
    </row>
    <row r="46" spans="1:8" x14ac:dyDescent="0.15">
      <c r="A46" t="s">
        <v>1584</v>
      </c>
      <c r="B46" t="s">
        <v>1458</v>
      </c>
      <c r="C46" t="s">
        <v>1537</v>
      </c>
      <c r="D46" t="s">
        <v>1537</v>
      </c>
      <c r="E46">
        <v>52.495128631591797</v>
      </c>
      <c r="F46" t="s">
        <v>1585</v>
      </c>
      <c r="G46">
        <v>-2.1017100811004599</v>
      </c>
      <c r="H46" t="s">
        <v>1586</v>
      </c>
    </row>
    <row r="47" spans="1:8" x14ac:dyDescent="0.15">
      <c r="A47" t="s">
        <v>1587</v>
      </c>
      <c r="B47" t="s">
        <v>1458</v>
      </c>
      <c r="C47" t="s">
        <v>1506</v>
      </c>
      <c r="D47" t="s">
        <v>1506</v>
      </c>
      <c r="E47">
        <v>51.442310333251903</v>
      </c>
      <c r="F47" t="s">
        <v>1507</v>
      </c>
      <c r="G47">
        <v>-1.7330000177025701E-2</v>
      </c>
      <c r="H47" t="s">
        <v>1588</v>
      </c>
    </row>
    <row r="48" spans="1:8" x14ac:dyDescent="0.15">
      <c r="A48" t="s">
        <v>1589</v>
      </c>
      <c r="B48" t="s">
        <v>1458</v>
      </c>
      <c r="C48" t="s">
        <v>1550</v>
      </c>
      <c r="D48" t="s">
        <v>1502</v>
      </c>
      <c r="E48">
        <v>54.262111663818303</v>
      </c>
      <c r="F48" t="s">
        <v>1590</v>
      </c>
      <c r="G48">
        <v>-2.19073009490966</v>
      </c>
      <c r="H48" t="s">
        <v>1591</v>
      </c>
    </row>
    <row r="49" spans="1:8" x14ac:dyDescent="0.15">
      <c r="A49" t="s">
        <v>1592</v>
      </c>
      <c r="B49" t="s">
        <v>1458</v>
      </c>
      <c r="C49" t="s">
        <v>789</v>
      </c>
      <c r="D49" t="s">
        <v>1521</v>
      </c>
      <c r="E49">
        <v>51.397071838378899</v>
      </c>
      <c r="F49" t="s">
        <v>1593</v>
      </c>
      <c r="G49">
        <v>-2.75439000129699</v>
      </c>
      <c r="H49" t="s">
        <v>1594</v>
      </c>
    </row>
    <row r="50" spans="1:8" x14ac:dyDescent="0.15">
      <c r="A50" t="s">
        <v>1595</v>
      </c>
      <c r="B50" t="s">
        <v>1458</v>
      </c>
      <c r="C50" t="s">
        <v>1367</v>
      </c>
      <c r="D50" t="s">
        <v>1467</v>
      </c>
      <c r="E50">
        <v>52.535438537597599</v>
      </c>
      <c r="F50" t="s">
        <v>1596</v>
      </c>
      <c r="G50">
        <v>9.0159997344016994E-3</v>
      </c>
      <c r="H50" t="s">
        <v>1597</v>
      </c>
    </row>
    <row r="51" spans="1:8" x14ac:dyDescent="0.15">
      <c r="A51" t="s">
        <v>1598</v>
      </c>
      <c r="B51" t="s">
        <v>1458</v>
      </c>
      <c r="C51" t="s">
        <v>1459</v>
      </c>
      <c r="D51" t="s">
        <v>1460</v>
      </c>
      <c r="E51">
        <v>53.334239959716797</v>
      </c>
      <c r="F51" t="s">
        <v>1461</v>
      </c>
      <c r="G51">
        <v>-2.6885299682617099</v>
      </c>
      <c r="H51" t="s">
        <v>1599</v>
      </c>
    </row>
    <row r="52" spans="1:8" x14ac:dyDescent="0.15">
      <c r="A52" t="s">
        <v>1600</v>
      </c>
      <c r="B52" t="s">
        <v>1458</v>
      </c>
      <c r="C52" t="s">
        <v>68</v>
      </c>
      <c r="D52" t="s">
        <v>1521</v>
      </c>
      <c r="E52">
        <v>50.450229644775298</v>
      </c>
      <c r="F52" t="s">
        <v>1601</v>
      </c>
      <c r="G52">
        <v>-4.6424899101257298</v>
      </c>
      <c r="H52" t="s">
        <v>1602</v>
      </c>
    </row>
    <row r="53" spans="1:8" x14ac:dyDescent="0.15">
      <c r="A53" t="s">
        <v>1603</v>
      </c>
      <c r="B53" t="s">
        <v>1458</v>
      </c>
      <c r="C53" t="s">
        <v>1372</v>
      </c>
      <c r="D53" t="s">
        <v>1521</v>
      </c>
      <c r="E53">
        <v>50.796970367431598</v>
      </c>
      <c r="F53" t="s">
        <v>1604</v>
      </c>
      <c r="G53">
        <v>-2.4146699905395499</v>
      </c>
      <c r="H53" t="s">
        <v>1372</v>
      </c>
    </row>
    <row r="54" spans="1:8" x14ac:dyDescent="0.15">
      <c r="A54" t="s">
        <v>1605</v>
      </c>
      <c r="B54" t="s">
        <v>1458</v>
      </c>
      <c r="C54" t="s">
        <v>1376</v>
      </c>
      <c r="D54" t="s">
        <v>1467</v>
      </c>
      <c r="E54">
        <v>51.549140930175703</v>
      </c>
      <c r="F54" t="s">
        <v>1468</v>
      </c>
      <c r="G54">
        <v>0.70690602064132602</v>
      </c>
      <c r="H54" t="s">
        <v>1606</v>
      </c>
    </row>
    <row r="55" spans="1:8" x14ac:dyDescent="0.15">
      <c r="A55" t="s">
        <v>1607</v>
      </c>
      <c r="B55" t="s">
        <v>1458</v>
      </c>
      <c r="C55" t="s">
        <v>1378</v>
      </c>
      <c r="D55" t="s">
        <v>1471</v>
      </c>
      <c r="E55">
        <v>50.920379638671797</v>
      </c>
      <c r="F55" t="s">
        <v>1472</v>
      </c>
      <c r="G55">
        <v>-1.4002499580383301</v>
      </c>
      <c r="H55" t="s">
        <v>1608</v>
      </c>
    </row>
    <row r="56" spans="1:8" x14ac:dyDescent="0.15">
      <c r="A56" t="s">
        <v>1609</v>
      </c>
      <c r="B56" t="s">
        <v>1458</v>
      </c>
      <c r="C56" t="s">
        <v>1403</v>
      </c>
      <c r="D56" t="s">
        <v>1537</v>
      </c>
      <c r="E56">
        <v>52.194820404052699</v>
      </c>
      <c r="F56" t="s">
        <v>1610</v>
      </c>
      <c r="G56">
        <v>-2.2102499008178702</v>
      </c>
      <c r="H56" t="s">
        <v>1611</v>
      </c>
    </row>
    <row r="57" spans="1:8" x14ac:dyDescent="0.15">
      <c r="A57" t="s">
        <v>1612</v>
      </c>
      <c r="B57" t="s">
        <v>1458</v>
      </c>
      <c r="C57" t="s">
        <v>1383</v>
      </c>
      <c r="D57" t="s">
        <v>1460</v>
      </c>
      <c r="E57">
        <v>53.672401428222599</v>
      </c>
      <c r="F57" t="s">
        <v>1481</v>
      </c>
      <c r="G57">
        <v>-2.6192100048065101</v>
      </c>
      <c r="H57" t="s">
        <v>1613</v>
      </c>
    </row>
    <row r="58" spans="1:8" x14ac:dyDescent="0.15">
      <c r="A58" t="s">
        <v>1614</v>
      </c>
      <c r="B58" t="s">
        <v>1458</v>
      </c>
      <c r="C58" t="s">
        <v>1386</v>
      </c>
      <c r="D58" t="s">
        <v>1463</v>
      </c>
      <c r="E58">
        <v>53.2648315429687</v>
      </c>
      <c r="F58" t="s">
        <v>1487</v>
      </c>
      <c r="G58">
        <v>2.0548999309539701E-2</v>
      </c>
      <c r="H58" t="s">
        <v>1615</v>
      </c>
    </row>
    <row r="59" spans="1:8" x14ac:dyDescent="0.15">
      <c r="A59" t="s">
        <v>1616</v>
      </c>
      <c r="B59" t="s">
        <v>1458</v>
      </c>
      <c r="C59" t="s">
        <v>1392</v>
      </c>
      <c r="D59" t="s">
        <v>1471</v>
      </c>
      <c r="E59">
        <v>51.839900970458899</v>
      </c>
      <c r="F59" t="s">
        <v>1570</v>
      </c>
      <c r="G59">
        <v>-1.5029200315475399</v>
      </c>
      <c r="H59" t="s">
        <v>1617</v>
      </c>
    </row>
    <row r="60" spans="1:8" x14ac:dyDescent="0.15">
      <c r="A60" t="s">
        <v>1618</v>
      </c>
      <c r="B60" t="s">
        <v>1458</v>
      </c>
      <c r="C60" t="s">
        <v>1394</v>
      </c>
      <c r="D60" t="s">
        <v>1537</v>
      </c>
      <c r="E60">
        <v>52.9093017578125</v>
      </c>
      <c r="F60" t="s">
        <v>1538</v>
      </c>
      <c r="G60">
        <v>-2.0275599956512398</v>
      </c>
      <c r="H60" t="s">
        <v>1619</v>
      </c>
    </row>
    <row r="61" spans="1:8" x14ac:dyDescent="0.15">
      <c r="A61" t="s">
        <v>1620</v>
      </c>
      <c r="B61" t="s">
        <v>1458</v>
      </c>
      <c r="C61" t="s">
        <v>1396</v>
      </c>
      <c r="D61" t="s">
        <v>1467</v>
      </c>
      <c r="E61">
        <v>52.064178466796797</v>
      </c>
      <c r="F61" t="s">
        <v>1621</v>
      </c>
      <c r="G61">
        <v>0.91623097658157304</v>
      </c>
      <c r="H61" t="s">
        <v>1622</v>
      </c>
    </row>
    <row r="62" spans="1:8" x14ac:dyDescent="0.15">
      <c r="A62" t="s">
        <v>1623</v>
      </c>
      <c r="B62" t="s">
        <v>1458</v>
      </c>
      <c r="C62" t="s">
        <v>1398</v>
      </c>
      <c r="D62" t="s">
        <v>1471</v>
      </c>
      <c r="E62">
        <v>51.336101531982401</v>
      </c>
      <c r="F62" t="s">
        <v>1493</v>
      </c>
      <c r="G62">
        <v>-0.68985998630523604</v>
      </c>
      <c r="H62" t="s">
        <v>1624</v>
      </c>
    </row>
    <row r="63" spans="1:8" x14ac:dyDescent="0.15">
      <c r="A63" t="s">
        <v>1625</v>
      </c>
      <c r="B63" t="s">
        <v>1458</v>
      </c>
      <c r="C63" t="s">
        <v>1402</v>
      </c>
      <c r="D63" t="s">
        <v>1471</v>
      </c>
      <c r="E63">
        <v>51.05952835083</v>
      </c>
      <c r="F63" t="s">
        <v>1580</v>
      </c>
      <c r="G63">
        <v>-0.102719999849796</v>
      </c>
      <c r="H63" t="s">
        <v>1626</v>
      </c>
    </row>
    <row r="64" spans="1:8" x14ac:dyDescent="0.15">
      <c r="A64" t="s">
        <v>1627</v>
      </c>
      <c r="B64" t="s">
        <v>1458</v>
      </c>
      <c r="C64" t="s">
        <v>1537</v>
      </c>
      <c r="D64" t="s">
        <v>1537</v>
      </c>
      <c r="E64">
        <v>52.597881317138601</v>
      </c>
      <c r="F64" t="s">
        <v>1585</v>
      </c>
      <c r="G64">
        <v>-2.1274600028991699</v>
      </c>
      <c r="H64" t="s">
        <v>1628</v>
      </c>
    </row>
    <row r="65" spans="1:8" x14ac:dyDescent="0.15">
      <c r="A65" t="s">
        <v>1629</v>
      </c>
      <c r="B65" t="s">
        <v>1458</v>
      </c>
      <c r="C65" t="s">
        <v>1506</v>
      </c>
      <c r="D65" t="s">
        <v>1506</v>
      </c>
      <c r="E65">
        <v>51.458209991455</v>
      </c>
      <c r="F65" t="s">
        <v>1507</v>
      </c>
      <c r="G65">
        <v>0.14621199667453699</v>
      </c>
      <c r="H65" t="s">
        <v>1630</v>
      </c>
    </row>
    <row r="66" spans="1:8" x14ac:dyDescent="0.15">
      <c r="A66" t="s">
        <v>1631</v>
      </c>
      <c r="B66" t="s">
        <v>1458</v>
      </c>
      <c r="C66" t="s">
        <v>1632</v>
      </c>
      <c r="D66" t="s">
        <v>1471</v>
      </c>
      <c r="E66">
        <v>51.453018188476499</v>
      </c>
      <c r="F66" t="s">
        <v>1633</v>
      </c>
      <c r="G66">
        <v>-0.99071002006530695</v>
      </c>
      <c r="H66" t="s">
        <v>1634</v>
      </c>
    </row>
    <row r="67" spans="1:8" x14ac:dyDescent="0.15">
      <c r="A67" t="s">
        <v>1635</v>
      </c>
      <c r="B67" t="s">
        <v>1458</v>
      </c>
      <c r="C67" t="s">
        <v>1367</v>
      </c>
      <c r="D67" t="s">
        <v>1467</v>
      </c>
      <c r="E67">
        <v>52.349658966064403</v>
      </c>
      <c r="F67" t="s">
        <v>1596</v>
      </c>
      <c r="G67">
        <v>-0.23506000638008101</v>
      </c>
      <c r="H67" t="s">
        <v>1636</v>
      </c>
    </row>
    <row r="68" spans="1:8" x14ac:dyDescent="0.15">
      <c r="A68" t="s">
        <v>1637</v>
      </c>
      <c r="B68" t="s">
        <v>1458</v>
      </c>
      <c r="C68" t="s">
        <v>1368</v>
      </c>
      <c r="D68" t="s">
        <v>1460</v>
      </c>
      <c r="E68">
        <v>54.978679656982401</v>
      </c>
      <c r="F68" t="s">
        <v>1638</v>
      </c>
      <c r="G68">
        <v>-2.8070600032806299</v>
      </c>
      <c r="H68" t="s">
        <v>1639</v>
      </c>
    </row>
    <row r="69" spans="1:8" x14ac:dyDescent="0.15">
      <c r="A69" t="s">
        <v>1640</v>
      </c>
      <c r="B69" t="s">
        <v>1458</v>
      </c>
      <c r="C69" t="s">
        <v>1403</v>
      </c>
      <c r="D69" t="s">
        <v>1537</v>
      </c>
      <c r="E69">
        <v>52.212871551513601</v>
      </c>
      <c r="F69" t="s">
        <v>1610</v>
      </c>
      <c r="G69">
        <v>-2.20935010910034</v>
      </c>
      <c r="H69" t="s">
        <v>1641</v>
      </c>
    </row>
    <row r="70" spans="1:8" x14ac:dyDescent="0.15">
      <c r="A70" t="s">
        <v>1642</v>
      </c>
      <c r="B70" t="s">
        <v>1458</v>
      </c>
      <c r="C70" t="s">
        <v>1529</v>
      </c>
      <c r="D70" t="s">
        <v>1502</v>
      </c>
      <c r="E70">
        <v>53.881221771240199</v>
      </c>
      <c r="F70" t="s">
        <v>1530</v>
      </c>
      <c r="G70">
        <v>-0.66202998161315896</v>
      </c>
      <c r="H70" t="s">
        <v>1643</v>
      </c>
    </row>
    <row r="71" spans="1:8" x14ac:dyDescent="0.15">
      <c r="A71" t="s">
        <v>1644</v>
      </c>
      <c r="B71" t="s">
        <v>1458</v>
      </c>
      <c r="C71" t="s">
        <v>563</v>
      </c>
      <c r="D71" t="s">
        <v>1471</v>
      </c>
      <c r="E71">
        <v>51.130958557128899</v>
      </c>
      <c r="F71" t="s">
        <v>1478</v>
      </c>
      <c r="G71">
        <v>0.82337397336959794</v>
      </c>
      <c r="H71" t="s">
        <v>1645</v>
      </c>
    </row>
    <row r="72" spans="1:8" x14ac:dyDescent="0.15">
      <c r="A72" t="s">
        <v>1646</v>
      </c>
      <c r="B72" t="s">
        <v>1458</v>
      </c>
      <c r="C72" t="s">
        <v>1383</v>
      </c>
      <c r="D72" t="s">
        <v>1460</v>
      </c>
      <c r="E72">
        <v>53.886360168457003</v>
      </c>
      <c r="F72" t="s">
        <v>1481</v>
      </c>
      <c r="G72">
        <v>-2.18956995010375</v>
      </c>
      <c r="H72" t="s">
        <v>1647</v>
      </c>
    </row>
    <row r="73" spans="1:8" x14ac:dyDescent="0.15">
      <c r="A73" t="s">
        <v>1648</v>
      </c>
      <c r="B73" t="s">
        <v>1458</v>
      </c>
      <c r="C73" t="s">
        <v>1386</v>
      </c>
      <c r="D73" t="s">
        <v>1463</v>
      </c>
      <c r="E73">
        <v>52.848850250244098</v>
      </c>
      <c r="F73" t="s">
        <v>1487</v>
      </c>
      <c r="G73">
        <v>-0.49564999341964699</v>
      </c>
      <c r="H73" t="s">
        <v>1649</v>
      </c>
    </row>
    <row r="74" spans="1:8" x14ac:dyDescent="0.15">
      <c r="A74" t="s">
        <v>1650</v>
      </c>
      <c r="B74" t="s">
        <v>1458</v>
      </c>
      <c r="C74" t="s">
        <v>764</v>
      </c>
      <c r="D74" t="s">
        <v>1502</v>
      </c>
      <c r="E74">
        <v>54.077079772949197</v>
      </c>
      <c r="F74" t="s">
        <v>1565</v>
      </c>
      <c r="G74">
        <v>-1.5815999507903999</v>
      </c>
      <c r="H74" t="s">
        <v>1651</v>
      </c>
    </row>
    <row r="75" spans="1:8" x14ac:dyDescent="0.15">
      <c r="A75" t="s">
        <v>1652</v>
      </c>
      <c r="B75" t="s">
        <v>1458</v>
      </c>
      <c r="C75" t="s">
        <v>1400</v>
      </c>
      <c r="D75" t="s">
        <v>1537</v>
      </c>
      <c r="E75">
        <v>52.382278442382798</v>
      </c>
      <c r="F75" t="s">
        <v>1653</v>
      </c>
      <c r="G75">
        <v>-1.3182799816131501</v>
      </c>
      <c r="H75" t="s">
        <v>1654</v>
      </c>
    </row>
    <row r="76" spans="1:8" x14ac:dyDescent="0.15">
      <c r="A76" t="s">
        <v>1655</v>
      </c>
      <c r="B76" t="s">
        <v>1458</v>
      </c>
      <c r="C76" t="s">
        <v>1506</v>
      </c>
      <c r="D76" t="s">
        <v>1506</v>
      </c>
      <c r="E76">
        <v>51.463958740234297</v>
      </c>
      <c r="F76" t="s">
        <v>1507</v>
      </c>
      <c r="G76">
        <v>5.01080006361007E-2</v>
      </c>
      <c r="H76" t="s">
        <v>948</v>
      </c>
    </row>
    <row r="77" spans="1:8" x14ac:dyDescent="0.15">
      <c r="A77" t="s">
        <v>1656</v>
      </c>
      <c r="B77" t="s">
        <v>1458</v>
      </c>
      <c r="C77" t="s">
        <v>1506</v>
      </c>
      <c r="D77" t="s">
        <v>1506</v>
      </c>
      <c r="E77">
        <v>51.515529632568303</v>
      </c>
      <c r="F77" t="s">
        <v>1507</v>
      </c>
      <c r="G77">
        <v>-3.6400001496076501E-2</v>
      </c>
      <c r="H77" t="s">
        <v>1657</v>
      </c>
    </row>
    <row r="78" spans="1:8" x14ac:dyDescent="0.15">
      <c r="A78" t="s">
        <v>1658</v>
      </c>
      <c r="B78" t="s">
        <v>1458</v>
      </c>
      <c r="C78" t="s">
        <v>1550</v>
      </c>
      <c r="D78" t="s">
        <v>1467</v>
      </c>
      <c r="E78">
        <v>50</v>
      </c>
      <c r="F78" t="s">
        <v>1659</v>
      </c>
      <c r="G78">
        <v>1</v>
      </c>
      <c r="H78" t="s">
        <v>1660</v>
      </c>
    </row>
    <row r="79" spans="1:8" x14ac:dyDescent="0.15">
      <c r="A79" t="s">
        <v>1661</v>
      </c>
      <c r="B79" t="s">
        <v>1458</v>
      </c>
      <c r="C79" t="s">
        <v>789</v>
      </c>
      <c r="D79" t="s">
        <v>1521</v>
      </c>
      <c r="E79">
        <v>51.356040954589801</v>
      </c>
      <c r="F79" t="s">
        <v>1593</v>
      </c>
      <c r="G79">
        <v>-2.48654007911682</v>
      </c>
      <c r="H79" t="s">
        <v>1662</v>
      </c>
    </row>
    <row r="80" spans="1:8" x14ac:dyDescent="0.15">
      <c r="A80" t="s">
        <v>1663</v>
      </c>
      <c r="B80" t="s">
        <v>1458</v>
      </c>
      <c r="C80" t="s">
        <v>1369</v>
      </c>
      <c r="D80" t="s">
        <v>1463</v>
      </c>
      <c r="E80">
        <v>52.824920654296797</v>
      </c>
      <c r="F80" t="s">
        <v>1464</v>
      </c>
      <c r="G80">
        <v>-1.53494000434875</v>
      </c>
      <c r="H80" t="s">
        <v>1664</v>
      </c>
    </row>
    <row r="81" spans="1:8" x14ac:dyDescent="0.15">
      <c r="A81" t="s">
        <v>1665</v>
      </c>
      <c r="B81" t="s">
        <v>1458</v>
      </c>
      <c r="C81" t="s">
        <v>527</v>
      </c>
      <c r="D81" t="s">
        <v>1521</v>
      </c>
      <c r="E81">
        <v>51.772548675537102</v>
      </c>
      <c r="F81" t="s">
        <v>1522</v>
      </c>
      <c r="G81">
        <v>-1.9705899953842101</v>
      </c>
      <c r="H81" t="s">
        <v>1666</v>
      </c>
    </row>
    <row r="82" spans="1:8" x14ac:dyDescent="0.15">
      <c r="A82" t="s">
        <v>1667</v>
      </c>
      <c r="B82" t="s">
        <v>1458</v>
      </c>
      <c r="C82" t="s">
        <v>1383</v>
      </c>
      <c r="D82" t="s">
        <v>1460</v>
      </c>
      <c r="E82">
        <v>53.726749420166001</v>
      </c>
      <c r="F82" t="s">
        <v>1481</v>
      </c>
      <c r="G82">
        <v>-2.7287299633026101</v>
      </c>
      <c r="H82" t="s">
        <v>1668</v>
      </c>
    </row>
    <row r="83" spans="1:8" x14ac:dyDescent="0.15">
      <c r="A83" t="s">
        <v>1669</v>
      </c>
      <c r="B83" t="s">
        <v>1458</v>
      </c>
      <c r="C83" t="s">
        <v>1385</v>
      </c>
      <c r="D83" t="s">
        <v>1463</v>
      </c>
      <c r="E83">
        <v>52.5376586914062</v>
      </c>
      <c r="F83" t="s">
        <v>1484</v>
      </c>
      <c r="G83">
        <v>-0.90228998661041204</v>
      </c>
      <c r="H83" t="s">
        <v>1670</v>
      </c>
    </row>
    <row r="84" spans="1:8" x14ac:dyDescent="0.15">
      <c r="A84" t="s">
        <v>1671</v>
      </c>
      <c r="B84" t="s">
        <v>1458</v>
      </c>
      <c r="C84" t="s">
        <v>1387</v>
      </c>
      <c r="D84" t="s">
        <v>1467</v>
      </c>
      <c r="E84">
        <v>52.594211578369098</v>
      </c>
      <c r="F84" t="s">
        <v>1672</v>
      </c>
      <c r="G84">
        <v>0.81871598958969105</v>
      </c>
      <c r="H84" t="s">
        <v>1673</v>
      </c>
    </row>
    <row r="85" spans="1:8" x14ac:dyDescent="0.15">
      <c r="A85" t="s">
        <v>1674</v>
      </c>
      <c r="B85" t="s">
        <v>1458</v>
      </c>
      <c r="C85" t="s">
        <v>1396</v>
      </c>
      <c r="D85" t="s">
        <v>1467</v>
      </c>
      <c r="E85">
        <v>52.308418273925703</v>
      </c>
      <c r="F85" t="s">
        <v>1621</v>
      </c>
      <c r="G85">
        <v>0.65276902914047197</v>
      </c>
      <c r="H85" t="s">
        <v>770</v>
      </c>
    </row>
    <row r="86" spans="1:8" x14ac:dyDescent="0.15">
      <c r="A86" t="s">
        <v>1675</v>
      </c>
      <c r="B86" t="s">
        <v>1458</v>
      </c>
      <c r="C86" t="s">
        <v>1676</v>
      </c>
      <c r="D86" t="s">
        <v>1502</v>
      </c>
      <c r="E86">
        <v>53.526969909667898</v>
      </c>
      <c r="F86" t="s">
        <v>1677</v>
      </c>
      <c r="G86">
        <v>-1.1089400053024201</v>
      </c>
      <c r="H86" t="s">
        <v>1678</v>
      </c>
    </row>
    <row r="87" spans="1:8" x14ac:dyDescent="0.15">
      <c r="A87" t="s">
        <v>1679</v>
      </c>
      <c r="B87" t="s">
        <v>1458</v>
      </c>
      <c r="C87" t="s">
        <v>1506</v>
      </c>
      <c r="D87" t="s">
        <v>1506</v>
      </c>
      <c r="E87">
        <v>51.462429046630803</v>
      </c>
      <c r="F87" t="s">
        <v>1507</v>
      </c>
      <c r="G87">
        <v>-0.37843999266624401</v>
      </c>
      <c r="H87" t="s">
        <v>1680</v>
      </c>
    </row>
    <row r="88" spans="1:8" x14ac:dyDescent="0.15">
      <c r="A88" t="s">
        <v>1681</v>
      </c>
      <c r="B88" t="s">
        <v>1458</v>
      </c>
      <c r="C88" t="s">
        <v>1506</v>
      </c>
      <c r="D88" t="s">
        <v>1506</v>
      </c>
      <c r="E88">
        <v>51.531230926513601</v>
      </c>
      <c r="F88" t="s">
        <v>1507</v>
      </c>
      <c r="G88">
        <v>-0.263110011816024</v>
      </c>
      <c r="H88" t="s">
        <v>514</v>
      </c>
    </row>
    <row r="89" spans="1:8" x14ac:dyDescent="0.15">
      <c r="A89" t="s">
        <v>1682</v>
      </c>
      <c r="B89" t="s">
        <v>1683</v>
      </c>
      <c r="C89" t="s">
        <v>53</v>
      </c>
      <c r="D89" t="s">
        <v>53</v>
      </c>
      <c r="E89">
        <v>51.560581207275298</v>
      </c>
      <c r="F89" t="s">
        <v>1684</v>
      </c>
      <c r="G89">
        <v>-3.6135900020599299</v>
      </c>
      <c r="H89" t="s">
        <v>1685</v>
      </c>
    </row>
    <row r="90" spans="1:8" x14ac:dyDescent="0.15">
      <c r="A90" t="s">
        <v>1686</v>
      </c>
      <c r="B90" t="s">
        <v>1458</v>
      </c>
      <c r="C90" t="s">
        <v>1550</v>
      </c>
      <c r="D90" t="s">
        <v>1521</v>
      </c>
      <c r="E90">
        <v>51.134368896484297</v>
      </c>
      <c r="F90" t="s">
        <v>1687</v>
      </c>
      <c r="G90">
        <v>-3.6049098968505802</v>
      </c>
      <c r="H90" t="s">
        <v>1688</v>
      </c>
    </row>
    <row r="91" spans="1:8" x14ac:dyDescent="0.15">
      <c r="A91" t="s">
        <v>1689</v>
      </c>
      <c r="B91" t="s">
        <v>1458</v>
      </c>
      <c r="C91" t="s">
        <v>1368</v>
      </c>
      <c r="D91" t="s">
        <v>1460</v>
      </c>
      <c r="E91">
        <v>54.769081115722599</v>
      </c>
      <c r="F91" t="s">
        <v>1638</v>
      </c>
      <c r="G91">
        <v>-3.2105400562286301</v>
      </c>
      <c r="H91" t="s">
        <v>1690</v>
      </c>
    </row>
    <row r="92" spans="1:8" x14ac:dyDescent="0.15">
      <c r="A92" t="s">
        <v>1691</v>
      </c>
      <c r="B92" t="s">
        <v>1458</v>
      </c>
      <c r="C92" t="s">
        <v>1374</v>
      </c>
      <c r="D92" t="s">
        <v>1471</v>
      </c>
      <c r="E92">
        <v>50.938320159912102</v>
      </c>
      <c r="F92" t="s">
        <v>1516</v>
      </c>
      <c r="G92">
        <v>0.33452999591827298</v>
      </c>
      <c r="H92" t="s">
        <v>1692</v>
      </c>
    </row>
    <row r="93" spans="1:8" x14ac:dyDescent="0.15">
      <c r="A93" t="s">
        <v>1693</v>
      </c>
      <c r="B93" t="s">
        <v>1458</v>
      </c>
      <c r="C93" t="s">
        <v>527</v>
      </c>
      <c r="D93" t="s">
        <v>1521</v>
      </c>
      <c r="E93">
        <v>51.934848785400298</v>
      </c>
      <c r="F93" t="s">
        <v>1522</v>
      </c>
      <c r="G93">
        <v>-2.19998002052307</v>
      </c>
      <c r="H93" t="s">
        <v>1694</v>
      </c>
    </row>
    <row r="94" spans="1:8" x14ac:dyDescent="0.15">
      <c r="A94" t="s">
        <v>1695</v>
      </c>
      <c r="B94" t="s">
        <v>1458</v>
      </c>
      <c r="C94" t="s">
        <v>563</v>
      </c>
      <c r="D94" t="s">
        <v>1471</v>
      </c>
      <c r="E94">
        <v>51.275630950927699</v>
      </c>
      <c r="F94" t="s">
        <v>1478</v>
      </c>
      <c r="G94">
        <v>0.18893599510192799</v>
      </c>
      <c r="H94" t="s">
        <v>1696</v>
      </c>
    </row>
    <row r="95" spans="1:8" x14ac:dyDescent="0.15">
      <c r="A95" t="s">
        <v>1697</v>
      </c>
      <c r="B95" t="s">
        <v>1458</v>
      </c>
      <c r="C95" t="s">
        <v>1385</v>
      </c>
      <c r="D95" t="s">
        <v>1463</v>
      </c>
      <c r="E95">
        <v>52.742500305175703</v>
      </c>
      <c r="F95" t="s">
        <v>1484</v>
      </c>
      <c r="G95">
        <v>-1.4220900535583401</v>
      </c>
      <c r="H95" t="s">
        <v>1698</v>
      </c>
    </row>
    <row r="96" spans="1:8" x14ac:dyDescent="0.15">
      <c r="A96" t="s">
        <v>1699</v>
      </c>
      <c r="B96" t="s">
        <v>1458</v>
      </c>
      <c r="C96" t="s">
        <v>1387</v>
      </c>
      <c r="D96" t="s">
        <v>1467</v>
      </c>
      <c r="E96">
        <v>52.640129089355398</v>
      </c>
      <c r="F96" t="s">
        <v>1672</v>
      </c>
      <c r="G96">
        <v>1.28497898578643</v>
      </c>
      <c r="H96" t="s">
        <v>1700</v>
      </c>
    </row>
    <row r="97" spans="1:8" x14ac:dyDescent="0.15">
      <c r="A97" t="s">
        <v>1701</v>
      </c>
      <c r="B97" t="s">
        <v>1458</v>
      </c>
      <c r="C97" t="s">
        <v>764</v>
      </c>
      <c r="D97" t="s">
        <v>1502</v>
      </c>
      <c r="E97">
        <v>54.317378997802699</v>
      </c>
      <c r="F97" t="s">
        <v>1565</v>
      </c>
      <c r="G97">
        <v>-1.35447001457214</v>
      </c>
      <c r="H97" t="s">
        <v>1702</v>
      </c>
    </row>
    <row r="98" spans="1:8" x14ac:dyDescent="0.15">
      <c r="A98" t="s">
        <v>1703</v>
      </c>
      <c r="B98" t="s">
        <v>1458</v>
      </c>
      <c r="C98" t="s">
        <v>1388</v>
      </c>
      <c r="D98" t="s">
        <v>1463</v>
      </c>
      <c r="E98">
        <v>52.479091644287102</v>
      </c>
      <c r="F98" t="s">
        <v>1704</v>
      </c>
      <c r="G98">
        <v>-0.50919997692108099</v>
      </c>
      <c r="H98" t="s">
        <v>1705</v>
      </c>
    </row>
    <row r="99" spans="1:8" x14ac:dyDescent="0.15">
      <c r="A99" t="s">
        <v>1706</v>
      </c>
      <c r="B99" t="s">
        <v>1458</v>
      </c>
      <c r="C99" t="s">
        <v>1392</v>
      </c>
      <c r="D99" t="s">
        <v>1471</v>
      </c>
      <c r="E99">
        <v>51.753570556640597</v>
      </c>
      <c r="F99" t="s">
        <v>1570</v>
      </c>
      <c r="G99">
        <v>-1.2440500259399401</v>
      </c>
      <c r="H99" t="s">
        <v>1707</v>
      </c>
    </row>
    <row r="100" spans="1:8" x14ac:dyDescent="0.15">
      <c r="A100" t="s">
        <v>1708</v>
      </c>
      <c r="B100" t="s">
        <v>1458</v>
      </c>
      <c r="C100" t="s">
        <v>789</v>
      </c>
      <c r="D100" t="s">
        <v>1521</v>
      </c>
      <c r="E100">
        <v>51.071861267089801</v>
      </c>
      <c r="F100" t="s">
        <v>1593</v>
      </c>
      <c r="G100">
        <v>-3.2960500717163002</v>
      </c>
      <c r="H100" t="s">
        <v>1709</v>
      </c>
    </row>
    <row r="101" spans="1:8" x14ac:dyDescent="0.15">
      <c r="A101" t="s">
        <v>1710</v>
      </c>
      <c r="B101" t="s">
        <v>1458</v>
      </c>
      <c r="C101" t="s">
        <v>1544</v>
      </c>
      <c r="D101" t="s">
        <v>1460</v>
      </c>
      <c r="E101">
        <v>53.478668212890597</v>
      </c>
      <c r="F101" t="s">
        <v>1545</v>
      </c>
      <c r="G101">
        <v>-2.07699990272521</v>
      </c>
      <c r="H101" t="s">
        <v>1711</v>
      </c>
    </row>
    <row r="102" spans="1:8" x14ac:dyDescent="0.15">
      <c r="A102" t="s">
        <v>1712</v>
      </c>
      <c r="B102" t="s">
        <v>1458</v>
      </c>
      <c r="C102" t="s">
        <v>1537</v>
      </c>
      <c r="D102" t="s">
        <v>1537</v>
      </c>
      <c r="E102">
        <v>52.5147705078125</v>
      </c>
      <c r="F102" t="s">
        <v>1585</v>
      </c>
      <c r="G102">
        <v>-2.0077099800109801</v>
      </c>
      <c r="H102" t="s">
        <v>1713</v>
      </c>
    </row>
    <row r="103" spans="1:8" x14ac:dyDescent="0.15">
      <c r="A103" t="s">
        <v>1714</v>
      </c>
      <c r="B103" t="s">
        <v>1458</v>
      </c>
      <c r="C103" t="s">
        <v>1506</v>
      </c>
      <c r="D103" t="s">
        <v>1506</v>
      </c>
      <c r="E103">
        <v>51.372669219970703</v>
      </c>
      <c r="F103" t="s">
        <v>1507</v>
      </c>
      <c r="G103">
        <v>3.9246000349521602E-2</v>
      </c>
      <c r="H103" t="s">
        <v>1715</v>
      </c>
    </row>
    <row r="104" spans="1:8" x14ac:dyDescent="0.15">
      <c r="A104" t="s">
        <v>1716</v>
      </c>
      <c r="B104" t="s">
        <v>1458</v>
      </c>
      <c r="C104" t="s">
        <v>1506</v>
      </c>
      <c r="D104" t="s">
        <v>1506</v>
      </c>
      <c r="E104">
        <v>51.527408599853501</v>
      </c>
      <c r="F104" t="s">
        <v>1507</v>
      </c>
      <c r="G104">
        <v>4.4509001076221397E-2</v>
      </c>
      <c r="H104" t="s">
        <v>1717</v>
      </c>
    </row>
    <row r="105" spans="1:8" x14ac:dyDescent="0.15">
      <c r="A105" t="s">
        <v>1718</v>
      </c>
      <c r="B105" t="s">
        <v>1458</v>
      </c>
      <c r="C105" t="s">
        <v>1367</v>
      </c>
      <c r="D105" t="s">
        <v>1467</v>
      </c>
      <c r="E105">
        <v>52.3531684875488</v>
      </c>
      <c r="F105" t="s">
        <v>1596</v>
      </c>
      <c r="G105">
        <v>-0.22466999292373599</v>
      </c>
      <c r="H105" t="s">
        <v>1719</v>
      </c>
    </row>
    <row r="106" spans="1:8" x14ac:dyDescent="0.15">
      <c r="A106" t="s">
        <v>1720</v>
      </c>
      <c r="B106" t="s">
        <v>1458</v>
      </c>
      <c r="C106" t="s">
        <v>1721</v>
      </c>
      <c r="D106" t="s">
        <v>1497</v>
      </c>
      <c r="E106">
        <v>54.676158905029297</v>
      </c>
      <c r="F106" t="s">
        <v>1722</v>
      </c>
      <c r="G106">
        <v>-1.27023005485534</v>
      </c>
      <c r="H106" t="s">
        <v>1723</v>
      </c>
    </row>
    <row r="107" spans="1:8" x14ac:dyDescent="0.15">
      <c r="A107" t="s">
        <v>1724</v>
      </c>
      <c r="B107" t="s">
        <v>1458</v>
      </c>
      <c r="C107" t="s">
        <v>1721</v>
      </c>
      <c r="D107" t="s">
        <v>1497</v>
      </c>
      <c r="E107">
        <v>54.556911468505803</v>
      </c>
      <c r="F107" t="s">
        <v>1722</v>
      </c>
      <c r="G107">
        <v>-1.30668997764587</v>
      </c>
      <c r="H107" t="s">
        <v>1725</v>
      </c>
    </row>
    <row r="108" spans="1:8" x14ac:dyDescent="0.15">
      <c r="A108" t="s">
        <v>1726</v>
      </c>
      <c r="B108" t="s">
        <v>1458</v>
      </c>
      <c r="C108" t="s">
        <v>1368</v>
      </c>
      <c r="D108" t="s">
        <v>1460</v>
      </c>
      <c r="E108">
        <v>54.638259887695298</v>
      </c>
      <c r="F108" t="s">
        <v>1638</v>
      </c>
      <c r="G108">
        <v>-2.9021799564361501</v>
      </c>
      <c r="H108" t="s">
        <v>1727</v>
      </c>
    </row>
    <row r="109" spans="1:8" x14ac:dyDescent="0.15">
      <c r="A109" t="s">
        <v>1728</v>
      </c>
      <c r="B109" t="s">
        <v>1458</v>
      </c>
      <c r="C109" t="s">
        <v>1368</v>
      </c>
      <c r="D109" t="s">
        <v>1460</v>
      </c>
      <c r="E109">
        <v>54.697250366210902</v>
      </c>
      <c r="F109" t="s">
        <v>1638</v>
      </c>
      <c r="G109">
        <v>-2.5924100875854399</v>
      </c>
      <c r="H109" t="s">
        <v>1729</v>
      </c>
    </row>
    <row r="110" spans="1:8" x14ac:dyDescent="0.15">
      <c r="A110" t="s">
        <v>1730</v>
      </c>
      <c r="B110" t="s">
        <v>1458</v>
      </c>
      <c r="C110" t="s">
        <v>1369</v>
      </c>
      <c r="D110" t="s">
        <v>1463</v>
      </c>
      <c r="E110">
        <v>53.252281188964801</v>
      </c>
      <c r="F110" t="s">
        <v>1464</v>
      </c>
      <c r="G110">
        <v>-1.9306600093841499</v>
      </c>
      <c r="H110" t="s">
        <v>1731</v>
      </c>
    </row>
    <row r="111" spans="1:8" x14ac:dyDescent="0.15">
      <c r="A111" t="s">
        <v>1732</v>
      </c>
      <c r="B111" t="s">
        <v>1458</v>
      </c>
      <c r="C111" t="s">
        <v>1376</v>
      </c>
      <c r="D111" t="s">
        <v>1467</v>
      </c>
      <c r="E111">
        <v>51.641078948974602</v>
      </c>
      <c r="F111" t="s">
        <v>1468</v>
      </c>
      <c r="G111">
        <v>0.29009100794792098</v>
      </c>
      <c r="H111" t="s">
        <v>1733</v>
      </c>
    </row>
    <row r="112" spans="1:8" x14ac:dyDescent="0.15">
      <c r="A112" t="s">
        <v>1734</v>
      </c>
      <c r="B112" t="s">
        <v>1458</v>
      </c>
      <c r="C112" t="s">
        <v>1378</v>
      </c>
      <c r="D112" t="s">
        <v>1471</v>
      </c>
      <c r="E112">
        <v>51.259368896484297</v>
      </c>
      <c r="F112" t="s">
        <v>1472</v>
      </c>
      <c r="G112">
        <v>-1.22020995616912</v>
      </c>
      <c r="H112" t="s">
        <v>1735</v>
      </c>
    </row>
    <row r="113" spans="1:8" x14ac:dyDescent="0.15">
      <c r="A113" t="s">
        <v>1736</v>
      </c>
      <c r="B113" t="s">
        <v>1458</v>
      </c>
      <c r="C113" t="s">
        <v>1403</v>
      </c>
      <c r="D113" t="s">
        <v>1537</v>
      </c>
      <c r="E113">
        <v>52.128860473632798</v>
      </c>
      <c r="F113" t="s">
        <v>1610</v>
      </c>
      <c r="G113">
        <v>-2.01613998413085</v>
      </c>
      <c r="H113" t="s">
        <v>1737</v>
      </c>
    </row>
    <row r="114" spans="1:8" x14ac:dyDescent="0.15">
      <c r="A114" t="s">
        <v>1738</v>
      </c>
      <c r="B114" t="s">
        <v>1458</v>
      </c>
      <c r="C114" t="s">
        <v>563</v>
      </c>
      <c r="D114" t="s">
        <v>1471</v>
      </c>
      <c r="E114">
        <v>51.2606391906738</v>
      </c>
      <c r="F114" t="s">
        <v>1478</v>
      </c>
      <c r="G114">
        <v>0.34930598735809298</v>
      </c>
      <c r="H114" t="s">
        <v>1739</v>
      </c>
    </row>
    <row r="115" spans="1:8" x14ac:dyDescent="0.15">
      <c r="A115" t="s">
        <v>1740</v>
      </c>
      <c r="B115" t="s">
        <v>1458</v>
      </c>
      <c r="C115" t="s">
        <v>764</v>
      </c>
      <c r="D115" t="s">
        <v>1502</v>
      </c>
      <c r="E115">
        <v>54.2400703430175</v>
      </c>
      <c r="F115" t="s">
        <v>1565</v>
      </c>
      <c r="G115">
        <v>-0.413139998912811</v>
      </c>
      <c r="H115" t="s">
        <v>1741</v>
      </c>
    </row>
    <row r="116" spans="1:8" x14ac:dyDescent="0.15">
      <c r="A116" t="s">
        <v>1742</v>
      </c>
      <c r="B116" t="s">
        <v>1458</v>
      </c>
      <c r="C116" t="s">
        <v>1388</v>
      </c>
      <c r="D116" t="s">
        <v>1463</v>
      </c>
      <c r="E116">
        <v>52.292579650878899</v>
      </c>
      <c r="F116" t="s">
        <v>1704</v>
      </c>
      <c r="G116">
        <v>-0.714250028133392</v>
      </c>
      <c r="H116" t="s">
        <v>1743</v>
      </c>
    </row>
    <row r="117" spans="1:8" x14ac:dyDescent="0.15">
      <c r="A117" t="s">
        <v>1744</v>
      </c>
      <c r="B117" t="s">
        <v>1458</v>
      </c>
      <c r="C117" t="s">
        <v>1400</v>
      </c>
      <c r="D117" t="s">
        <v>1537</v>
      </c>
      <c r="E117">
        <v>52.179771423339801</v>
      </c>
      <c r="F117" t="s">
        <v>1653</v>
      </c>
      <c r="G117">
        <v>-1.5687400102615301</v>
      </c>
      <c r="H117" t="s">
        <v>1745</v>
      </c>
    </row>
    <row r="118" spans="1:8" x14ac:dyDescent="0.15">
      <c r="A118" t="s">
        <v>1746</v>
      </c>
      <c r="B118" t="s">
        <v>1458</v>
      </c>
      <c r="C118" t="s">
        <v>1747</v>
      </c>
      <c r="D118" t="s">
        <v>1460</v>
      </c>
      <c r="E118">
        <v>53.4586181640625</v>
      </c>
      <c r="F118" t="s">
        <v>1748</v>
      </c>
      <c r="G118">
        <v>-2.7030999660491899</v>
      </c>
      <c r="H118" t="s">
        <v>1749</v>
      </c>
    </row>
    <row r="119" spans="1:8" x14ac:dyDescent="0.15">
      <c r="A119" t="s">
        <v>1750</v>
      </c>
      <c r="B119" t="s">
        <v>1458</v>
      </c>
      <c r="C119" t="s">
        <v>1496</v>
      </c>
      <c r="D119" t="s">
        <v>1497</v>
      </c>
      <c r="E119">
        <v>54.931198120117102</v>
      </c>
      <c r="F119" t="s">
        <v>1498</v>
      </c>
      <c r="G119">
        <v>-1.68680000305175</v>
      </c>
      <c r="H119" t="s">
        <v>1751</v>
      </c>
    </row>
    <row r="120" spans="1:8" x14ac:dyDescent="0.15">
      <c r="A120" t="s">
        <v>1752</v>
      </c>
      <c r="B120" t="s">
        <v>1458</v>
      </c>
      <c r="C120" t="s">
        <v>1506</v>
      </c>
      <c r="D120" t="s">
        <v>1506</v>
      </c>
      <c r="E120">
        <v>51.487369537353501</v>
      </c>
      <c r="F120" t="s">
        <v>1507</v>
      </c>
      <c r="G120">
        <v>-0.217360004782676</v>
      </c>
      <c r="H120" t="s">
        <v>1753</v>
      </c>
    </row>
    <row r="121" spans="1:8" x14ac:dyDescent="0.15">
      <c r="A121" t="s">
        <v>1754</v>
      </c>
      <c r="B121" t="s">
        <v>1458</v>
      </c>
      <c r="C121" t="s">
        <v>1506</v>
      </c>
      <c r="D121" t="s">
        <v>1506</v>
      </c>
      <c r="E121">
        <v>51.452388763427699</v>
      </c>
      <c r="F121" t="s">
        <v>1507</v>
      </c>
      <c r="G121">
        <v>-0.200210005044937</v>
      </c>
      <c r="H121" t="s">
        <v>1755</v>
      </c>
    </row>
    <row r="122" spans="1:8" x14ac:dyDescent="0.15">
      <c r="A122" t="s">
        <v>1756</v>
      </c>
      <c r="B122" t="s">
        <v>1458</v>
      </c>
      <c r="C122" t="s">
        <v>1632</v>
      </c>
      <c r="D122" t="s">
        <v>1471</v>
      </c>
      <c r="E122">
        <v>51.503501892089801</v>
      </c>
      <c r="F122" t="s">
        <v>1633</v>
      </c>
      <c r="G122">
        <v>-0.57617002725601196</v>
      </c>
      <c r="H122" t="s">
        <v>1757</v>
      </c>
    </row>
    <row r="123" spans="1:8" x14ac:dyDescent="0.15">
      <c r="A123" t="s">
        <v>1758</v>
      </c>
      <c r="B123" t="s">
        <v>1458</v>
      </c>
      <c r="C123" t="s">
        <v>563</v>
      </c>
      <c r="D123" t="s">
        <v>1471</v>
      </c>
      <c r="E123">
        <v>51.900371551513601</v>
      </c>
      <c r="F123" t="s">
        <v>1478</v>
      </c>
      <c r="G123">
        <v>-0.87746000289916903</v>
      </c>
      <c r="H123" t="s">
        <v>1759</v>
      </c>
    </row>
    <row r="124" spans="1:8" x14ac:dyDescent="0.15">
      <c r="A124" t="s">
        <v>1760</v>
      </c>
      <c r="B124" t="s">
        <v>1458</v>
      </c>
      <c r="C124" t="s">
        <v>1367</v>
      </c>
      <c r="D124" t="s">
        <v>1467</v>
      </c>
      <c r="E124">
        <v>52.592140197753899</v>
      </c>
      <c r="F124" t="s">
        <v>1596</v>
      </c>
      <c r="G124">
        <v>-0.26873999834060602</v>
      </c>
      <c r="H124" t="s">
        <v>1761</v>
      </c>
    </row>
    <row r="125" spans="1:8" x14ac:dyDescent="0.15">
      <c r="A125" t="s">
        <v>1762</v>
      </c>
      <c r="B125" t="s">
        <v>1458</v>
      </c>
      <c r="C125" t="s">
        <v>1370</v>
      </c>
      <c r="D125" t="s">
        <v>1521</v>
      </c>
      <c r="E125">
        <v>50.725559234619098</v>
      </c>
      <c r="F125" t="s">
        <v>1763</v>
      </c>
      <c r="G125">
        <v>-3.65701007843017</v>
      </c>
      <c r="H125" t="s">
        <v>1764</v>
      </c>
    </row>
    <row r="126" spans="1:8" x14ac:dyDescent="0.15">
      <c r="A126" t="s">
        <v>1765</v>
      </c>
      <c r="B126" t="s">
        <v>1458</v>
      </c>
      <c r="C126" t="s">
        <v>1376</v>
      </c>
      <c r="D126" t="s">
        <v>1467</v>
      </c>
      <c r="E126">
        <v>51.712791442871001</v>
      </c>
      <c r="F126" t="s">
        <v>1468</v>
      </c>
      <c r="G126">
        <v>0.154146999120712</v>
      </c>
      <c r="H126" t="s">
        <v>1766</v>
      </c>
    </row>
    <row r="127" spans="1:8" x14ac:dyDescent="0.15">
      <c r="A127" t="s">
        <v>1767</v>
      </c>
      <c r="B127" t="s">
        <v>1458</v>
      </c>
      <c r="C127" t="s">
        <v>1378</v>
      </c>
      <c r="D127" t="s">
        <v>1471</v>
      </c>
      <c r="E127">
        <v>50.806411743163999</v>
      </c>
      <c r="F127" t="s">
        <v>1472</v>
      </c>
      <c r="G127">
        <v>-1.1672500371932899</v>
      </c>
      <c r="H127" t="s">
        <v>1768</v>
      </c>
    </row>
    <row r="128" spans="1:8" x14ac:dyDescent="0.15">
      <c r="A128" t="s">
        <v>1769</v>
      </c>
      <c r="B128" t="s">
        <v>1458</v>
      </c>
      <c r="C128" t="s">
        <v>1403</v>
      </c>
      <c r="D128" t="s">
        <v>1537</v>
      </c>
      <c r="E128">
        <v>52.167579650878899</v>
      </c>
      <c r="F128" t="s">
        <v>1610</v>
      </c>
      <c r="G128">
        <v>-2.3308899402618399</v>
      </c>
      <c r="H128" t="s">
        <v>1770</v>
      </c>
    </row>
    <row r="129" spans="1:8" x14ac:dyDescent="0.15">
      <c r="A129" t="s">
        <v>1771</v>
      </c>
      <c r="B129" t="s">
        <v>1458</v>
      </c>
      <c r="C129" t="s">
        <v>1380</v>
      </c>
      <c r="D129" t="s">
        <v>1467</v>
      </c>
      <c r="E129">
        <v>51.864849090576101</v>
      </c>
      <c r="F129" t="s">
        <v>1475</v>
      </c>
      <c r="G129">
        <v>2.73899990133941E-3</v>
      </c>
      <c r="H129" t="s">
        <v>1772</v>
      </c>
    </row>
    <row r="130" spans="1:8" x14ac:dyDescent="0.15">
      <c r="A130" t="s">
        <v>1773</v>
      </c>
      <c r="B130" t="s">
        <v>1458</v>
      </c>
      <c r="C130" t="s">
        <v>563</v>
      </c>
      <c r="D130" t="s">
        <v>1471</v>
      </c>
      <c r="E130">
        <v>51.281028747558501</v>
      </c>
      <c r="F130" t="s">
        <v>1478</v>
      </c>
      <c r="G130">
        <v>1.09625697135925</v>
      </c>
      <c r="H130" t="s">
        <v>1774</v>
      </c>
    </row>
    <row r="131" spans="1:8" x14ac:dyDescent="0.15">
      <c r="A131" t="s">
        <v>1775</v>
      </c>
      <c r="B131" t="s">
        <v>1458</v>
      </c>
      <c r="C131" t="s">
        <v>1383</v>
      </c>
      <c r="D131" t="s">
        <v>1460</v>
      </c>
      <c r="E131">
        <v>53.821609497070298</v>
      </c>
      <c r="F131" t="s">
        <v>1481</v>
      </c>
      <c r="G131">
        <v>-3.0228400230407702</v>
      </c>
      <c r="H131" t="s">
        <v>1776</v>
      </c>
    </row>
    <row r="132" spans="1:8" x14ac:dyDescent="0.15">
      <c r="A132" t="s">
        <v>1777</v>
      </c>
      <c r="B132" t="s">
        <v>1458</v>
      </c>
      <c r="C132" t="s">
        <v>1391</v>
      </c>
      <c r="D132" t="s">
        <v>1463</v>
      </c>
      <c r="E132">
        <v>52.972099304199197</v>
      </c>
      <c r="F132" t="s">
        <v>1490</v>
      </c>
      <c r="G132">
        <v>-1.2594399452209399</v>
      </c>
      <c r="H132" t="s">
        <v>1778</v>
      </c>
    </row>
    <row r="133" spans="1:8" x14ac:dyDescent="0.15">
      <c r="A133" t="s">
        <v>1779</v>
      </c>
      <c r="B133" t="s">
        <v>1458</v>
      </c>
      <c r="C133" t="s">
        <v>1400</v>
      </c>
      <c r="D133" t="s">
        <v>1537</v>
      </c>
      <c r="E133">
        <v>52.161540985107401</v>
      </c>
      <c r="F133" t="s">
        <v>1653</v>
      </c>
      <c r="G133">
        <v>-1.6356500387191699</v>
      </c>
      <c r="H133" t="s">
        <v>1780</v>
      </c>
    </row>
    <row r="134" spans="1:8" x14ac:dyDescent="0.15">
      <c r="A134" t="s">
        <v>1781</v>
      </c>
      <c r="B134" t="s">
        <v>1458</v>
      </c>
      <c r="C134" t="s">
        <v>1676</v>
      </c>
      <c r="D134" t="s">
        <v>1502</v>
      </c>
      <c r="E134">
        <v>53.395820617675703</v>
      </c>
      <c r="F134" t="s">
        <v>1677</v>
      </c>
      <c r="G134">
        <v>-1.5027600526809599</v>
      </c>
      <c r="H134" t="s">
        <v>1782</v>
      </c>
    </row>
    <row r="135" spans="1:8" x14ac:dyDescent="0.15">
      <c r="A135" t="s">
        <v>1783</v>
      </c>
      <c r="B135" t="s">
        <v>1458</v>
      </c>
      <c r="C135" t="s">
        <v>1496</v>
      </c>
      <c r="D135" t="s">
        <v>1497</v>
      </c>
      <c r="E135">
        <v>54.857200622558501</v>
      </c>
      <c r="F135" t="s">
        <v>1498</v>
      </c>
      <c r="G135">
        <v>-1.4334399700164699</v>
      </c>
      <c r="H135" t="s">
        <v>1784</v>
      </c>
    </row>
    <row r="136" spans="1:8" x14ac:dyDescent="0.15">
      <c r="A136" t="s">
        <v>1785</v>
      </c>
      <c r="B136" t="s">
        <v>1458</v>
      </c>
      <c r="C136" t="s">
        <v>1550</v>
      </c>
      <c r="D136" t="s">
        <v>1521</v>
      </c>
      <c r="E136">
        <v>50.565608978271399</v>
      </c>
      <c r="F136" t="s">
        <v>1786</v>
      </c>
      <c r="G136">
        <v>-3.89699006080627</v>
      </c>
      <c r="H136" t="s">
        <v>1787</v>
      </c>
    </row>
    <row r="137" spans="1:8" x14ac:dyDescent="0.15">
      <c r="A137" t="s">
        <v>1788</v>
      </c>
      <c r="B137" t="s">
        <v>1458</v>
      </c>
      <c r="C137" t="s">
        <v>1512</v>
      </c>
      <c r="D137" t="s">
        <v>1467</v>
      </c>
      <c r="E137">
        <v>52.196281433105398</v>
      </c>
      <c r="F137" t="s">
        <v>1513</v>
      </c>
      <c r="G137">
        <v>-0.454629987478256</v>
      </c>
      <c r="H137" t="s">
        <v>1789</v>
      </c>
    </row>
    <row r="138" spans="1:8" x14ac:dyDescent="0.15">
      <c r="A138" t="s">
        <v>1790</v>
      </c>
      <c r="B138" t="s">
        <v>1458</v>
      </c>
      <c r="C138" t="s">
        <v>492</v>
      </c>
      <c r="D138" t="s">
        <v>1471</v>
      </c>
      <c r="E138">
        <v>51.6661987304687</v>
      </c>
      <c r="F138" t="s">
        <v>1791</v>
      </c>
      <c r="G138">
        <v>-0.80883002281188898</v>
      </c>
      <c r="H138" t="s">
        <v>1792</v>
      </c>
    </row>
    <row r="139" spans="1:8" x14ac:dyDescent="0.15">
      <c r="A139" t="s">
        <v>1793</v>
      </c>
      <c r="B139" t="s">
        <v>1458</v>
      </c>
      <c r="C139" t="s">
        <v>1370</v>
      </c>
      <c r="D139" t="s">
        <v>1521</v>
      </c>
      <c r="E139">
        <v>50.354621887207003</v>
      </c>
      <c r="F139" t="s">
        <v>1763</v>
      </c>
      <c r="G139">
        <v>-3.8384099006652801</v>
      </c>
      <c r="H139" t="s">
        <v>1794</v>
      </c>
    </row>
    <row r="140" spans="1:8" x14ac:dyDescent="0.15">
      <c r="A140" t="s">
        <v>1795</v>
      </c>
      <c r="B140" t="s">
        <v>1458</v>
      </c>
      <c r="C140" t="s">
        <v>1380</v>
      </c>
      <c r="D140" t="s">
        <v>1467</v>
      </c>
      <c r="E140">
        <v>51.905391693115199</v>
      </c>
      <c r="F140" t="s">
        <v>1475</v>
      </c>
      <c r="G140">
        <v>-0.189869999885559</v>
      </c>
      <c r="H140" t="s">
        <v>1796</v>
      </c>
    </row>
    <row r="141" spans="1:8" x14ac:dyDescent="0.15">
      <c r="A141" t="s">
        <v>1797</v>
      </c>
      <c r="B141" t="s">
        <v>1458</v>
      </c>
      <c r="C141" t="s">
        <v>563</v>
      </c>
      <c r="D141" t="s">
        <v>1471</v>
      </c>
      <c r="E141">
        <v>51.399829864501903</v>
      </c>
      <c r="F141" t="s">
        <v>1478</v>
      </c>
      <c r="G141">
        <v>0.40658199787139798</v>
      </c>
      <c r="H141" t="s">
        <v>1798</v>
      </c>
    </row>
    <row r="142" spans="1:8" x14ac:dyDescent="0.15">
      <c r="A142" t="s">
        <v>1799</v>
      </c>
      <c r="B142" t="s">
        <v>1458</v>
      </c>
      <c r="C142" t="s">
        <v>1385</v>
      </c>
      <c r="D142" t="s">
        <v>1463</v>
      </c>
      <c r="E142">
        <v>52.608768463134702</v>
      </c>
      <c r="F142" t="s">
        <v>1484</v>
      </c>
      <c r="G142">
        <v>-1.4175499677657999</v>
      </c>
      <c r="H142" t="s">
        <v>1800</v>
      </c>
    </row>
    <row r="143" spans="1:8" x14ac:dyDescent="0.15">
      <c r="A143" t="s">
        <v>1801</v>
      </c>
      <c r="B143" t="s">
        <v>1458</v>
      </c>
      <c r="C143" t="s">
        <v>1387</v>
      </c>
      <c r="D143" t="s">
        <v>1467</v>
      </c>
      <c r="E143">
        <v>52.698719024658203</v>
      </c>
      <c r="F143" t="s">
        <v>1672</v>
      </c>
      <c r="G143">
        <v>1.2212660312652499</v>
      </c>
      <c r="H143" t="s">
        <v>1802</v>
      </c>
    </row>
    <row r="144" spans="1:8" x14ac:dyDescent="0.15">
      <c r="A144" t="s">
        <v>1803</v>
      </c>
      <c r="B144" t="s">
        <v>1458</v>
      </c>
      <c r="C144" t="s">
        <v>1388</v>
      </c>
      <c r="D144" t="s">
        <v>1463</v>
      </c>
      <c r="E144">
        <v>52.311050415038999</v>
      </c>
      <c r="F144" t="s">
        <v>1704</v>
      </c>
      <c r="G144">
        <v>-0.86668002605438199</v>
      </c>
      <c r="H144" t="s">
        <v>1804</v>
      </c>
    </row>
    <row r="145" spans="1:8" x14ac:dyDescent="0.15">
      <c r="A145" t="s">
        <v>1805</v>
      </c>
      <c r="B145" t="s">
        <v>1458</v>
      </c>
      <c r="C145" t="s">
        <v>1394</v>
      </c>
      <c r="D145" t="s">
        <v>1537</v>
      </c>
      <c r="E145">
        <v>52.696151733398402</v>
      </c>
      <c r="F145" t="s">
        <v>1538</v>
      </c>
      <c r="G145">
        <v>-1.7604899406433101</v>
      </c>
      <c r="H145" t="s">
        <v>1806</v>
      </c>
    </row>
    <row r="146" spans="1:8" x14ac:dyDescent="0.15">
      <c r="A146" t="s">
        <v>1807</v>
      </c>
      <c r="B146" t="s">
        <v>1458</v>
      </c>
      <c r="C146" t="s">
        <v>1398</v>
      </c>
      <c r="D146" t="s">
        <v>1471</v>
      </c>
      <c r="E146">
        <v>51.3609809875488</v>
      </c>
      <c r="F146" t="s">
        <v>1493</v>
      </c>
      <c r="G146">
        <v>-0.39441001415252602</v>
      </c>
      <c r="H146" t="s">
        <v>1808</v>
      </c>
    </row>
    <row r="147" spans="1:8" x14ac:dyDescent="0.15">
      <c r="A147" t="s">
        <v>1809</v>
      </c>
      <c r="B147" t="s">
        <v>1458</v>
      </c>
      <c r="C147" t="s">
        <v>1506</v>
      </c>
      <c r="D147" t="s">
        <v>1506</v>
      </c>
      <c r="E147">
        <v>51.515640258788999</v>
      </c>
      <c r="F147" t="s">
        <v>1507</v>
      </c>
      <c r="G147">
        <v>-9.3510001897811806E-2</v>
      </c>
      <c r="H147" t="s">
        <v>1810</v>
      </c>
    </row>
    <row r="148" spans="1:8" x14ac:dyDescent="0.15">
      <c r="A148" t="s">
        <v>1811</v>
      </c>
      <c r="B148" t="s">
        <v>1458</v>
      </c>
      <c r="C148" t="s">
        <v>1506</v>
      </c>
      <c r="D148" t="s">
        <v>1506</v>
      </c>
      <c r="E148">
        <v>51.496440887451101</v>
      </c>
      <c r="F148" t="s">
        <v>1507</v>
      </c>
      <c r="G148">
        <v>-0.18975999951362599</v>
      </c>
      <c r="H148" t="s">
        <v>1812</v>
      </c>
    </row>
    <row r="149" spans="1:8" x14ac:dyDescent="0.15">
      <c r="A149" t="s">
        <v>1813</v>
      </c>
      <c r="B149" t="s">
        <v>1458</v>
      </c>
      <c r="C149" t="s">
        <v>1378</v>
      </c>
      <c r="D149" t="s">
        <v>1471</v>
      </c>
      <c r="E149">
        <v>51.14453125</v>
      </c>
      <c r="F149" t="s">
        <v>1472</v>
      </c>
      <c r="G149">
        <v>-1.2633099555969201</v>
      </c>
      <c r="H149" t="s">
        <v>1814</v>
      </c>
    </row>
    <row r="150" spans="1:8" x14ac:dyDescent="0.15">
      <c r="A150" t="s">
        <v>1815</v>
      </c>
      <c r="B150" t="s">
        <v>1458</v>
      </c>
      <c r="C150" t="s">
        <v>563</v>
      </c>
      <c r="D150" t="s">
        <v>1471</v>
      </c>
      <c r="E150">
        <v>51.072151184082003</v>
      </c>
      <c r="F150" t="s">
        <v>1478</v>
      </c>
      <c r="G150">
        <v>1.0007959604263299</v>
      </c>
      <c r="H150" t="s">
        <v>1816</v>
      </c>
    </row>
    <row r="151" spans="1:8" x14ac:dyDescent="0.15">
      <c r="A151" t="s">
        <v>1817</v>
      </c>
      <c r="B151" t="s">
        <v>1458</v>
      </c>
      <c r="C151" t="s">
        <v>1385</v>
      </c>
      <c r="D151" t="s">
        <v>1463</v>
      </c>
      <c r="E151">
        <v>52.588748931884702</v>
      </c>
      <c r="F151" t="s">
        <v>1484</v>
      </c>
      <c r="G151">
        <v>-1.09300005435943</v>
      </c>
      <c r="H151" t="s">
        <v>1818</v>
      </c>
    </row>
    <row r="152" spans="1:8" x14ac:dyDescent="0.15">
      <c r="A152" t="s">
        <v>1819</v>
      </c>
      <c r="B152" t="s">
        <v>1458</v>
      </c>
      <c r="C152" t="s">
        <v>1387</v>
      </c>
      <c r="D152" t="s">
        <v>1467</v>
      </c>
      <c r="E152">
        <v>52.512649536132798</v>
      </c>
      <c r="F152" t="s">
        <v>1672</v>
      </c>
      <c r="G152">
        <v>1.3566700220107999</v>
      </c>
      <c r="H152" t="s">
        <v>1820</v>
      </c>
    </row>
    <row r="153" spans="1:8" x14ac:dyDescent="0.15">
      <c r="A153" t="s">
        <v>1821</v>
      </c>
      <c r="B153" t="s">
        <v>1458</v>
      </c>
      <c r="C153" t="s">
        <v>1388</v>
      </c>
      <c r="D153" t="s">
        <v>1463</v>
      </c>
      <c r="E153">
        <v>52.437229156494098</v>
      </c>
      <c r="F153" t="s">
        <v>1704</v>
      </c>
      <c r="G153">
        <v>-0.76772999763488703</v>
      </c>
      <c r="H153" t="s">
        <v>1822</v>
      </c>
    </row>
    <row r="154" spans="1:8" x14ac:dyDescent="0.15">
      <c r="A154" t="s">
        <v>1823</v>
      </c>
      <c r="B154" t="s">
        <v>1458</v>
      </c>
      <c r="C154" t="s">
        <v>1391</v>
      </c>
      <c r="D154" t="s">
        <v>1463</v>
      </c>
      <c r="E154">
        <v>53.128501892089801</v>
      </c>
      <c r="F154" t="s">
        <v>1490</v>
      </c>
      <c r="G154">
        <v>-1.0065599679946899</v>
      </c>
      <c r="H154" t="s">
        <v>309</v>
      </c>
    </row>
    <row r="155" spans="1:8" x14ac:dyDescent="0.15">
      <c r="A155" t="s">
        <v>1824</v>
      </c>
      <c r="B155" t="s">
        <v>1458</v>
      </c>
      <c r="C155" t="s">
        <v>662</v>
      </c>
      <c r="D155" t="s">
        <v>1537</v>
      </c>
      <c r="E155">
        <v>52.622119903564403</v>
      </c>
      <c r="F155" t="s">
        <v>1573</v>
      </c>
      <c r="G155">
        <v>-2.7366700172424299</v>
      </c>
      <c r="H155" t="s">
        <v>1825</v>
      </c>
    </row>
    <row r="156" spans="1:8" x14ac:dyDescent="0.15">
      <c r="A156" t="s">
        <v>1826</v>
      </c>
      <c r="B156" t="s">
        <v>1458</v>
      </c>
      <c r="C156" t="s">
        <v>1398</v>
      </c>
      <c r="D156" t="s">
        <v>1471</v>
      </c>
      <c r="E156">
        <v>51.258460998535099</v>
      </c>
      <c r="F156" t="s">
        <v>1493</v>
      </c>
      <c r="G156">
        <v>-0.19870999455451899</v>
      </c>
      <c r="H156" t="s">
        <v>1827</v>
      </c>
    </row>
    <row r="157" spans="1:8" x14ac:dyDescent="0.15">
      <c r="A157" t="s">
        <v>1828</v>
      </c>
      <c r="B157" t="s">
        <v>1458</v>
      </c>
      <c r="C157" t="s">
        <v>1402</v>
      </c>
      <c r="D157" t="s">
        <v>1471</v>
      </c>
      <c r="E157">
        <v>50.801921844482401</v>
      </c>
      <c r="F157" t="s">
        <v>1580</v>
      </c>
      <c r="G157">
        <v>-0.80768001079559304</v>
      </c>
      <c r="H157" t="s">
        <v>1829</v>
      </c>
    </row>
    <row r="158" spans="1:8" x14ac:dyDescent="0.15">
      <c r="A158" t="s">
        <v>1830</v>
      </c>
      <c r="B158" t="s">
        <v>1458</v>
      </c>
      <c r="C158" t="s">
        <v>1506</v>
      </c>
      <c r="D158" t="s">
        <v>1506</v>
      </c>
      <c r="E158">
        <v>51.365978240966797</v>
      </c>
      <c r="F158" t="s">
        <v>1507</v>
      </c>
      <c r="G158">
        <v>-7.7610000967979403E-2</v>
      </c>
      <c r="H158" t="s">
        <v>1831</v>
      </c>
    </row>
    <row r="159" spans="1:8" x14ac:dyDescent="0.15">
      <c r="A159" t="s">
        <v>1832</v>
      </c>
      <c r="B159" t="s">
        <v>1458</v>
      </c>
      <c r="C159" t="s">
        <v>1506</v>
      </c>
      <c r="D159" t="s">
        <v>1506</v>
      </c>
      <c r="E159">
        <v>51.440330505371001</v>
      </c>
      <c r="F159" t="s">
        <v>1507</v>
      </c>
      <c r="G159">
        <v>-0.28913998603820801</v>
      </c>
      <c r="H159" t="s">
        <v>1833</v>
      </c>
    </row>
    <row r="160" spans="1:8" x14ac:dyDescent="0.15">
      <c r="A160" t="s">
        <v>1834</v>
      </c>
      <c r="B160" t="s">
        <v>1458</v>
      </c>
      <c r="C160" t="s">
        <v>1459</v>
      </c>
      <c r="D160" t="s">
        <v>1460</v>
      </c>
      <c r="E160">
        <v>53.391628265380803</v>
      </c>
      <c r="F160" t="s">
        <v>1461</v>
      </c>
      <c r="G160">
        <v>-2.5616700649261399</v>
      </c>
      <c r="H160" t="s">
        <v>1835</v>
      </c>
    </row>
    <row r="161" spans="1:8" x14ac:dyDescent="0.15">
      <c r="A161" t="s">
        <v>1836</v>
      </c>
      <c r="B161" t="s">
        <v>1458</v>
      </c>
      <c r="C161" t="s">
        <v>1368</v>
      </c>
      <c r="D161" t="s">
        <v>1460</v>
      </c>
      <c r="E161">
        <v>54.277420043945298</v>
      </c>
      <c r="F161" t="s">
        <v>1638</v>
      </c>
      <c r="G161">
        <v>-2.7255499362945499</v>
      </c>
      <c r="H161" t="s">
        <v>1837</v>
      </c>
    </row>
    <row r="162" spans="1:8" x14ac:dyDescent="0.15">
      <c r="A162" t="s">
        <v>1838</v>
      </c>
      <c r="B162" t="s">
        <v>1458</v>
      </c>
      <c r="C162" t="s">
        <v>1369</v>
      </c>
      <c r="D162" t="s">
        <v>1463</v>
      </c>
      <c r="E162">
        <v>53.028839111328097</v>
      </c>
      <c r="F162" t="s">
        <v>1464</v>
      </c>
      <c r="G162">
        <v>-1.4621900320053101</v>
      </c>
      <c r="H162" t="s">
        <v>1839</v>
      </c>
    </row>
    <row r="163" spans="1:8" x14ac:dyDescent="0.15">
      <c r="A163" t="s">
        <v>1840</v>
      </c>
      <c r="B163" t="s">
        <v>1458</v>
      </c>
      <c r="C163" t="s">
        <v>1376</v>
      </c>
      <c r="D163" t="s">
        <v>1467</v>
      </c>
      <c r="E163">
        <v>51.561599731445298</v>
      </c>
      <c r="F163" t="s">
        <v>1468</v>
      </c>
      <c r="G163">
        <v>0.58808398246765103</v>
      </c>
      <c r="H163" t="s">
        <v>1841</v>
      </c>
    </row>
    <row r="164" spans="1:8" x14ac:dyDescent="0.15">
      <c r="A164" t="s">
        <v>1842</v>
      </c>
      <c r="B164" t="s">
        <v>1458</v>
      </c>
      <c r="C164" t="s">
        <v>1376</v>
      </c>
      <c r="D164" t="s">
        <v>1467</v>
      </c>
      <c r="E164">
        <v>51.509941101074197</v>
      </c>
      <c r="F164" t="s">
        <v>1468</v>
      </c>
      <c r="G164">
        <v>0.33490198850631703</v>
      </c>
      <c r="H164" t="s">
        <v>1843</v>
      </c>
    </row>
    <row r="165" spans="1:8" x14ac:dyDescent="0.15">
      <c r="A165" t="s">
        <v>1844</v>
      </c>
      <c r="B165" t="s">
        <v>1458</v>
      </c>
      <c r="C165" t="s">
        <v>1378</v>
      </c>
      <c r="D165" t="s">
        <v>1471</v>
      </c>
      <c r="E165">
        <v>51.139358520507798</v>
      </c>
      <c r="F165" t="s">
        <v>1472</v>
      </c>
      <c r="G165">
        <v>-1.0138700008392301</v>
      </c>
      <c r="H165" t="s">
        <v>1845</v>
      </c>
    </row>
    <row r="166" spans="1:8" x14ac:dyDescent="0.15">
      <c r="A166" t="s">
        <v>1846</v>
      </c>
      <c r="B166" t="s">
        <v>1458</v>
      </c>
      <c r="C166" t="s">
        <v>1380</v>
      </c>
      <c r="D166" t="s">
        <v>1467</v>
      </c>
      <c r="E166">
        <v>51.808788299560497</v>
      </c>
      <c r="F166" t="s">
        <v>1475</v>
      </c>
      <c r="G166">
        <v>-0.276989996433258</v>
      </c>
      <c r="H166" t="s">
        <v>1847</v>
      </c>
    </row>
    <row r="167" spans="1:8" x14ac:dyDescent="0.15">
      <c r="A167" t="s">
        <v>1848</v>
      </c>
      <c r="B167" t="s">
        <v>1458</v>
      </c>
      <c r="C167" t="s">
        <v>563</v>
      </c>
      <c r="D167" t="s">
        <v>1471</v>
      </c>
      <c r="E167">
        <v>51.1025390625</v>
      </c>
      <c r="F167" t="s">
        <v>1478</v>
      </c>
      <c r="G167">
        <v>0.47163200378417902</v>
      </c>
      <c r="H167" t="s">
        <v>1849</v>
      </c>
    </row>
    <row r="168" spans="1:8" x14ac:dyDescent="0.15">
      <c r="A168" t="s">
        <v>1850</v>
      </c>
      <c r="B168" t="s">
        <v>1458</v>
      </c>
      <c r="C168" t="s">
        <v>1383</v>
      </c>
      <c r="D168" t="s">
        <v>1460</v>
      </c>
      <c r="E168">
        <v>53.797100067138601</v>
      </c>
      <c r="F168" t="s">
        <v>1481</v>
      </c>
      <c r="G168">
        <v>-2.9190199375152499</v>
      </c>
      <c r="H168" t="s">
        <v>1851</v>
      </c>
    </row>
    <row r="169" spans="1:8" x14ac:dyDescent="0.15">
      <c r="A169" t="s">
        <v>1852</v>
      </c>
      <c r="B169" t="s">
        <v>1458</v>
      </c>
      <c r="C169" t="s">
        <v>1383</v>
      </c>
      <c r="D169" t="s">
        <v>1460</v>
      </c>
      <c r="E169">
        <v>53.700801849365199</v>
      </c>
      <c r="F169" t="s">
        <v>1481</v>
      </c>
      <c r="G169">
        <v>-2.46359992027282</v>
      </c>
      <c r="H169" t="s">
        <v>1853</v>
      </c>
    </row>
    <row r="170" spans="1:8" x14ac:dyDescent="0.15">
      <c r="A170" t="s">
        <v>1854</v>
      </c>
      <c r="B170" t="s">
        <v>1458</v>
      </c>
      <c r="C170" t="s">
        <v>1385</v>
      </c>
      <c r="D170" t="s">
        <v>1463</v>
      </c>
      <c r="E170">
        <v>52.687789916992102</v>
      </c>
      <c r="F170" t="s">
        <v>1484</v>
      </c>
      <c r="G170">
        <v>-1.3779000043869001</v>
      </c>
      <c r="H170" t="s">
        <v>1855</v>
      </c>
    </row>
    <row r="171" spans="1:8" x14ac:dyDescent="0.15">
      <c r="A171" t="s">
        <v>1856</v>
      </c>
      <c r="B171" t="s">
        <v>1458</v>
      </c>
      <c r="C171" t="s">
        <v>1386</v>
      </c>
      <c r="D171" t="s">
        <v>1463</v>
      </c>
      <c r="E171">
        <v>53.219211578369098</v>
      </c>
      <c r="F171" t="s">
        <v>1487</v>
      </c>
      <c r="G171">
        <v>-0.558480024337768</v>
      </c>
      <c r="H171" t="s">
        <v>1857</v>
      </c>
    </row>
    <row r="172" spans="1:8" x14ac:dyDescent="0.15">
      <c r="A172" t="s">
        <v>1858</v>
      </c>
      <c r="B172" t="s">
        <v>1458</v>
      </c>
      <c r="C172" t="s">
        <v>1394</v>
      </c>
      <c r="D172" t="s">
        <v>1537</v>
      </c>
      <c r="E172">
        <v>53.017070770263601</v>
      </c>
      <c r="F172" t="s">
        <v>1538</v>
      </c>
      <c r="G172">
        <v>-2.15887999534606</v>
      </c>
      <c r="H172" t="s">
        <v>1859</v>
      </c>
    </row>
    <row r="173" spans="1:8" x14ac:dyDescent="0.15">
      <c r="A173" t="s">
        <v>1860</v>
      </c>
      <c r="B173" t="s">
        <v>1458</v>
      </c>
      <c r="C173" t="s">
        <v>1398</v>
      </c>
      <c r="D173" t="s">
        <v>1471</v>
      </c>
      <c r="E173">
        <v>51.235809326171797</v>
      </c>
      <c r="F173" t="s">
        <v>1493</v>
      </c>
      <c r="G173">
        <v>-4.80500012636184E-2</v>
      </c>
      <c r="H173" t="s">
        <v>1861</v>
      </c>
    </row>
    <row r="174" spans="1:8" x14ac:dyDescent="0.15">
      <c r="A174" t="s">
        <v>1862</v>
      </c>
      <c r="B174" t="s">
        <v>1458</v>
      </c>
      <c r="C174" t="s">
        <v>1402</v>
      </c>
      <c r="D174" t="s">
        <v>1471</v>
      </c>
      <c r="E174">
        <v>50.830238342285099</v>
      </c>
      <c r="F174" t="s">
        <v>1580</v>
      </c>
      <c r="G174">
        <v>-0.395099997520446</v>
      </c>
      <c r="H174" t="s">
        <v>1863</v>
      </c>
    </row>
    <row r="175" spans="1:8" x14ac:dyDescent="0.15">
      <c r="A175" t="s">
        <v>1864</v>
      </c>
      <c r="B175" t="s">
        <v>1458</v>
      </c>
      <c r="C175" t="s">
        <v>1747</v>
      </c>
      <c r="D175" t="s">
        <v>1460</v>
      </c>
      <c r="E175">
        <v>53.482101440429602</v>
      </c>
      <c r="F175" t="s">
        <v>1748</v>
      </c>
      <c r="G175">
        <v>-2.9920399188995299</v>
      </c>
      <c r="H175" t="s">
        <v>1865</v>
      </c>
    </row>
    <row r="176" spans="1:8" x14ac:dyDescent="0.15">
      <c r="A176" t="s">
        <v>1866</v>
      </c>
      <c r="B176" t="s">
        <v>1458</v>
      </c>
      <c r="C176" t="s">
        <v>1496</v>
      </c>
      <c r="D176" t="s">
        <v>1497</v>
      </c>
      <c r="E176">
        <v>55.021011352538999</v>
      </c>
      <c r="F176" t="s">
        <v>1498</v>
      </c>
      <c r="G176">
        <v>-1.65296995639801</v>
      </c>
      <c r="H176" t="s">
        <v>1867</v>
      </c>
    </row>
    <row r="177" spans="1:8" x14ac:dyDescent="0.15">
      <c r="A177" t="s">
        <v>1868</v>
      </c>
      <c r="B177" t="s">
        <v>1458</v>
      </c>
      <c r="C177" t="s">
        <v>1506</v>
      </c>
      <c r="D177" t="s">
        <v>1506</v>
      </c>
      <c r="E177">
        <v>51.594669342041001</v>
      </c>
      <c r="F177" t="s">
        <v>1507</v>
      </c>
      <c r="G177">
        <v>-0.33603000640869102</v>
      </c>
      <c r="H177" t="s">
        <v>1869</v>
      </c>
    </row>
    <row r="178" spans="1:8" x14ac:dyDescent="0.15">
      <c r="A178" t="s">
        <v>1870</v>
      </c>
      <c r="B178" t="s">
        <v>1458</v>
      </c>
      <c r="C178" t="s">
        <v>1550</v>
      </c>
      <c r="D178" t="s">
        <v>1463</v>
      </c>
      <c r="E178">
        <v>53.288478851318303</v>
      </c>
      <c r="F178" t="s">
        <v>1871</v>
      </c>
      <c r="G178">
        <v>-1.81142997741699</v>
      </c>
      <c r="H178" t="s">
        <v>1872</v>
      </c>
    </row>
    <row r="179" spans="1:8" x14ac:dyDescent="0.15">
      <c r="A179" t="s">
        <v>1873</v>
      </c>
      <c r="B179" t="s">
        <v>1458</v>
      </c>
      <c r="C179" t="s">
        <v>1506</v>
      </c>
      <c r="D179" t="s">
        <v>1506</v>
      </c>
      <c r="E179">
        <v>51.543308258056598</v>
      </c>
      <c r="F179" t="s">
        <v>1507</v>
      </c>
      <c r="G179">
        <v>-1.6340000554919201E-2</v>
      </c>
      <c r="H179" t="s">
        <v>548</v>
      </c>
    </row>
    <row r="180" spans="1:8" x14ac:dyDescent="0.15">
      <c r="A180" t="s">
        <v>1874</v>
      </c>
      <c r="B180" t="s">
        <v>1458</v>
      </c>
      <c r="C180" t="s">
        <v>492</v>
      </c>
      <c r="D180" t="s">
        <v>1471</v>
      </c>
      <c r="E180">
        <v>51.559440612792898</v>
      </c>
      <c r="F180" t="s">
        <v>1791</v>
      </c>
      <c r="G180">
        <v>-0.58483999967574996</v>
      </c>
      <c r="H180" t="s">
        <v>1875</v>
      </c>
    </row>
    <row r="181" spans="1:8" x14ac:dyDescent="0.15">
      <c r="A181" t="s">
        <v>1876</v>
      </c>
      <c r="B181" t="s">
        <v>1458</v>
      </c>
      <c r="C181" t="s">
        <v>1369</v>
      </c>
      <c r="D181" t="s">
        <v>1463</v>
      </c>
      <c r="E181">
        <v>52.938201904296797</v>
      </c>
      <c r="F181" t="s">
        <v>1464</v>
      </c>
      <c r="G181">
        <v>-1.3509000539779601</v>
      </c>
      <c r="H181" t="s">
        <v>1877</v>
      </c>
    </row>
    <row r="182" spans="1:8" x14ac:dyDescent="0.15">
      <c r="A182" t="s">
        <v>1878</v>
      </c>
      <c r="B182" t="s">
        <v>1458</v>
      </c>
      <c r="C182" t="s">
        <v>1370</v>
      </c>
      <c r="D182" t="s">
        <v>1521</v>
      </c>
      <c r="E182">
        <v>50.404941558837798</v>
      </c>
      <c r="F182" t="s">
        <v>1763</v>
      </c>
      <c r="G182">
        <v>-4.1129899024963299</v>
      </c>
      <c r="H182" t="s">
        <v>1879</v>
      </c>
    </row>
    <row r="183" spans="1:8" x14ac:dyDescent="0.15">
      <c r="A183" t="s">
        <v>1880</v>
      </c>
      <c r="B183" t="s">
        <v>1458</v>
      </c>
      <c r="C183" t="s">
        <v>1881</v>
      </c>
      <c r="D183" t="s">
        <v>1497</v>
      </c>
      <c r="E183">
        <v>54.5353393554687</v>
      </c>
      <c r="F183" t="s">
        <v>1882</v>
      </c>
      <c r="G183">
        <v>-1.5683499574661199</v>
      </c>
      <c r="H183" t="s">
        <v>1883</v>
      </c>
    </row>
    <row r="184" spans="1:8" x14ac:dyDescent="0.15">
      <c r="A184" t="s">
        <v>1884</v>
      </c>
      <c r="B184" t="s">
        <v>1458</v>
      </c>
      <c r="C184" t="s">
        <v>1376</v>
      </c>
      <c r="D184" t="s">
        <v>1467</v>
      </c>
      <c r="E184">
        <v>51.766139984130803</v>
      </c>
      <c r="F184" t="s">
        <v>1468</v>
      </c>
      <c r="G184">
        <v>0.103887997567653</v>
      </c>
      <c r="H184" t="s">
        <v>1885</v>
      </c>
    </row>
    <row r="185" spans="1:8" x14ac:dyDescent="0.15">
      <c r="A185" t="s">
        <v>1886</v>
      </c>
      <c r="B185" t="s">
        <v>1458</v>
      </c>
      <c r="C185" t="s">
        <v>1378</v>
      </c>
      <c r="D185" t="s">
        <v>1471</v>
      </c>
      <c r="E185">
        <v>51.281970977783203</v>
      </c>
      <c r="F185" t="s">
        <v>1472</v>
      </c>
      <c r="G185">
        <v>-0.88321000337600697</v>
      </c>
      <c r="H185" t="s">
        <v>1887</v>
      </c>
    </row>
    <row r="186" spans="1:8" x14ac:dyDescent="0.15">
      <c r="A186" t="s">
        <v>1888</v>
      </c>
      <c r="B186" t="s">
        <v>1458</v>
      </c>
      <c r="C186" t="s">
        <v>1380</v>
      </c>
      <c r="D186" t="s">
        <v>1467</v>
      </c>
      <c r="E186">
        <v>51.680168151855398</v>
      </c>
      <c r="F186" t="s">
        <v>1475</v>
      </c>
      <c r="G186">
        <v>-0.26899001002311701</v>
      </c>
      <c r="H186" t="s">
        <v>1889</v>
      </c>
    </row>
    <row r="187" spans="1:8" x14ac:dyDescent="0.15">
      <c r="A187" t="s">
        <v>1890</v>
      </c>
      <c r="B187" t="s">
        <v>1458</v>
      </c>
      <c r="C187" t="s">
        <v>1383</v>
      </c>
      <c r="D187" t="s">
        <v>1460</v>
      </c>
      <c r="E187">
        <v>53.821990966796797</v>
      </c>
      <c r="F187" t="s">
        <v>1481</v>
      </c>
      <c r="G187">
        <v>-2.7181699275970401</v>
      </c>
      <c r="H187" t="s">
        <v>1891</v>
      </c>
    </row>
    <row r="188" spans="1:8" x14ac:dyDescent="0.15">
      <c r="A188" t="s">
        <v>1892</v>
      </c>
      <c r="B188" t="s">
        <v>1458</v>
      </c>
      <c r="C188" t="s">
        <v>1386</v>
      </c>
      <c r="D188" t="s">
        <v>1463</v>
      </c>
      <c r="E188">
        <v>53.400440216064403</v>
      </c>
      <c r="F188" t="s">
        <v>1487</v>
      </c>
      <c r="G188">
        <v>-0.50774002075195301</v>
      </c>
      <c r="H188" t="s">
        <v>1893</v>
      </c>
    </row>
    <row r="189" spans="1:8" x14ac:dyDescent="0.15">
      <c r="A189" t="s">
        <v>1894</v>
      </c>
      <c r="B189" t="s">
        <v>1458</v>
      </c>
      <c r="C189" t="s">
        <v>764</v>
      </c>
      <c r="D189" t="s">
        <v>1502</v>
      </c>
      <c r="E189">
        <v>53.733268737792898</v>
      </c>
      <c r="F189" t="s">
        <v>1565</v>
      </c>
      <c r="G189">
        <v>-1.1290800571441599</v>
      </c>
      <c r="H189" t="s">
        <v>1895</v>
      </c>
    </row>
    <row r="190" spans="1:8" x14ac:dyDescent="0.15">
      <c r="A190" t="s">
        <v>1896</v>
      </c>
      <c r="B190" t="s">
        <v>1458</v>
      </c>
      <c r="C190" t="s">
        <v>1391</v>
      </c>
      <c r="D190" t="s">
        <v>1463</v>
      </c>
      <c r="E190">
        <v>53.024341583251903</v>
      </c>
      <c r="F190" t="s">
        <v>1490</v>
      </c>
      <c r="G190">
        <v>-1.1190700531005799</v>
      </c>
      <c r="H190" t="s">
        <v>1897</v>
      </c>
    </row>
    <row r="191" spans="1:8" x14ac:dyDescent="0.15">
      <c r="A191" t="s">
        <v>1898</v>
      </c>
      <c r="B191" t="s">
        <v>1458</v>
      </c>
      <c r="C191" t="s">
        <v>1544</v>
      </c>
      <c r="D191" t="s">
        <v>1460</v>
      </c>
      <c r="E191">
        <v>53.5844917297363</v>
      </c>
      <c r="F191" t="s">
        <v>1545</v>
      </c>
      <c r="G191">
        <v>-2.47952008247375</v>
      </c>
      <c r="H191" t="s">
        <v>1899</v>
      </c>
    </row>
    <row r="192" spans="1:8" x14ac:dyDescent="0.15">
      <c r="A192" t="s">
        <v>1900</v>
      </c>
      <c r="B192" t="s">
        <v>1458</v>
      </c>
      <c r="C192" t="s">
        <v>1501</v>
      </c>
      <c r="D192" t="s">
        <v>1502</v>
      </c>
      <c r="E192">
        <v>53.822731018066399</v>
      </c>
      <c r="F192" t="s">
        <v>1503</v>
      </c>
      <c r="G192">
        <v>-1.5073599815368599</v>
      </c>
      <c r="H192" t="s">
        <v>1901</v>
      </c>
    </row>
    <row r="193" spans="1:8" x14ac:dyDescent="0.15">
      <c r="A193" t="s">
        <v>1902</v>
      </c>
      <c r="B193" t="s">
        <v>1458</v>
      </c>
      <c r="C193" t="s">
        <v>1506</v>
      </c>
      <c r="D193" t="s">
        <v>1506</v>
      </c>
      <c r="E193">
        <v>51.611080169677699</v>
      </c>
      <c r="F193" t="s">
        <v>1507</v>
      </c>
      <c r="G193">
        <v>-0.21820999681949599</v>
      </c>
      <c r="H193" t="s">
        <v>1903</v>
      </c>
    </row>
    <row r="194" spans="1:8" x14ac:dyDescent="0.15">
      <c r="A194" t="s">
        <v>1904</v>
      </c>
      <c r="B194" t="s">
        <v>1458</v>
      </c>
      <c r="C194" t="s">
        <v>1506</v>
      </c>
      <c r="D194" t="s">
        <v>1506</v>
      </c>
      <c r="E194">
        <v>51.464420318603501</v>
      </c>
      <c r="F194" t="s">
        <v>1507</v>
      </c>
      <c r="G194">
        <v>-0.113849997520446</v>
      </c>
      <c r="H194" t="s">
        <v>1905</v>
      </c>
    </row>
    <row r="195" spans="1:8" x14ac:dyDescent="0.15">
      <c r="A195" t="s">
        <v>1906</v>
      </c>
      <c r="B195" t="s">
        <v>1458</v>
      </c>
      <c r="C195" t="s">
        <v>789</v>
      </c>
      <c r="D195" t="s">
        <v>1521</v>
      </c>
      <c r="E195">
        <v>51.5467109680175</v>
      </c>
      <c r="F195" t="s">
        <v>1593</v>
      </c>
      <c r="G195">
        <v>-2.4692199230193999</v>
      </c>
      <c r="H195" t="s">
        <v>1907</v>
      </c>
    </row>
    <row r="196" spans="1:8" x14ac:dyDescent="0.15">
      <c r="A196" t="s">
        <v>1908</v>
      </c>
      <c r="B196" t="s">
        <v>1458</v>
      </c>
      <c r="C196" t="s">
        <v>1512</v>
      </c>
      <c r="D196" t="s">
        <v>1467</v>
      </c>
      <c r="E196">
        <v>51.999031066894503</v>
      </c>
      <c r="F196" t="s">
        <v>1513</v>
      </c>
      <c r="G196">
        <v>-0.47753998637199402</v>
      </c>
      <c r="H196" t="s">
        <v>475</v>
      </c>
    </row>
    <row r="197" spans="1:8" x14ac:dyDescent="0.15">
      <c r="A197" t="s">
        <v>1909</v>
      </c>
      <c r="B197" t="s">
        <v>1458</v>
      </c>
      <c r="C197" t="s">
        <v>492</v>
      </c>
      <c r="D197" t="s">
        <v>1471</v>
      </c>
      <c r="E197">
        <v>51.769660949707003</v>
      </c>
      <c r="F197" t="s">
        <v>1791</v>
      </c>
      <c r="G197">
        <v>-0.80568999052047696</v>
      </c>
      <c r="H197" t="s">
        <v>1910</v>
      </c>
    </row>
    <row r="198" spans="1:8" x14ac:dyDescent="0.15">
      <c r="A198" t="s">
        <v>1911</v>
      </c>
      <c r="B198" t="s">
        <v>1458</v>
      </c>
      <c r="C198" t="s">
        <v>1369</v>
      </c>
      <c r="D198" t="s">
        <v>1463</v>
      </c>
      <c r="E198">
        <v>53.012969970703097</v>
      </c>
      <c r="F198" t="s">
        <v>1464</v>
      </c>
      <c r="G198">
        <v>-1.67653000354766</v>
      </c>
      <c r="H198" t="s">
        <v>1912</v>
      </c>
    </row>
    <row r="199" spans="1:8" x14ac:dyDescent="0.15">
      <c r="A199" t="s">
        <v>1913</v>
      </c>
      <c r="B199" t="s">
        <v>1458</v>
      </c>
      <c r="C199" t="s">
        <v>1370</v>
      </c>
      <c r="D199" t="s">
        <v>1521</v>
      </c>
      <c r="E199">
        <v>50.642879486083899</v>
      </c>
      <c r="F199" t="s">
        <v>1763</v>
      </c>
      <c r="G199">
        <v>-3.5935299396514799</v>
      </c>
      <c r="H199" t="s">
        <v>1914</v>
      </c>
    </row>
    <row r="200" spans="1:8" x14ac:dyDescent="0.15">
      <c r="A200" t="s">
        <v>1915</v>
      </c>
      <c r="B200" t="s">
        <v>1458</v>
      </c>
      <c r="C200" t="s">
        <v>1374</v>
      </c>
      <c r="D200" t="s">
        <v>1471</v>
      </c>
      <c r="E200">
        <v>50.925380706787102</v>
      </c>
      <c r="F200" t="s">
        <v>1516</v>
      </c>
      <c r="G200">
        <v>-2.7600000612437699E-3</v>
      </c>
      <c r="H200" t="s">
        <v>1916</v>
      </c>
    </row>
    <row r="201" spans="1:8" x14ac:dyDescent="0.15">
      <c r="A201" t="s">
        <v>1917</v>
      </c>
      <c r="B201" t="s">
        <v>1458</v>
      </c>
      <c r="C201" t="s">
        <v>1376</v>
      </c>
      <c r="D201" t="s">
        <v>1467</v>
      </c>
      <c r="E201">
        <v>51.856929779052699</v>
      </c>
      <c r="F201" t="s">
        <v>1468</v>
      </c>
      <c r="G201">
        <v>1.1091829538345299</v>
      </c>
      <c r="H201" t="s">
        <v>1918</v>
      </c>
    </row>
    <row r="202" spans="1:8" x14ac:dyDescent="0.15">
      <c r="A202" t="s">
        <v>1919</v>
      </c>
      <c r="B202" t="s">
        <v>1458</v>
      </c>
      <c r="C202" t="s">
        <v>527</v>
      </c>
      <c r="D202" t="s">
        <v>1521</v>
      </c>
      <c r="E202">
        <v>51.812488555908203</v>
      </c>
      <c r="F202" t="s">
        <v>1522</v>
      </c>
      <c r="G202">
        <v>-2.4775500297546298</v>
      </c>
      <c r="H202" t="s">
        <v>1920</v>
      </c>
    </row>
    <row r="203" spans="1:8" x14ac:dyDescent="0.15">
      <c r="A203" t="s">
        <v>1921</v>
      </c>
      <c r="B203" t="s">
        <v>1458</v>
      </c>
      <c r="C203" t="s">
        <v>1378</v>
      </c>
      <c r="D203" t="s">
        <v>1471</v>
      </c>
      <c r="E203">
        <v>51.278148651122997</v>
      </c>
      <c r="F203" t="s">
        <v>1472</v>
      </c>
      <c r="G203">
        <v>-0.76806998252868597</v>
      </c>
      <c r="H203" t="s">
        <v>1922</v>
      </c>
    </row>
    <row r="204" spans="1:8" x14ac:dyDescent="0.15">
      <c r="A204" t="s">
        <v>1923</v>
      </c>
      <c r="B204" t="s">
        <v>1458</v>
      </c>
      <c r="C204" t="s">
        <v>1403</v>
      </c>
      <c r="D204" t="s">
        <v>1537</v>
      </c>
      <c r="E204">
        <v>52.361690521240199</v>
      </c>
      <c r="F204" t="s">
        <v>1610</v>
      </c>
      <c r="G204">
        <v>-2.0037600994110099</v>
      </c>
      <c r="H204" t="s">
        <v>1924</v>
      </c>
    </row>
    <row r="205" spans="1:8" x14ac:dyDescent="0.15">
      <c r="A205" t="s">
        <v>1925</v>
      </c>
      <c r="B205" t="s">
        <v>1458</v>
      </c>
      <c r="C205" t="s">
        <v>1380</v>
      </c>
      <c r="D205" t="s">
        <v>1467</v>
      </c>
      <c r="E205">
        <v>51.656318664550703</v>
      </c>
      <c r="F205" t="s">
        <v>1475</v>
      </c>
      <c r="G205">
        <v>-0.45004999637603699</v>
      </c>
      <c r="H205" t="s">
        <v>1926</v>
      </c>
    </row>
    <row r="206" spans="1:8" x14ac:dyDescent="0.15">
      <c r="A206" t="s">
        <v>1927</v>
      </c>
      <c r="B206" t="s">
        <v>1458</v>
      </c>
      <c r="C206" t="s">
        <v>791</v>
      </c>
      <c r="D206" t="s">
        <v>1471</v>
      </c>
      <c r="E206">
        <v>50.671291351318303</v>
      </c>
      <c r="F206" t="s">
        <v>1928</v>
      </c>
      <c r="G206">
        <v>-1.3336600065231301</v>
      </c>
      <c r="H206" t="s">
        <v>1929</v>
      </c>
    </row>
    <row r="207" spans="1:8" x14ac:dyDescent="0.15">
      <c r="A207" t="s">
        <v>1930</v>
      </c>
      <c r="B207" t="s">
        <v>1458</v>
      </c>
      <c r="C207" t="s">
        <v>1383</v>
      </c>
      <c r="D207" t="s">
        <v>1460</v>
      </c>
      <c r="E207">
        <v>53.612808227538999</v>
      </c>
      <c r="F207" t="s">
        <v>1481</v>
      </c>
      <c r="G207">
        <v>-2.8689301013946502</v>
      </c>
      <c r="H207" t="s">
        <v>1931</v>
      </c>
    </row>
    <row r="208" spans="1:8" x14ac:dyDescent="0.15">
      <c r="A208" t="s">
        <v>1932</v>
      </c>
      <c r="B208" t="s">
        <v>1458</v>
      </c>
      <c r="C208" t="s">
        <v>764</v>
      </c>
      <c r="D208" t="s">
        <v>1502</v>
      </c>
      <c r="E208">
        <v>54.093711853027301</v>
      </c>
      <c r="F208" t="s">
        <v>1565</v>
      </c>
      <c r="G208">
        <v>-1.55032002925872</v>
      </c>
      <c r="H208" t="s">
        <v>1933</v>
      </c>
    </row>
    <row r="209" spans="1:8" x14ac:dyDescent="0.15">
      <c r="A209" t="s">
        <v>1934</v>
      </c>
      <c r="B209" t="s">
        <v>1458</v>
      </c>
      <c r="C209" t="s">
        <v>358</v>
      </c>
      <c r="D209" t="s">
        <v>1497</v>
      </c>
      <c r="E209">
        <v>55.036670684814403</v>
      </c>
      <c r="F209" t="s">
        <v>1935</v>
      </c>
      <c r="G209">
        <v>-2.0350100994110099</v>
      </c>
      <c r="H209" t="s">
        <v>1936</v>
      </c>
    </row>
    <row r="210" spans="1:8" x14ac:dyDescent="0.15">
      <c r="A210" t="s">
        <v>1937</v>
      </c>
      <c r="B210" t="s">
        <v>1458</v>
      </c>
      <c r="C210" t="s">
        <v>1391</v>
      </c>
      <c r="D210" t="s">
        <v>1463</v>
      </c>
      <c r="E210">
        <v>52.912399291992102</v>
      </c>
      <c r="F210" t="s">
        <v>1490</v>
      </c>
      <c r="G210">
        <v>-1.01096999645233</v>
      </c>
      <c r="H210" t="s">
        <v>1938</v>
      </c>
    </row>
    <row r="211" spans="1:8" x14ac:dyDescent="0.15">
      <c r="A211" t="s">
        <v>1939</v>
      </c>
      <c r="B211" t="s">
        <v>1458</v>
      </c>
      <c r="C211" t="s">
        <v>1394</v>
      </c>
      <c r="D211" t="s">
        <v>1537</v>
      </c>
      <c r="E211">
        <v>53.003448486328097</v>
      </c>
      <c r="F211" t="s">
        <v>1538</v>
      </c>
      <c r="G211">
        <v>-2.3263099193572998</v>
      </c>
      <c r="H211" t="s">
        <v>1940</v>
      </c>
    </row>
    <row r="212" spans="1:8" x14ac:dyDescent="0.15">
      <c r="A212" t="s">
        <v>1941</v>
      </c>
      <c r="B212" t="s">
        <v>1458</v>
      </c>
      <c r="C212" t="s">
        <v>1398</v>
      </c>
      <c r="D212" t="s">
        <v>1471</v>
      </c>
      <c r="E212">
        <v>51.339450836181598</v>
      </c>
      <c r="F212" t="s">
        <v>1493</v>
      </c>
      <c r="G212">
        <v>-0.26172000169754001</v>
      </c>
      <c r="H212" t="s">
        <v>1942</v>
      </c>
    </row>
    <row r="213" spans="1:8" x14ac:dyDescent="0.15">
      <c r="A213" t="s">
        <v>1943</v>
      </c>
      <c r="B213" t="s">
        <v>1458</v>
      </c>
      <c r="C213" t="s">
        <v>1402</v>
      </c>
      <c r="D213" t="s">
        <v>1471</v>
      </c>
      <c r="E213">
        <v>50.951339721679602</v>
      </c>
      <c r="F213" t="s">
        <v>1580</v>
      </c>
      <c r="G213">
        <v>-0.45932999253272999</v>
      </c>
      <c r="H213" t="s">
        <v>1944</v>
      </c>
    </row>
    <row r="214" spans="1:8" x14ac:dyDescent="0.15">
      <c r="A214" t="s">
        <v>1945</v>
      </c>
      <c r="B214" t="s">
        <v>1458</v>
      </c>
      <c r="C214" t="s">
        <v>1544</v>
      </c>
      <c r="D214" t="s">
        <v>1460</v>
      </c>
      <c r="E214">
        <v>53.607410430908203</v>
      </c>
      <c r="F214" t="s">
        <v>1545</v>
      </c>
      <c r="G214">
        <v>-2.1478400230407702</v>
      </c>
      <c r="H214" t="s">
        <v>1946</v>
      </c>
    </row>
    <row r="215" spans="1:8" x14ac:dyDescent="0.15">
      <c r="A215" t="s">
        <v>1947</v>
      </c>
      <c r="B215" t="s">
        <v>1458</v>
      </c>
      <c r="C215" t="s">
        <v>1676</v>
      </c>
      <c r="D215" t="s">
        <v>1502</v>
      </c>
      <c r="E215">
        <v>53.395530700683501</v>
      </c>
      <c r="F215" t="s">
        <v>1677</v>
      </c>
      <c r="G215">
        <v>-1.28650999069213</v>
      </c>
      <c r="H215" t="s">
        <v>1948</v>
      </c>
    </row>
    <row r="216" spans="1:8" x14ac:dyDescent="0.15">
      <c r="A216" t="s">
        <v>1949</v>
      </c>
      <c r="B216" t="s">
        <v>1458</v>
      </c>
      <c r="C216" t="s">
        <v>1537</v>
      </c>
      <c r="D216" t="s">
        <v>1537</v>
      </c>
      <c r="E216">
        <v>52.484039306640597</v>
      </c>
      <c r="F216" t="s">
        <v>1585</v>
      </c>
      <c r="G216">
        <v>-1.88141000270843</v>
      </c>
      <c r="H216" t="s">
        <v>1950</v>
      </c>
    </row>
    <row r="217" spans="1:8" x14ac:dyDescent="0.15">
      <c r="A217" t="s">
        <v>1951</v>
      </c>
      <c r="B217" t="s">
        <v>1458</v>
      </c>
      <c r="C217" t="s">
        <v>1506</v>
      </c>
      <c r="D217" t="s">
        <v>1506</v>
      </c>
      <c r="E217">
        <v>51.357559204101499</v>
      </c>
      <c r="F217" t="s">
        <v>1507</v>
      </c>
      <c r="G217">
        <v>-0.17226999998092599</v>
      </c>
      <c r="H217" t="s">
        <v>1952</v>
      </c>
    </row>
    <row r="218" spans="1:8" x14ac:dyDescent="0.15">
      <c r="A218" t="s">
        <v>1953</v>
      </c>
      <c r="B218" t="s">
        <v>1458</v>
      </c>
      <c r="C218" t="s">
        <v>1367</v>
      </c>
      <c r="D218" t="s">
        <v>1467</v>
      </c>
      <c r="E218">
        <v>52.200168609619098</v>
      </c>
      <c r="F218" t="s">
        <v>1596</v>
      </c>
      <c r="G218">
        <v>0.12643599510192799</v>
      </c>
      <c r="H218" t="s">
        <v>1954</v>
      </c>
    </row>
    <row r="219" spans="1:8" x14ac:dyDescent="0.15">
      <c r="A219" t="s">
        <v>1955</v>
      </c>
      <c r="B219" t="s">
        <v>1458</v>
      </c>
      <c r="C219" t="s">
        <v>1370</v>
      </c>
      <c r="D219" t="s">
        <v>1521</v>
      </c>
      <c r="E219">
        <v>50.784381866455</v>
      </c>
      <c r="F219" t="s">
        <v>1763</v>
      </c>
      <c r="G219">
        <v>-4.0743899345397896</v>
      </c>
      <c r="H219" t="s">
        <v>1956</v>
      </c>
    </row>
    <row r="220" spans="1:8" x14ac:dyDescent="0.15">
      <c r="A220" t="s">
        <v>1957</v>
      </c>
      <c r="B220" t="s">
        <v>1458</v>
      </c>
      <c r="C220" t="s">
        <v>1374</v>
      </c>
      <c r="D220" t="s">
        <v>1471</v>
      </c>
      <c r="E220">
        <v>50.841968536376903</v>
      </c>
      <c r="F220" t="s">
        <v>1516</v>
      </c>
      <c r="G220">
        <v>-0.15734000504016801</v>
      </c>
      <c r="H220" t="s">
        <v>1958</v>
      </c>
    </row>
    <row r="221" spans="1:8" x14ac:dyDescent="0.15">
      <c r="A221" t="s">
        <v>1959</v>
      </c>
      <c r="B221" t="s">
        <v>1458</v>
      </c>
      <c r="C221" t="s">
        <v>1378</v>
      </c>
      <c r="D221" t="s">
        <v>1471</v>
      </c>
      <c r="E221">
        <v>51.044731140136697</v>
      </c>
      <c r="F221" t="s">
        <v>1472</v>
      </c>
      <c r="G221">
        <v>-1.2473599910736</v>
      </c>
      <c r="H221" t="s">
        <v>1960</v>
      </c>
    </row>
    <row r="222" spans="1:8" x14ac:dyDescent="0.15">
      <c r="A222" t="s">
        <v>1961</v>
      </c>
      <c r="B222" t="s">
        <v>1458</v>
      </c>
      <c r="C222" t="s">
        <v>1403</v>
      </c>
      <c r="D222" t="s">
        <v>1537</v>
      </c>
      <c r="E222">
        <v>52.285411834716797</v>
      </c>
      <c r="F222" t="s">
        <v>1610</v>
      </c>
      <c r="G222">
        <v>-1.94710004329681</v>
      </c>
      <c r="H222" t="s">
        <v>1962</v>
      </c>
    </row>
    <row r="223" spans="1:8" x14ac:dyDescent="0.15">
      <c r="A223" t="s">
        <v>1963</v>
      </c>
      <c r="B223" t="s">
        <v>1458</v>
      </c>
      <c r="C223" t="s">
        <v>1383</v>
      </c>
      <c r="D223" t="s">
        <v>1460</v>
      </c>
      <c r="E223">
        <v>53.862159729003899</v>
      </c>
      <c r="F223" t="s">
        <v>1481</v>
      </c>
      <c r="G223">
        <v>-2.4609100818634002</v>
      </c>
      <c r="H223" t="s">
        <v>1964</v>
      </c>
    </row>
    <row r="224" spans="1:8" x14ac:dyDescent="0.15">
      <c r="A224" t="s">
        <v>1965</v>
      </c>
      <c r="B224" t="s">
        <v>1458</v>
      </c>
      <c r="C224" t="s">
        <v>1386</v>
      </c>
      <c r="D224" t="s">
        <v>1463</v>
      </c>
      <c r="E224">
        <v>53.111049652099602</v>
      </c>
      <c r="F224" t="s">
        <v>1487</v>
      </c>
      <c r="G224">
        <v>-0.23882000148296301</v>
      </c>
      <c r="H224" t="s">
        <v>1966</v>
      </c>
    </row>
    <row r="225" spans="1:8" x14ac:dyDescent="0.15">
      <c r="A225" t="s">
        <v>1967</v>
      </c>
      <c r="B225" t="s">
        <v>1458</v>
      </c>
      <c r="C225" t="s">
        <v>1391</v>
      </c>
      <c r="D225" t="s">
        <v>1463</v>
      </c>
      <c r="E225">
        <v>52.954189300537102</v>
      </c>
      <c r="F225" t="s">
        <v>1490</v>
      </c>
      <c r="G225">
        <v>-1.16666996479034</v>
      </c>
      <c r="H225" t="s">
        <v>1968</v>
      </c>
    </row>
    <row r="226" spans="1:8" x14ac:dyDescent="0.15">
      <c r="A226" t="s">
        <v>1969</v>
      </c>
      <c r="B226" t="s">
        <v>1458</v>
      </c>
      <c r="C226" t="s">
        <v>1392</v>
      </c>
      <c r="D226" t="s">
        <v>1471</v>
      </c>
      <c r="E226">
        <v>51.622879028320298</v>
      </c>
      <c r="F226" t="s">
        <v>1570</v>
      </c>
      <c r="G226">
        <v>-1.07846999168396</v>
      </c>
      <c r="H226" t="s">
        <v>1970</v>
      </c>
    </row>
    <row r="227" spans="1:8" x14ac:dyDescent="0.15">
      <c r="A227" t="s">
        <v>1971</v>
      </c>
      <c r="B227" t="s">
        <v>1458</v>
      </c>
      <c r="C227" t="s">
        <v>789</v>
      </c>
      <c r="D227" t="s">
        <v>1521</v>
      </c>
      <c r="E227">
        <v>51.194759368896399</v>
      </c>
      <c r="F227" t="s">
        <v>1593</v>
      </c>
      <c r="G227">
        <v>-2.5417799949645898</v>
      </c>
      <c r="H227" t="s">
        <v>1972</v>
      </c>
    </row>
    <row r="228" spans="1:8" x14ac:dyDescent="0.15">
      <c r="A228" t="s">
        <v>1973</v>
      </c>
      <c r="B228" t="s">
        <v>1458</v>
      </c>
      <c r="C228" t="s">
        <v>1398</v>
      </c>
      <c r="D228" t="s">
        <v>1471</v>
      </c>
      <c r="E228">
        <v>51.392730712890597</v>
      </c>
      <c r="F228" t="s">
        <v>1493</v>
      </c>
      <c r="G228">
        <v>-0.53855001926422097</v>
      </c>
      <c r="H228" t="s">
        <v>1974</v>
      </c>
    </row>
    <row r="229" spans="1:8" x14ac:dyDescent="0.15">
      <c r="A229" t="s">
        <v>1975</v>
      </c>
      <c r="B229" t="s">
        <v>1458</v>
      </c>
      <c r="C229" t="s">
        <v>1402</v>
      </c>
      <c r="D229" t="s">
        <v>1471</v>
      </c>
      <c r="E229">
        <v>51.123569488525298</v>
      </c>
      <c r="F229" t="s">
        <v>1580</v>
      </c>
      <c r="G229">
        <v>-0.19532999396324099</v>
      </c>
      <c r="H229" t="s">
        <v>1976</v>
      </c>
    </row>
    <row r="230" spans="1:8" x14ac:dyDescent="0.15">
      <c r="A230" t="s">
        <v>1977</v>
      </c>
      <c r="B230" t="s">
        <v>1458</v>
      </c>
      <c r="C230" t="s">
        <v>1544</v>
      </c>
      <c r="D230" t="s">
        <v>1460</v>
      </c>
      <c r="E230">
        <v>53.416709899902301</v>
      </c>
      <c r="F230" t="s">
        <v>1545</v>
      </c>
      <c r="G230">
        <v>-2.3657200336456299</v>
      </c>
      <c r="H230" t="s">
        <v>1978</v>
      </c>
    </row>
    <row r="231" spans="1:8" x14ac:dyDescent="0.15">
      <c r="A231" t="s">
        <v>1979</v>
      </c>
      <c r="B231" t="s">
        <v>1458</v>
      </c>
      <c r="C231" t="s">
        <v>1537</v>
      </c>
      <c r="D231" t="s">
        <v>1537</v>
      </c>
      <c r="E231">
        <v>52.430999755859297</v>
      </c>
      <c r="F231" t="s">
        <v>1585</v>
      </c>
      <c r="G231">
        <v>-1.7155799865722601</v>
      </c>
      <c r="H231" t="s">
        <v>1980</v>
      </c>
    </row>
    <row r="232" spans="1:8" x14ac:dyDescent="0.15">
      <c r="A232" t="s">
        <v>1981</v>
      </c>
      <c r="B232" t="s">
        <v>1458</v>
      </c>
      <c r="C232" t="s">
        <v>1506</v>
      </c>
      <c r="D232" t="s">
        <v>1506</v>
      </c>
      <c r="E232">
        <v>51.648880004882798</v>
      </c>
      <c r="F232" t="s">
        <v>1507</v>
      </c>
      <c r="G232">
        <v>-8.14699977636337E-2</v>
      </c>
      <c r="H232" t="s">
        <v>1982</v>
      </c>
    </row>
    <row r="233" spans="1:8" x14ac:dyDescent="0.15">
      <c r="A233" t="s">
        <v>1983</v>
      </c>
      <c r="B233" t="s">
        <v>1458</v>
      </c>
      <c r="C233" t="s">
        <v>1550</v>
      </c>
      <c r="D233" t="s">
        <v>1460</v>
      </c>
      <c r="E233">
        <v>54.497341156005803</v>
      </c>
      <c r="F233" t="s">
        <v>1984</v>
      </c>
      <c r="G233">
        <v>-3.03955006599426</v>
      </c>
      <c r="H233" t="s">
        <v>1985</v>
      </c>
    </row>
    <row r="234" spans="1:8" x14ac:dyDescent="0.15">
      <c r="A234" t="s">
        <v>1986</v>
      </c>
      <c r="B234" t="s">
        <v>1458</v>
      </c>
      <c r="C234" t="s">
        <v>1632</v>
      </c>
      <c r="D234" t="s">
        <v>1471</v>
      </c>
      <c r="E234">
        <v>51.411300659179602</v>
      </c>
      <c r="F234" t="s">
        <v>1633</v>
      </c>
      <c r="G234">
        <v>-0.73363000154495195</v>
      </c>
      <c r="H234" t="s">
        <v>1987</v>
      </c>
    </row>
    <row r="235" spans="1:8" x14ac:dyDescent="0.15">
      <c r="A235" t="s">
        <v>1988</v>
      </c>
      <c r="B235" t="s">
        <v>1458</v>
      </c>
      <c r="C235" t="s">
        <v>1459</v>
      </c>
      <c r="D235" t="s">
        <v>1460</v>
      </c>
      <c r="E235">
        <v>53.167930603027301</v>
      </c>
      <c r="F235" t="s">
        <v>1461</v>
      </c>
      <c r="G235">
        <v>-2.29298996925354</v>
      </c>
      <c r="H235" t="s">
        <v>646</v>
      </c>
    </row>
    <row r="236" spans="1:8" x14ac:dyDescent="0.15">
      <c r="A236" t="s">
        <v>1989</v>
      </c>
      <c r="B236" t="s">
        <v>1458</v>
      </c>
      <c r="C236" t="s">
        <v>1369</v>
      </c>
      <c r="D236" t="s">
        <v>1463</v>
      </c>
      <c r="E236">
        <v>53.238750457763601</v>
      </c>
      <c r="F236" t="s">
        <v>1464</v>
      </c>
      <c r="G236">
        <v>-1.2722799777984599</v>
      </c>
      <c r="H236" t="s">
        <v>1990</v>
      </c>
    </row>
    <row r="237" spans="1:8" x14ac:dyDescent="0.15">
      <c r="A237" t="s">
        <v>1991</v>
      </c>
      <c r="B237" t="s">
        <v>1458</v>
      </c>
      <c r="C237" t="s">
        <v>1369</v>
      </c>
      <c r="D237" t="s">
        <v>1463</v>
      </c>
      <c r="E237">
        <v>53.158428192138601</v>
      </c>
      <c r="F237" t="s">
        <v>1464</v>
      </c>
      <c r="G237">
        <v>-1.42318999767303</v>
      </c>
      <c r="H237" t="s">
        <v>1992</v>
      </c>
    </row>
    <row r="238" spans="1:8" x14ac:dyDescent="0.15">
      <c r="A238" t="s">
        <v>1993</v>
      </c>
      <c r="B238" t="s">
        <v>1458</v>
      </c>
      <c r="C238" t="s">
        <v>1403</v>
      </c>
      <c r="D238" t="s">
        <v>1537</v>
      </c>
      <c r="E238">
        <v>52.385299682617102</v>
      </c>
      <c r="F238" t="s">
        <v>1610</v>
      </c>
      <c r="G238">
        <v>-2.2349400520324698</v>
      </c>
      <c r="H238" t="s">
        <v>1994</v>
      </c>
    </row>
    <row r="239" spans="1:8" x14ac:dyDescent="0.15">
      <c r="A239" t="s">
        <v>1995</v>
      </c>
      <c r="B239" t="s">
        <v>1458</v>
      </c>
      <c r="C239" t="s">
        <v>1383</v>
      </c>
      <c r="D239" t="s">
        <v>1460</v>
      </c>
      <c r="E239">
        <v>53.756481170654297</v>
      </c>
      <c r="F239" t="s">
        <v>1481</v>
      </c>
      <c r="G239">
        <v>-2.3896400928497301</v>
      </c>
      <c r="H239" t="s">
        <v>1996</v>
      </c>
    </row>
    <row r="240" spans="1:8" x14ac:dyDescent="0.15">
      <c r="A240" t="s">
        <v>1997</v>
      </c>
      <c r="B240" t="s">
        <v>1458</v>
      </c>
      <c r="C240" t="s">
        <v>1386</v>
      </c>
      <c r="D240" t="s">
        <v>1463</v>
      </c>
      <c r="E240">
        <v>53.080581665038999</v>
      </c>
      <c r="F240" t="s">
        <v>1487</v>
      </c>
      <c r="G240">
        <v>-0.47670000791549599</v>
      </c>
      <c r="H240" t="s">
        <v>1998</v>
      </c>
    </row>
    <row r="241" spans="1:8" x14ac:dyDescent="0.15">
      <c r="A241" t="s">
        <v>1999</v>
      </c>
      <c r="B241" t="s">
        <v>1458</v>
      </c>
      <c r="C241" t="s">
        <v>789</v>
      </c>
      <c r="D241" t="s">
        <v>1521</v>
      </c>
      <c r="E241">
        <v>50.983989715576101</v>
      </c>
      <c r="F241" t="s">
        <v>1593</v>
      </c>
      <c r="G241">
        <v>-2.7758800983428902</v>
      </c>
      <c r="H241" t="s">
        <v>2000</v>
      </c>
    </row>
    <row r="242" spans="1:8" x14ac:dyDescent="0.15">
      <c r="A242" t="s">
        <v>2001</v>
      </c>
      <c r="B242" t="s">
        <v>1458</v>
      </c>
      <c r="C242" t="s">
        <v>1396</v>
      </c>
      <c r="D242" t="s">
        <v>1467</v>
      </c>
      <c r="E242">
        <v>52.057918548583899</v>
      </c>
      <c r="F242" t="s">
        <v>1621</v>
      </c>
      <c r="G242">
        <v>1.1632670164108201</v>
      </c>
      <c r="H242" t="s">
        <v>2002</v>
      </c>
    </row>
    <row r="243" spans="1:8" x14ac:dyDescent="0.15">
      <c r="A243" t="s">
        <v>2003</v>
      </c>
      <c r="B243" t="s">
        <v>1458</v>
      </c>
      <c r="C243" t="s">
        <v>1398</v>
      </c>
      <c r="D243" t="s">
        <v>1471</v>
      </c>
      <c r="E243">
        <v>51.1568183898925</v>
      </c>
      <c r="F243" t="s">
        <v>1493</v>
      </c>
      <c r="G243">
        <v>-0.62345999479293801</v>
      </c>
      <c r="H243" t="s">
        <v>2004</v>
      </c>
    </row>
    <row r="244" spans="1:8" x14ac:dyDescent="0.15">
      <c r="A244" t="s">
        <v>2005</v>
      </c>
      <c r="B244" t="s">
        <v>1458</v>
      </c>
      <c r="C244" t="s">
        <v>1400</v>
      </c>
      <c r="D244" t="s">
        <v>1537</v>
      </c>
      <c r="E244">
        <v>52.5648384094238</v>
      </c>
      <c r="F244" t="s">
        <v>1653</v>
      </c>
      <c r="G244">
        <v>-1.62419998645782</v>
      </c>
      <c r="H244" t="s">
        <v>2006</v>
      </c>
    </row>
    <row r="245" spans="1:8" x14ac:dyDescent="0.15">
      <c r="A245" t="s">
        <v>2007</v>
      </c>
      <c r="B245" t="s">
        <v>1458</v>
      </c>
      <c r="C245" t="s">
        <v>1676</v>
      </c>
      <c r="D245" t="s">
        <v>1502</v>
      </c>
      <c r="E245">
        <v>53.525680541992102</v>
      </c>
      <c r="F245" t="s">
        <v>1677</v>
      </c>
      <c r="G245">
        <v>-1.52458000183105</v>
      </c>
      <c r="H245" t="s">
        <v>2008</v>
      </c>
    </row>
    <row r="246" spans="1:8" x14ac:dyDescent="0.15">
      <c r="A246" t="s">
        <v>2009</v>
      </c>
      <c r="B246" t="s">
        <v>1458</v>
      </c>
      <c r="C246" t="s">
        <v>1506</v>
      </c>
      <c r="D246" t="s">
        <v>1506</v>
      </c>
      <c r="E246">
        <v>51.536628723144503</v>
      </c>
      <c r="F246" t="s">
        <v>1507</v>
      </c>
      <c r="G246">
        <v>-0.44181999564170799</v>
      </c>
      <c r="H246" t="s">
        <v>2010</v>
      </c>
    </row>
    <row r="247" spans="1:8" x14ac:dyDescent="0.15">
      <c r="A247" t="s">
        <v>2011</v>
      </c>
      <c r="B247" t="s">
        <v>1683</v>
      </c>
      <c r="C247" t="s">
        <v>53</v>
      </c>
      <c r="D247" t="s">
        <v>53</v>
      </c>
      <c r="E247">
        <v>53.088329315185497</v>
      </c>
      <c r="F247" t="s">
        <v>1684</v>
      </c>
      <c r="G247">
        <v>-3.3476099967956499</v>
      </c>
      <c r="H247" t="s">
        <v>2012</v>
      </c>
    </row>
    <row r="248" spans="1:8" x14ac:dyDescent="0.15">
      <c r="A248" t="s">
        <v>2013</v>
      </c>
      <c r="B248" t="s">
        <v>1458</v>
      </c>
      <c r="C248" t="s">
        <v>1632</v>
      </c>
      <c r="D248" t="s">
        <v>1471</v>
      </c>
      <c r="E248">
        <v>51.480339050292898</v>
      </c>
      <c r="F248" t="s">
        <v>1633</v>
      </c>
      <c r="G248">
        <v>-0.67540997266769398</v>
      </c>
      <c r="H248" t="s">
        <v>2014</v>
      </c>
    </row>
    <row r="249" spans="1:8" x14ac:dyDescent="0.15">
      <c r="A249" t="s">
        <v>2015</v>
      </c>
      <c r="B249" t="s">
        <v>1458</v>
      </c>
      <c r="C249" t="s">
        <v>1374</v>
      </c>
      <c r="D249" t="s">
        <v>1471</v>
      </c>
      <c r="E249">
        <v>50.788921356201101</v>
      </c>
      <c r="F249" t="s">
        <v>1516</v>
      </c>
      <c r="G249">
        <v>0.29152101278304998</v>
      </c>
      <c r="H249" t="s">
        <v>2016</v>
      </c>
    </row>
    <row r="250" spans="1:8" x14ac:dyDescent="0.15">
      <c r="A250" t="s">
        <v>2017</v>
      </c>
      <c r="B250" t="s">
        <v>1458</v>
      </c>
      <c r="C250" t="s">
        <v>527</v>
      </c>
      <c r="D250" t="s">
        <v>1521</v>
      </c>
      <c r="E250">
        <v>51.819709777832003</v>
      </c>
      <c r="F250" t="s">
        <v>1522</v>
      </c>
      <c r="G250">
        <v>-2.15234994888305</v>
      </c>
      <c r="H250" t="s">
        <v>2018</v>
      </c>
    </row>
    <row r="251" spans="1:8" x14ac:dyDescent="0.15">
      <c r="A251" t="s">
        <v>2019</v>
      </c>
      <c r="B251" t="s">
        <v>1458</v>
      </c>
      <c r="C251" t="s">
        <v>563</v>
      </c>
      <c r="D251" t="s">
        <v>1471</v>
      </c>
      <c r="E251">
        <v>51.434169769287102</v>
      </c>
      <c r="F251" t="s">
        <v>1478</v>
      </c>
      <c r="G251">
        <v>0.22229099273681599</v>
      </c>
      <c r="H251" t="s">
        <v>2020</v>
      </c>
    </row>
    <row r="252" spans="1:8" x14ac:dyDescent="0.15">
      <c r="A252" t="s">
        <v>2021</v>
      </c>
      <c r="B252" t="s">
        <v>1458</v>
      </c>
      <c r="C252" t="s">
        <v>1383</v>
      </c>
      <c r="D252" t="s">
        <v>1460</v>
      </c>
      <c r="E252">
        <v>53.9244995117187</v>
      </c>
      <c r="F252" t="s">
        <v>1481</v>
      </c>
      <c r="G252">
        <v>-2.4173998832702601</v>
      </c>
      <c r="H252" t="s">
        <v>2022</v>
      </c>
    </row>
    <row r="253" spans="1:8" x14ac:dyDescent="0.15">
      <c r="A253" t="s">
        <v>2023</v>
      </c>
      <c r="B253" t="s">
        <v>1458</v>
      </c>
      <c r="C253" t="s">
        <v>1385</v>
      </c>
      <c r="D253" t="s">
        <v>1463</v>
      </c>
      <c r="E253">
        <v>52.577060699462798</v>
      </c>
      <c r="F253" t="s">
        <v>1484</v>
      </c>
      <c r="G253">
        <v>-1.19886994361877</v>
      </c>
      <c r="H253" t="s">
        <v>2024</v>
      </c>
    </row>
    <row r="254" spans="1:8" x14ac:dyDescent="0.15">
      <c r="A254" t="s">
        <v>2025</v>
      </c>
      <c r="B254" t="s">
        <v>1458</v>
      </c>
      <c r="C254" t="s">
        <v>1400</v>
      </c>
      <c r="D254" t="s">
        <v>1537</v>
      </c>
      <c r="E254">
        <v>52.301418304443303</v>
      </c>
      <c r="F254" t="s">
        <v>1653</v>
      </c>
      <c r="G254">
        <v>-1.58369004726409</v>
      </c>
      <c r="H254" t="s">
        <v>2026</v>
      </c>
    </row>
    <row r="255" spans="1:8" x14ac:dyDescent="0.15">
      <c r="A255" t="s">
        <v>2027</v>
      </c>
      <c r="B255" t="s">
        <v>1458</v>
      </c>
      <c r="C255" t="s">
        <v>1544</v>
      </c>
      <c r="D255" t="s">
        <v>1460</v>
      </c>
      <c r="E255">
        <v>53.593101501464801</v>
      </c>
      <c r="F255" t="s">
        <v>1545</v>
      </c>
      <c r="G255">
        <v>-2.3087999820709202</v>
      </c>
      <c r="H255" t="s">
        <v>2028</v>
      </c>
    </row>
    <row r="256" spans="1:8" x14ac:dyDescent="0.15">
      <c r="A256" t="s">
        <v>2029</v>
      </c>
      <c r="B256" t="s">
        <v>1458</v>
      </c>
      <c r="C256" t="s">
        <v>1506</v>
      </c>
      <c r="D256" t="s">
        <v>1506</v>
      </c>
      <c r="E256">
        <v>51.564651489257798</v>
      </c>
      <c r="F256" t="s">
        <v>1507</v>
      </c>
      <c r="G256">
        <v>-0.27584999799728299</v>
      </c>
      <c r="H256" t="s">
        <v>2030</v>
      </c>
    </row>
    <row r="257" spans="1:8" x14ac:dyDescent="0.15">
      <c r="A257" t="s">
        <v>2031</v>
      </c>
      <c r="B257" t="s">
        <v>1458</v>
      </c>
      <c r="C257" t="s">
        <v>1506</v>
      </c>
      <c r="D257" t="s">
        <v>1506</v>
      </c>
      <c r="E257">
        <v>51.410568237304602</v>
      </c>
      <c r="F257" t="s">
        <v>1507</v>
      </c>
      <c r="G257">
        <v>-0.188669994473457</v>
      </c>
      <c r="H257" t="s">
        <v>2032</v>
      </c>
    </row>
    <row r="258" spans="1:8" x14ac:dyDescent="0.15">
      <c r="A258" t="s">
        <v>2033</v>
      </c>
      <c r="B258" t="s">
        <v>1458</v>
      </c>
      <c r="C258" t="s">
        <v>1550</v>
      </c>
      <c r="D258" t="s">
        <v>1497</v>
      </c>
      <c r="E258">
        <v>55.295398712158203</v>
      </c>
      <c r="F258" t="s">
        <v>1935</v>
      </c>
      <c r="G258">
        <v>-2.2370800971984801</v>
      </c>
      <c r="H258" t="s">
        <v>358</v>
      </c>
    </row>
    <row r="259" spans="1:8" x14ac:dyDescent="0.15">
      <c r="A259" t="s">
        <v>2034</v>
      </c>
      <c r="B259" t="s">
        <v>1458</v>
      </c>
      <c r="C259" t="s">
        <v>1369</v>
      </c>
      <c r="D259" t="s">
        <v>1463</v>
      </c>
      <c r="E259">
        <v>53.078578948974602</v>
      </c>
      <c r="F259" t="s">
        <v>1464</v>
      </c>
      <c r="G259">
        <v>-1.60210001468658</v>
      </c>
      <c r="H259" t="s">
        <v>2035</v>
      </c>
    </row>
    <row r="260" spans="1:8" x14ac:dyDescent="0.15">
      <c r="A260" t="s">
        <v>2036</v>
      </c>
      <c r="B260" t="s">
        <v>1458</v>
      </c>
      <c r="C260" t="s">
        <v>1370</v>
      </c>
      <c r="D260" t="s">
        <v>1521</v>
      </c>
      <c r="E260">
        <v>50.7576484680175</v>
      </c>
      <c r="F260" t="s">
        <v>1763</v>
      </c>
      <c r="G260">
        <v>-3.2238099575042698</v>
      </c>
      <c r="H260" t="s">
        <v>2037</v>
      </c>
    </row>
    <row r="261" spans="1:8" x14ac:dyDescent="0.15">
      <c r="A261" t="s">
        <v>2038</v>
      </c>
      <c r="B261" t="s">
        <v>1458</v>
      </c>
      <c r="C261" t="s">
        <v>1374</v>
      </c>
      <c r="D261" t="s">
        <v>1471</v>
      </c>
      <c r="E261">
        <v>50.948680877685497</v>
      </c>
      <c r="F261" t="s">
        <v>1516</v>
      </c>
      <c r="G261">
        <v>0.54306399822235096</v>
      </c>
      <c r="H261" t="s">
        <v>2039</v>
      </c>
    </row>
    <row r="262" spans="1:8" x14ac:dyDescent="0.15">
      <c r="A262" t="s">
        <v>2040</v>
      </c>
      <c r="B262" t="s">
        <v>1458</v>
      </c>
      <c r="C262" t="s">
        <v>527</v>
      </c>
      <c r="D262" t="s">
        <v>1521</v>
      </c>
      <c r="E262">
        <v>51.846408843994098</v>
      </c>
      <c r="F262" t="s">
        <v>1522</v>
      </c>
      <c r="G262">
        <v>-2.2326300144195499</v>
      </c>
      <c r="H262" t="s">
        <v>624</v>
      </c>
    </row>
    <row r="263" spans="1:8" x14ac:dyDescent="0.15">
      <c r="A263" t="s">
        <v>2041</v>
      </c>
      <c r="B263" t="s">
        <v>1458</v>
      </c>
      <c r="C263" t="s">
        <v>563</v>
      </c>
      <c r="D263" t="s">
        <v>1471</v>
      </c>
      <c r="E263">
        <v>51.235660552978501</v>
      </c>
      <c r="F263" t="s">
        <v>1478</v>
      </c>
      <c r="G263">
        <v>0.58406102657318104</v>
      </c>
      <c r="H263" t="s">
        <v>2042</v>
      </c>
    </row>
    <row r="264" spans="1:8" x14ac:dyDescent="0.15">
      <c r="A264" t="s">
        <v>2043</v>
      </c>
      <c r="B264" t="s">
        <v>1458</v>
      </c>
      <c r="C264" t="s">
        <v>1383</v>
      </c>
      <c r="D264" t="s">
        <v>1460</v>
      </c>
      <c r="E264">
        <v>53.899909973144503</v>
      </c>
      <c r="F264" t="s">
        <v>1481</v>
      </c>
      <c r="G264">
        <v>-2.8046200275421098</v>
      </c>
      <c r="H264" t="s">
        <v>2044</v>
      </c>
    </row>
    <row r="265" spans="1:8" x14ac:dyDescent="0.15">
      <c r="A265" t="s">
        <v>2045</v>
      </c>
      <c r="B265" t="s">
        <v>1458</v>
      </c>
      <c r="C265" t="s">
        <v>1387</v>
      </c>
      <c r="D265" t="s">
        <v>1467</v>
      </c>
      <c r="E265">
        <v>52.658248901367102</v>
      </c>
      <c r="F265" t="s">
        <v>1672</v>
      </c>
      <c r="G265">
        <v>1.68691301345825</v>
      </c>
      <c r="H265" t="s">
        <v>2046</v>
      </c>
    </row>
    <row r="266" spans="1:8" x14ac:dyDescent="0.15">
      <c r="A266" t="s">
        <v>2047</v>
      </c>
      <c r="B266" t="s">
        <v>1458</v>
      </c>
      <c r="C266" t="s">
        <v>1388</v>
      </c>
      <c r="D266" t="s">
        <v>1463</v>
      </c>
      <c r="E266">
        <v>52.506969451904297</v>
      </c>
      <c r="F266" t="s">
        <v>1704</v>
      </c>
      <c r="G266">
        <v>-0.70690000057220403</v>
      </c>
      <c r="H266" t="s">
        <v>591</v>
      </c>
    </row>
    <row r="267" spans="1:8" x14ac:dyDescent="0.15">
      <c r="A267" t="s">
        <v>2048</v>
      </c>
      <c r="B267" t="s">
        <v>1458</v>
      </c>
      <c r="C267" t="s">
        <v>1392</v>
      </c>
      <c r="D267" t="s">
        <v>1471</v>
      </c>
      <c r="E267">
        <v>51.771549224853501</v>
      </c>
      <c r="F267" t="s">
        <v>1570</v>
      </c>
      <c r="G267">
        <v>-1.29146003723144</v>
      </c>
      <c r="H267" t="s">
        <v>2049</v>
      </c>
    </row>
    <row r="268" spans="1:8" x14ac:dyDescent="0.15">
      <c r="A268" t="s">
        <v>2050</v>
      </c>
      <c r="B268" t="s">
        <v>1458</v>
      </c>
      <c r="C268" t="s">
        <v>143</v>
      </c>
      <c r="D268" t="s">
        <v>1521</v>
      </c>
      <c r="E268">
        <v>51.577629089355398</v>
      </c>
      <c r="F268" t="s">
        <v>2051</v>
      </c>
      <c r="G268">
        <v>-1.73366999626159</v>
      </c>
      <c r="H268" t="s">
        <v>2052</v>
      </c>
    </row>
    <row r="269" spans="1:8" x14ac:dyDescent="0.15">
      <c r="A269" t="s">
        <v>2053</v>
      </c>
      <c r="B269" t="s">
        <v>1458</v>
      </c>
      <c r="C269" t="s">
        <v>1544</v>
      </c>
      <c r="D269" t="s">
        <v>1460</v>
      </c>
      <c r="E269">
        <v>53.479270935058501</v>
      </c>
      <c r="F269" t="s">
        <v>1545</v>
      </c>
      <c r="G269">
        <v>-2.3848500251770002</v>
      </c>
      <c r="H269" t="s">
        <v>2054</v>
      </c>
    </row>
    <row r="270" spans="1:8" x14ac:dyDescent="0.15">
      <c r="A270" t="s">
        <v>2055</v>
      </c>
      <c r="B270" t="s">
        <v>1458</v>
      </c>
      <c r="C270" t="s">
        <v>1537</v>
      </c>
      <c r="D270" t="s">
        <v>1537</v>
      </c>
      <c r="E270">
        <v>52.414230346679602</v>
      </c>
      <c r="F270" t="s">
        <v>1585</v>
      </c>
      <c r="G270">
        <v>-1.5190800428390501</v>
      </c>
      <c r="H270" t="s">
        <v>2056</v>
      </c>
    </row>
    <row r="271" spans="1:8" x14ac:dyDescent="0.15">
      <c r="A271" t="s">
        <v>2057</v>
      </c>
      <c r="B271" t="s">
        <v>1458</v>
      </c>
      <c r="C271" t="s">
        <v>1506</v>
      </c>
      <c r="D271" t="s">
        <v>1506</v>
      </c>
      <c r="E271">
        <v>51.5559692382812</v>
      </c>
      <c r="F271" t="s">
        <v>1507</v>
      </c>
      <c r="G271">
        <v>-6.1330001801252303E-2</v>
      </c>
      <c r="H271" t="s">
        <v>2058</v>
      </c>
    </row>
    <row r="272" spans="1:8" x14ac:dyDescent="0.15">
      <c r="A272" t="s">
        <v>2059</v>
      </c>
      <c r="B272" t="s">
        <v>1458</v>
      </c>
      <c r="C272" t="s">
        <v>1506</v>
      </c>
      <c r="D272" t="s">
        <v>1506</v>
      </c>
      <c r="E272">
        <v>51.594608306884702</v>
      </c>
      <c r="F272" t="s">
        <v>1507</v>
      </c>
      <c r="G272">
        <v>-1.8810000270605001E-2</v>
      </c>
      <c r="H272" t="s">
        <v>2060</v>
      </c>
    </row>
    <row r="273" spans="1:8" x14ac:dyDescent="0.15">
      <c r="A273" t="s">
        <v>2061</v>
      </c>
      <c r="B273" t="s">
        <v>1683</v>
      </c>
      <c r="C273" t="s">
        <v>53</v>
      </c>
      <c r="D273" t="s">
        <v>53</v>
      </c>
      <c r="E273">
        <v>51.885810852050703</v>
      </c>
      <c r="F273" t="s">
        <v>1684</v>
      </c>
      <c r="G273">
        <v>-3.47776007652282</v>
      </c>
      <c r="H273" t="s">
        <v>2062</v>
      </c>
    </row>
    <row r="274" spans="1:8" x14ac:dyDescent="0.15">
      <c r="A274" t="s">
        <v>2063</v>
      </c>
      <c r="B274" t="s">
        <v>1458</v>
      </c>
      <c r="C274" t="s">
        <v>1367</v>
      </c>
      <c r="D274" t="s">
        <v>1467</v>
      </c>
      <c r="E274">
        <v>52.357879638671797</v>
      </c>
      <c r="F274" t="s">
        <v>1596</v>
      </c>
      <c r="G274">
        <v>0.283163011074066</v>
      </c>
      <c r="H274" t="s">
        <v>2064</v>
      </c>
    </row>
    <row r="275" spans="1:8" x14ac:dyDescent="0.15">
      <c r="A275" t="s">
        <v>2065</v>
      </c>
      <c r="B275" t="s">
        <v>1458</v>
      </c>
      <c r="C275" t="s">
        <v>1721</v>
      </c>
      <c r="D275" t="s">
        <v>1497</v>
      </c>
      <c r="E275">
        <v>54.572460174560497</v>
      </c>
      <c r="F275" t="s">
        <v>1722</v>
      </c>
      <c r="G275">
        <v>-1.0411800146102901</v>
      </c>
      <c r="H275" t="s">
        <v>2066</v>
      </c>
    </row>
    <row r="276" spans="1:8" x14ac:dyDescent="0.15">
      <c r="A276" t="s">
        <v>2067</v>
      </c>
      <c r="B276" t="s">
        <v>1458</v>
      </c>
      <c r="C276" t="s">
        <v>1372</v>
      </c>
      <c r="D276" t="s">
        <v>1521</v>
      </c>
      <c r="E276">
        <v>50.746089935302699</v>
      </c>
      <c r="F276" t="s">
        <v>1604</v>
      </c>
      <c r="G276">
        <v>-1.8480700254440301</v>
      </c>
      <c r="H276" t="s">
        <v>772</v>
      </c>
    </row>
    <row r="277" spans="1:8" x14ac:dyDescent="0.15">
      <c r="A277" t="s">
        <v>2068</v>
      </c>
      <c r="B277" t="s">
        <v>1458</v>
      </c>
      <c r="C277" t="s">
        <v>1376</v>
      </c>
      <c r="D277" t="s">
        <v>1467</v>
      </c>
      <c r="E277">
        <v>51.590358734130803</v>
      </c>
      <c r="F277" t="s">
        <v>1468</v>
      </c>
      <c r="G277">
        <v>0.47505500912666299</v>
      </c>
      <c r="H277" t="s">
        <v>2069</v>
      </c>
    </row>
    <row r="278" spans="1:8" x14ac:dyDescent="0.15">
      <c r="A278" t="s">
        <v>2070</v>
      </c>
      <c r="B278" t="s">
        <v>1458</v>
      </c>
      <c r="C278" t="s">
        <v>1529</v>
      </c>
      <c r="D278" t="s">
        <v>1502</v>
      </c>
      <c r="E278">
        <v>53.769790649413999</v>
      </c>
      <c r="F278" t="s">
        <v>1530</v>
      </c>
      <c r="G278">
        <v>-0.30379998683929399</v>
      </c>
      <c r="H278" t="s">
        <v>2071</v>
      </c>
    </row>
    <row r="279" spans="1:8" x14ac:dyDescent="0.15">
      <c r="A279" t="s">
        <v>2072</v>
      </c>
      <c r="B279" t="s">
        <v>1458</v>
      </c>
      <c r="C279" t="s">
        <v>563</v>
      </c>
      <c r="D279" t="s">
        <v>1471</v>
      </c>
      <c r="E279">
        <v>51.3238716125488</v>
      </c>
      <c r="F279" t="s">
        <v>1478</v>
      </c>
      <c r="G279">
        <v>0.779529988765716</v>
      </c>
      <c r="H279" t="s">
        <v>2073</v>
      </c>
    </row>
    <row r="280" spans="1:8" x14ac:dyDescent="0.15">
      <c r="A280" t="s">
        <v>2074</v>
      </c>
      <c r="B280" t="s">
        <v>1458</v>
      </c>
      <c r="C280" t="s">
        <v>1387</v>
      </c>
      <c r="D280" t="s">
        <v>1467</v>
      </c>
      <c r="E280">
        <v>52.7128295898437</v>
      </c>
      <c r="F280" t="s">
        <v>1672</v>
      </c>
      <c r="G280">
        <v>0.53325802087783802</v>
      </c>
      <c r="H280" t="s">
        <v>2075</v>
      </c>
    </row>
    <row r="281" spans="1:8" x14ac:dyDescent="0.15">
      <c r="A281" t="s">
        <v>2076</v>
      </c>
      <c r="B281" t="s">
        <v>1458</v>
      </c>
      <c r="C281" t="s">
        <v>764</v>
      </c>
      <c r="D281" t="s">
        <v>1502</v>
      </c>
      <c r="E281">
        <v>54.398159027099602</v>
      </c>
      <c r="F281" t="s">
        <v>1565</v>
      </c>
      <c r="G281">
        <v>-1.7192399501800499</v>
      </c>
      <c r="H281" t="s">
        <v>2077</v>
      </c>
    </row>
    <row r="282" spans="1:8" x14ac:dyDescent="0.15">
      <c r="A282" t="s">
        <v>2078</v>
      </c>
      <c r="B282" t="s">
        <v>1458</v>
      </c>
      <c r="C282" t="s">
        <v>1388</v>
      </c>
      <c r="D282" t="s">
        <v>1463</v>
      </c>
      <c r="E282">
        <v>52.23775100708</v>
      </c>
      <c r="F282" t="s">
        <v>1704</v>
      </c>
      <c r="G282">
        <v>-0.88121002912521296</v>
      </c>
      <c r="H282" t="s">
        <v>2079</v>
      </c>
    </row>
    <row r="283" spans="1:8" x14ac:dyDescent="0.15">
      <c r="A283" t="s">
        <v>2080</v>
      </c>
      <c r="B283" t="s">
        <v>1458</v>
      </c>
      <c r="C283" t="s">
        <v>1392</v>
      </c>
      <c r="D283" t="s">
        <v>1471</v>
      </c>
      <c r="E283">
        <v>51.654430389404297</v>
      </c>
      <c r="F283" t="s">
        <v>1570</v>
      </c>
      <c r="G283">
        <v>-1.48543000221252</v>
      </c>
      <c r="H283" t="s">
        <v>2081</v>
      </c>
    </row>
    <row r="284" spans="1:8" x14ac:dyDescent="0.15">
      <c r="A284" t="s">
        <v>2082</v>
      </c>
      <c r="B284" t="s">
        <v>1458</v>
      </c>
      <c r="C284" t="s">
        <v>789</v>
      </c>
      <c r="D284" t="s">
        <v>1521</v>
      </c>
      <c r="E284">
        <v>51.191848754882798</v>
      </c>
      <c r="F284" t="s">
        <v>1593</v>
      </c>
      <c r="G284">
        <v>-2.8825099468231201</v>
      </c>
      <c r="H284" t="s">
        <v>2083</v>
      </c>
    </row>
    <row r="285" spans="1:8" x14ac:dyDescent="0.15">
      <c r="A285" t="s">
        <v>2084</v>
      </c>
      <c r="B285" t="s">
        <v>1458</v>
      </c>
      <c r="C285" t="s">
        <v>1396</v>
      </c>
      <c r="D285" t="s">
        <v>1467</v>
      </c>
      <c r="E285">
        <v>52.253868103027301</v>
      </c>
      <c r="F285" t="s">
        <v>1621</v>
      </c>
      <c r="G285">
        <v>1.0491479635238601</v>
      </c>
      <c r="H285" t="s">
        <v>529</v>
      </c>
    </row>
    <row r="286" spans="1:8" x14ac:dyDescent="0.15">
      <c r="A286" t="s">
        <v>2085</v>
      </c>
      <c r="B286" t="s">
        <v>1458</v>
      </c>
      <c r="C286" t="s">
        <v>1544</v>
      </c>
      <c r="D286" t="s">
        <v>1460</v>
      </c>
      <c r="E286">
        <v>53.514450073242102</v>
      </c>
      <c r="F286" t="s">
        <v>1545</v>
      </c>
      <c r="G286">
        <v>-2.57246994972229</v>
      </c>
      <c r="H286" t="s">
        <v>2086</v>
      </c>
    </row>
    <row r="287" spans="1:8" x14ac:dyDescent="0.15">
      <c r="A287" t="s">
        <v>2087</v>
      </c>
      <c r="B287" t="s">
        <v>1458</v>
      </c>
      <c r="C287" t="s">
        <v>1747</v>
      </c>
      <c r="D287" t="s">
        <v>1460</v>
      </c>
      <c r="E287">
        <v>53.437881469726499</v>
      </c>
      <c r="F287" t="s">
        <v>1748</v>
      </c>
      <c r="G287">
        <v>-2.8329699039459202</v>
      </c>
      <c r="H287" t="s">
        <v>2088</v>
      </c>
    </row>
    <row r="288" spans="1:8" x14ac:dyDescent="0.15">
      <c r="A288" t="s">
        <v>2089</v>
      </c>
      <c r="B288" t="s">
        <v>1458</v>
      </c>
      <c r="C288" t="s">
        <v>1537</v>
      </c>
      <c r="D288" t="s">
        <v>1537</v>
      </c>
      <c r="E288">
        <v>52.605030059814403</v>
      </c>
      <c r="F288" t="s">
        <v>1585</v>
      </c>
      <c r="G288">
        <v>-1.9704400300979601</v>
      </c>
      <c r="H288" t="s">
        <v>2090</v>
      </c>
    </row>
    <row r="289" spans="1:8" x14ac:dyDescent="0.15">
      <c r="A289" t="s">
        <v>2091</v>
      </c>
      <c r="B289" t="s">
        <v>1458</v>
      </c>
      <c r="C289" t="s">
        <v>1506</v>
      </c>
      <c r="D289" t="s">
        <v>1506</v>
      </c>
      <c r="E289">
        <v>51.545478820800703</v>
      </c>
      <c r="F289" t="s">
        <v>1507</v>
      </c>
      <c r="G289">
        <v>-0.10992000252008401</v>
      </c>
      <c r="H289" t="s">
        <v>2092</v>
      </c>
    </row>
    <row r="290" spans="1:8" x14ac:dyDescent="0.15">
      <c r="A290" t="s">
        <v>2093</v>
      </c>
      <c r="B290" t="s">
        <v>1458</v>
      </c>
      <c r="C290" t="s">
        <v>1632</v>
      </c>
      <c r="D290" t="s">
        <v>1471</v>
      </c>
      <c r="E290">
        <v>51.445590972900298</v>
      </c>
      <c r="F290" t="s">
        <v>1633</v>
      </c>
      <c r="G290">
        <v>-1.2736400365829399</v>
      </c>
      <c r="H290" t="s">
        <v>2094</v>
      </c>
    </row>
    <row r="291" spans="1:8" x14ac:dyDescent="0.15">
      <c r="A291" t="s">
        <v>2095</v>
      </c>
      <c r="B291" t="s">
        <v>1458</v>
      </c>
      <c r="C291" t="s">
        <v>1367</v>
      </c>
      <c r="D291" t="s">
        <v>1467</v>
      </c>
      <c r="E291">
        <v>52.1080513000488</v>
      </c>
      <c r="F291" t="s">
        <v>1596</v>
      </c>
      <c r="G291">
        <v>9.1017000377178095E-2</v>
      </c>
      <c r="H291" t="s">
        <v>2096</v>
      </c>
    </row>
    <row r="292" spans="1:8" x14ac:dyDescent="0.15">
      <c r="A292" t="s">
        <v>2097</v>
      </c>
      <c r="B292" t="s">
        <v>1458</v>
      </c>
      <c r="C292" t="s">
        <v>1721</v>
      </c>
      <c r="D292" t="s">
        <v>1497</v>
      </c>
      <c r="E292">
        <v>54.544670104980398</v>
      </c>
      <c r="F292" t="s">
        <v>1722</v>
      </c>
      <c r="G292">
        <v>-1.2109899520873999</v>
      </c>
      <c r="H292" t="s">
        <v>2098</v>
      </c>
    </row>
    <row r="293" spans="1:8" x14ac:dyDescent="0.15">
      <c r="A293" t="s">
        <v>2099</v>
      </c>
      <c r="B293" t="s">
        <v>1458</v>
      </c>
      <c r="C293" t="s">
        <v>1368</v>
      </c>
      <c r="D293" t="s">
        <v>1460</v>
      </c>
      <c r="E293">
        <v>54.157371520996001</v>
      </c>
      <c r="F293" t="s">
        <v>1638</v>
      </c>
      <c r="G293">
        <v>-3.1997599601745601</v>
      </c>
      <c r="H293" t="s">
        <v>2100</v>
      </c>
    </row>
    <row r="294" spans="1:8" x14ac:dyDescent="0.15">
      <c r="A294" t="s">
        <v>2101</v>
      </c>
      <c r="B294" t="s">
        <v>1458</v>
      </c>
      <c r="C294" t="s">
        <v>1370</v>
      </c>
      <c r="D294" t="s">
        <v>1521</v>
      </c>
      <c r="E294">
        <v>50.9080200195312</v>
      </c>
      <c r="F294" t="s">
        <v>1763</v>
      </c>
      <c r="G294">
        <v>-4.2173099517822203</v>
      </c>
      <c r="H294" t="s">
        <v>2102</v>
      </c>
    </row>
    <row r="295" spans="1:8" x14ac:dyDescent="0.15">
      <c r="A295" t="s">
        <v>2103</v>
      </c>
      <c r="B295" t="s">
        <v>1458</v>
      </c>
      <c r="C295" t="s">
        <v>1376</v>
      </c>
      <c r="D295" t="s">
        <v>1467</v>
      </c>
      <c r="E295">
        <v>51.735031127929602</v>
      </c>
      <c r="F295" t="s">
        <v>1468</v>
      </c>
      <c r="G295">
        <v>0.49116298556327798</v>
      </c>
      <c r="H295" t="s">
        <v>2104</v>
      </c>
    </row>
    <row r="296" spans="1:8" x14ac:dyDescent="0.15">
      <c r="A296" t="s">
        <v>2105</v>
      </c>
      <c r="B296" t="s">
        <v>1458</v>
      </c>
      <c r="C296" t="s">
        <v>1378</v>
      </c>
      <c r="D296" t="s">
        <v>1471</v>
      </c>
      <c r="E296">
        <v>50.948169708251903</v>
      </c>
      <c r="F296" t="s">
        <v>1472</v>
      </c>
      <c r="G296">
        <v>-1.3293199539184499</v>
      </c>
      <c r="H296" t="s">
        <v>2106</v>
      </c>
    </row>
    <row r="297" spans="1:8" x14ac:dyDescent="0.15">
      <c r="A297" t="s">
        <v>2107</v>
      </c>
      <c r="B297" t="s">
        <v>1458</v>
      </c>
      <c r="C297" t="s">
        <v>979</v>
      </c>
      <c r="D297" t="s">
        <v>1537</v>
      </c>
      <c r="E297">
        <v>52.081539154052699</v>
      </c>
      <c r="F297" t="s">
        <v>2108</v>
      </c>
      <c r="G297">
        <v>-2.7393100261688201</v>
      </c>
      <c r="H297" t="s">
        <v>2109</v>
      </c>
    </row>
    <row r="298" spans="1:8" x14ac:dyDescent="0.15">
      <c r="A298" t="s">
        <v>2110</v>
      </c>
      <c r="B298" t="s">
        <v>1458</v>
      </c>
      <c r="C298" t="s">
        <v>1380</v>
      </c>
      <c r="D298" t="s">
        <v>1467</v>
      </c>
      <c r="E298">
        <v>51.720798492431598</v>
      </c>
      <c r="F298" t="s">
        <v>1475</v>
      </c>
      <c r="G298">
        <v>-5.0730001181363997E-2</v>
      </c>
      <c r="H298" t="s">
        <v>2111</v>
      </c>
    </row>
    <row r="299" spans="1:8" x14ac:dyDescent="0.15">
      <c r="A299" t="s">
        <v>2112</v>
      </c>
      <c r="B299" t="s">
        <v>1458</v>
      </c>
      <c r="C299" t="s">
        <v>563</v>
      </c>
      <c r="D299" t="s">
        <v>1471</v>
      </c>
      <c r="E299">
        <v>51.192901611328097</v>
      </c>
      <c r="F299" t="s">
        <v>1478</v>
      </c>
      <c r="G299">
        <v>0.72155302762985196</v>
      </c>
      <c r="H299" t="s">
        <v>2113</v>
      </c>
    </row>
    <row r="300" spans="1:8" x14ac:dyDescent="0.15">
      <c r="A300" t="s">
        <v>2114</v>
      </c>
      <c r="B300" t="s">
        <v>1458</v>
      </c>
      <c r="C300" t="s">
        <v>1385</v>
      </c>
      <c r="D300" t="s">
        <v>1463</v>
      </c>
      <c r="E300">
        <v>52.635921478271399</v>
      </c>
      <c r="F300" t="s">
        <v>1484</v>
      </c>
      <c r="G300">
        <v>-1.13039994239807</v>
      </c>
      <c r="H300" t="s">
        <v>2115</v>
      </c>
    </row>
    <row r="301" spans="1:8" x14ac:dyDescent="0.15">
      <c r="A301" t="s">
        <v>2116</v>
      </c>
      <c r="B301" t="s">
        <v>1458</v>
      </c>
      <c r="C301" t="s">
        <v>1391</v>
      </c>
      <c r="D301" t="s">
        <v>1463</v>
      </c>
      <c r="E301">
        <v>53.097469329833899</v>
      </c>
      <c r="F301" t="s">
        <v>1490</v>
      </c>
      <c r="G301">
        <v>-1.2542200088500901</v>
      </c>
      <c r="H301" t="s">
        <v>2117</v>
      </c>
    </row>
    <row r="302" spans="1:8" x14ac:dyDescent="0.15">
      <c r="A302" t="s">
        <v>2118</v>
      </c>
      <c r="B302" t="s">
        <v>1458</v>
      </c>
      <c r="C302" t="s">
        <v>789</v>
      </c>
      <c r="D302" t="s">
        <v>1521</v>
      </c>
      <c r="E302">
        <v>51.056510925292898</v>
      </c>
      <c r="F302" t="s">
        <v>1593</v>
      </c>
      <c r="G302">
        <v>-3.2321801185607901</v>
      </c>
      <c r="H302" t="s">
        <v>2119</v>
      </c>
    </row>
    <row r="303" spans="1:8" x14ac:dyDescent="0.15">
      <c r="A303" t="s">
        <v>2120</v>
      </c>
      <c r="B303" t="s">
        <v>1458</v>
      </c>
      <c r="C303" t="s">
        <v>1396</v>
      </c>
      <c r="D303" t="s">
        <v>1467</v>
      </c>
      <c r="E303">
        <v>52.218589782714801</v>
      </c>
      <c r="F303" t="s">
        <v>1621</v>
      </c>
      <c r="G303">
        <v>1.0969530344009399</v>
      </c>
      <c r="H303" t="s">
        <v>2121</v>
      </c>
    </row>
    <row r="304" spans="1:8" x14ac:dyDescent="0.15">
      <c r="A304" t="s">
        <v>2122</v>
      </c>
      <c r="B304" t="s">
        <v>1458</v>
      </c>
      <c r="C304" t="s">
        <v>1400</v>
      </c>
      <c r="D304" t="s">
        <v>1537</v>
      </c>
      <c r="E304">
        <v>52.500938415527301</v>
      </c>
      <c r="F304" t="s">
        <v>1653</v>
      </c>
      <c r="G304">
        <v>-1.4796500205993599</v>
      </c>
      <c r="H304" t="s">
        <v>2123</v>
      </c>
    </row>
    <row r="305" spans="1:8" x14ac:dyDescent="0.15">
      <c r="A305" t="s">
        <v>2124</v>
      </c>
      <c r="B305" t="s">
        <v>1458</v>
      </c>
      <c r="C305" t="s">
        <v>1544</v>
      </c>
      <c r="D305" t="s">
        <v>1460</v>
      </c>
      <c r="E305">
        <v>53.557670593261697</v>
      </c>
      <c r="F305" t="s">
        <v>1545</v>
      </c>
      <c r="G305">
        <v>-2.0776100158691402</v>
      </c>
      <c r="H305" t="s">
        <v>2125</v>
      </c>
    </row>
    <row r="306" spans="1:8" x14ac:dyDescent="0.15">
      <c r="A306" t="s">
        <v>2126</v>
      </c>
      <c r="B306" t="s">
        <v>1458</v>
      </c>
      <c r="C306" t="s">
        <v>1747</v>
      </c>
      <c r="D306" t="s">
        <v>1460</v>
      </c>
      <c r="E306">
        <v>53.374538421630803</v>
      </c>
      <c r="F306" t="s">
        <v>1748</v>
      </c>
      <c r="G306">
        <v>-3.0650200843811</v>
      </c>
      <c r="H306" t="s">
        <v>2127</v>
      </c>
    </row>
    <row r="307" spans="1:8" x14ac:dyDescent="0.15">
      <c r="A307" t="s">
        <v>2128</v>
      </c>
      <c r="B307" t="s">
        <v>1458</v>
      </c>
      <c r="C307" t="s">
        <v>1496</v>
      </c>
      <c r="D307" t="s">
        <v>1497</v>
      </c>
      <c r="E307">
        <v>55.028961181640597</v>
      </c>
      <c r="F307" t="s">
        <v>1498</v>
      </c>
      <c r="G307">
        <v>-1.5092300176620399</v>
      </c>
      <c r="H307" t="s">
        <v>2129</v>
      </c>
    </row>
    <row r="308" spans="1:8" x14ac:dyDescent="0.15">
      <c r="A308" t="s">
        <v>2130</v>
      </c>
      <c r="B308" t="s">
        <v>1458</v>
      </c>
      <c r="C308" t="s">
        <v>1501</v>
      </c>
      <c r="D308" t="s">
        <v>1502</v>
      </c>
      <c r="E308">
        <v>53.843818664550703</v>
      </c>
      <c r="F308" t="s">
        <v>1503</v>
      </c>
      <c r="G308">
        <v>-1.87389004230499</v>
      </c>
      <c r="H308" t="s">
        <v>2131</v>
      </c>
    </row>
    <row r="309" spans="1:8" x14ac:dyDescent="0.15">
      <c r="A309" t="s">
        <v>2132</v>
      </c>
      <c r="B309" t="s">
        <v>1458</v>
      </c>
      <c r="C309" t="s">
        <v>1506</v>
      </c>
      <c r="D309" t="s">
        <v>1506</v>
      </c>
      <c r="E309">
        <v>51.585891723632798</v>
      </c>
      <c r="F309" t="s">
        <v>1507</v>
      </c>
      <c r="G309">
        <v>7.0070996880531297E-2</v>
      </c>
      <c r="H309" t="s">
        <v>2133</v>
      </c>
    </row>
    <row r="310" spans="1:8" x14ac:dyDescent="0.15">
      <c r="A310" t="s">
        <v>2134</v>
      </c>
      <c r="B310" t="s">
        <v>1458</v>
      </c>
      <c r="C310" t="s">
        <v>1550</v>
      </c>
      <c r="D310" t="s">
        <v>1502</v>
      </c>
      <c r="E310">
        <v>54.375900268554602</v>
      </c>
      <c r="F310" t="s">
        <v>2135</v>
      </c>
      <c r="G310">
        <v>-0.88492000102996804</v>
      </c>
      <c r="H310" t="s">
        <v>2136</v>
      </c>
    </row>
    <row r="311" spans="1:8" x14ac:dyDescent="0.15">
      <c r="A311" t="s">
        <v>2137</v>
      </c>
      <c r="B311" t="s">
        <v>1458</v>
      </c>
      <c r="C311" t="s">
        <v>1632</v>
      </c>
      <c r="D311" t="s">
        <v>1471</v>
      </c>
      <c r="E311">
        <v>51.422958374023402</v>
      </c>
      <c r="F311" t="s">
        <v>1633</v>
      </c>
      <c r="G311">
        <v>-0.89934998750686601</v>
      </c>
      <c r="H311" t="s">
        <v>2138</v>
      </c>
    </row>
    <row r="312" spans="1:8" x14ac:dyDescent="0.15">
      <c r="A312" t="s">
        <v>2139</v>
      </c>
      <c r="B312" t="s">
        <v>1458</v>
      </c>
      <c r="C312" t="s">
        <v>492</v>
      </c>
      <c r="D312" t="s">
        <v>1471</v>
      </c>
      <c r="E312">
        <v>51.678901672363203</v>
      </c>
      <c r="F312" t="s">
        <v>1791</v>
      </c>
      <c r="G312">
        <v>-0.62111997604370095</v>
      </c>
      <c r="H312" t="s">
        <v>2140</v>
      </c>
    </row>
    <row r="313" spans="1:8" x14ac:dyDescent="0.15">
      <c r="A313" t="s">
        <v>2141</v>
      </c>
      <c r="B313" t="s">
        <v>1458</v>
      </c>
      <c r="C313" t="s">
        <v>1370</v>
      </c>
      <c r="D313" t="s">
        <v>1521</v>
      </c>
      <c r="E313">
        <v>51.046131134033203</v>
      </c>
      <c r="F313" t="s">
        <v>1763</v>
      </c>
      <c r="G313">
        <v>-3.9274199008941602</v>
      </c>
      <c r="H313" t="s">
        <v>2142</v>
      </c>
    </row>
    <row r="314" spans="1:8" x14ac:dyDescent="0.15">
      <c r="A314" t="s">
        <v>2143</v>
      </c>
      <c r="B314" t="s">
        <v>1458</v>
      </c>
      <c r="C314" t="s">
        <v>1370</v>
      </c>
      <c r="D314" t="s">
        <v>1521</v>
      </c>
      <c r="E314">
        <v>50.470878601074197</v>
      </c>
      <c r="F314" t="s">
        <v>1763</v>
      </c>
      <c r="G314">
        <v>-3.5552299022674498</v>
      </c>
      <c r="H314" t="s">
        <v>2144</v>
      </c>
    </row>
    <row r="315" spans="1:8" x14ac:dyDescent="0.15">
      <c r="A315" t="s">
        <v>2145</v>
      </c>
      <c r="B315" t="s">
        <v>1458</v>
      </c>
      <c r="C315" t="s">
        <v>1881</v>
      </c>
      <c r="D315" t="s">
        <v>1497</v>
      </c>
      <c r="E315">
        <v>54.685131072997997</v>
      </c>
      <c r="F315" t="s">
        <v>1882</v>
      </c>
      <c r="G315">
        <v>-1.8404999971389699</v>
      </c>
      <c r="H315" t="s">
        <v>2146</v>
      </c>
    </row>
    <row r="316" spans="1:8" x14ac:dyDescent="0.15">
      <c r="A316" t="s">
        <v>2147</v>
      </c>
      <c r="B316" t="s">
        <v>1458</v>
      </c>
      <c r="C316" t="s">
        <v>1376</v>
      </c>
      <c r="D316" t="s">
        <v>1467</v>
      </c>
      <c r="E316">
        <v>51.775711059570298</v>
      </c>
      <c r="F316" t="s">
        <v>1468</v>
      </c>
      <c r="G316">
        <v>0.77385699748992898</v>
      </c>
      <c r="H316" t="s">
        <v>2148</v>
      </c>
    </row>
    <row r="317" spans="1:8" x14ac:dyDescent="0.15">
      <c r="A317" t="s">
        <v>2149</v>
      </c>
      <c r="B317" t="s">
        <v>1458</v>
      </c>
      <c r="C317" t="s">
        <v>1378</v>
      </c>
      <c r="D317" t="s">
        <v>1471</v>
      </c>
      <c r="E317">
        <v>50.872299194335902</v>
      </c>
      <c r="F317" t="s">
        <v>1472</v>
      </c>
      <c r="G317">
        <v>-1.00399994850158</v>
      </c>
      <c r="H317" t="s">
        <v>2150</v>
      </c>
    </row>
    <row r="318" spans="1:8" x14ac:dyDescent="0.15">
      <c r="A318" t="s">
        <v>2151</v>
      </c>
      <c r="B318" t="s">
        <v>1458</v>
      </c>
      <c r="C318" t="s">
        <v>1380</v>
      </c>
      <c r="D318" t="s">
        <v>1467</v>
      </c>
      <c r="E318">
        <v>51.957378387451101</v>
      </c>
      <c r="F318" t="s">
        <v>1475</v>
      </c>
      <c r="G318">
        <v>-0.22314000129699699</v>
      </c>
      <c r="H318" t="s">
        <v>2152</v>
      </c>
    </row>
    <row r="319" spans="1:8" x14ac:dyDescent="0.15">
      <c r="A319" t="s">
        <v>2153</v>
      </c>
      <c r="B319" t="s">
        <v>1458</v>
      </c>
      <c r="C319" t="s">
        <v>563</v>
      </c>
      <c r="D319" t="s">
        <v>1471</v>
      </c>
      <c r="E319">
        <v>51.211738586425703</v>
      </c>
      <c r="F319" t="s">
        <v>1478</v>
      </c>
      <c r="G319">
        <v>1.2769290208816499</v>
      </c>
      <c r="H319" t="s">
        <v>2154</v>
      </c>
    </row>
    <row r="320" spans="1:8" x14ac:dyDescent="0.15">
      <c r="A320" t="s">
        <v>2155</v>
      </c>
      <c r="B320" t="s">
        <v>1458</v>
      </c>
      <c r="C320" t="s">
        <v>1385</v>
      </c>
      <c r="D320" t="s">
        <v>1463</v>
      </c>
      <c r="E320">
        <v>52.739898681640597</v>
      </c>
      <c r="F320" t="s">
        <v>1484</v>
      </c>
      <c r="G320">
        <v>-1.1369400024414</v>
      </c>
      <c r="H320" t="s">
        <v>2156</v>
      </c>
    </row>
    <row r="321" spans="1:8" x14ac:dyDescent="0.15">
      <c r="A321" t="s">
        <v>2157</v>
      </c>
      <c r="B321" t="s">
        <v>1458</v>
      </c>
      <c r="C321" t="s">
        <v>1387</v>
      </c>
      <c r="D321" t="s">
        <v>1467</v>
      </c>
      <c r="E321">
        <v>52.671108245849602</v>
      </c>
      <c r="F321" t="s">
        <v>1672</v>
      </c>
      <c r="G321">
        <v>0.96466201543807895</v>
      </c>
      <c r="H321" t="s">
        <v>2158</v>
      </c>
    </row>
    <row r="322" spans="1:8" x14ac:dyDescent="0.15">
      <c r="A322" t="s">
        <v>2159</v>
      </c>
      <c r="B322" t="s">
        <v>1458</v>
      </c>
      <c r="C322" t="s">
        <v>1391</v>
      </c>
      <c r="D322" t="s">
        <v>1463</v>
      </c>
      <c r="E322">
        <v>53.167030334472599</v>
      </c>
      <c r="F322" t="s">
        <v>1490</v>
      </c>
      <c r="G322">
        <v>-1.1780400276184</v>
      </c>
      <c r="H322" t="s">
        <v>2160</v>
      </c>
    </row>
    <row r="323" spans="1:8" x14ac:dyDescent="0.15">
      <c r="A323" t="s">
        <v>2161</v>
      </c>
      <c r="B323" t="s">
        <v>1458</v>
      </c>
      <c r="C323" t="s">
        <v>1394</v>
      </c>
      <c r="D323" t="s">
        <v>1537</v>
      </c>
      <c r="E323">
        <v>52.70166015625</v>
      </c>
      <c r="F323" t="s">
        <v>1538</v>
      </c>
      <c r="G323">
        <v>-1.9827699661254801</v>
      </c>
      <c r="H323" t="s">
        <v>2162</v>
      </c>
    </row>
    <row r="324" spans="1:8" x14ac:dyDescent="0.15">
      <c r="A324" t="s">
        <v>2163</v>
      </c>
      <c r="B324" t="s">
        <v>1458</v>
      </c>
      <c r="C324" t="s">
        <v>1396</v>
      </c>
      <c r="D324" t="s">
        <v>1467</v>
      </c>
      <c r="E324">
        <v>52.237239837646399</v>
      </c>
      <c r="F324" t="s">
        <v>1621</v>
      </c>
      <c r="G324">
        <v>1.4556020498275699</v>
      </c>
      <c r="H324" t="s">
        <v>2164</v>
      </c>
    </row>
    <row r="325" spans="1:8" x14ac:dyDescent="0.15">
      <c r="A325" t="s">
        <v>2165</v>
      </c>
      <c r="B325" t="s">
        <v>1458</v>
      </c>
      <c r="C325" t="s">
        <v>1501</v>
      </c>
      <c r="D325" t="s">
        <v>1502</v>
      </c>
      <c r="E325">
        <v>53.659221649169901</v>
      </c>
      <c r="F325" t="s">
        <v>1503</v>
      </c>
      <c r="G325">
        <v>-1.4209200143814</v>
      </c>
      <c r="H325" t="s">
        <v>2166</v>
      </c>
    </row>
    <row r="326" spans="1:8" x14ac:dyDescent="0.15">
      <c r="A326" t="s">
        <v>2167</v>
      </c>
      <c r="B326" t="s">
        <v>1458</v>
      </c>
      <c r="C326" t="s">
        <v>1506</v>
      </c>
      <c r="D326" t="s">
        <v>1506</v>
      </c>
      <c r="E326">
        <v>51.543060302734297</v>
      </c>
      <c r="F326" t="s">
        <v>1507</v>
      </c>
      <c r="G326">
        <v>-0.16289000213146199</v>
      </c>
      <c r="H326" t="s">
        <v>2168</v>
      </c>
    </row>
    <row r="327" spans="1:8" x14ac:dyDescent="0.15">
      <c r="A327" t="s">
        <v>2169</v>
      </c>
      <c r="B327" t="s">
        <v>1458</v>
      </c>
      <c r="C327" t="s">
        <v>1506</v>
      </c>
      <c r="D327" t="s">
        <v>1506</v>
      </c>
      <c r="E327">
        <v>51.512210845947202</v>
      </c>
      <c r="F327" t="s">
        <v>1507</v>
      </c>
      <c r="G327">
        <v>-0.152950003743171</v>
      </c>
      <c r="H327" t="s">
        <v>2170</v>
      </c>
    </row>
    <row r="328" spans="1:8" x14ac:dyDescent="0.15">
      <c r="A328" t="s">
        <v>2171</v>
      </c>
      <c r="B328" t="s">
        <v>1458</v>
      </c>
      <c r="C328" t="s">
        <v>492</v>
      </c>
      <c r="D328" t="s">
        <v>1471</v>
      </c>
      <c r="E328">
        <v>52.072410583496001</v>
      </c>
      <c r="F328" t="s">
        <v>1791</v>
      </c>
      <c r="G328">
        <v>-0.74070000648498502</v>
      </c>
      <c r="H328" t="s">
        <v>2172</v>
      </c>
    </row>
    <row r="329" spans="1:8" x14ac:dyDescent="0.15">
      <c r="A329" t="s">
        <v>2173</v>
      </c>
      <c r="B329" t="s">
        <v>1458</v>
      </c>
      <c r="C329" t="s">
        <v>1370</v>
      </c>
      <c r="D329" t="s">
        <v>1521</v>
      </c>
      <c r="E329">
        <v>50.717800140380803</v>
      </c>
      <c r="F329" t="s">
        <v>1763</v>
      </c>
      <c r="G329">
        <v>-3.5137200355529701</v>
      </c>
      <c r="H329" t="s">
        <v>2174</v>
      </c>
    </row>
    <row r="330" spans="1:8" x14ac:dyDescent="0.15">
      <c r="A330" t="s">
        <v>2175</v>
      </c>
      <c r="B330" t="s">
        <v>1458</v>
      </c>
      <c r="C330" t="s">
        <v>1370</v>
      </c>
      <c r="D330" t="s">
        <v>1521</v>
      </c>
      <c r="E330">
        <v>50.875930786132798</v>
      </c>
      <c r="F330" t="s">
        <v>1763</v>
      </c>
      <c r="G330">
        <v>-3.5871000289916899</v>
      </c>
      <c r="H330" t="s">
        <v>2176</v>
      </c>
    </row>
    <row r="331" spans="1:8" x14ac:dyDescent="0.15">
      <c r="A331" t="s">
        <v>2177</v>
      </c>
      <c r="B331" t="s">
        <v>1458</v>
      </c>
      <c r="C331" t="s">
        <v>1380</v>
      </c>
      <c r="D331" t="s">
        <v>1467</v>
      </c>
      <c r="E331">
        <v>51.671699523925703</v>
      </c>
      <c r="F331" t="s">
        <v>1475</v>
      </c>
      <c r="G331">
        <v>-0.404289990663528</v>
      </c>
      <c r="H331" t="s">
        <v>2178</v>
      </c>
    </row>
    <row r="332" spans="1:8" x14ac:dyDescent="0.15">
      <c r="A332" t="s">
        <v>2179</v>
      </c>
      <c r="B332" t="s">
        <v>1458</v>
      </c>
      <c r="C332" t="s">
        <v>1529</v>
      </c>
      <c r="D332" t="s">
        <v>1502</v>
      </c>
      <c r="E332">
        <v>53.586448669433501</v>
      </c>
      <c r="F332" t="s">
        <v>1530</v>
      </c>
      <c r="G332">
        <v>-0.52410000562667802</v>
      </c>
      <c r="H332" t="s">
        <v>2180</v>
      </c>
    </row>
    <row r="333" spans="1:8" x14ac:dyDescent="0.15">
      <c r="A333" t="s">
        <v>2181</v>
      </c>
      <c r="B333" t="s">
        <v>1458</v>
      </c>
      <c r="C333" t="s">
        <v>1385</v>
      </c>
      <c r="D333" t="s">
        <v>1463</v>
      </c>
      <c r="E333">
        <v>52.803291320800703</v>
      </c>
      <c r="F333" t="s">
        <v>1484</v>
      </c>
      <c r="G333">
        <v>-0.85439997911453203</v>
      </c>
      <c r="H333" t="s">
        <v>2182</v>
      </c>
    </row>
    <row r="334" spans="1:8" x14ac:dyDescent="0.15">
      <c r="A334" t="s">
        <v>2183</v>
      </c>
      <c r="B334" t="s">
        <v>1458</v>
      </c>
      <c r="C334" t="s">
        <v>1387</v>
      </c>
      <c r="D334" t="s">
        <v>1467</v>
      </c>
      <c r="E334">
        <v>52.841060638427699</v>
      </c>
      <c r="F334" t="s">
        <v>1672</v>
      </c>
      <c r="G334">
        <v>1.1262129545211701</v>
      </c>
      <c r="H334" t="s">
        <v>2184</v>
      </c>
    </row>
    <row r="335" spans="1:8" x14ac:dyDescent="0.15">
      <c r="A335" t="s">
        <v>2185</v>
      </c>
      <c r="B335" t="s">
        <v>1458</v>
      </c>
      <c r="C335" t="s">
        <v>764</v>
      </c>
      <c r="D335" t="s">
        <v>1502</v>
      </c>
      <c r="E335">
        <v>54.144069671630803</v>
      </c>
      <c r="F335" t="s">
        <v>1565</v>
      </c>
      <c r="G335">
        <v>-0.73666000366210904</v>
      </c>
      <c r="H335" t="s">
        <v>2186</v>
      </c>
    </row>
    <row r="336" spans="1:8" x14ac:dyDescent="0.15">
      <c r="A336" t="s">
        <v>2187</v>
      </c>
      <c r="B336" t="s">
        <v>1458</v>
      </c>
      <c r="C336" t="s">
        <v>1388</v>
      </c>
      <c r="D336" t="s">
        <v>1463</v>
      </c>
      <c r="E336">
        <v>52.309940338134702</v>
      </c>
      <c r="F336" t="s">
        <v>1704</v>
      </c>
      <c r="G336">
        <v>-1.01446998119354</v>
      </c>
      <c r="H336" t="s">
        <v>2188</v>
      </c>
    </row>
    <row r="337" spans="1:8" x14ac:dyDescent="0.15">
      <c r="A337" t="s">
        <v>2189</v>
      </c>
      <c r="B337" t="s">
        <v>1458</v>
      </c>
      <c r="C337" t="s">
        <v>1394</v>
      </c>
      <c r="D337" t="s">
        <v>1537</v>
      </c>
      <c r="E337">
        <v>52.8479194641113</v>
      </c>
      <c r="F337" t="s">
        <v>1538</v>
      </c>
      <c r="G337">
        <v>-2.16475009918212</v>
      </c>
      <c r="H337" t="s">
        <v>2190</v>
      </c>
    </row>
    <row r="338" spans="1:8" x14ac:dyDescent="0.15">
      <c r="A338" t="s">
        <v>2191</v>
      </c>
      <c r="B338" t="s">
        <v>1458</v>
      </c>
      <c r="C338" t="s">
        <v>1398</v>
      </c>
      <c r="D338" t="s">
        <v>1471</v>
      </c>
      <c r="E338">
        <v>51.253658294677699</v>
      </c>
      <c r="F338" t="s">
        <v>1493</v>
      </c>
      <c r="G338">
        <v>-0.56256997585296598</v>
      </c>
      <c r="H338" t="s">
        <v>2192</v>
      </c>
    </row>
    <row r="339" spans="1:8" x14ac:dyDescent="0.15">
      <c r="A339" t="s">
        <v>2193</v>
      </c>
      <c r="B339" t="s">
        <v>1458</v>
      </c>
      <c r="C339" t="s">
        <v>1402</v>
      </c>
      <c r="D339" t="s">
        <v>1471</v>
      </c>
      <c r="E339">
        <v>50.8309516906738</v>
      </c>
      <c r="F339" t="s">
        <v>1580</v>
      </c>
      <c r="G339">
        <v>-0.320349991321563</v>
      </c>
      <c r="H339" t="s">
        <v>2194</v>
      </c>
    </row>
    <row r="340" spans="1:8" x14ac:dyDescent="0.15">
      <c r="A340" t="s">
        <v>2195</v>
      </c>
      <c r="B340" t="s">
        <v>1458</v>
      </c>
      <c r="C340" t="s">
        <v>143</v>
      </c>
      <c r="D340" t="s">
        <v>1521</v>
      </c>
      <c r="E340">
        <v>51.328830718994098</v>
      </c>
      <c r="F340" t="s">
        <v>2051</v>
      </c>
      <c r="G340">
        <v>-1.9266099929809499</v>
      </c>
      <c r="H340" t="s">
        <v>2196</v>
      </c>
    </row>
    <row r="341" spans="1:8" x14ac:dyDescent="0.15">
      <c r="A341" t="s">
        <v>2197</v>
      </c>
      <c r="B341" t="s">
        <v>1458</v>
      </c>
      <c r="C341" t="s">
        <v>1506</v>
      </c>
      <c r="D341" t="s">
        <v>1506</v>
      </c>
      <c r="E341">
        <v>51.587711334228501</v>
      </c>
      <c r="F341" t="s">
        <v>1507</v>
      </c>
      <c r="G341">
        <v>-0.106669999659061</v>
      </c>
      <c r="H341" t="s">
        <v>2198</v>
      </c>
    </row>
    <row r="342" spans="1:8" x14ac:dyDescent="0.15">
      <c r="A342" t="s">
        <v>2199</v>
      </c>
      <c r="B342" t="s">
        <v>1458</v>
      </c>
      <c r="C342" t="s">
        <v>1402</v>
      </c>
      <c r="D342" t="s">
        <v>1471</v>
      </c>
      <c r="E342">
        <v>50</v>
      </c>
      <c r="F342" t="s">
        <v>1580</v>
      </c>
      <c r="G342">
        <v>-1</v>
      </c>
      <c r="H342" t="s">
        <v>2200</v>
      </c>
    </row>
    <row r="343" spans="1:8" x14ac:dyDescent="0.15">
      <c r="A343" t="s">
        <v>2201</v>
      </c>
      <c r="B343" t="s">
        <v>1458</v>
      </c>
      <c r="C343" t="s">
        <v>789</v>
      </c>
      <c r="D343" t="s">
        <v>1521</v>
      </c>
      <c r="E343">
        <v>51.47114944458</v>
      </c>
      <c r="F343" t="s">
        <v>1593</v>
      </c>
      <c r="G343">
        <v>-2.57741999626159</v>
      </c>
      <c r="H343" t="s">
        <v>2202</v>
      </c>
    </row>
    <row r="344" spans="1:8" x14ac:dyDescent="0.15">
      <c r="A344" t="s">
        <v>2203</v>
      </c>
      <c r="B344" t="s">
        <v>1458</v>
      </c>
      <c r="C344" t="s">
        <v>582</v>
      </c>
      <c r="D344" t="s">
        <v>1521</v>
      </c>
      <c r="E344">
        <v>49.923320770263601</v>
      </c>
      <c r="F344" t="s">
        <v>2204</v>
      </c>
      <c r="G344">
        <v>-6.3021697998046804</v>
      </c>
      <c r="H344" t="s">
        <v>2205</v>
      </c>
    </row>
    <row r="345" spans="1:8" x14ac:dyDescent="0.15">
      <c r="A345" t="s">
        <v>2206</v>
      </c>
      <c r="B345" t="s">
        <v>1458</v>
      </c>
      <c r="C345" t="s">
        <v>1368</v>
      </c>
      <c r="D345" t="s">
        <v>1460</v>
      </c>
      <c r="E345">
        <v>54.510299682617102</v>
      </c>
      <c r="F345" t="s">
        <v>1638</v>
      </c>
      <c r="G345">
        <v>-3.5156700611114502</v>
      </c>
      <c r="H345" t="s">
        <v>2207</v>
      </c>
    </row>
    <row r="346" spans="1:8" x14ac:dyDescent="0.15">
      <c r="A346" t="s">
        <v>2208</v>
      </c>
      <c r="B346" t="s">
        <v>1458</v>
      </c>
      <c r="C346" t="s">
        <v>1376</v>
      </c>
      <c r="D346" t="s">
        <v>1467</v>
      </c>
      <c r="E346">
        <v>51.9163398742675</v>
      </c>
      <c r="F346" t="s">
        <v>1468</v>
      </c>
      <c r="G346">
        <v>0.575910985469818</v>
      </c>
      <c r="H346" t="s">
        <v>2209</v>
      </c>
    </row>
    <row r="347" spans="1:8" x14ac:dyDescent="0.15">
      <c r="A347" t="s">
        <v>2210</v>
      </c>
      <c r="B347" t="s">
        <v>1458</v>
      </c>
      <c r="C347" t="s">
        <v>1376</v>
      </c>
      <c r="D347" t="s">
        <v>1467</v>
      </c>
      <c r="E347">
        <v>51.809818267822202</v>
      </c>
      <c r="F347" t="s">
        <v>1468</v>
      </c>
      <c r="G347">
        <v>0.54104602336883501</v>
      </c>
      <c r="H347" t="s">
        <v>2211</v>
      </c>
    </row>
    <row r="348" spans="1:8" x14ac:dyDescent="0.15">
      <c r="A348" t="s">
        <v>2212</v>
      </c>
      <c r="B348" t="s">
        <v>1458</v>
      </c>
      <c r="C348" t="s">
        <v>1378</v>
      </c>
      <c r="D348" t="s">
        <v>1471</v>
      </c>
      <c r="E348">
        <v>50.808048248291001</v>
      </c>
      <c r="F348" t="s">
        <v>1472</v>
      </c>
      <c r="G348">
        <v>-1.07023000717163</v>
      </c>
      <c r="H348" t="s">
        <v>2213</v>
      </c>
    </row>
    <row r="349" spans="1:8" x14ac:dyDescent="0.15">
      <c r="A349" t="s">
        <v>2214</v>
      </c>
      <c r="B349" t="s">
        <v>1458</v>
      </c>
      <c r="C349" t="s">
        <v>563</v>
      </c>
      <c r="D349" t="s">
        <v>1471</v>
      </c>
      <c r="E349">
        <v>51.352531433105398</v>
      </c>
      <c r="F349" t="s">
        <v>1478</v>
      </c>
      <c r="G349">
        <v>1.32829797267913</v>
      </c>
      <c r="H349" t="s">
        <v>2215</v>
      </c>
    </row>
    <row r="350" spans="1:8" x14ac:dyDescent="0.15">
      <c r="A350" t="s">
        <v>2216</v>
      </c>
      <c r="B350" t="s">
        <v>1458</v>
      </c>
      <c r="C350" t="s">
        <v>1383</v>
      </c>
      <c r="D350" t="s">
        <v>1460</v>
      </c>
      <c r="E350">
        <v>53.774059295654297</v>
      </c>
      <c r="F350" t="s">
        <v>1481</v>
      </c>
      <c r="G350">
        <v>-2.2307999134063698</v>
      </c>
      <c r="H350" t="s">
        <v>2217</v>
      </c>
    </row>
    <row r="351" spans="1:8" x14ac:dyDescent="0.15">
      <c r="A351" t="s">
        <v>2218</v>
      </c>
      <c r="B351" t="s">
        <v>1458</v>
      </c>
      <c r="C351" t="s">
        <v>1386</v>
      </c>
      <c r="D351" t="s">
        <v>1463</v>
      </c>
      <c r="E351">
        <v>52.977939605712798</v>
      </c>
      <c r="F351" t="s">
        <v>1487</v>
      </c>
      <c r="G351">
        <v>-0.11218000203370999</v>
      </c>
      <c r="H351" t="s">
        <v>2219</v>
      </c>
    </row>
    <row r="352" spans="1:8" x14ac:dyDescent="0.15">
      <c r="A352" t="s">
        <v>2220</v>
      </c>
      <c r="B352" t="s">
        <v>1458</v>
      </c>
      <c r="C352" t="s">
        <v>1388</v>
      </c>
      <c r="D352" t="s">
        <v>1463</v>
      </c>
      <c r="E352">
        <v>52.118438720703097</v>
      </c>
      <c r="F352" t="s">
        <v>1704</v>
      </c>
      <c r="G352">
        <v>-1.0812900066375699</v>
      </c>
      <c r="H352" t="s">
        <v>2221</v>
      </c>
    </row>
    <row r="353" spans="1:8" x14ac:dyDescent="0.15">
      <c r="A353" t="s">
        <v>2222</v>
      </c>
      <c r="B353" t="s">
        <v>1458</v>
      </c>
      <c r="C353" t="s">
        <v>1394</v>
      </c>
      <c r="D353" t="s">
        <v>1537</v>
      </c>
      <c r="E353">
        <v>52.620311737060497</v>
      </c>
      <c r="F353" t="s">
        <v>1538</v>
      </c>
      <c r="G353">
        <v>-1.68450999259948</v>
      </c>
      <c r="H353" t="s">
        <v>2223</v>
      </c>
    </row>
    <row r="354" spans="1:8" x14ac:dyDescent="0.15">
      <c r="A354" t="s">
        <v>2224</v>
      </c>
      <c r="B354" t="s">
        <v>1458</v>
      </c>
      <c r="C354" t="s">
        <v>1398</v>
      </c>
      <c r="D354" t="s">
        <v>1471</v>
      </c>
      <c r="E354">
        <v>51.415519714355398</v>
      </c>
      <c r="F354" t="s">
        <v>1493</v>
      </c>
      <c r="G354">
        <v>-0.46254000067710799</v>
      </c>
      <c r="H354" t="s">
        <v>2225</v>
      </c>
    </row>
    <row r="355" spans="1:8" x14ac:dyDescent="0.15">
      <c r="A355" t="s">
        <v>2226</v>
      </c>
      <c r="B355" t="s">
        <v>1458</v>
      </c>
      <c r="C355" t="s">
        <v>1402</v>
      </c>
      <c r="D355" t="s">
        <v>1471</v>
      </c>
      <c r="E355">
        <v>51.0141792297363</v>
      </c>
      <c r="F355" t="s">
        <v>1580</v>
      </c>
      <c r="G355">
        <v>-0.36568000912666299</v>
      </c>
      <c r="H355" t="s">
        <v>2227</v>
      </c>
    </row>
    <row r="356" spans="1:8" x14ac:dyDescent="0.15">
      <c r="A356" t="s">
        <v>2228</v>
      </c>
      <c r="B356" t="s">
        <v>1458</v>
      </c>
      <c r="C356" t="s">
        <v>1747</v>
      </c>
      <c r="D356" t="s">
        <v>1460</v>
      </c>
      <c r="E356">
        <v>53.408298492431598</v>
      </c>
      <c r="F356" t="s">
        <v>1748</v>
      </c>
      <c r="G356">
        <v>-2.9136400222778298</v>
      </c>
      <c r="H356" t="s">
        <v>2229</v>
      </c>
    </row>
    <row r="357" spans="1:8" x14ac:dyDescent="0.15">
      <c r="A357" t="s">
        <v>2230</v>
      </c>
      <c r="B357" t="s">
        <v>1458</v>
      </c>
      <c r="C357" t="s">
        <v>1501</v>
      </c>
      <c r="D357" t="s">
        <v>1502</v>
      </c>
      <c r="E357">
        <v>53.649391174316399</v>
      </c>
      <c r="F357" t="s">
        <v>1503</v>
      </c>
      <c r="G357">
        <v>-1.75585997104644</v>
      </c>
      <c r="H357" t="s">
        <v>2231</v>
      </c>
    </row>
    <row r="358" spans="1:8" x14ac:dyDescent="0.15">
      <c r="A358" t="s">
        <v>2232</v>
      </c>
      <c r="B358" t="s">
        <v>1458</v>
      </c>
      <c r="C358" t="s">
        <v>1506</v>
      </c>
      <c r="D358" t="s">
        <v>1506</v>
      </c>
      <c r="E358">
        <v>51.545520782470703</v>
      </c>
      <c r="F358" t="s">
        <v>1507</v>
      </c>
      <c r="G358">
        <v>0.12950600683689101</v>
      </c>
      <c r="H358" t="s">
        <v>2233</v>
      </c>
    </row>
    <row r="359" spans="1:8" x14ac:dyDescent="0.15">
      <c r="A359" t="s">
        <v>2234</v>
      </c>
      <c r="B359" t="s">
        <v>1458</v>
      </c>
      <c r="C359" t="s">
        <v>1506</v>
      </c>
      <c r="D359" t="s">
        <v>1506</v>
      </c>
      <c r="E359">
        <v>51.392959594726499</v>
      </c>
      <c r="F359" t="s">
        <v>1507</v>
      </c>
      <c r="G359">
        <v>-0.28367000818252502</v>
      </c>
      <c r="H359" t="s">
        <v>2235</v>
      </c>
    </row>
    <row r="360" spans="1:8" x14ac:dyDescent="0.15">
      <c r="A360" t="s">
        <v>2236</v>
      </c>
      <c r="B360" t="s">
        <v>1683</v>
      </c>
      <c r="C360" t="s">
        <v>53</v>
      </c>
      <c r="D360" t="s">
        <v>53</v>
      </c>
      <c r="E360">
        <v>51.448379516601499</v>
      </c>
      <c r="F360" t="s">
        <v>1684</v>
      </c>
      <c r="G360">
        <v>-3.3980300426483101</v>
      </c>
      <c r="H360" t="s">
        <v>2237</v>
      </c>
    </row>
  </sheetData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52F6-2814-4512-B352-D27DD4438625}">
  <dimension ref="A1:T2148"/>
  <sheetViews>
    <sheetView topLeftCell="A953" workbookViewId="0">
      <selection activeCell="F1043" sqref="F1043"/>
    </sheetView>
  </sheetViews>
  <sheetFormatPr baseColWidth="10" defaultColWidth="8.83203125" defaultRowHeight="13" x14ac:dyDescent="0.15"/>
  <cols>
    <col min="1" max="4" width="13.33203125" customWidth="1"/>
    <col min="5" max="5" width="22" style="2" customWidth="1"/>
    <col min="6" max="6" width="13.33203125" style="8" customWidth="1"/>
    <col min="7" max="9" width="13.33203125" style="2" customWidth="1"/>
    <col min="10" max="19" width="13.33203125" customWidth="1"/>
  </cols>
  <sheetData>
    <row r="1" spans="1:20" s="3" customFormat="1" ht="15" x14ac:dyDescent="0.2">
      <c r="A1" s="4" t="s">
        <v>2238</v>
      </c>
      <c r="B1" s="4" t="s">
        <v>2239</v>
      </c>
      <c r="C1" s="4" t="s">
        <v>2240</v>
      </c>
      <c r="D1" s="4" t="s">
        <v>1449</v>
      </c>
      <c r="E1" s="4" t="s">
        <v>2241</v>
      </c>
      <c r="F1" s="7" t="s">
        <v>2242</v>
      </c>
      <c r="G1" s="5" t="s">
        <v>2243</v>
      </c>
      <c r="H1" s="5" t="s">
        <v>2244</v>
      </c>
      <c r="I1" s="4" t="s">
        <v>2245</v>
      </c>
      <c r="J1" s="4" t="s">
        <v>2246</v>
      </c>
      <c r="K1" s="4" t="s">
        <v>2247</v>
      </c>
      <c r="L1" s="6" t="s">
        <v>2248</v>
      </c>
      <c r="M1" s="6" t="s">
        <v>2249</v>
      </c>
      <c r="N1" s="6" t="s">
        <v>2250</v>
      </c>
      <c r="O1" s="6" t="s">
        <v>2251</v>
      </c>
      <c r="P1" s="6" t="s">
        <v>2252</v>
      </c>
      <c r="Q1" s="4" t="s">
        <v>2253</v>
      </c>
      <c r="R1" s="4" t="s">
        <v>2254</v>
      </c>
      <c r="S1" s="4" t="s">
        <v>2255</v>
      </c>
      <c r="T1" s="3" t="s">
        <v>2256</v>
      </c>
    </row>
    <row r="2" spans="1:20" s="3" customFormat="1" ht="15" x14ac:dyDescent="0.2">
      <c r="A2" s="3" t="str">
        <f>IF(ISBLANK('Master Submitted DPDs'!#REF!),"","Local Plans")</f>
        <v>Local Plans</v>
      </c>
      <c r="B2" t="e">
        <f>IF(ISBLANK('Master Submitted DPDs'!#REF!),"",'Master Submitted DPDs'!#REF!)</f>
        <v>#REF!</v>
      </c>
      <c r="C2" s="3" t="str">
        <f>IF(ISBLANK('Master Submitted DPDs'!#REF!),"","IH")</f>
        <v>IH</v>
      </c>
      <c r="D2" s="3" t="e">
        <f>LOOKUP($F2,'fuzzy LPA lookup'!$E:$E,'fuzzy LPA lookup'!$A:$A)</f>
        <v>#REF!</v>
      </c>
      <c r="E2" s="3" t="e">
        <f>LOOKUP($F2,'fuzzy LPA lookup'!$E:$E,'fuzzy LPA lookup'!$D:$D)</f>
        <v>#REF!</v>
      </c>
      <c r="F2" s="8" t="e">
        <f>IF(ISBLANK('Master Submitted DPDs'!#REF!),"",'Master Submitted DPDs'!#REF!)</f>
        <v>#REF!</v>
      </c>
      <c r="G2" t="str">
        <f>IF(ISBLANK('Master Submitted DPDs'!#REF!),"","Withdrawn")</f>
        <v>Withdrawn</v>
      </c>
      <c r="H2" s="2" t="e">
        <f>IF(ISBLANK('Master Submitted DPDs'!#REF!),"",'Master Submitted DPDs'!#REF!)</f>
        <v>#REF!</v>
      </c>
      <c r="L2" s="2" t="e">
        <f>IF(ISBLANK('Master Submitted DPDs'!#REF!),"",'Master Submitted DPDs'!#REF!)</f>
        <v>#REF!</v>
      </c>
      <c r="M2" s="2" t="e">
        <f t="shared" ref="M2:M65" si="0">L2</f>
        <v>#REF!</v>
      </c>
      <c r="N2" s="2" t="e">
        <f>IF(ISBLANK('Master Submitted DPDs'!#REF!),IF(ISBLANK('Master Submitted DPDs'!#REF!),"",'Master Submitted DPDs'!#REF!),'Master Submitted DPDs'!#REF!)</f>
        <v>#REF!</v>
      </c>
      <c r="O2" s="2" t="e">
        <f>IF(ISBLANK('Master Submitted DPDs'!#REF!),"",'Master Submitted DPDs'!#REF!)</f>
        <v>#REF!</v>
      </c>
      <c r="P2" s="2" t="e">
        <f>IF(ISBLANK('Master Submitted DPDs'!#REF!),"",'Master Submitted DPDs'!#REF!)</f>
        <v>#REF!</v>
      </c>
      <c r="Q2" t="e">
        <f>IF(ISBLANK('Master Submitted DPDs'!#REF!),"",'Master Submitted DPDs'!#REF!)</f>
        <v>#REF!</v>
      </c>
      <c r="R2" t="e">
        <f t="shared" ref="R2:R65" si="1">IF(F2="","",IF(AND(H2="",Q2&lt;&gt;"UNS",P2=""),"Open","Closed"))</f>
        <v>#REF!</v>
      </c>
      <c r="T2" t="e">
        <f>IF(ISBLANK('Master Submitted DPDs'!#REF!),"",'Master Submitted DPDs'!#REF!)</f>
        <v>#REF!</v>
      </c>
    </row>
    <row r="3" spans="1:20" s="3" customFormat="1" ht="15" x14ac:dyDescent="0.2">
      <c r="A3" s="3" t="str">
        <f>IF(ISBLANK('Master Submitted DPDs'!#REF!),"","Local Plans")</f>
        <v>Local Plans</v>
      </c>
      <c r="B3" t="e">
        <f>IF(ISBLANK('Master Submitted DPDs'!#REF!),"",'Master Submitted DPDs'!#REF!)</f>
        <v>#REF!</v>
      </c>
      <c r="C3" s="3" t="str">
        <f>IF(ISBLANK('Master Submitted DPDs'!#REF!),"","IH")</f>
        <v>IH</v>
      </c>
      <c r="D3" s="3" t="e">
        <f>LOOKUP($F3,'fuzzy LPA lookup'!$E:$E,'fuzzy LPA lookup'!$A:$A)</f>
        <v>#REF!</v>
      </c>
      <c r="E3" s="3" t="e">
        <f>LOOKUP($F3,'fuzzy LPA lookup'!$E:$E,'fuzzy LPA lookup'!$D:$D)</f>
        <v>#REF!</v>
      </c>
      <c r="F3" s="8" t="e">
        <f>IF(ISBLANK('Master Submitted DPDs'!#REF!),"",'Master Submitted DPDs'!#REF!)</f>
        <v>#REF!</v>
      </c>
      <c r="G3" t="str">
        <f>IF(ISBLANK('Master Submitted DPDs'!#REF!),"","Withdrawn")</f>
        <v>Withdrawn</v>
      </c>
      <c r="H3" s="2" t="e">
        <f>IF(ISBLANK('Master Submitted DPDs'!#REF!),"",'Master Submitted DPDs'!#REF!)</f>
        <v>#REF!</v>
      </c>
      <c r="L3" s="2" t="e">
        <f>IF(ISBLANK('Master Submitted DPDs'!#REF!),"",'Master Submitted DPDs'!#REF!)</f>
        <v>#REF!</v>
      </c>
      <c r="M3" s="2" t="e">
        <f t="shared" si="0"/>
        <v>#REF!</v>
      </c>
      <c r="N3" s="2" t="e">
        <f>IF(ISBLANK('Master Submitted DPDs'!#REF!),IF(ISBLANK('Master Submitted DPDs'!#REF!),"",'Master Submitted DPDs'!#REF!),'Master Submitted DPDs'!#REF!)</f>
        <v>#REF!</v>
      </c>
      <c r="O3" s="2" t="e">
        <f>IF(ISBLANK('Master Submitted DPDs'!#REF!),"",'Master Submitted DPDs'!#REF!)</f>
        <v>#REF!</v>
      </c>
      <c r="P3" s="2" t="e">
        <f>IF(ISBLANK('Master Submitted DPDs'!#REF!),"",'Master Submitted DPDs'!#REF!)</f>
        <v>#REF!</v>
      </c>
      <c r="Q3" t="e">
        <f>IF(ISBLANK('Master Submitted DPDs'!#REF!),"",'Master Submitted DPDs'!#REF!)</f>
        <v>#REF!</v>
      </c>
      <c r="R3" t="e">
        <f t="shared" si="1"/>
        <v>#REF!</v>
      </c>
      <c r="T3" t="e">
        <f>IF(ISBLANK('Master Submitted DPDs'!#REF!),"",'Master Submitted DPDs'!#REF!)</f>
        <v>#REF!</v>
      </c>
    </row>
    <row r="4" spans="1:20" ht="15" x14ac:dyDescent="0.2">
      <c r="A4" s="3" t="str">
        <f>IF(ISBLANK('Master Submitted DPDs'!#REF!),"","Local Plans")</f>
        <v>Local Plans</v>
      </c>
      <c r="B4" t="e">
        <f>IF(ISBLANK('Master Submitted DPDs'!#REF!),"",'Master Submitted DPDs'!#REF!)</f>
        <v>#REF!</v>
      </c>
      <c r="C4" s="3" t="str">
        <f>IF(ISBLANK('Master Submitted DPDs'!#REF!),"","IH")</f>
        <v>IH</v>
      </c>
      <c r="D4" s="3" t="e">
        <f>LOOKUP($F4,'fuzzy LPA lookup'!$E:$E,'fuzzy LPA lookup'!$A:$A)</f>
        <v>#REF!</v>
      </c>
      <c r="E4" s="3" t="e">
        <f>LOOKUP($F4,'fuzzy LPA lookup'!$E:$E,'fuzzy LPA lookup'!$D:$D)</f>
        <v>#REF!</v>
      </c>
      <c r="F4" s="8" t="e">
        <f>IF(ISBLANK('Master Submitted DPDs'!#REF!),"",'Master Submitted DPDs'!#REF!)</f>
        <v>#REF!</v>
      </c>
      <c r="G4" t="str">
        <f>IF(ISBLANK('Master Submitted DPDs'!#REF!),"","Withdrawn")</f>
        <v>Withdrawn</v>
      </c>
      <c r="H4" s="2" t="e">
        <f>IF(ISBLANK('Master Submitted DPDs'!#REF!),"",'Master Submitted DPDs'!#REF!)</f>
        <v>#REF!</v>
      </c>
      <c r="I4" s="3"/>
      <c r="J4" s="3"/>
      <c r="K4" s="3"/>
      <c r="L4" s="2" t="e">
        <f>IF(ISBLANK('Master Submitted DPDs'!#REF!),"",'Master Submitted DPDs'!#REF!)</f>
        <v>#REF!</v>
      </c>
      <c r="M4" s="2" t="e">
        <f t="shared" si="0"/>
        <v>#REF!</v>
      </c>
      <c r="N4" s="2" t="e">
        <f>IF(ISBLANK('Master Submitted DPDs'!#REF!),IF(ISBLANK('Master Submitted DPDs'!#REF!),"",'Master Submitted DPDs'!#REF!),'Master Submitted DPDs'!#REF!)</f>
        <v>#REF!</v>
      </c>
      <c r="O4" s="2" t="e">
        <f>IF(ISBLANK('Master Submitted DPDs'!#REF!),"",'Master Submitted DPDs'!#REF!)</f>
        <v>#REF!</v>
      </c>
      <c r="P4" s="2" t="e">
        <f>IF(ISBLANK('Master Submitted DPDs'!#REF!),"",'Master Submitted DPDs'!#REF!)</f>
        <v>#REF!</v>
      </c>
      <c r="Q4" t="e">
        <f>IF(ISBLANK('Master Submitted DPDs'!#REF!),"",'Master Submitted DPDs'!#REF!)</f>
        <v>#REF!</v>
      </c>
      <c r="R4" t="e">
        <f t="shared" si="1"/>
        <v>#REF!</v>
      </c>
      <c r="S4" s="3"/>
      <c r="T4" t="e">
        <f>IF(ISBLANK('Master Submitted DPDs'!#REF!),"",'Master Submitted DPDs'!#REF!)</f>
        <v>#REF!</v>
      </c>
    </row>
    <row r="5" spans="1:20" ht="15" x14ac:dyDescent="0.2">
      <c r="A5" s="3" t="str">
        <f>IF(ISBLANK('Master Submitted DPDs'!#REF!),"","Local Plans")</f>
        <v>Local Plans</v>
      </c>
      <c r="B5" t="e">
        <f>IF(ISBLANK('Master Submitted DPDs'!#REF!),"",'Master Submitted DPDs'!#REF!)</f>
        <v>#REF!</v>
      </c>
      <c r="C5" s="3" t="str">
        <f>IF(ISBLANK('Master Submitted DPDs'!#REF!),"","IH")</f>
        <v>IH</v>
      </c>
      <c r="D5" s="3" t="e">
        <f>LOOKUP($F5,'fuzzy LPA lookup'!$E:$E,'fuzzy LPA lookup'!$A:$A)</f>
        <v>#REF!</v>
      </c>
      <c r="E5" s="3" t="e">
        <f>LOOKUP($F5,'fuzzy LPA lookup'!$E:$E,'fuzzy LPA lookup'!$D:$D)</f>
        <v>#REF!</v>
      </c>
      <c r="F5" s="8" t="e">
        <f>IF(ISBLANK('Master Submitted DPDs'!#REF!),"",'Master Submitted DPDs'!#REF!)</f>
        <v>#REF!</v>
      </c>
      <c r="G5" t="str">
        <f>IF(ISBLANK('Master Submitted DPDs'!#REF!),"","Withdrawn")</f>
        <v>Withdrawn</v>
      </c>
      <c r="H5" s="2" t="e">
        <f>IF(ISBLANK('Master Submitted DPDs'!#REF!),"",'Master Submitted DPDs'!#REF!)</f>
        <v>#REF!</v>
      </c>
      <c r="I5" s="3"/>
      <c r="J5" s="3"/>
      <c r="K5" s="3"/>
      <c r="L5" s="2" t="e">
        <f>IF(ISBLANK('Master Submitted DPDs'!#REF!),"",'Master Submitted DPDs'!#REF!)</f>
        <v>#REF!</v>
      </c>
      <c r="M5" s="2" t="e">
        <f t="shared" si="0"/>
        <v>#REF!</v>
      </c>
      <c r="N5" s="2" t="e">
        <f>IF(ISBLANK('Master Submitted DPDs'!#REF!),IF(ISBLANK('Master Submitted DPDs'!#REF!),"",'Master Submitted DPDs'!#REF!),'Master Submitted DPDs'!#REF!)</f>
        <v>#REF!</v>
      </c>
      <c r="O5" s="2" t="e">
        <f>IF(ISBLANK('Master Submitted DPDs'!#REF!),"",'Master Submitted DPDs'!#REF!)</f>
        <v>#REF!</v>
      </c>
      <c r="P5" s="2" t="e">
        <f>IF(ISBLANK('Master Submitted DPDs'!#REF!),"",'Master Submitted DPDs'!#REF!)</f>
        <v>#REF!</v>
      </c>
      <c r="Q5" t="e">
        <f>IF(ISBLANK('Master Submitted DPDs'!#REF!),"",'Master Submitted DPDs'!#REF!)</f>
        <v>#REF!</v>
      </c>
      <c r="R5" t="e">
        <f t="shared" si="1"/>
        <v>#REF!</v>
      </c>
      <c r="S5" s="3"/>
      <c r="T5" t="e">
        <f>IF(ISBLANK('Master Submitted DPDs'!#REF!),"",'Master Submitted DPDs'!#REF!)</f>
        <v>#REF!</v>
      </c>
    </row>
    <row r="6" spans="1:20" ht="15" x14ac:dyDescent="0.2">
      <c r="A6" s="3" t="str">
        <f>IF(ISBLANK('Master Submitted DPDs'!#REF!),"","Local Plans")</f>
        <v>Local Plans</v>
      </c>
      <c r="B6" t="e">
        <f>IF(ISBLANK('Master Submitted DPDs'!#REF!),"",'Master Submitted DPDs'!#REF!)</f>
        <v>#REF!</v>
      </c>
      <c r="C6" s="3" t="str">
        <f>IF(ISBLANK('Master Submitted DPDs'!#REF!),"","IH")</f>
        <v>IH</v>
      </c>
      <c r="D6" s="3" t="e">
        <f>LOOKUP($F6,'fuzzy LPA lookup'!$E:$E,'fuzzy LPA lookup'!$A:$A)</f>
        <v>#REF!</v>
      </c>
      <c r="E6" s="3" t="e">
        <f>LOOKUP($F6,'fuzzy LPA lookup'!$E:$E,'fuzzy LPA lookup'!$D:$D)</f>
        <v>#REF!</v>
      </c>
      <c r="F6" s="8" t="e">
        <f>IF(ISBLANK('Master Submitted DPDs'!#REF!),"",'Master Submitted DPDs'!#REF!)</f>
        <v>#REF!</v>
      </c>
      <c r="G6" t="str">
        <f>IF(ISBLANK('Master Submitted DPDs'!#REF!),"","Withdrawn")</f>
        <v>Withdrawn</v>
      </c>
      <c r="H6" s="2" t="e">
        <f>IF(ISBLANK('Master Submitted DPDs'!#REF!),"",'Master Submitted DPDs'!#REF!)</f>
        <v>#REF!</v>
      </c>
      <c r="I6" s="3"/>
      <c r="J6" s="3"/>
      <c r="K6" s="3"/>
      <c r="L6" s="2" t="e">
        <f>IF(ISBLANK('Master Submitted DPDs'!#REF!),"",'Master Submitted DPDs'!#REF!)</f>
        <v>#REF!</v>
      </c>
      <c r="M6" s="2" t="e">
        <f t="shared" si="0"/>
        <v>#REF!</v>
      </c>
      <c r="N6" s="2" t="e">
        <f>IF(ISBLANK('Master Submitted DPDs'!#REF!),IF(ISBLANK('Master Submitted DPDs'!#REF!),"",'Master Submitted DPDs'!#REF!),'Master Submitted DPDs'!#REF!)</f>
        <v>#REF!</v>
      </c>
      <c r="O6" s="2" t="e">
        <f>IF(ISBLANK('Master Submitted DPDs'!#REF!),"",'Master Submitted DPDs'!#REF!)</f>
        <v>#REF!</v>
      </c>
      <c r="P6" s="2" t="e">
        <f>IF(ISBLANK('Master Submitted DPDs'!#REF!),"",'Master Submitted DPDs'!#REF!)</f>
        <v>#REF!</v>
      </c>
      <c r="Q6" t="e">
        <f>IF(ISBLANK('Master Submitted DPDs'!#REF!),"",'Master Submitted DPDs'!#REF!)</f>
        <v>#REF!</v>
      </c>
      <c r="R6" t="e">
        <f t="shared" si="1"/>
        <v>#REF!</v>
      </c>
      <c r="S6" s="3"/>
      <c r="T6" t="e">
        <f>IF(ISBLANK('Master Submitted DPDs'!#REF!),"",'Master Submitted DPDs'!#REF!)</f>
        <v>#REF!</v>
      </c>
    </row>
    <row r="7" spans="1:20" ht="15" x14ac:dyDescent="0.2">
      <c r="A7" s="3" t="str">
        <f>IF(ISBLANK('Master Submitted DPDs'!#REF!),"","Local Plans")</f>
        <v>Local Plans</v>
      </c>
      <c r="B7" t="e">
        <f>IF(ISBLANK('Master Submitted DPDs'!#REF!),"",'Master Submitted DPDs'!#REF!)</f>
        <v>#REF!</v>
      </c>
      <c r="C7" s="3" t="str">
        <f>IF(ISBLANK('Master Submitted DPDs'!#REF!),"","IH")</f>
        <v>IH</v>
      </c>
      <c r="D7" s="3" t="e">
        <f>LOOKUP($F7,'fuzzy LPA lookup'!$E:$E,'fuzzy LPA lookup'!$A:$A)</f>
        <v>#REF!</v>
      </c>
      <c r="E7" s="3" t="e">
        <f>LOOKUP($F7,'fuzzy LPA lookup'!$E:$E,'fuzzy LPA lookup'!$D:$D)</f>
        <v>#REF!</v>
      </c>
      <c r="F7" s="8" t="e">
        <f>IF(ISBLANK('Master Submitted DPDs'!#REF!),"",'Master Submitted DPDs'!#REF!)</f>
        <v>#REF!</v>
      </c>
      <c r="G7" t="str">
        <f>IF(ISBLANK('Master Submitted DPDs'!#REF!),"","Withdrawn")</f>
        <v>Withdrawn</v>
      </c>
      <c r="H7" s="2" t="e">
        <f>IF(ISBLANK('Master Submitted DPDs'!#REF!),"",'Master Submitted DPDs'!#REF!)</f>
        <v>#REF!</v>
      </c>
      <c r="I7" s="3"/>
      <c r="J7" s="3"/>
      <c r="K7" s="3"/>
      <c r="L7" s="2" t="e">
        <f>IF(ISBLANK('Master Submitted DPDs'!#REF!),"",'Master Submitted DPDs'!#REF!)</f>
        <v>#REF!</v>
      </c>
      <c r="M7" s="2" t="e">
        <f t="shared" si="0"/>
        <v>#REF!</v>
      </c>
      <c r="N7" s="2" t="e">
        <f>IF(ISBLANK('Master Submitted DPDs'!#REF!),IF(ISBLANK('Master Submitted DPDs'!#REF!),"",'Master Submitted DPDs'!#REF!),'Master Submitted DPDs'!#REF!)</f>
        <v>#REF!</v>
      </c>
      <c r="O7" s="2" t="e">
        <f>IF(ISBLANK('Master Submitted DPDs'!#REF!),"",'Master Submitted DPDs'!#REF!)</f>
        <v>#REF!</v>
      </c>
      <c r="P7" s="2" t="e">
        <f>IF(ISBLANK('Master Submitted DPDs'!#REF!),"",'Master Submitted DPDs'!#REF!)</f>
        <v>#REF!</v>
      </c>
      <c r="Q7" t="e">
        <f>IF(ISBLANK('Master Submitted DPDs'!#REF!),"",'Master Submitted DPDs'!#REF!)</f>
        <v>#REF!</v>
      </c>
      <c r="R7" t="e">
        <f t="shared" si="1"/>
        <v>#REF!</v>
      </c>
      <c r="S7" s="3"/>
      <c r="T7" t="e">
        <f>IF(ISBLANK('Master Submitted DPDs'!#REF!),"",'Master Submitted DPDs'!#REF!)</f>
        <v>#REF!</v>
      </c>
    </row>
    <row r="8" spans="1:20" ht="15" x14ac:dyDescent="0.2">
      <c r="A8" s="3" t="str">
        <f>IF(ISBLANK('Master Submitted DPDs'!#REF!),"","Local Plans")</f>
        <v>Local Plans</v>
      </c>
      <c r="B8" t="e">
        <f>IF(ISBLANK('Master Submitted DPDs'!#REF!),"",'Master Submitted DPDs'!#REF!)</f>
        <v>#REF!</v>
      </c>
      <c r="C8" s="3" t="str">
        <f>IF(ISBLANK('Master Submitted DPDs'!#REF!),"","IH")</f>
        <v>IH</v>
      </c>
      <c r="D8" s="3" t="e">
        <f>LOOKUP($F8,'fuzzy LPA lookup'!$E:$E,'fuzzy LPA lookup'!$A:$A)</f>
        <v>#REF!</v>
      </c>
      <c r="E8" s="3" t="e">
        <f>LOOKUP($F8,'fuzzy LPA lookup'!$E:$E,'fuzzy LPA lookup'!$D:$D)</f>
        <v>#REF!</v>
      </c>
      <c r="F8" s="8" t="e">
        <f>IF(ISBLANK('Master Submitted DPDs'!#REF!),"",'Master Submitted DPDs'!#REF!)</f>
        <v>#REF!</v>
      </c>
      <c r="G8" t="str">
        <f>IF(ISBLANK('Master Submitted DPDs'!#REF!),"","Withdrawn")</f>
        <v>Withdrawn</v>
      </c>
      <c r="H8" s="2" t="e">
        <f>IF(ISBLANK('Master Submitted DPDs'!#REF!),"",'Master Submitted DPDs'!#REF!)</f>
        <v>#REF!</v>
      </c>
      <c r="I8" s="3"/>
      <c r="J8" s="3"/>
      <c r="K8" s="3"/>
      <c r="L8" s="2" t="e">
        <f>IF(ISBLANK('Master Submitted DPDs'!#REF!),"",'Master Submitted DPDs'!#REF!)</f>
        <v>#REF!</v>
      </c>
      <c r="M8" s="2" t="e">
        <f t="shared" si="0"/>
        <v>#REF!</v>
      </c>
      <c r="N8" s="2" t="e">
        <f>IF(ISBLANK('Master Submitted DPDs'!#REF!),IF(ISBLANK('Master Submitted DPDs'!#REF!),"",'Master Submitted DPDs'!#REF!),'Master Submitted DPDs'!#REF!)</f>
        <v>#REF!</v>
      </c>
      <c r="O8" s="2" t="e">
        <f>IF(ISBLANK('Master Submitted DPDs'!#REF!),"",'Master Submitted DPDs'!#REF!)</f>
        <v>#REF!</v>
      </c>
      <c r="P8" s="2" t="e">
        <f>IF(ISBLANK('Master Submitted DPDs'!#REF!),"",'Master Submitted DPDs'!#REF!)</f>
        <v>#REF!</v>
      </c>
      <c r="Q8" t="e">
        <f>IF(ISBLANK('Master Submitted DPDs'!#REF!),"",'Master Submitted DPDs'!#REF!)</f>
        <v>#REF!</v>
      </c>
      <c r="R8" t="e">
        <f t="shared" si="1"/>
        <v>#REF!</v>
      </c>
      <c r="S8" s="3"/>
      <c r="T8" t="e">
        <f>IF(ISBLANK('Master Submitted DPDs'!#REF!),"",'Master Submitted DPDs'!#REF!)</f>
        <v>#REF!</v>
      </c>
    </row>
    <row r="9" spans="1:20" ht="15" x14ac:dyDescent="0.2">
      <c r="A9" s="3" t="str">
        <f>IF(ISBLANK('Master Submitted DPDs'!#REF!),"","Local Plans")</f>
        <v>Local Plans</v>
      </c>
      <c r="B9" t="e">
        <f>IF(ISBLANK('Master Submitted DPDs'!#REF!),"",'Master Submitted DPDs'!#REF!)</f>
        <v>#REF!</v>
      </c>
      <c r="C9" s="3" t="str">
        <f>IF(ISBLANK('Master Submitted DPDs'!#REF!),"","IH")</f>
        <v>IH</v>
      </c>
      <c r="D9" s="3" t="e">
        <f>LOOKUP($F9,'fuzzy LPA lookup'!$E:$E,'fuzzy LPA lookup'!$A:$A)</f>
        <v>#REF!</v>
      </c>
      <c r="E9" s="3" t="e">
        <f>LOOKUP($F9,'fuzzy LPA lookup'!$E:$E,'fuzzy LPA lookup'!$D:$D)</f>
        <v>#REF!</v>
      </c>
      <c r="F9" s="8" t="e">
        <f>IF(ISBLANK('Master Submitted DPDs'!#REF!),"",'Master Submitted DPDs'!#REF!)</f>
        <v>#REF!</v>
      </c>
      <c r="G9" t="str">
        <f>IF(ISBLANK('Master Submitted DPDs'!#REF!),"","Withdrawn")</f>
        <v>Withdrawn</v>
      </c>
      <c r="H9" s="2" t="e">
        <f>IF(ISBLANK('Master Submitted DPDs'!#REF!),"",'Master Submitted DPDs'!#REF!)</f>
        <v>#REF!</v>
      </c>
      <c r="I9" s="3"/>
      <c r="J9" s="3"/>
      <c r="K9" s="3"/>
      <c r="L9" s="2" t="e">
        <f>IF(ISBLANK('Master Submitted DPDs'!#REF!),"",'Master Submitted DPDs'!#REF!)</f>
        <v>#REF!</v>
      </c>
      <c r="M9" s="2" t="e">
        <f t="shared" si="0"/>
        <v>#REF!</v>
      </c>
      <c r="N9" s="2" t="e">
        <f>IF(ISBLANK('Master Submitted DPDs'!#REF!),IF(ISBLANK('Master Submitted DPDs'!#REF!),"",'Master Submitted DPDs'!#REF!),'Master Submitted DPDs'!#REF!)</f>
        <v>#REF!</v>
      </c>
      <c r="O9" s="2" t="e">
        <f>IF(ISBLANK('Master Submitted DPDs'!#REF!),"",'Master Submitted DPDs'!#REF!)</f>
        <v>#REF!</v>
      </c>
      <c r="P9" s="2" t="e">
        <f>IF(ISBLANK('Master Submitted DPDs'!#REF!),"",'Master Submitted DPDs'!#REF!)</f>
        <v>#REF!</v>
      </c>
      <c r="Q9" t="e">
        <f>IF(ISBLANK('Master Submitted DPDs'!#REF!),"",'Master Submitted DPDs'!#REF!)</f>
        <v>#REF!</v>
      </c>
      <c r="R9" t="e">
        <f t="shared" si="1"/>
        <v>#REF!</v>
      </c>
      <c r="S9" s="3"/>
      <c r="T9" t="e">
        <f>IF(ISBLANK('Master Submitted DPDs'!#REF!),"",'Master Submitted DPDs'!#REF!)</f>
        <v>#REF!</v>
      </c>
    </row>
    <row r="10" spans="1:20" ht="15" x14ac:dyDescent="0.2">
      <c r="A10" s="3" t="str">
        <f>IF(ISBLANK('Master Submitted DPDs'!#REF!),"","Local Plans")</f>
        <v>Local Plans</v>
      </c>
      <c r="B10" t="e">
        <f>IF(ISBLANK('Master Submitted DPDs'!#REF!),"",'Master Submitted DPDs'!#REF!)</f>
        <v>#REF!</v>
      </c>
      <c r="C10" s="3" t="str">
        <f>IF(ISBLANK('Master Submitted DPDs'!#REF!),"","IH")</f>
        <v>IH</v>
      </c>
      <c r="D10" s="3" t="e">
        <f>LOOKUP($F10,'fuzzy LPA lookup'!$E:$E,'fuzzy LPA lookup'!$A:$A)</f>
        <v>#REF!</v>
      </c>
      <c r="E10" s="3" t="e">
        <f>LOOKUP($F10,'fuzzy LPA lookup'!$E:$E,'fuzzy LPA lookup'!$D:$D)</f>
        <v>#REF!</v>
      </c>
      <c r="F10" s="8" t="e">
        <f>IF(ISBLANK('Master Submitted DPDs'!#REF!),"",'Master Submitted DPDs'!#REF!)</f>
        <v>#REF!</v>
      </c>
      <c r="G10" t="str">
        <f>IF(ISBLANK('Master Submitted DPDs'!#REF!),"","Withdrawn")</f>
        <v>Withdrawn</v>
      </c>
      <c r="H10" s="2" t="e">
        <f>IF(ISBLANK('Master Submitted DPDs'!#REF!),"",'Master Submitted DPDs'!#REF!)</f>
        <v>#REF!</v>
      </c>
      <c r="I10" s="3"/>
      <c r="J10" s="3"/>
      <c r="K10" s="3"/>
      <c r="L10" s="2" t="e">
        <f>IF(ISBLANK('Master Submitted DPDs'!#REF!),"",'Master Submitted DPDs'!#REF!)</f>
        <v>#REF!</v>
      </c>
      <c r="M10" s="2" t="e">
        <f t="shared" si="0"/>
        <v>#REF!</v>
      </c>
      <c r="N10" s="2" t="e">
        <f>IF(ISBLANK('Master Submitted DPDs'!#REF!),IF(ISBLANK('Master Submitted DPDs'!#REF!),"",'Master Submitted DPDs'!#REF!),'Master Submitted DPDs'!#REF!)</f>
        <v>#REF!</v>
      </c>
      <c r="O10" s="2" t="e">
        <f>IF(ISBLANK('Master Submitted DPDs'!#REF!),"",'Master Submitted DPDs'!#REF!)</f>
        <v>#REF!</v>
      </c>
      <c r="P10" s="2" t="e">
        <f>IF(ISBLANK('Master Submitted DPDs'!#REF!),"",'Master Submitted DPDs'!#REF!)</f>
        <v>#REF!</v>
      </c>
      <c r="Q10" t="e">
        <f>IF(ISBLANK('Master Submitted DPDs'!#REF!),"",'Master Submitted DPDs'!#REF!)</f>
        <v>#REF!</v>
      </c>
      <c r="R10" t="e">
        <f t="shared" si="1"/>
        <v>#REF!</v>
      </c>
      <c r="S10" s="3"/>
      <c r="T10" t="e">
        <f>IF(ISBLANK('Master Submitted DPDs'!#REF!),"",'Master Submitted DPDs'!#REF!)</f>
        <v>#REF!</v>
      </c>
    </row>
    <row r="11" spans="1:20" ht="15" x14ac:dyDescent="0.2">
      <c r="A11" s="3" t="str">
        <f>IF(ISBLANK('Master Submitted DPDs'!#REF!),"","Local Plans")</f>
        <v>Local Plans</v>
      </c>
      <c r="B11" t="e">
        <f>IF(ISBLANK('Master Submitted DPDs'!#REF!),"",'Master Submitted DPDs'!#REF!)</f>
        <v>#REF!</v>
      </c>
      <c r="C11" s="3" t="str">
        <f>IF(ISBLANK('Master Submitted DPDs'!#REF!),"","IH")</f>
        <v>IH</v>
      </c>
      <c r="D11" s="3" t="e">
        <f>LOOKUP($F11,'fuzzy LPA lookup'!$E:$E,'fuzzy LPA lookup'!$A:$A)</f>
        <v>#REF!</v>
      </c>
      <c r="E11" s="3" t="e">
        <f>LOOKUP($F11,'fuzzy LPA lookup'!$E:$E,'fuzzy LPA lookup'!$D:$D)</f>
        <v>#REF!</v>
      </c>
      <c r="F11" s="8" t="e">
        <f>IF(ISBLANK('Master Submitted DPDs'!#REF!),"",'Master Submitted DPDs'!#REF!)</f>
        <v>#REF!</v>
      </c>
      <c r="G11" t="str">
        <f>IF(ISBLANK('Master Submitted DPDs'!#REF!),"","Withdrawn")</f>
        <v>Withdrawn</v>
      </c>
      <c r="H11" s="2" t="e">
        <f>IF(ISBLANK('Master Submitted DPDs'!#REF!),"",'Master Submitted DPDs'!#REF!)</f>
        <v>#REF!</v>
      </c>
      <c r="I11" s="3"/>
      <c r="J11" s="3"/>
      <c r="K11" s="3"/>
      <c r="L11" s="2" t="e">
        <f>IF(ISBLANK('Master Submitted DPDs'!#REF!),"",'Master Submitted DPDs'!#REF!)</f>
        <v>#REF!</v>
      </c>
      <c r="M11" s="2" t="e">
        <f t="shared" si="0"/>
        <v>#REF!</v>
      </c>
      <c r="N11" s="2" t="e">
        <f>IF(ISBLANK('Master Submitted DPDs'!#REF!),IF(ISBLANK('Master Submitted DPDs'!#REF!),"",'Master Submitted DPDs'!#REF!),'Master Submitted DPDs'!#REF!)</f>
        <v>#REF!</v>
      </c>
      <c r="O11" s="2" t="e">
        <f>IF(ISBLANK('Master Submitted DPDs'!#REF!),"",'Master Submitted DPDs'!#REF!)</f>
        <v>#REF!</v>
      </c>
      <c r="P11" s="2" t="e">
        <f>IF(ISBLANK('Master Submitted DPDs'!#REF!),"",'Master Submitted DPDs'!#REF!)</f>
        <v>#REF!</v>
      </c>
      <c r="Q11" t="e">
        <f>IF(ISBLANK('Master Submitted DPDs'!#REF!),"",'Master Submitted DPDs'!#REF!)</f>
        <v>#REF!</v>
      </c>
      <c r="R11" t="e">
        <f t="shared" si="1"/>
        <v>#REF!</v>
      </c>
      <c r="S11" s="3"/>
      <c r="T11" t="e">
        <f>IF(ISBLANK('Master Submitted DPDs'!#REF!),"",'Master Submitted DPDs'!#REF!)</f>
        <v>#REF!</v>
      </c>
    </row>
    <row r="12" spans="1:20" ht="15" x14ac:dyDescent="0.2">
      <c r="A12" s="3" t="str">
        <f>IF(ISBLANK('Master Submitted DPDs'!#REF!),"","Local Plans")</f>
        <v>Local Plans</v>
      </c>
      <c r="B12" t="e">
        <f>IF(ISBLANK('Master Submitted DPDs'!#REF!),"",'Master Submitted DPDs'!#REF!)</f>
        <v>#REF!</v>
      </c>
      <c r="C12" s="3" t="str">
        <f>IF(ISBLANK('Master Submitted DPDs'!#REF!),"","IH")</f>
        <v>IH</v>
      </c>
      <c r="D12" s="3" t="e">
        <f>LOOKUP($F12,'fuzzy LPA lookup'!$E:$E,'fuzzy LPA lookup'!$A:$A)</f>
        <v>#REF!</v>
      </c>
      <c r="E12" s="3" t="e">
        <f>LOOKUP($F12,'fuzzy LPA lookup'!$E:$E,'fuzzy LPA lookup'!$D:$D)</f>
        <v>#REF!</v>
      </c>
      <c r="F12" s="8" t="e">
        <f>IF(ISBLANK('Master Submitted DPDs'!#REF!),"",'Master Submitted DPDs'!#REF!)</f>
        <v>#REF!</v>
      </c>
      <c r="G12" t="str">
        <f>IF(ISBLANK('Master Submitted DPDs'!#REF!),"","Withdrawn")</f>
        <v>Withdrawn</v>
      </c>
      <c r="H12" s="2" t="e">
        <f>IF(ISBLANK('Master Submitted DPDs'!#REF!),"",'Master Submitted DPDs'!#REF!)</f>
        <v>#REF!</v>
      </c>
      <c r="I12" s="3"/>
      <c r="J12" s="3"/>
      <c r="K12" s="3"/>
      <c r="L12" s="2" t="e">
        <f>IF(ISBLANK('Master Submitted DPDs'!#REF!),"",'Master Submitted DPDs'!#REF!)</f>
        <v>#REF!</v>
      </c>
      <c r="M12" s="2" t="e">
        <f t="shared" si="0"/>
        <v>#REF!</v>
      </c>
      <c r="N12" s="2" t="e">
        <f>IF(ISBLANK('Master Submitted DPDs'!#REF!),IF(ISBLANK('Master Submitted DPDs'!#REF!),"",'Master Submitted DPDs'!#REF!),'Master Submitted DPDs'!#REF!)</f>
        <v>#REF!</v>
      </c>
      <c r="O12" s="2" t="e">
        <f>IF(ISBLANK('Master Submitted DPDs'!#REF!),"",'Master Submitted DPDs'!#REF!)</f>
        <v>#REF!</v>
      </c>
      <c r="P12" s="2" t="e">
        <f>IF(ISBLANK('Master Submitted DPDs'!#REF!),"",'Master Submitted DPDs'!#REF!)</f>
        <v>#REF!</v>
      </c>
      <c r="Q12" t="e">
        <f>IF(ISBLANK('Master Submitted DPDs'!#REF!),"",'Master Submitted DPDs'!#REF!)</f>
        <v>#REF!</v>
      </c>
      <c r="R12" t="e">
        <f t="shared" si="1"/>
        <v>#REF!</v>
      </c>
      <c r="S12" s="3"/>
      <c r="T12" t="e">
        <f>IF(ISBLANK('Master Submitted DPDs'!#REF!),"",'Master Submitted DPDs'!#REF!)</f>
        <v>#REF!</v>
      </c>
    </row>
    <row r="13" spans="1:20" ht="15" x14ac:dyDescent="0.2">
      <c r="A13" s="3" t="str">
        <f>IF(ISBLANK('Master Submitted DPDs'!#REF!),"","Local Plans")</f>
        <v>Local Plans</v>
      </c>
      <c r="B13" t="e">
        <f>IF(ISBLANK('Master Submitted DPDs'!#REF!),"",'Master Submitted DPDs'!#REF!)</f>
        <v>#REF!</v>
      </c>
      <c r="C13" s="3" t="str">
        <f>IF(ISBLANK('Master Submitted DPDs'!#REF!),"","IH")</f>
        <v>IH</v>
      </c>
      <c r="D13" s="3" t="e">
        <f>LOOKUP($F13,'fuzzy LPA lookup'!$E:$E,'fuzzy LPA lookup'!$A:$A)</f>
        <v>#REF!</v>
      </c>
      <c r="E13" s="3" t="e">
        <f>LOOKUP($F13,'fuzzy LPA lookup'!$E:$E,'fuzzy LPA lookup'!$D:$D)</f>
        <v>#REF!</v>
      </c>
      <c r="F13" s="8" t="e">
        <f>IF(ISBLANK('Master Submitted DPDs'!#REF!),"",'Master Submitted DPDs'!#REF!)</f>
        <v>#REF!</v>
      </c>
      <c r="G13" t="str">
        <f>IF(ISBLANK('Master Submitted DPDs'!#REF!),"","Withdrawn")</f>
        <v>Withdrawn</v>
      </c>
      <c r="H13" s="2" t="e">
        <f>IF(ISBLANK('Master Submitted DPDs'!#REF!),"",'Master Submitted DPDs'!#REF!)</f>
        <v>#REF!</v>
      </c>
      <c r="I13" s="3"/>
      <c r="J13" s="3"/>
      <c r="K13" s="3"/>
      <c r="L13" s="2" t="e">
        <f>IF(ISBLANK('Master Submitted DPDs'!#REF!),"",'Master Submitted DPDs'!#REF!)</f>
        <v>#REF!</v>
      </c>
      <c r="M13" s="2" t="e">
        <f t="shared" si="0"/>
        <v>#REF!</v>
      </c>
      <c r="N13" s="2" t="e">
        <f>IF(ISBLANK('Master Submitted DPDs'!#REF!),IF(ISBLANK('Master Submitted DPDs'!#REF!),"",'Master Submitted DPDs'!#REF!),'Master Submitted DPDs'!#REF!)</f>
        <v>#REF!</v>
      </c>
      <c r="O13" s="2" t="e">
        <f>IF(ISBLANK('Master Submitted DPDs'!#REF!),"",'Master Submitted DPDs'!#REF!)</f>
        <v>#REF!</v>
      </c>
      <c r="P13" s="2" t="e">
        <f>IF(ISBLANK('Master Submitted DPDs'!#REF!),"",'Master Submitted DPDs'!#REF!)</f>
        <v>#REF!</v>
      </c>
      <c r="Q13" t="e">
        <f>IF(ISBLANK('Master Submitted DPDs'!#REF!),"",'Master Submitted DPDs'!#REF!)</f>
        <v>#REF!</v>
      </c>
      <c r="R13" t="e">
        <f t="shared" si="1"/>
        <v>#REF!</v>
      </c>
      <c r="S13" s="3"/>
      <c r="T13" t="e">
        <f>IF(ISBLANK('Master Submitted DPDs'!#REF!),"",'Master Submitted DPDs'!#REF!)</f>
        <v>#REF!</v>
      </c>
    </row>
    <row r="14" spans="1:20" ht="15" x14ac:dyDescent="0.2">
      <c r="A14" s="3" t="str">
        <f>IF(ISBLANK('Master Submitted DPDs'!#REF!),"","Local Plans")</f>
        <v>Local Plans</v>
      </c>
      <c r="B14" t="e">
        <f>IF(ISBLANK('Master Submitted DPDs'!#REF!),"",'Master Submitted DPDs'!#REF!)</f>
        <v>#REF!</v>
      </c>
      <c r="C14" s="3" t="str">
        <f>IF(ISBLANK('Master Submitted DPDs'!#REF!),"","IH")</f>
        <v>IH</v>
      </c>
      <c r="D14" s="3" t="e">
        <f>LOOKUP($F14,'fuzzy LPA lookup'!$E:$E,'fuzzy LPA lookup'!$A:$A)</f>
        <v>#REF!</v>
      </c>
      <c r="E14" s="3" t="e">
        <f>LOOKUP($F14,'fuzzy LPA lookup'!$E:$E,'fuzzy LPA lookup'!$D:$D)</f>
        <v>#REF!</v>
      </c>
      <c r="F14" s="8" t="e">
        <f>IF(ISBLANK('Master Submitted DPDs'!#REF!),"",'Master Submitted DPDs'!#REF!)</f>
        <v>#REF!</v>
      </c>
      <c r="G14" t="str">
        <f>IF(ISBLANK('Master Submitted DPDs'!#REF!),"","Withdrawn")</f>
        <v>Withdrawn</v>
      </c>
      <c r="H14" s="2" t="e">
        <f>IF(ISBLANK('Master Submitted DPDs'!#REF!),"",'Master Submitted DPDs'!#REF!)</f>
        <v>#REF!</v>
      </c>
      <c r="I14" s="3"/>
      <c r="J14" s="3"/>
      <c r="K14" s="3"/>
      <c r="L14" s="2" t="e">
        <f>IF(ISBLANK('Master Submitted DPDs'!#REF!),"",'Master Submitted DPDs'!#REF!)</f>
        <v>#REF!</v>
      </c>
      <c r="M14" s="2" t="e">
        <f t="shared" si="0"/>
        <v>#REF!</v>
      </c>
      <c r="N14" s="2" t="e">
        <f>IF(ISBLANK('Master Submitted DPDs'!#REF!),IF(ISBLANK('Master Submitted DPDs'!#REF!),"",'Master Submitted DPDs'!#REF!),'Master Submitted DPDs'!#REF!)</f>
        <v>#REF!</v>
      </c>
      <c r="O14" s="2" t="e">
        <f>IF(ISBLANK('Master Submitted DPDs'!#REF!),"",'Master Submitted DPDs'!#REF!)</f>
        <v>#REF!</v>
      </c>
      <c r="P14" s="2" t="e">
        <f>IF(ISBLANK('Master Submitted DPDs'!#REF!),"",'Master Submitted DPDs'!#REF!)</f>
        <v>#REF!</v>
      </c>
      <c r="Q14" t="e">
        <f>IF(ISBLANK('Master Submitted DPDs'!#REF!),"",'Master Submitted DPDs'!#REF!)</f>
        <v>#REF!</v>
      </c>
      <c r="R14" t="e">
        <f t="shared" si="1"/>
        <v>#REF!</v>
      </c>
      <c r="S14" s="3"/>
      <c r="T14" t="e">
        <f>IF(ISBLANK('Master Submitted DPDs'!#REF!),"",'Master Submitted DPDs'!#REF!)</f>
        <v>#REF!</v>
      </c>
    </row>
    <row r="15" spans="1:20" ht="15" x14ac:dyDescent="0.2">
      <c r="A15" s="3" t="str">
        <f>IF(ISBLANK('Master Submitted DPDs'!#REF!),"","Local Plans")</f>
        <v>Local Plans</v>
      </c>
      <c r="B15" t="e">
        <f>IF(ISBLANK('Master Submitted DPDs'!#REF!),"",'Master Submitted DPDs'!#REF!)</f>
        <v>#REF!</v>
      </c>
      <c r="C15" s="3" t="str">
        <f>IF(ISBLANK('Master Submitted DPDs'!#REF!),"","IH")</f>
        <v>IH</v>
      </c>
      <c r="D15" s="3" t="e">
        <f>LOOKUP($F15,'fuzzy LPA lookup'!$E:$E,'fuzzy LPA lookup'!$A:$A)</f>
        <v>#REF!</v>
      </c>
      <c r="E15" s="3" t="e">
        <f>LOOKUP($F15,'fuzzy LPA lookup'!$E:$E,'fuzzy LPA lookup'!$D:$D)</f>
        <v>#REF!</v>
      </c>
      <c r="F15" s="8" t="e">
        <f>IF(ISBLANK('Master Submitted DPDs'!#REF!),"",'Master Submitted DPDs'!#REF!)</f>
        <v>#REF!</v>
      </c>
      <c r="G15" t="str">
        <f>IF(ISBLANK('Master Submitted DPDs'!#REF!),"","Withdrawn")</f>
        <v>Withdrawn</v>
      </c>
      <c r="H15" s="2" t="e">
        <f>IF(ISBLANK('Master Submitted DPDs'!#REF!),"",'Master Submitted DPDs'!#REF!)</f>
        <v>#REF!</v>
      </c>
      <c r="I15" s="3"/>
      <c r="J15" s="3"/>
      <c r="K15" s="3"/>
      <c r="L15" s="2" t="e">
        <f>IF(ISBLANK('Master Submitted DPDs'!#REF!),"",'Master Submitted DPDs'!#REF!)</f>
        <v>#REF!</v>
      </c>
      <c r="M15" s="2" t="e">
        <f t="shared" si="0"/>
        <v>#REF!</v>
      </c>
      <c r="N15" s="2" t="e">
        <f>IF(ISBLANK('Master Submitted DPDs'!#REF!),IF(ISBLANK('Master Submitted DPDs'!#REF!),"",'Master Submitted DPDs'!#REF!),'Master Submitted DPDs'!#REF!)</f>
        <v>#REF!</v>
      </c>
      <c r="O15" s="2" t="e">
        <f>IF(ISBLANK('Master Submitted DPDs'!#REF!),"",'Master Submitted DPDs'!#REF!)</f>
        <v>#REF!</v>
      </c>
      <c r="P15" s="2" t="e">
        <f>IF(ISBLANK('Master Submitted DPDs'!#REF!),"",'Master Submitted DPDs'!#REF!)</f>
        <v>#REF!</v>
      </c>
      <c r="Q15" t="e">
        <f>IF(ISBLANK('Master Submitted DPDs'!#REF!),"",'Master Submitted DPDs'!#REF!)</f>
        <v>#REF!</v>
      </c>
      <c r="R15" t="e">
        <f t="shared" si="1"/>
        <v>#REF!</v>
      </c>
      <c r="S15" s="3"/>
      <c r="T15" t="e">
        <f>IF(ISBLANK('Master Submitted DPDs'!#REF!),"",'Master Submitted DPDs'!#REF!)</f>
        <v>#REF!</v>
      </c>
    </row>
    <row r="16" spans="1:20" ht="15" x14ac:dyDescent="0.2">
      <c r="A16" s="3" t="str">
        <f>IF(ISBLANK('Master Submitted DPDs'!#REF!),"","Local Plans")</f>
        <v>Local Plans</v>
      </c>
      <c r="B16" t="e">
        <f>IF(ISBLANK('Master Submitted DPDs'!#REF!),"",'Master Submitted DPDs'!#REF!)</f>
        <v>#REF!</v>
      </c>
      <c r="C16" s="3" t="str">
        <f>IF(ISBLANK('Master Submitted DPDs'!#REF!),"","IH")</f>
        <v>IH</v>
      </c>
      <c r="D16" s="3" t="e">
        <f>LOOKUP($F16,'fuzzy LPA lookup'!$E:$E,'fuzzy LPA lookup'!$A:$A)</f>
        <v>#REF!</v>
      </c>
      <c r="E16" s="3" t="e">
        <f>LOOKUP($F16,'fuzzy LPA lookup'!$E:$E,'fuzzy LPA lookup'!$D:$D)</f>
        <v>#REF!</v>
      </c>
      <c r="F16" s="8" t="e">
        <f>IF(ISBLANK('Master Submitted DPDs'!#REF!),"",'Master Submitted DPDs'!#REF!)</f>
        <v>#REF!</v>
      </c>
      <c r="G16" t="str">
        <f>IF(ISBLANK('Master Submitted DPDs'!#REF!),"","Withdrawn")</f>
        <v>Withdrawn</v>
      </c>
      <c r="H16" s="2" t="e">
        <f>IF(ISBLANK('Master Submitted DPDs'!#REF!),"",'Master Submitted DPDs'!#REF!)</f>
        <v>#REF!</v>
      </c>
      <c r="I16" s="3"/>
      <c r="J16" s="3"/>
      <c r="K16" s="3"/>
      <c r="L16" s="2" t="e">
        <f>IF(ISBLANK('Master Submitted DPDs'!#REF!),"",'Master Submitted DPDs'!#REF!)</f>
        <v>#REF!</v>
      </c>
      <c r="M16" s="2" t="e">
        <f t="shared" si="0"/>
        <v>#REF!</v>
      </c>
      <c r="N16" s="2" t="e">
        <f>IF(ISBLANK('Master Submitted DPDs'!#REF!),IF(ISBLANK('Master Submitted DPDs'!#REF!),"",'Master Submitted DPDs'!#REF!),'Master Submitted DPDs'!#REF!)</f>
        <v>#REF!</v>
      </c>
      <c r="O16" s="2" t="e">
        <f>IF(ISBLANK('Master Submitted DPDs'!#REF!),"",'Master Submitted DPDs'!#REF!)</f>
        <v>#REF!</v>
      </c>
      <c r="P16" s="2" t="e">
        <f>IF(ISBLANK('Master Submitted DPDs'!#REF!),"",'Master Submitted DPDs'!#REF!)</f>
        <v>#REF!</v>
      </c>
      <c r="Q16" t="e">
        <f>IF(ISBLANK('Master Submitted DPDs'!#REF!),"",'Master Submitted DPDs'!#REF!)</f>
        <v>#REF!</v>
      </c>
      <c r="R16" t="e">
        <f t="shared" si="1"/>
        <v>#REF!</v>
      </c>
      <c r="S16" s="3"/>
      <c r="T16" t="e">
        <f>IF(ISBLANK('Master Submitted DPDs'!#REF!),"",'Master Submitted DPDs'!#REF!)</f>
        <v>#REF!</v>
      </c>
    </row>
    <row r="17" spans="1:20" ht="15" x14ac:dyDescent="0.2">
      <c r="A17" s="3" t="str">
        <f>IF(ISBLANK('Master Submitted DPDs'!#REF!),"","Local Plans")</f>
        <v>Local Plans</v>
      </c>
      <c r="B17" t="e">
        <f>IF(ISBLANK('Master Submitted DPDs'!#REF!),"",'Master Submitted DPDs'!#REF!)</f>
        <v>#REF!</v>
      </c>
      <c r="C17" s="3" t="str">
        <f>IF(ISBLANK('Master Submitted DPDs'!#REF!),"","IH")</f>
        <v>IH</v>
      </c>
      <c r="D17" s="3" t="e">
        <f>LOOKUP($F17,'fuzzy LPA lookup'!$E:$E,'fuzzy LPA lookup'!$A:$A)</f>
        <v>#REF!</v>
      </c>
      <c r="E17" s="3" t="e">
        <f>LOOKUP($F17,'fuzzy LPA lookup'!$E:$E,'fuzzy LPA lookup'!$D:$D)</f>
        <v>#REF!</v>
      </c>
      <c r="F17" s="8" t="e">
        <f>IF(ISBLANK('Master Submitted DPDs'!#REF!),"",'Master Submitted DPDs'!#REF!)</f>
        <v>#REF!</v>
      </c>
      <c r="G17" t="str">
        <f>IF(ISBLANK('Master Submitted DPDs'!#REF!),"","Withdrawn")</f>
        <v>Withdrawn</v>
      </c>
      <c r="H17" s="2" t="e">
        <f>IF(ISBLANK('Master Submitted DPDs'!#REF!),"",'Master Submitted DPDs'!#REF!)</f>
        <v>#REF!</v>
      </c>
      <c r="I17" s="3"/>
      <c r="J17" s="3"/>
      <c r="K17" s="3"/>
      <c r="L17" s="2" t="e">
        <f>IF(ISBLANK('Master Submitted DPDs'!#REF!),"",'Master Submitted DPDs'!#REF!)</f>
        <v>#REF!</v>
      </c>
      <c r="M17" s="2" t="e">
        <f t="shared" si="0"/>
        <v>#REF!</v>
      </c>
      <c r="N17" s="2" t="e">
        <f>IF(ISBLANK('Master Submitted DPDs'!#REF!),IF(ISBLANK('Master Submitted DPDs'!#REF!),"",'Master Submitted DPDs'!#REF!),'Master Submitted DPDs'!#REF!)</f>
        <v>#REF!</v>
      </c>
      <c r="O17" s="2" t="e">
        <f>IF(ISBLANK('Master Submitted DPDs'!#REF!),"",'Master Submitted DPDs'!#REF!)</f>
        <v>#REF!</v>
      </c>
      <c r="P17" s="2" t="e">
        <f>IF(ISBLANK('Master Submitted DPDs'!#REF!),"",'Master Submitted DPDs'!#REF!)</f>
        <v>#REF!</v>
      </c>
      <c r="Q17" t="e">
        <f>IF(ISBLANK('Master Submitted DPDs'!#REF!),"",'Master Submitted DPDs'!#REF!)</f>
        <v>#REF!</v>
      </c>
      <c r="R17" t="e">
        <f t="shared" si="1"/>
        <v>#REF!</v>
      </c>
      <c r="S17" s="3"/>
      <c r="T17" t="e">
        <f>IF(ISBLANK('Master Submitted DPDs'!#REF!),"",'Master Submitted DPDs'!#REF!)</f>
        <v>#REF!</v>
      </c>
    </row>
    <row r="18" spans="1:20" ht="15" x14ac:dyDescent="0.2">
      <c r="A18" s="3" t="str">
        <f>IF(ISBLANK('Master Submitted DPDs'!#REF!),"","Local Plans")</f>
        <v>Local Plans</v>
      </c>
      <c r="B18" t="e">
        <f>IF(ISBLANK('Master Submitted DPDs'!#REF!),"",'Master Submitted DPDs'!#REF!)</f>
        <v>#REF!</v>
      </c>
      <c r="C18" s="3" t="str">
        <f>IF(ISBLANK('Master Submitted DPDs'!#REF!),"","IH")</f>
        <v>IH</v>
      </c>
      <c r="D18" s="3" t="e">
        <f>LOOKUP($F18,'fuzzy LPA lookup'!$E:$E,'fuzzy LPA lookup'!$A:$A)</f>
        <v>#REF!</v>
      </c>
      <c r="E18" s="3" t="e">
        <f>LOOKUP($F18,'fuzzy LPA lookup'!$E:$E,'fuzzy LPA lookup'!$D:$D)</f>
        <v>#REF!</v>
      </c>
      <c r="F18" s="8" t="e">
        <f>IF(ISBLANK('Master Submitted DPDs'!#REF!),"",'Master Submitted DPDs'!#REF!)</f>
        <v>#REF!</v>
      </c>
      <c r="G18" t="str">
        <f>IF(ISBLANK('Master Submitted DPDs'!#REF!),"","Withdrawn")</f>
        <v>Withdrawn</v>
      </c>
      <c r="H18" s="2" t="e">
        <f>IF(ISBLANK('Master Submitted DPDs'!#REF!),"",'Master Submitted DPDs'!#REF!)</f>
        <v>#REF!</v>
      </c>
      <c r="I18" s="3"/>
      <c r="J18" s="3"/>
      <c r="K18" s="3"/>
      <c r="L18" s="2" t="e">
        <f>IF(ISBLANK('Master Submitted DPDs'!#REF!),"",'Master Submitted DPDs'!#REF!)</f>
        <v>#REF!</v>
      </c>
      <c r="M18" s="2" t="e">
        <f t="shared" si="0"/>
        <v>#REF!</v>
      </c>
      <c r="N18" s="2" t="e">
        <f>IF(ISBLANK('Master Submitted DPDs'!#REF!),IF(ISBLANK('Master Submitted DPDs'!#REF!),"",'Master Submitted DPDs'!#REF!),'Master Submitted DPDs'!#REF!)</f>
        <v>#REF!</v>
      </c>
      <c r="O18" s="2" t="e">
        <f>IF(ISBLANK('Master Submitted DPDs'!#REF!),"",'Master Submitted DPDs'!#REF!)</f>
        <v>#REF!</v>
      </c>
      <c r="P18" s="2" t="e">
        <f>IF(ISBLANK('Master Submitted DPDs'!#REF!),"",'Master Submitted DPDs'!#REF!)</f>
        <v>#REF!</v>
      </c>
      <c r="Q18" t="e">
        <f>IF(ISBLANK('Master Submitted DPDs'!#REF!),"",'Master Submitted DPDs'!#REF!)</f>
        <v>#REF!</v>
      </c>
      <c r="R18" t="e">
        <f t="shared" si="1"/>
        <v>#REF!</v>
      </c>
      <c r="S18" s="3"/>
      <c r="T18" t="e">
        <f>IF(ISBLANK('Master Submitted DPDs'!#REF!),"",'Master Submitted DPDs'!#REF!)</f>
        <v>#REF!</v>
      </c>
    </row>
    <row r="19" spans="1:20" ht="15" x14ac:dyDescent="0.2">
      <c r="A19" s="3" t="str">
        <f>IF(ISBLANK('Master Submitted DPDs'!#REF!),"","Local Plans")</f>
        <v>Local Plans</v>
      </c>
      <c r="B19" t="e">
        <f>IF(ISBLANK('Master Submitted DPDs'!#REF!),"",'Master Submitted DPDs'!#REF!)</f>
        <v>#REF!</v>
      </c>
      <c r="C19" s="3" t="str">
        <f>IF(ISBLANK('Master Submitted DPDs'!#REF!),"","IH")</f>
        <v>IH</v>
      </c>
      <c r="D19" s="3" t="e">
        <f>LOOKUP($F19,'fuzzy LPA lookup'!$E:$E,'fuzzy LPA lookup'!$A:$A)</f>
        <v>#REF!</v>
      </c>
      <c r="E19" s="3" t="e">
        <f>LOOKUP($F19,'fuzzy LPA lookup'!$E:$E,'fuzzy LPA lookup'!$D:$D)</f>
        <v>#REF!</v>
      </c>
      <c r="F19" s="8" t="e">
        <f>IF(ISBLANK('Master Submitted DPDs'!#REF!),"",'Master Submitted DPDs'!#REF!)</f>
        <v>#REF!</v>
      </c>
      <c r="G19" t="str">
        <f>IF(ISBLANK('Master Submitted DPDs'!#REF!),"","Withdrawn")</f>
        <v>Withdrawn</v>
      </c>
      <c r="H19" s="2" t="e">
        <f>IF(ISBLANK('Master Submitted DPDs'!#REF!),"",'Master Submitted DPDs'!#REF!)</f>
        <v>#REF!</v>
      </c>
      <c r="I19" s="3"/>
      <c r="J19" s="3"/>
      <c r="K19" s="3"/>
      <c r="L19" s="2" t="e">
        <f>IF(ISBLANK('Master Submitted DPDs'!#REF!),"",'Master Submitted DPDs'!#REF!)</f>
        <v>#REF!</v>
      </c>
      <c r="M19" s="2" t="e">
        <f t="shared" si="0"/>
        <v>#REF!</v>
      </c>
      <c r="N19" s="2" t="e">
        <f>IF(ISBLANK('Master Submitted DPDs'!#REF!),IF(ISBLANK('Master Submitted DPDs'!#REF!),"",'Master Submitted DPDs'!#REF!),'Master Submitted DPDs'!#REF!)</f>
        <v>#REF!</v>
      </c>
      <c r="O19" s="2" t="e">
        <f>IF(ISBLANK('Master Submitted DPDs'!#REF!),"",'Master Submitted DPDs'!#REF!)</f>
        <v>#REF!</v>
      </c>
      <c r="P19" s="2" t="e">
        <f>IF(ISBLANK('Master Submitted DPDs'!#REF!),"",'Master Submitted DPDs'!#REF!)</f>
        <v>#REF!</v>
      </c>
      <c r="Q19" t="e">
        <f>IF(ISBLANK('Master Submitted DPDs'!#REF!),"",'Master Submitted DPDs'!#REF!)</f>
        <v>#REF!</v>
      </c>
      <c r="R19" t="e">
        <f t="shared" si="1"/>
        <v>#REF!</v>
      </c>
      <c r="S19" s="3"/>
      <c r="T19" t="e">
        <f>IF(ISBLANK('Master Submitted DPDs'!#REF!),"",'Master Submitted DPDs'!#REF!)</f>
        <v>#REF!</v>
      </c>
    </row>
    <row r="20" spans="1:20" ht="15" x14ac:dyDescent="0.2">
      <c r="A20" s="3" t="str">
        <f>IF(ISBLANK('Master Submitted DPDs'!#REF!),"","Local Plans")</f>
        <v>Local Plans</v>
      </c>
      <c r="B20" t="e">
        <f>IF(ISBLANK('Master Submitted DPDs'!#REF!),"",'Master Submitted DPDs'!#REF!)</f>
        <v>#REF!</v>
      </c>
      <c r="C20" s="3" t="str">
        <f>IF(ISBLANK('Master Submitted DPDs'!#REF!),"","IH")</f>
        <v>IH</v>
      </c>
      <c r="D20" s="3" t="e">
        <f>LOOKUP($F20,'fuzzy LPA lookup'!$E:$E,'fuzzy LPA lookup'!$A:$A)</f>
        <v>#REF!</v>
      </c>
      <c r="E20" s="3" t="e">
        <f>LOOKUP($F20,'fuzzy LPA lookup'!$E:$E,'fuzzy LPA lookup'!$D:$D)</f>
        <v>#REF!</v>
      </c>
      <c r="F20" s="8" t="e">
        <f>IF(ISBLANK('Master Submitted DPDs'!#REF!),"",'Master Submitted DPDs'!#REF!)</f>
        <v>#REF!</v>
      </c>
      <c r="G20" t="str">
        <f>IF(ISBLANK('Master Submitted DPDs'!#REF!),"","Withdrawn")</f>
        <v>Withdrawn</v>
      </c>
      <c r="H20" s="2" t="e">
        <f>IF(ISBLANK('Master Submitted DPDs'!#REF!),"",'Master Submitted DPDs'!#REF!)</f>
        <v>#REF!</v>
      </c>
      <c r="I20" s="3"/>
      <c r="J20" s="3"/>
      <c r="K20" s="3"/>
      <c r="L20" s="2" t="e">
        <f>IF(ISBLANK('Master Submitted DPDs'!#REF!),"",'Master Submitted DPDs'!#REF!)</f>
        <v>#REF!</v>
      </c>
      <c r="M20" s="2" t="e">
        <f t="shared" si="0"/>
        <v>#REF!</v>
      </c>
      <c r="N20" s="2" t="e">
        <f>IF(ISBLANK('Master Submitted DPDs'!#REF!),IF(ISBLANK('Master Submitted DPDs'!#REF!),"",'Master Submitted DPDs'!#REF!),'Master Submitted DPDs'!#REF!)</f>
        <v>#REF!</v>
      </c>
      <c r="O20" s="2" t="e">
        <f>IF(ISBLANK('Master Submitted DPDs'!#REF!),"",'Master Submitted DPDs'!#REF!)</f>
        <v>#REF!</v>
      </c>
      <c r="P20" s="2" t="e">
        <f>IF(ISBLANK('Master Submitted DPDs'!#REF!),"",'Master Submitted DPDs'!#REF!)</f>
        <v>#REF!</v>
      </c>
      <c r="Q20" t="e">
        <f>IF(ISBLANK('Master Submitted DPDs'!#REF!),"",'Master Submitted DPDs'!#REF!)</f>
        <v>#REF!</v>
      </c>
      <c r="R20" t="e">
        <f t="shared" si="1"/>
        <v>#REF!</v>
      </c>
      <c r="S20" s="3"/>
      <c r="T20" t="e">
        <f>IF(ISBLANK('Master Submitted DPDs'!#REF!),"",'Master Submitted DPDs'!#REF!)</f>
        <v>#REF!</v>
      </c>
    </row>
    <row r="21" spans="1:20" ht="15" x14ac:dyDescent="0.2">
      <c r="A21" s="3" t="str">
        <f>IF(ISBLANK('Master Submitted DPDs'!#REF!),"","Local Plans")</f>
        <v>Local Plans</v>
      </c>
      <c r="B21" t="e">
        <f>IF(ISBLANK('Master Submitted DPDs'!#REF!),"",'Master Submitted DPDs'!#REF!)</f>
        <v>#REF!</v>
      </c>
      <c r="C21" s="3" t="str">
        <f>IF(ISBLANK('Master Submitted DPDs'!#REF!),"","IH")</f>
        <v>IH</v>
      </c>
      <c r="D21" s="3" t="e">
        <f>LOOKUP($F21,'fuzzy LPA lookup'!$E:$E,'fuzzy LPA lookup'!$A:$A)</f>
        <v>#REF!</v>
      </c>
      <c r="E21" s="3" t="e">
        <f>LOOKUP($F21,'fuzzy LPA lookup'!$E:$E,'fuzzy LPA lookup'!$D:$D)</f>
        <v>#REF!</v>
      </c>
      <c r="F21" s="8" t="e">
        <f>IF(ISBLANK('Master Submitted DPDs'!#REF!),"",'Master Submitted DPDs'!#REF!)</f>
        <v>#REF!</v>
      </c>
      <c r="G21" t="str">
        <f>IF(ISBLANK('Master Submitted DPDs'!#REF!),"","Withdrawn")</f>
        <v>Withdrawn</v>
      </c>
      <c r="H21" s="2" t="e">
        <f>IF(ISBLANK('Master Submitted DPDs'!#REF!),"",'Master Submitted DPDs'!#REF!)</f>
        <v>#REF!</v>
      </c>
      <c r="I21" s="3"/>
      <c r="J21" s="3"/>
      <c r="K21" s="3"/>
      <c r="L21" s="2" t="e">
        <f>IF(ISBLANK('Master Submitted DPDs'!#REF!),"",'Master Submitted DPDs'!#REF!)</f>
        <v>#REF!</v>
      </c>
      <c r="M21" s="2" t="e">
        <f t="shared" si="0"/>
        <v>#REF!</v>
      </c>
      <c r="N21" s="2" t="e">
        <f>IF(ISBLANK('Master Submitted DPDs'!#REF!),IF(ISBLANK('Master Submitted DPDs'!#REF!),"",'Master Submitted DPDs'!#REF!),'Master Submitted DPDs'!#REF!)</f>
        <v>#REF!</v>
      </c>
      <c r="O21" s="2" t="e">
        <f>IF(ISBLANK('Master Submitted DPDs'!#REF!),"",'Master Submitted DPDs'!#REF!)</f>
        <v>#REF!</v>
      </c>
      <c r="P21" s="2" t="e">
        <f>IF(ISBLANK('Master Submitted DPDs'!#REF!),"",'Master Submitted DPDs'!#REF!)</f>
        <v>#REF!</v>
      </c>
      <c r="Q21" t="e">
        <f>IF(ISBLANK('Master Submitted DPDs'!#REF!),"",'Master Submitted DPDs'!#REF!)</f>
        <v>#REF!</v>
      </c>
      <c r="R21" t="e">
        <f t="shared" si="1"/>
        <v>#REF!</v>
      </c>
      <c r="S21" s="3"/>
      <c r="T21" t="e">
        <f>IF(ISBLANK('Master Submitted DPDs'!#REF!),"",'Master Submitted DPDs'!#REF!)</f>
        <v>#REF!</v>
      </c>
    </row>
    <row r="22" spans="1:20" ht="15" x14ac:dyDescent="0.2">
      <c r="A22" s="3" t="str">
        <f>IF(ISBLANK('Master Submitted DPDs'!#REF!),"","Local Plans")</f>
        <v>Local Plans</v>
      </c>
      <c r="B22" t="e">
        <f>IF(ISBLANK('Master Submitted DPDs'!#REF!),"",'Master Submitted DPDs'!#REF!)</f>
        <v>#REF!</v>
      </c>
      <c r="C22" s="3" t="str">
        <f>IF(ISBLANK('Master Submitted DPDs'!#REF!),"","IH")</f>
        <v>IH</v>
      </c>
      <c r="D22" s="3" t="e">
        <f>LOOKUP($F22,'fuzzy LPA lookup'!$E:$E,'fuzzy LPA lookup'!$A:$A)</f>
        <v>#REF!</v>
      </c>
      <c r="E22" s="3" t="e">
        <f>LOOKUP($F22,'fuzzy LPA lookup'!$E:$E,'fuzzy LPA lookup'!$D:$D)</f>
        <v>#REF!</v>
      </c>
      <c r="F22" s="8" t="e">
        <f>IF(ISBLANK('Master Submitted DPDs'!#REF!),"",'Master Submitted DPDs'!#REF!)</f>
        <v>#REF!</v>
      </c>
      <c r="G22" t="str">
        <f>IF(ISBLANK('Master Submitted DPDs'!#REF!),"","Withdrawn")</f>
        <v>Withdrawn</v>
      </c>
      <c r="H22" s="2" t="e">
        <f>IF(ISBLANK('Master Submitted DPDs'!#REF!),"",'Master Submitted DPDs'!#REF!)</f>
        <v>#REF!</v>
      </c>
      <c r="I22" s="3"/>
      <c r="J22" s="3"/>
      <c r="K22" s="3"/>
      <c r="L22" s="2" t="e">
        <f>IF(ISBLANK('Master Submitted DPDs'!#REF!),"",'Master Submitted DPDs'!#REF!)</f>
        <v>#REF!</v>
      </c>
      <c r="M22" s="2" t="e">
        <f t="shared" si="0"/>
        <v>#REF!</v>
      </c>
      <c r="N22" s="2" t="e">
        <f>IF(ISBLANK('Master Submitted DPDs'!#REF!),IF(ISBLANK('Master Submitted DPDs'!#REF!),"",'Master Submitted DPDs'!#REF!),'Master Submitted DPDs'!#REF!)</f>
        <v>#REF!</v>
      </c>
      <c r="O22" s="2" t="e">
        <f>IF(ISBLANK('Master Submitted DPDs'!#REF!),"",'Master Submitted DPDs'!#REF!)</f>
        <v>#REF!</v>
      </c>
      <c r="P22" s="2" t="e">
        <f>IF(ISBLANK('Master Submitted DPDs'!#REF!),"",'Master Submitted DPDs'!#REF!)</f>
        <v>#REF!</v>
      </c>
      <c r="Q22" t="e">
        <f>IF(ISBLANK('Master Submitted DPDs'!#REF!),"",'Master Submitted DPDs'!#REF!)</f>
        <v>#REF!</v>
      </c>
      <c r="R22" t="e">
        <f t="shared" si="1"/>
        <v>#REF!</v>
      </c>
      <c r="S22" s="3"/>
      <c r="T22" t="e">
        <f>IF(ISBLANK('Master Submitted DPDs'!#REF!),"",'Master Submitted DPDs'!#REF!)</f>
        <v>#REF!</v>
      </c>
    </row>
    <row r="23" spans="1:20" ht="15" x14ac:dyDescent="0.2">
      <c r="A23" s="3" t="str">
        <f>IF(ISBLANK('Master Submitted DPDs'!#REF!),"","Local Plans")</f>
        <v>Local Plans</v>
      </c>
      <c r="B23" t="e">
        <f>IF(ISBLANK('Master Submitted DPDs'!#REF!),"",'Master Submitted DPDs'!#REF!)</f>
        <v>#REF!</v>
      </c>
      <c r="C23" s="3" t="str">
        <f>IF(ISBLANK('Master Submitted DPDs'!#REF!),"","IH")</f>
        <v>IH</v>
      </c>
      <c r="D23" s="3" t="e">
        <f>LOOKUP($F23,'fuzzy LPA lookup'!$E:$E,'fuzzy LPA lookup'!$A:$A)</f>
        <v>#REF!</v>
      </c>
      <c r="E23" s="3" t="e">
        <f>LOOKUP($F23,'fuzzy LPA lookup'!$E:$E,'fuzzy LPA lookup'!$D:$D)</f>
        <v>#REF!</v>
      </c>
      <c r="F23" s="8" t="e">
        <f>IF(ISBLANK('Master Submitted DPDs'!#REF!),"",'Master Submitted DPDs'!#REF!)</f>
        <v>#REF!</v>
      </c>
      <c r="G23" t="str">
        <f>IF(ISBLANK('Master Submitted DPDs'!#REF!),"","Withdrawn")</f>
        <v>Withdrawn</v>
      </c>
      <c r="H23" s="2" t="e">
        <f>IF(ISBLANK('Master Submitted DPDs'!#REF!),"",'Master Submitted DPDs'!#REF!)</f>
        <v>#REF!</v>
      </c>
      <c r="I23" s="3"/>
      <c r="J23" s="3"/>
      <c r="K23" s="3"/>
      <c r="L23" s="2" t="e">
        <f>IF(ISBLANK('Master Submitted DPDs'!#REF!),"",'Master Submitted DPDs'!#REF!)</f>
        <v>#REF!</v>
      </c>
      <c r="M23" s="2" t="e">
        <f t="shared" si="0"/>
        <v>#REF!</v>
      </c>
      <c r="N23" s="2" t="e">
        <f>IF(ISBLANK('Master Submitted DPDs'!#REF!),IF(ISBLANK('Master Submitted DPDs'!#REF!),"",'Master Submitted DPDs'!#REF!),'Master Submitted DPDs'!#REF!)</f>
        <v>#REF!</v>
      </c>
      <c r="O23" s="2" t="e">
        <f>IF(ISBLANK('Master Submitted DPDs'!#REF!),"",'Master Submitted DPDs'!#REF!)</f>
        <v>#REF!</v>
      </c>
      <c r="P23" s="2" t="e">
        <f>IF(ISBLANK('Master Submitted DPDs'!#REF!),"",'Master Submitted DPDs'!#REF!)</f>
        <v>#REF!</v>
      </c>
      <c r="Q23" t="e">
        <f>IF(ISBLANK('Master Submitted DPDs'!#REF!),"",'Master Submitted DPDs'!#REF!)</f>
        <v>#REF!</v>
      </c>
      <c r="R23" t="e">
        <f t="shared" si="1"/>
        <v>#REF!</v>
      </c>
      <c r="S23" s="3"/>
      <c r="T23" t="e">
        <f>IF(ISBLANK('Master Submitted DPDs'!#REF!),"",'Master Submitted DPDs'!#REF!)</f>
        <v>#REF!</v>
      </c>
    </row>
    <row r="24" spans="1:20" ht="15" x14ac:dyDescent="0.2">
      <c r="A24" s="3" t="str">
        <f>IF(ISBLANK('Master Submitted DPDs'!#REF!),"","Local Plans")</f>
        <v>Local Plans</v>
      </c>
      <c r="B24" t="e">
        <f>IF(ISBLANK('Master Submitted DPDs'!#REF!),"",'Master Submitted DPDs'!#REF!)</f>
        <v>#REF!</v>
      </c>
      <c r="C24" s="3" t="str">
        <f>IF(ISBLANK('Master Submitted DPDs'!#REF!),"","IH")</f>
        <v>IH</v>
      </c>
      <c r="D24" s="3" t="e">
        <f>LOOKUP($F24,'fuzzy LPA lookup'!$E:$E,'fuzzy LPA lookup'!$A:$A)</f>
        <v>#REF!</v>
      </c>
      <c r="E24" s="3" t="e">
        <f>LOOKUP($F24,'fuzzy LPA lookup'!$E:$E,'fuzzy LPA lookup'!$D:$D)</f>
        <v>#REF!</v>
      </c>
      <c r="F24" s="8" t="e">
        <f>IF(ISBLANK('Master Submitted DPDs'!#REF!),"",'Master Submitted DPDs'!#REF!)</f>
        <v>#REF!</v>
      </c>
      <c r="G24" t="str">
        <f>IF(ISBLANK('Master Submitted DPDs'!#REF!),"","Withdrawn")</f>
        <v>Withdrawn</v>
      </c>
      <c r="H24" s="2" t="e">
        <f>IF(ISBLANK('Master Submitted DPDs'!#REF!),"",'Master Submitted DPDs'!#REF!)</f>
        <v>#REF!</v>
      </c>
      <c r="I24" s="3"/>
      <c r="J24" s="3"/>
      <c r="K24" s="3"/>
      <c r="L24" s="2" t="e">
        <f>IF(ISBLANK('Master Submitted DPDs'!#REF!),"",'Master Submitted DPDs'!#REF!)</f>
        <v>#REF!</v>
      </c>
      <c r="M24" s="2" t="e">
        <f t="shared" si="0"/>
        <v>#REF!</v>
      </c>
      <c r="N24" s="2" t="e">
        <f>IF(ISBLANK('Master Submitted DPDs'!#REF!),IF(ISBLANK('Master Submitted DPDs'!#REF!),"",'Master Submitted DPDs'!#REF!),'Master Submitted DPDs'!#REF!)</f>
        <v>#REF!</v>
      </c>
      <c r="O24" s="2" t="e">
        <f>IF(ISBLANK('Master Submitted DPDs'!#REF!),"",'Master Submitted DPDs'!#REF!)</f>
        <v>#REF!</v>
      </c>
      <c r="P24" s="2" t="e">
        <f>IF(ISBLANK('Master Submitted DPDs'!#REF!),"",'Master Submitted DPDs'!#REF!)</f>
        <v>#REF!</v>
      </c>
      <c r="Q24" t="e">
        <f>IF(ISBLANK('Master Submitted DPDs'!#REF!),"",'Master Submitted DPDs'!#REF!)</f>
        <v>#REF!</v>
      </c>
      <c r="R24" t="e">
        <f t="shared" si="1"/>
        <v>#REF!</v>
      </c>
      <c r="S24" s="3"/>
      <c r="T24" t="e">
        <f>IF(ISBLANK('Master Submitted DPDs'!#REF!),"",'Master Submitted DPDs'!#REF!)</f>
        <v>#REF!</v>
      </c>
    </row>
    <row r="25" spans="1:20" ht="15" x14ac:dyDescent="0.2">
      <c r="A25" s="3" t="str">
        <f>IF(ISBLANK('Master Submitted DPDs'!#REF!),"","Local Plans")</f>
        <v>Local Plans</v>
      </c>
      <c r="B25" t="e">
        <f>IF(ISBLANK('Master Submitted DPDs'!#REF!),"",'Master Submitted DPDs'!#REF!)</f>
        <v>#REF!</v>
      </c>
      <c r="C25" s="3" t="str">
        <f>IF(ISBLANK('Master Submitted DPDs'!#REF!),"","IH")</f>
        <v>IH</v>
      </c>
      <c r="D25" s="3" t="e">
        <f>LOOKUP($F25,'fuzzy LPA lookup'!$E:$E,'fuzzy LPA lookup'!$A:$A)</f>
        <v>#REF!</v>
      </c>
      <c r="E25" s="3" t="e">
        <f>LOOKUP($F25,'fuzzy LPA lookup'!$E:$E,'fuzzy LPA lookup'!$D:$D)</f>
        <v>#REF!</v>
      </c>
      <c r="F25" s="8" t="e">
        <f>IF(ISBLANK('Master Submitted DPDs'!#REF!),"",'Master Submitted DPDs'!#REF!)</f>
        <v>#REF!</v>
      </c>
      <c r="G25" t="str">
        <f>IF(ISBLANK('Master Submitted DPDs'!#REF!),"","Withdrawn")</f>
        <v>Withdrawn</v>
      </c>
      <c r="H25" s="2" t="e">
        <f>IF(ISBLANK('Master Submitted DPDs'!#REF!),"",'Master Submitted DPDs'!#REF!)</f>
        <v>#REF!</v>
      </c>
      <c r="I25" s="3"/>
      <c r="J25" s="3"/>
      <c r="K25" s="3"/>
      <c r="L25" s="2" t="e">
        <f>IF(ISBLANK('Master Submitted DPDs'!#REF!),"",'Master Submitted DPDs'!#REF!)</f>
        <v>#REF!</v>
      </c>
      <c r="M25" s="2" t="e">
        <f t="shared" si="0"/>
        <v>#REF!</v>
      </c>
      <c r="N25" s="2" t="e">
        <f>IF(ISBLANK('Master Submitted DPDs'!#REF!),IF(ISBLANK('Master Submitted DPDs'!#REF!),"",'Master Submitted DPDs'!#REF!),'Master Submitted DPDs'!#REF!)</f>
        <v>#REF!</v>
      </c>
      <c r="O25" s="2" t="e">
        <f>IF(ISBLANK('Master Submitted DPDs'!#REF!),"",'Master Submitted DPDs'!#REF!)</f>
        <v>#REF!</v>
      </c>
      <c r="P25" s="2" t="e">
        <f>IF(ISBLANK('Master Submitted DPDs'!#REF!),"",'Master Submitted DPDs'!#REF!)</f>
        <v>#REF!</v>
      </c>
      <c r="Q25" t="e">
        <f>IF(ISBLANK('Master Submitted DPDs'!#REF!),"",'Master Submitted DPDs'!#REF!)</f>
        <v>#REF!</v>
      </c>
      <c r="R25" t="e">
        <f t="shared" si="1"/>
        <v>#REF!</v>
      </c>
      <c r="S25" s="3"/>
      <c r="T25" t="e">
        <f>IF(ISBLANK('Master Submitted DPDs'!#REF!),"",'Master Submitted DPDs'!#REF!)</f>
        <v>#REF!</v>
      </c>
    </row>
    <row r="26" spans="1:20" ht="15" x14ac:dyDescent="0.2">
      <c r="A26" s="3" t="str">
        <f>IF(ISBLANK('Master Submitted DPDs'!#REF!),"","Local Plans")</f>
        <v>Local Plans</v>
      </c>
      <c r="B26" t="e">
        <f>IF(ISBLANK('Master Submitted DPDs'!#REF!),"",'Master Submitted DPDs'!#REF!)</f>
        <v>#REF!</v>
      </c>
      <c r="C26" s="3" t="str">
        <f>IF(ISBLANK('Master Submitted DPDs'!#REF!),"","IH")</f>
        <v>IH</v>
      </c>
      <c r="D26" s="3" t="e">
        <f>LOOKUP($F26,'fuzzy LPA lookup'!$E:$E,'fuzzy LPA lookup'!$A:$A)</f>
        <v>#REF!</v>
      </c>
      <c r="E26" s="3" t="e">
        <f>LOOKUP($F26,'fuzzy LPA lookup'!$E:$E,'fuzzy LPA lookup'!$D:$D)</f>
        <v>#REF!</v>
      </c>
      <c r="F26" s="8" t="e">
        <f>IF(ISBLANK('Master Submitted DPDs'!#REF!),"",'Master Submitted DPDs'!#REF!)</f>
        <v>#REF!</v>
      </c>
      <c r="G26" t="str">
        <f>IF(ISBLANK('Master Submitted DPDs'!#REF!),"","Withdrawn")</f>
        <v>Withdrawn</v>
      </c>
      <c r="H26" s="2" t="e">
        <f>IF(ISBLANK('Master Submitted DPDs'!#REF!),"",'Master Submitted DPDs'!#REF!)</f>
        <v>#REF!</v>
      </c>
      <c r="I26" s="3"/>
      <c r="J26" s="3"/>
      <c r="K26" s="3"/>
      <c r="L26" s="2" t="e">
        <f>IF(ISBLANK('Master Submitted DPDs'!#REF!),"",'Master Submitted DPDs'!#REF!)</f>
        <v>#REF!</v>
      </c>
      <c r="M26" s="2" t="e">
        <f t="shared" si="0"/>
        <v>#REF!</v>
      </c>
      <c r="N26" s="2" t="e">
        <f>IF(ISBLANK('Master Submitted DPDs'!#REF!),IF(ISBLANK('Master Submitted DPDs'!#REF!),"",'Master Submitted DPDs'!#REF!),'Master Submitted DPDs'!#REF!)</f>
        <v>#REF!</v>
      </c>
      <c r="O26" s="2" t="e">
        <f>IF(ISBLANK('Master Submitted DPDs'!#REF!),"",'Master Submitted DPDs'!#REF!)</f>
        <v>#REF!</v>
      </c>
      <c r="P26" s="2" t="e">
        <f>IF(ISBLANK('Master Submitted DPDs'!#REF!),"",'Master Submitted DPDs'!#REF!)</f>
        <v>#REF!</v>
      </c>
      <c r="Q26" t="e">
        <f>IF(ISBLANK('Master Submitted DPDs'!#REF!),"",'Master Submitted DPDs'!#REF!)</f>
        <v>#REF!</v>
      </c>
      <c r="R26" t="e">
        <f t="shared" si="1"/>
        <v>#REF!</v>
      </c>
      <c r="S26" s="3"/>
      <c r="T26" t="e">
        <f>IF(ISBLANK('Master Submitted DPDs'!#REF!),"",'Master Submitted DPDs'!#REF!)</f>
        <v>#REF!</v>
      </c>
    </row>
    <row r="27" spans="1:20" ht="15" x14ac:dyDescent="0.2">
      <c r="A27" s="3" t="str">
        <f>IF(ISBLANK('Master Submitted DPDs'!#REF!),"","Local Plans")</f>
        <v>Local Plans</v>
      </c>
      <c r="B27" t="e">
        <f>IF(ISBLANK('Master Submitted DPDs'!#REF!),"",'Master Submitted DPDs'!#REF!)</f>
        <v>#REF!</v>
      </c>
      <c r="C27" s="3" t="str">
        <f>IF(ISBLANK('Master Submitted DPDs'!#REF!),"","IH")</f>
        <v>IH</v>
      </c>
      <c r="D27" s="3" t="e">
        <f>LOOKUP($F27,'fuzzy LPA lookup'!$E:$E,'fuzzy LPA lookup'!$A:$A)</f>
        <v>#REF!</v>
      </c>
      <c r="E27" s="3" t="e">
        <f>LOOKUP($F27,'fuzzy LPA lookup'!$E:$E,'fuzzy LPA lookup'!$D:$D)</f>
        <v>#REF!</v>
      </c>
      <c r="F27" s="8" t="e">
        <f>IF(ISBLANK('Master Submitted DPDs'!#REF!),"",'Master Submitted DPDs'!#REF!)</f>
        <v>#REF!</v>
      </c>
      <c r="G27" t="str">
        <f>IF(ISBLANK('Master Submitted DPDs'!#REF!),"","Withdrawn")</f>
        <v>Withdrawn</v>
      </c>
      <c r="H27" s="2" t="e">
        <f>IF(ISBLANK('Master Submitted DPDs'!#REF!),"",'Master Submitted DPDs'!#REF!)</f>
        <v>#REF!</v>
      </c>
      <c r="I27" s="3"/>
      <c r="J27" s="3"/>
      <c r="K27" s="3"/>
      <c r="L27" s="2" t="e">
        <f>IF(ISBLANK('Master Submitted DPDs'!#REF!),"",'Master Submitted DPDs'!#REF!)</f>
        <v>#REF!</v>
      </c>
      <c r="M27" s="2" t="e">
        <f t="shared" si="0"/>
        <v>#REF!</v>
      </c>
      <c r="N27" s="2" t="e">
        <f>IF(ISBLANK('Master Submitted DPDs'!#REF!),IF(ISBLANK('Master Submitted DPDs'!#REF!),"",'Master Submitted DPDs'!#REF!),'Master Submitted DPDs'!#REF!)</f>
        <v>#REF!</v>
      </c>
      <c r="O27" s="2" t="e">
        <f>IF(ISBLANK('Master Submitted DPDs'!#REF!),"",'Master Submitted DPDs'!#REF!)</f>
        <v>#REF!</v>
      </c>
      <c r="P27" s="2" t="e">
        <f>IF(ISBLANK('Master Submitted DPDs'!#REF!),"",'Master Submitted DPDs'!#REF!)</f>
        <v>#REF!</v>
      </c>
      <c r="Q27" t="e">
        <f>IF(ISBLANK('Master Submitted DPDs'!#REF!),"",'Master Submitted DPDs'!#REF!)</f>
        <v>#REF!</v>
      </c>
      <c r="R27" t="e">
        <f t="shared" si="1"/>
        <v>#REF!</v>
      </c>
      <c r="S27" s="3"/>
      <c r="T27" t="e">
        <f>IF(ISBLANK('Master Submitted DPDs'!#REF!),"",'Master Submitted DPDs'!#REF!)</f>
        <v>#REF!</v>
      </c>
    </row>
    <row r="28" spans="1:20" ht="15" x14ac:dyDescent="0.2">
      <c r="A28" s="3" t="str">
        <f>IF(ISBLANK('Master Submitted DPDs'!#REF!),"","Local Plans")</f>
        <v>Local Plans</v>
      </c>
      <c r="B28" t="e">
        <f>IF(ISBLANK('Master Submitted DPDs'!#REF!),"",'Master Submitted DPDs'!#REF!)</f>
        <v>#REF!</v>
      </c>
      <c r="C28" s="3" t="str">
        <f>IF(ISBLANK('Master Submitted DPDs'!#REF!),"","IH")</f>
        <v>IH</v>
      </c>
      <c r="D28" s="3" t="e">
        <f>LOOKUP($F28,'fuzzy LPA lookup'!$E:$E,'fuzzy LPA lookup'!$A:$A)</f>
        <v>#REF!</v>
      </c>
      <c r="E28" s="3" t="e">
        <f>LOOKUP($F28,'fuzzy LPA lookup'!$E:$E,'fuzzy LPA lookup'!$D:$D)</f>
        <v>#REF!</v>
      </c>
      <c r="F28" s="8" t="e">
        <f>IF(ISBLANK('Master Submitted DPDs'!#REF!),"",'Master Submitted DPDs'!#REF!)</f>
        <v>#REF!</v>
      </c>
      <c r="G28" t="str">
        <f>IF(ISBLANK('Master Submitted DPDs'!#REF!),"","Withdrawn")</f>
        <v>Withdrawn</v>
      </c>
      <c r="H28" s="2" t="e">
        <f>IF(ISBLANK('Master Submitted DPDs'!#REF!),"",'Master Submitted DPDs'!#REF!)</f>
        <v>#REF!</v>
      </c>
      <c r="I28" s="3"/>
      <c r="J28" s="3"/>
      <c r="K28" s="3"/>
      <c r="L28" s="2" t="e">
        <f>IF(ISBLANK('Master Submitted DPDs'!#REF!),"",'Master Submitted DPDs'!#REF!)</f>
        <v>#REF!</v>
      </c>
      <c r="M28" s="2" t="e">
        <f t="shared" si="0"/>
        <v>#REF!</v>
      </c>
      <c r="N28" s="2" t="e">
        <f>IF(ISBLANK('Master Submitted DPDs'!#REF!),IF(ISBLANK('Master Submitted DPDs'!#REF!),"",'Master Submitted DPDs'!#REF!),'Master Submitted DPDs'!#REF!)</f>
        <v>#REF!</v>
      </c>
      <c r="O28" s="2" t="e">
        <f>IF(ISBLANK('Master Submitted DPDs'!#REF!),"",'Master Submitted DPDs'!#REF!)</f>
        <v>#REF!</v>
      </c>
      <c r="P28" s="2" t="e">
        <f>IF(ISBLANK('Master Submitted DPDs'!#REF!),"",'Master Submitted DPDs'!#REF!)</f>
        <v>#REF!</v>
      </c>
      <c r="Q28" t="e">
        <f>IF(ISBLANK('Master Submitted DPDs'!#REF!),"",'Master Submitted DPDs'!#REF!)</f>
        <v>#REF!</v>
      </c>
      <c r="R28" t="e">
        <f t="shared" si="1"/>
        <v>#REF!</v>
      </c>
      <c r="S28" s="3"/>
      <c r="T28" t="e">
        <f>IF(ISBLANK('Master Submitted DPDs'!#REF!),"",'Master Submitted DPDs'!#REF!)</f>
        <v>#REF!</v>
      </c>
    </row>
    <row r="29" spans="1:20" ht="15" x14ac:dyDescent="0.2">
      <c r="A29" s="3" t="str">
        <f>IF(ISBLANK('Master Submitted DPDs'!#REF!),"","Local Plans")</f>
        <v>Local Plans</v>
      </c>
      <c r="B29" t="e">
        <f>IF(ISBLANK('Master Submitted DPDs'!#REF!),"",'Master Submitted DPDs'!#REF!)</f>
        <v>#REF!</v>
      </c>
      <c r="C29" s="3" t="str">
        <f>IF(ISBLANK('Master Submitted DPDs'!#REF!),"","IH")</f>
        <v>IH</v>
      </c>
      <c r="D29" s="3" t="e">
        <f>LOOKUP($F29,'fuzzy LPA lookup'!$E:$E,'fuzzy LPA lookup'!$A:$A)</f>
        <v>#REF!</v>
      </c>
      <c r="E29" s="3" t="e">
        <f>LOOKUP($F29,'fuzzy LPA lookup'!$E:$E,'fuzzy LPA lookup'!$D:$D)</f>
        <v>#REF!</v>
      </c>
      <c r="F29" s="8" t="e">
        <f>IF(ISBLANK('Master Submitted DPDs'!#REF!),"",'Master Submitted DPDs'!#REF!)</f>
        <v>#REF!</v>
      </c>
      <c r="G29" t="str">
        <f>IF(ISBLANK('Master Submitted DPDs'!#REF!),"","Withdrawn")</f>
        <v>Withdrawn</v>
      </c>
      <c r="H29" s="2" t="e">
        <f>IF(ISBLANK('Master Submitted DPDs'!#REF!),"",'Master Submitted DPDs'!#REF!)</f>
        <v>#REF!</v>
      </c>
      <c r="I29" s="3"/>
      <c r="J29" s="3"/>
      <c r="K29" s="3"/>
      <c r="L29" s="2" t="e">
        <f>IF(ISBLANK('Master Submitted DPDs'!#REF!),"",'Master Submitted DPDs'!#REF!)</f>
        <v>#REF!</v>
      </c>
      <c r="M29" s="2" t="e">
        <f t="shared" si="0"/>
        <v>#REF!</v>
      </c>
      <c r="N29" s="2" t="e">
        <f>IF(ISBLANK('Master Submitted DPDs'!#REF!),IF(ISBLANK('Master Submitted DPDs'!#REF!),"",'Master Submitted DPDs'!#REF!),'Master Submitted DPDs'!#REF!)</f>
        <v>#REF!</v>
      </c>
      <c r="O29" s="2" t="e">
        <f>IF(ISBLANK('Master Submitted DPDs'!#REF!),"",'Master Submitted DPDs'!#REF!)</f>
        <v>#REF!</v>
      </c>
      <c r="P29" s="2" t="e">
        <f>IF(ISBLANK('Master Submitted DPDs'!#REF!),"",'Master Submitted DPDs'!#REF!)</f>
        <v>#REF!</v>
      </c>
      <c r="Q29" t="e">
        <f>IF(ISBLANK('Master Submitted DPDs'!#REF!),"",'Master Submitted DPDs'!#REF!)</f>
        <v>#REF!</v>
      </c>
      <c r="R29" t="e">
        <f t="shared" si="1"/>
        <v>#REF!</v>
      </c>
      <c r="S29" s="3"/>
      <c r="T29" t="e">
        <f>IF(ISBLANK('Master Submitted DPDs'!#REF!),"",'Master Submitted DPDs'!#REF!)</f>
        <v>#REF!</v>
      </c>
    </row>
    <row r="30" spans="1:20" ht="15" x14ac:dyDescent="0.2">
      <c r="A30" s="3" t="str">
        <f>IF(ISBLANK('Master Submitted DPDs'!#REF!),"","Local Plans")</f>
        <v>Local Plans</v>
      </c>
      <c r="B30" t="e">
        <f>IF(ISBLANK('Master Submitted DPDs'!#REF!),"",'Master Submitted DPDs'!#REF!)</f>
        <v>#REF!</v>
      </c>
      <c r="C30" s="3" t="str">
        <f>IF(ISBLANK('Master Submitted DPDs'!#REF!),"","IH")</f>
        <v>IH</v>
      </c>
      <c r="D30" s="3" t="e">
        <f>LOOKUP($F30,'fuzzy LPA lookup'!$E:$E,'fuzzy LPA lookup'!$A:$A)</f>
        <v>#REF!</v>
      </c>
      <c r="E30" s="3" t="e">
        <f>LOOKUP($F30,'fuzzy LPA lookup'!$E:$E,'fuzzy LPA lookup'!$D:$D)</f>
        <v>#REF!</v>
      </c>
      <c r="F30" s="8" t="e">
        <f>IF(ISBLANK('Master Submitted DPDs'!#REF!),"",'Master Submitted DPDs'!#REF!)</f>
        <v>#REF!</v>
      </c>
      <c r="G30" t="str">
        <f>IF(ISBLANK('Master Submitted DPDs'!#REF!),"","Withdrawn")</f>
        <v>Withdrawn</v>
      </c>
      <c r="H30" s="2" t="e">
        <f>IF(ISBLANK('Master Submitted DPDs'!#REF!),"",'Master Submitted DPDs'!#REF!)</f>
        <v>#REF!</v>
      </c>
      <c r="I30" s="3"/>
      <c r="J30" s="3"/>
      <c r="K30" s="3"/>
      <c r="L30" s="2" t="e">
        <f>IF(ISBLANK('Master Submitted DPDs'!#REF!),"",'Master Submitted DPDs'!#REF!)</f>
        <v>#REF!</v>
      </c>
      <c r="M30" s="2" t="e">
        <f t="shared" si="0"/>
        <v>#REF!</v>
      </c>
      <c r="N30" s="2" t="e">
        <f>IF(ISBLANK('Master Submitted DPDs'!#REF!),IF(ISBLANK('Master Submitted DPDs'!#REF!),"",'Master Submitted DPDs'!#REF!),'Master Submitted DPDs'!#REF!)</f>
        <v>#REF!</v>
      </c>
      <c r="O30" s="2" t="e">
        <f>IF(ISBLANK('Master Submitted DPDs'!#REF!),"",'Master Submitted DPDs'!#REF!)</f>
        <v>#REF!</v>
      </c>
      <c r="P30" s="2" t="e">
        <f>IF(ISBLANK('Master Submitted DPDs'!#REF!),"",'Master Submitted DPDs'!#REF!)</f>
        <v>#REF!</v>
      </c>
      <c r="Q30" t="e">
        <f>IF(ISBLANK('Master Submitted DPDs'!#REF!),"",'Master Submitted DPDs'!#REF!)</f>
        <v>#REF!</v>
      </c>
      <c r="R30" t="e">
        <f t="shared" si="1"/>
        <v>#REF!</v>
      </c>
      <c r="S30" s="3"/>
      <c r="T30" t="e">
        <f>IF(ISBLANK('Master Submitted DPDs'!#REF!),"",'Master Submitted DPDs'!#REF!)</f>
        <v>#REF!</v>
      </c>
    </row>
    <row r="31" spans="1:20" ht="15" x14ac:dyDescent="0.2">
      <c r="A31" s="3" t="str">
        <f>IF(ISBLANK('Master Submitted DPDs'!#REF!),"","Local Plans")</f>
        <v>Local Plans</v>
      </c>
      <c r="B31" t="e">
        <f>IF(ISBLANK('Master Submitted DPDs'!#REF!),"",'Master Submitted DPDs'!#REF!)</f>
        <v>#REF!</v>
      </c>
      <c r="C31" s="3" t="str">
        <f>IF(ISBLANK('Master Submitted DPDs'!#REF!),"","IH")</f>
        <v>IH</v>
      </c>
      <c r="D31" s="3" t="e">
        <f>LOOKUP($F31,'fuzzy LPA lookup'!$E:$E,'fuzzy LPA lookup'!$A:$A)</f>
        <v>#REF!</v>
      </c>
      <c r="E31" s="3" t="e">
        <f>LOOKUP($F31,'fuzzy LPA lookup'!$E:$E,'fuzzy LPA lookup'!$D:$D)</f>
        <v>#REF!</v>
      </c>
      <c r="F31" s="8" t="e">
        <f>IF(ISBLANK('Master Submitted DPDs'!#REF!),"",'Master Submitted DPDs'!#REF!)</f>
        <v>#REF!</v>
      </c>
      <c r="G31" t="str">
        <f>IF(ISBLANK('Master Submitted DPDs'!#REF!),"","Withdrawn")</f>
        <v>Withdrawn</v>
      </c>
      <c r="H31" s="2" t="e">
        <f>IF(ISBLANK('Master Submitted DPDs'!#REF!),"",'Master Submitted DPDs'!#REF!)</f>
        <v>#REF!</v>
      </c>
      <c r="I31" s="3"/>
      <c r="J31" s="3"/>
      <c r="K31" s="3"/>
      <c r="L31" s="2" t="e">
        <f>IF(ISBLANK('Master Submitted DPDs'!#REF!),"",'Master Submitted DPDs'!#REF!)</f>
        <v>#REF!</v>
      </c>
      <c r="M31" s="2" t="e">
        <f t="shared" si="0"/>
        <v>#REF!</v>
      </c>
      <c r="N31" s="2" t="e">
        <f>IF(ISBLANK('Master Submitted DPDs'!#REF!),IF(ISBLANK('Master Submitted DPDs'!#REF!),"",'Master Submitted DPDs'!#REF!),'Master Submitted DPDs'!#REF!)</f>
        <v>#REF!</v>
      </c>
      <c r="O31" s="2" t="e">
        <f>IF(ISBLANK('Master Submitted DPDs'!#REF!),"",'Master Submitted DPDs'!#REF!)</f>
        <v>#REF!</v>
      </c>
      <c r="P31" s="2" t="e">
        <f>IF(ISBLANK('Master Submitted DPDs'!#REF!),"",'Master Submitted DPDs'!#REF!)</f>
        <v>#REF!</v>
      </c>
      <c r="Q31" t="e">
        <f>IF(ISBLANK('Master Submitted DPDs'!#REF!),"",'Master Submitted DPDs'!#REF!)</f>
        <v>#REF!</v>
      </c>
      <c r="R31" t="e">
        <f t="shared" si="1"/>
        <v>#REF!</v>
      </c>
      <c r="S31" s="3"/>
      <c r="T31" t="e">
        <f>IF(ISBLANK('Master Submitted DPDs'!#REF!),"",'Master Submitted DPDs'!#REF!)</f>
        <v>#REF!</v>
      </c>
    </row>
    <row r="32" spans="1:20" ht="15" x14ac:dyDescent="0.2">
      <c r="A32" s="3" t="str">
        <f>IF(ISBLANK('Master Submitted DPDs'!#REF!),"","Local Plans")</f>
        <v>Local Plans</v>
      </c>
      <c r="B32" t="e">
        <f>IF(ISBLANK('Master Submitted DPDs'!#REF!),"",'Master Submitted DPDs'!#REF!)</f>
        <v>#REF!</v>
      </c>
      <c r="C32" s="3" t="str">
        <f>IF(ISBLANK('Master Submitted DPDs'!#REF!),"","IH")</f>
        <v>IH</v>
      </c>
      <c r="D32" s="3" t="e">
        <f>LOOKUP($F32,'fuzzy LPA lookup'!$E:$E,'fuzzy LPA lookup'!$A:$A)</f>
        <v>#REF!</v>
      </c>
      <c r="E32" s="3" t="e">
        <f>LOOKUP($F32,'fuzzy LPA lookup'!$E:$E,'fuzzy LPA lookup'!$D:$D)</f>
        <v>#REF!</v>
      </c>
      <c r="F32" s="8" t="e">
        <f>IF(ISBLANK('Master Submitted DPDs'!#REF!),"",'Master Submitted DPDs'!#REF!)</f>
        <v>#REF!</v>
      </c>
      <c r="G32" t="str">
        <f>IF(ISBLANK('Master Submitted DPDs'!#REF!),"","Withdrawn")</f>
        <v>Withdrawn</v>
      </c>
      <c r="H32" s="2" t="e">
        <f>IF(ISBLANK('Master Submitted DPDs'!#REF!),"",'Master Submitted DPDs'!#REF!)</f>
        <v>#REF!</v>
      </c>
      <c r="I32" s="3"/>
      <c r="J32" s="3"/>
      <c r="K32" s="3"/>
      <c r="L32" s="2" t="e">
        <f>IF(ISBLANK('Master Submitted DPDs'!#REF!),"",'Master Submitted DPDs'!#REF!)</f>
        <v>#REF!</v>
      </c>
      <c r="M32" s="2" t="e">
        <f t="shared" si="0"/>
        <v>#REF!</v>
      </c>
      <c r="N32" s="2" t="e">
        <f>IF(ISBLANK('Master Submitted DPDs'!#REF!),IF(ISBLANK('Master Submitted DPDs'!#REF!),"",'Master Submitted DPDs'!#REF!),'Master Submitted DPDs'!#REF!)</f>
        <v>#REF!</v>
      </c>
      <c r="O32" s="2" t="e">
        <f>IF(ISBLANK('Master Submitted DPDs'!#REF!),"",'Master Submitted DPDs'!#REF!)</f>
        <v>#REF!</v>
      </c>
      <c r="P32" s="2" t="e">
        <f>IF(ISBLANK('Master Submitted DPDs'!#REF!),"",'Master Submitted DPDs'!#REF!)</f>
        <v>#REF!</v>
      </c>
      <c r="Q32" t="e">
        <f>IF(ISBLANK('Master Submitted DPDs'!#REF!),"",'Master Submitted DPDs'!#REF!)</f>
        <v>#REF!</v>
      </c>
      <c r="R32" t="e">
        <f t="shared" si="1"/>
        <v>#REF!</v>
      </c>
      <c r="S32" s="3"/>
      <c r="T32" t="e">
        <f>IF(ISBLANK('Master Submitted DPDs'!#REF!),"",'Master Submitted DPDs'!#REF!)</f>
        <v>#REF!</v>
      </c>
    </row>
    <row r="33" spans="1:20" ht="15" x14ac:dyDescent="0.2">
      <c r="A33" s="3" t="str">
        <f>IF(ISBLANK('Master Submitted DPDs'!#REF!),"","Local Plans")</f>
        <v>Local Plans</v>
      </c>
      <c r="B33" t="e">
        <f>IF(ISBLANK('Master Submitted DPDs'!#REF!),"",'Master Submitted DPDs'!#REF!)</f>
        <v>#REF!</v>
      </c>
      <c r="C33" s="3" t="str">
        <f>IF(ISBLANK('Master Submitted DPDs'!#REF!),"","IH")</f>
        <v>IH</v>
      </c>
      <c r="D33" s="3" t="e">
        <f>LOOKUP($F33,'fuzzy LPA lookup'!$E:$E,'fuzzy LPA lookup'!$A:$A)</f>
        <v>#REF!</v>
      </c>
      <c r="E33" s="3" t="e">
        <f>LOOKUP($F33,'fuzzy LPA lookup'!$E:$E,'fuzzy LPA lookup'!$D:$D)</f>
        <v>#REF!</v>
      </c>
      <c r="F33" s="8" t="e">
        <f>IF(ISBLANK('Master Submitted DPDs'!#REF!),"",'Master Submitted DPDs'!#REF!)</f>
        <v>#REF!</v>
      </c>
      <c r="G33" t="str">
        <f>IF(ISBLANK('Master Submitted DPDs'!#REF!),"","Withdrawn")</f>
        <v>Withdrawn</v>
      </c>
      <c r="H33" s="2" t="e">
        <f>IF(ISBLANK('Master Submitted DPDs'!#REF!),"",'Master Submitted DPDs'!#REF!)</f>
        <v>#REF!</v>
      </c>
      <c r="I33" s="3"/>
      <c r="J33" s="3"/>
      <c r="K33" s="3"/>
      <c r="L33" s="2" t="e">
        <f>IF(ISBLANK('Master Submitted DPDs'!#REF!),"",'Master Submitted DPDs'!#REF!)</f>
        <v>#REF!</v>
      </c>
      <c r="M33" s="2" t="e">
        <f t="shared" si="0"/>
        <v>#REF!</v>
      </c>
      <c r="N33" s="2" t="e">
        <f>IF(ISBLANK('Master Submitted DPDs'!#REF!),IF(ISBLANK('Master Submitted DPDs'!#REF!),"",'Master Submitted DPDs'!#REF!),'Master Submitted DPDs'!#REF!)</f>
        <v>#REF!</v>
      </c>
      <c r="O33" s="2" t="e">
        <f>IF(ISBLANK('Master Submitted DPDs'!#REF!),"",'Master Submitted DPDs'!#REF!)</f>
        <v>#REF!</v>
      </c>
      <c r="P33" s="2" t="e">
        <f>IF(ISBLANK('Master Submitted DPDs'!#REF!),"",'Master Submitted DPDs'!#REF!)</f>
        <v>#REF!</v>
      </c>
      <c r="Q33" t="e">
        <f>IF(ISBLANK('Master Submitted DPDs'!#REF!),"",'Master Submitted DPDs'!#REF!)</f>
        <v>#REF!</v>
      </c>
      <c r="R33" t="e">
        <f t="shared" si="1"/>
        <v>#REF!</v>
      </c>
      <c r="S33" s="3"/>
      <c r="T33" t="e">
        <f>IF(ISBLANK('Master Submitted DPDs'!#REF!),"",'Master Submitted DPDs'!#REF!)</f>
        <v>#REF!</v>
      </c>
    </row>
    <row r="34" spans="1:20" ht="15" x14ac:dyDescent="0.2">
      <c r="A34" s="3" t="str">
        <f>IF(ISBLANK('Master Submitted DPDs'!#REF!),"","Local Plans")</f>
        <v>Local Plans</v>
      </c>
      <c r="B34" t="e">
        <f>IF(ISBLANK('Master Submitted DPDs'!#REF!),"",'Master Submitted DPDs'!#REF!)</f>
        <v>#REF!</v>
      </c>
      <c r="C34" s="3" t="str">
        <f>IF(ISBLANK('Master Submitted DPDs'!#REF!),"","IH")</f>
        <v>IH</v>
      </c>
      <c r="D34" s="3" t="e">
        <f>LOOKUP($F34,'fuzzy LPA lookup'!$E:$E,'fuzzy LPA lookup'!$A:$A)</f>
        <v>#REF!</v>
      </c>
      <c r="E34" s="3" t="e">
        <f>LOOKUP($F34,'fuzzy LPA lookup'!$E:$E,'fuzzy LPA lookup'!$D:$D)</f>
        <v>#REF!</v>
      </c>
      <c r="F34" s="8" t="e">
        <f>IF(ISBLANK('Master Submitted DPDs'!#REF!),"",'Master Submitted DPDs'!#REF!)</f>
        <v>#REF!</v>
      </c>
      <c r="G34" t="str">
        <f>IF(ISBLANK('Master Submitted DPDs'!#REF!),"","Withdrawn")</f>
        <v>Withdrawn</v>
      </c>
      <c r="H34" s="2" t="e">
        <f>IF(ISBLANK('Master Submitted DPDs'!#REF!),"",'Master Submitted DPDs'!#REF!)</f>
        <v>#REF!</v>
      </c>
      <c r="I34" s="3"/>
      <c r="J34" s="3"/>
      <c r="K34" s="3"/>
      <c r="L34" s="2" t="e">
        <f>IF(ISBLANK('Master Submitted DPDs'!#REF!),"",'Master Submitted DPDs'!#REF!)</f>
        <v>#REF!</v>
      </c>
      <c r="M34" s="2" t="e">
        <f t="shared" si="0"/>
        <v>#REF!</v>
      </c>
      <c r="N34" s="2" t="e">
        <f>IF(ISBLANK('Master Submitted DPDs'!#REF!),IF(ISBLANK('Master Submitted DPDs'!#REF!),"",'Master Submitted DPDs'!#REF!),'Master Submitted DPDs'!#REF!)</f>
        <v>#REF!</v>
      </c>
      <c r="O34" s="2" t="e">
        <f>IF(ISBLANK('Master Submitted DPDs'!#REF!),"",'Master Submitted DPDs'!#REF!)</f>
        <v>#REF!</v>
      </c>
      <c r="P34" s="2" t="e">
        <f>IF(ISBLANK('Master Submitted DPDs'!#REF!),"",'Master Submitted DPDs'!#REF!)</f>
        <v>#REF!</v>
      </c>
      <c r="Q34" t="e">
        <f>IF(ISBLANK('Master Submitted DPDs'!#REF!),"",'Master Submitted DPDs'!#REF!)</f>
        <v>#REF!</v>
      </c>
      <c r="R34" t="e">
        <f t="shared" si="1"/>
        <v>#REF!</v>
      </c>
      <c r="S34" s="3"/>
      <c r="T34" t="e">
        <f>IF(ISBLANK('Master Submitted DPDs'!#REF!),"",'Master Submitted DPDs'!#REF!)</f>
        <v>#REF!</v>
      </c>
    </row>
    <row r="35" spans="1:20" ht="15" x14ac:dyDescent="0.2">
      <c r="A35" s="3" t="str">
        <f>IF(ISBLANK('Master Submitted DPDs'!#REF!),"","Local Plans")</f>
        <v>Local Plans</v>
      </c>
      <c r="B35" t="e">
        <f>IF(ISBLANK('Master Submitted DPDs'!#REF!),"",'Master Submitted DPDs'!#REF!)</f>
        <v>#REF!</v>
      </c>
      <c r="C35" s="3" t="str">
        <f>IF(ISBLANK('Master Submitted DPDs'!#REF!),"","IH")</f>
        <v>IH</v>
      </c>
      <c r="D35" s="3" t="e">
        <f>LOOKUP($F35,'fuzzy LPA lookup'!$E:$E,'fuzzy LPA lookup'!$A:$A)</f>
        <v>#REF!</v>
      </c>
      <c r="E35" s="3" t="e">
        <f>LOOKUP($F35,'fuzzy LPA lookup'!$E:$E,'fuzzy LPA lookup'!$D:$D)</f>
        <v>#REF!</v>
      </c>
      <c r="F35" s="8" t="e">
        <f>IF(ISBLANK('Master Submitted DPDs'!#REF!),"",'Master Submitted DPDs'!#REF!)</f>
        <v>#REF!</v>
      </c>
      <c r="G35" t="str">
        <f>IF(ISBLANK('Master Submitted DPDs'!#REF!),"","Withdrawn")</f>
        <v>Withdrawn</v>
      </c>
      <c r="H35" s="2" t="e">
        <f>IF(ISBLANK('Master Submitted DPDs'!#REF!),"",'Master Submitted DPDs'!#REF!)</f>
        <v>#REF!</v>
      </c>
      <c r="I35" s="3"/>
      <c r="J35" s="3"/>
      <c r="K35" s="3"/>
      <c r="L35" s="2" t="e">
        <f>IF(ISBLANK('Master Submitted DPDs'!#REF!),"",'Master Submitted DPDs'!#REF!)</f>
        <v>#REF!</v>
      </c>
      <c r="M35" s="2" t="e">
        <f t="shared" si="0"/>
        <v>#REF!</v>
      </c>
      <c r="N35" s="2" t="e">
        <f>IF(ISBLANK('Master Submitted DPDs'!#REF!),IF(ISBLANK('Master Submitted DPDs'!#REF!),"",'Master Submitted DPDs'!#REF!),'Master Submitted DPDs'!#REF!)</f>
        <v>#REF!</v>
      </c>
      <c r="O35" s="2" t="e">
        <f>IF(ISBLANK('Master Submitted DPDs'!#REF!),"",'Master Submitted DPDs'!#REF!)</f>
        <v>#REF!</v>
      </c>
      <c r="P35" s="2" t="e">
        <f>IF(ISBLANK('Master Submitted DPDs'!#REF!),"",'Master Submitted DPDs'!#REF!)</f>
        <v>#REF!</v>
      </c>
      <c r="Q35" t="e">
        <f>IF(ISBLANK('Master Submitted DPDs'!#REF!),"",'Master Submitted DPDs'!#REF!)</f>
        <v>#REF!</v>
      </c>
      <c r="R35" t="e">
        <f t="shared" si="1"/>
        <v>#REF!</v>
      </c>
      <c r="S35" s="3"/>
      <c r="T35" t="e">
        <f>IF(ISBLANK('Master Submitted DPDs'!#REF!),"",'Master Submitted DPDs'!#REF!)</f>
        <v>#REF!</v>
      </c>
    </row>
    <row r="36" spans="1:20" ht="15" x14ac:dyDescent="0.2">
      <c r="A36" s="3" t="str">
        <f>IF(ISBLANK('Master Submitted DPDs'!#REF!),"","Local Plans")</f>
        <v>Local Plans</v>
      </c>
      <c r="B36" t="e">
        <f>IF(ISBLANK('Master Submitted DPDs'!#REF!),"",'Master Submitted DPDs'!#REF!)</f>
        <v>#REF!</v>
      </c>
      <c r="C36" s="3" t="str">
        <f>IF(ISBLANK('Master Submitted DPDs'!#REF!),"","IH")</f>
        <v>IH</v>
      </c>
      <c r="D36" s="3" t="e">
        <f>LOOKUP($F36,'fuzzy LPA lookup'!$E:$E,'fuzzy LPA lookup'!$A:$A)</f>
        <v>#REF!</v>
      </c>
      <c r="E36" s="3" t="e">
        <f>LOOKUP($F36,'fuzzy LPA lookup'!$E:$E,'fuzzy LPA lookup'!$D:$D)</f>
        <v>#REF!</v>
      </c>
      <c r="F36" s="8" t="e">
        <f>IF(ISBLANK('Master Submitted DPDs'!#REF!),"",'Master Submitted DPDs'!#REF!)</f>
        <v>#REF!</v>
      </c>
      <c r="G36" t="str">
        <f>IF(ISBLANK('Master Submitted DPDs'!#REF!),"","Withdrawn")</f>
        <v>Withdrawn</v>
      </c>
      <c r="H36" s="2" t="e">
        <f>IF(ISBLANK('Master Submitted DPDs'!#REF!),"",'Master Submitted DPDs'!#REF!)</f>
        <v>#REF!</v>
      </c>
      <c r="I36" s="3"/>
      <c r="J36" s="3"/>
      <c r="K36" s="3"/>
      <c r="L36" s="2" t="e">
        <f>IF(ISBLANK('Master Submitted DPDs'!#REF!),"",'Master Submitted DPDs'!#REF!)</f>
        <v>#REF!</v>
      </c>
      <c r="M36" s="2" t="e">
        <f t="shared" si="0"/>
        <v>#REF!</v>
      </c>
      <c r="N36" s="2" t="e">
        <f>IF(ISBLANK('Master Submitted DPDs'!#REF!),IF(ISBLANK('Master Submitted DPDs'!#REF!),"",'Master Submitted DPDs'!#REF!),'Master Submitted DPDs'!#REF!)</f>
        <v>#REF!</v>
      </c>
      <c r="O36" s="2" t="e">
        <f>IF(ISBLANK('Master Submitted DPDs'!#REF!),"",'Master Submitted DPDs'!#REF!)</f>
        <v>#REF!</v>
      </c>
      <c r="P36" s="2" t="e">
        <f>IF(ISBLANK('Master Submitted DPDs'!#REF!),"",'Master Submitted DPDs'!#REF!)</f>
        <v>#REF!</v>
      </c>
      <c r="Q36" t="e">
        <f>IF(ISBLANK('Master Submitted DPDs'!#REF!),"",'Master Submitted DPDs'!#REF!)</f>
        <v>#REF!</v>
      </c>
      <c r="R36" t="e">
        <f t="shared" si="1"/>
        <v>#REF!</v>
      </c>
      <c r="S36" s="3"/>
      <c r="T36" t="e">
        <f>IF(ISBLANK('Master Submitted DPDs'!#REF!),"",'Master Submitted DPDs'!#REF!)</f>
        <v>#REF!</v>
      </c>
    </row>
    <row r="37" spans="1:20" ht="15" x14ac:dyDescent="0.2">
      <c r="A37" s="3" t="str">
        <f>IF(ISBLANK('Master Submitted DPDs'!#REF!),"","Local Plans")</f>
        <v>Local Plans</v>
      </c>
      <c r="B37" t="e">
        <f>IF(ISBLANK('Master Submitted DPDs'!#REF!),"",'Master Submitted DPDs'!#REF!)</f>
        <v>#REF!</v>
      </c>
      <c r="C37" s="3" t="str">
        <f>IF(ISBLANK('Master Submitted DPDs'!#REF!),"","IH")</f>
        <v>IH</v>
      </c>
      <c r="D37" s="3" t="e">
        <f>LOOKUP($F37,'fuzzy LPA lookup'!$E:$E,'fuzzy LPA lookup'!$A:$A)</f>
        <v>#REF!</v>
      </c>
      <c r="E37" s="3" t="e">
        <f>LOOKUP($F37,'fuzzy LPA lookup'!$E:$E,'fuzzy LPA lookup'!$D:$D)</f>
        <v>#REF!</v>
      </c>
      <c r="F37" s="8" t="e">
        <f>IF(ISBLANK('Master Submitted DPDs'!#REF!),"",'Master Submitted DPDs'!#REF!)</f>
        <v>#REF!</v>
      </c>
      <c r="G37" t="str">
        <f>IF(ISBLANK('Master Submitted DPDs'!#REF!),"","Withdrawn")</f>
        <v>Withdrawn</v>
      </c>
      <c r="H37" s="2" t="e">
        <f>IF(ISBLANK('Master Submitted DPDs'!#REF!),"",'Master Submitted DPDs'!#REF!)</f>
        <v>#REF!</v>
      </c>
      <c r="I37" s="3"/>
      <c r="J37" s="3"/>
      <c r="K37" s="3"/>
      <c r="L37" s="2" t="e">
        <f>IF(ISBLANK('Master Submitted DPDs'!#REF!),"",'Master Submitted DPDs'!#REF!)</f>
        <v>#REF!</v>
      </c>
      <c r="M37" s="2" t="e">
        <f t="shared" si="0"/>
        <v>#REF!</v>
      </c>
      <c r="N37" s="2" t="e">
        <f>IF(ISBLANK('Master Submitted DPDs'!#REF!),IF(ISBLANK('Master Submitted DPDs'!#REF!),"",'Master Submitted DPDs'!#REF!),'Master Submitted DPDs'!#REF!)</f>
        <v>#REF!</v>
      </c>
      <c r="O37" s="2" t="e">
        <f>IF(ISBLANK('Master Submitted DPDs'!#REF!),"",'Master Submitted DPDs'!#REF!)</f>
        <v>#REF!</v>
      </c>
      <c r="P37" s="2" t="e">
        <f>IF(ISBLANK('Master Submitted DPDs'!#REF!),"",'Master Submitted DPDs'!#REF!)</f>
        <v>#REF!</v>
      </c>
      <c r="Q37" t="e">
        <f>IF(ISBLANK('Master Submitted DPDs'!#REF!),"",'Master Submitted DPDs'!#REF!)</f>
        <v>#REF!</v>
      </c>
      <c r="R37" t="e">
        <f t="shared" si="1"/>
        <v>#REF!</v>
      </c>
      <c r="S37" s="3"/>
      <c r="T37" t="e">
        <f>IF(ISBLANK('Master Submitted DPDs'!#REF!),"",'Master Submitted DPDs'!#REF!)</f>
        <v>#REF!</v>
      </c>
    </row>
    <row r="38" spans="1:20" ht="15" x14ac:dyDescent="0.2">
      <c r="A38" s="3" t="str">
        <f>IF(ISBLANK('Master Submitted DPDs'!#REF!),"","Local Plans")</f>
        <v>Local Plans</v>
      </c>
      <c r="B38" t="e">
        <f>IF(ISBLANK('Master Submitted DPDs'!#REF!),"",'Master Submitted DPDs'!#REF!)</f>
        <v>#REF!</v>
      </c>
      <c r="C38" s="3" t="str">
        <f>IF(ISBLANK('Master Submitted DPDs'!#REF!),"","IH")</f>
        <v>IH</v>
      </c>
      <c r="D38" s="3" t="e">
        <f>LOOKUP($F38,'fuzzy LPA lookup'!$E:$E,'fuzzy LPA lookup'!$A:$A)</f>
        <v>#REF!</v>
      </c>
      <c r="E38" s="3" t="e">
        <f>LOOKUP($F38,'fuzzy LPA lookup'!$E:$E,'fuzzy LPA lookup'!$D:$D)</f>
        <v>#REF!</v>
      </c>
      <c r="F38" s="8" t="e">
        <f>IF(ISBLANK('Master Submitted DPDs'!#REF!),"",'Master Submitted DPDs'!#REF!)</f>
        <v>#REF!</v>
      </c>
      <c r="G38" t="str">
        <f>IF(ISBLANK('Master Submitted DPDs'!#REF!),"","Withdrawn")</f>
        <v>Withdrawn</v>
      </c>
      <c r="H38" s="2" t="e">
        <f>IF(ISBLANK('Master Submitted DPDs'!#REF!),"",'Master Submitted DPDs'!#REF!)</f>
        <v>#REF!</v>
      </c>
      <c r="I38" s="3"/>
      <c r="J38" s="3"/>
      <c r="K38" s="3"/>
      <c r="L38" s="2" t="e">
        <f>IF(ISBLANK('Master Submitted DPDs'!#REF!),"",'Master Submitted DPDs'!#REF!)</f>
        <v>#REF!</v>
      </c>
      <c r="M38" s="2" t="e">
        <f t="shared" si="0"/>
        <v>#REF!</v>
      </c>
      <c r="N38" s="2" t="e">
        <f>IF(ISBLANK('Master Submitted DPDs'!#REF!),IF(ISBLANK('Master Submitted DPDs'!#REF!),"",'Master Submitted DPDs'!#REF!),'Master Submitted DPDs'!#REF!)</f>
        <v>#REF!</v>
      </c>
      <c r="O38" s="2" t="e">
        <f>IF(ISBLANK('Master Submitted DPDs'!#REF!),"",'Master Submitted DPDs'!#REF!)</f>
        <v>#REF!</v>
      </c>
      <c r="P38" s="2" t="e">
        <f>IF(ISBLANK('Master Submitted DPDs'!#REF!),"",'Master Submitted DPDs'!#REF!)</f>
        <v>#REF!</v>
      </c>
      <c r="Q38" t="e">
        <f>IF(ISBLANK('Master Submitted DPDs'!#REF!),"",'Master Submitted DPDs'!#REF!)</f>
        <v>#REF!</v>
      </c>
      <c r="R38" t="e">
        <f t="shared" si="1"/>
        <v>#REF!</v>
      </c>
      <c r="S38" s="3"/>
      <c r="T38" t="e">
        <f>IF(ISBLANK('Master Submitted DPDs'!#REF!),"",'Master Submitted DPDs'!#REF!)</f>
        <v>#REF!</v>
      </c>
    </row>
    <row r="39" spans="1:20" ht="15" x14ac:dyDescent="0.2">
      <c r="A39" s="3" t="str">
        <f>IF(ISBLANK('Master Submitted DPDs'!#REF!),"","Local Plans")</f>
        <v>Local Plans</v>
      </c>
      <c r="B39" t="e">
        <f>IF(ISBLANK('Master Submitted DPDs'!#REF!),"",'Master Submitted DPDs'!#REF!)</f>
        <v>#REF!</v>
      </c>
      <c r="C39" s="3" t="str">
        <f>IF(ISBLANK('Master Submitted DPDs'!#REF!),"","IH")</f>
        <v>IH</v>
      </c>
      <c r="D39" s="3" t="e">
        <f>LOOKUP($F39,'fuzzy LPA lookup'!$E:$E,'fuzzy LPA lookup'!$A:$A)</f>
        <v>#REF!</v>
      </c>
      <c r="E39" s="3" t="e">
        <f>LOOKUP($F39,'fuzzy LPA lookup'!$E:$E,'fuzzy LPA lookup'!$D:$D)</f>
        <v>#REF!</v>
      </c>
      <c r="F39" s="8" t="e">
        <f>IF(ISBLANK('Master Submitted DPDs'!#REF!),"",'Master Submitted DPDs'!#REF!)</f>
        <v>#REF!</v>
      </c>
      <c r="G39" t="str">
        <f>IF(ISBLANK('Master Submitted DPDs'!#REF!),"","Withdrawn")</f>
        <v>Withdrawn</v>
      </c>
      <c r="H39" s="2" t="e">
        <f>IF(ISBLANK('Master Submitted DPDs'!#REF!),"",'Master Submitted DPDs'!#REF!)</f>
        <v>#REF!</v>
      </c>
      <c r="I39" s="3"/>
      <c r="J39" s="3"/>
      <c r="K39" s="3"/>
      <c r="L39" s="2" t="e">
        <f>IF(ISBLANK('Master Submitted DPDs'!#REF!),"",'Master Submitted DPDs'!#REF!)</f>
        <v>#REF!</v>
      </c>
      <c r="M39" s="2" t="e">
        <f t="shared" si="0"/>
        <v>#REF!</v>
      </c>
      <c r="N39" s="2" t="e">
        <f>IF(ISBLANK('Master Submitted DPDs'!#REF!),IF(ISBLANK('Master Submitted DPDs'!#REF!),"",'Master Submitted DPDs'!#REF!),'Master Submitted DPDs'!#REF!)</f>
        <v>#REF!</v>
      </c>
      <c r="O39" s="2" t="e">
        <f>IF(ISBLANK('Master Submitted DPDs'!#REF!),"",'Master Submitted DPDs'!#REF!)</f>
        <v>#REF!</v>
      </c>
      <c r="P39" s="2" t="e">
        <f>IF(ISBLANK('Master Submitted DPDs'!#REF!),"",'Master Submitted DPDs'!#REF!)</f>
        <v>#REF!</v>
      </c>
      <c r="Q39" t="e">
        <f>IF(ISBLANK('Master Submitted DPDs'!#REF!),"",'Master Submitted DPDs'!#REF!)</f>
        <v>#REF!</v>
      </c>
      <c r="R39" t="e">
        <f t="shared" si="1"/>
        <v>#REF!</v>
      </c>
      <c r="S39" s="3"/>
      <c r="T39" t="e">
        <f>IF(ISBLANK('Master Submitted DPDs'!#REF!),"",'Master Submitted DPDs'!#REF!)</f>
        <v>#REF!</v>
      </c>
    </row>
    <row r="40" spans="1:20" ht="15" x14ac:dyDescent="0.2">
      <c r="A40" s="3" t="str">
        <f>IF(ISBLANK('Master Submitted DPDs'!#REF!),"","Local Plans")</f>
        <v>Local Plans</v>
      </c>
      <c r="B40" t="e">
        <f>IF(ISBLANK('Master Submitted DPDs'!#REF!),"",'Master Submitted DPDs'!#REF!)</f>
        <v>#REF!</v>
      </c>
      <c r="C40" s="3" t="str">
        <f>IF(ISBLANK('Master Submitted DPDs'!#REF!),"","IH")</f>
        <v>IH</v>
      </c>
      <c r="D40" s="3" t="e">
        <f>LOOKUP($F40,'fuzzy LPA lookup'!$E:$E,'fuzzy LPA lookup'!$A:$A)</f>
        <v>#REF!</v>
      </c>
      <c r="E40" s="3" t="e">
        <f>LOOKUP($F40,'fuzzy LPA lookup'!$E:$E,'fuzzy LPA lookup'!$D:$D)</f>
        <v>#REF!</v>
      </c>
      <c r="F40" s="8" t="e">
        <f>IF(ISBLANK('Master Submitted DPDs'!#REF!),"",'Master Submitted DPDs'!#REF!)</f>
        <v>#REF!</v>
      </c>
      <c r="G40" t="str">
        <f>IF(ISBLANK('Master Submitted DPDs'!#REF!),"","Withdrawn")</f>
        <v>Withdrawn</v>
      </c>
      <c r="H40" s="2" t="e">
        <f>IF(ISBLANK('Master Submitted DPDs'!#REF!),"",'Master Submitted DPDs'!#REF!)</f>
        <v>#REF!</v>
      </c>
      <c r="I40" s="3"/>
      <c r="J40" s="3"/>
      <c r="K40" s="3"/>
      <c r="L40" s="2" t="e">
        <f>IF(ISBLANK('Master Submitted DPDs'!#REF!),"",'Master Submitted DPDs'!#REF!)</f>
        <v>#REF!</v>
      </c>
      <c r="M40" s="2" t="e">
        <f t="shared" si="0"/>
        <v>#REF!</v>
      </c>
      <c r="N40" s="2" t="e">
        <f>IF(ISBLANK('Master Submitted DPDs'!#REF!),IF(ISBLANK('Master Submitted DPDs'!#REF!),"",'Master Submitted DPDs'!#REF!),'Master Submitted DPDs'!#REF!)</f>
        <v>#REF!</v>
      </c>
      <c r="O40" s="2" t="e">
        <f>IF(ISBLANK('Master Submitted DPDs'!#REF!),"",'Master Submitted DPDs'!#REF!)</f>
        <v>#REF!</v>
      </c>
      <c r="P40" s="2" t="e">
        <f>IF(ISBLANK('Master Submitted DPDs'!#REF!),"",'Master Submitted DPDs'!#REF!)</f>
        <v>#REF!</v>
      </c>
      <c r="Q40" t="e">
        <f>IF(ISBLANK('Master Submitted DPDs'!#REF!),"",'Master Submitted DPDs'!#REF!)</f>
        <v>#REF!</v>
      </c>
      <c r="R40" t="e">
        <f t="shared" si="1"/>
        <v>#REF!</v>
      </c>
      <c r="S40" s="3"/>
      <c r="T40" t="e">
        <f>IF(ISBLANK('Master Submitted DPDs'!#REF!),"",'Master Submitted DPDs'!#REF!)</f>
        <v>#REF!</v>
      </c>
    </row>
    <row r="41" spans="1:20" ht="15" x14ac:dyDescent="0.2">
      <c r="A41" s="3" t="str">
        <f>IF(ISBLANK('Master Submitted DPDs'!#REF!),"","Local Plans")</f>
        <v>Local Plans</v>
      </c>
      <c r="B41" t="e">
        <f>IF(ISBLANK('Master Submitted DPDs'!#REF!),"",'Master Submitted DPDs'!#REF!)</f>
        <v>#REF!</v>
      </c>
      <c r="C41" s="3" t="str">
        <f>IF(ISBLANK('Master Submitted DPDs'!#REF!),"","IH")</f>
        <v>IH</v>
      </c>
      <c r="D41" s="3" t="e">
        <f>LOOKUP($F41,'fuzzy LPA lookup'!$E:$E,'fuzzy LPA lookup'!$A:$A)</f>
        <v>#REF!</v>
      </c>
      <c r="E41" s="3" t="e">
        <f>LOOKUP($F41,'fuzzy LPA lookup'!$E:$E,'fuzzy LPA lookup'!$D:$D)</f>
        <v>#REF!</v>
      </c>
      <c r="F41" s="8" t="e">
        <f>IF(ISBLANK('Master Submitted DPDs'!#REF!),"",'Master Submitted DPDs'!#REF!)</f>
        <v>#REF!</v>
      </c>
      <c r="G41" t="str">
        <f>IF(ISBLANK('Master Submitted DPDs'!#REF!),"","Withdrawn")</f>
        <v>Withdrawn</v>
      </c>
      <c r="H41" s="2" t="e">
        <f>IF(ISBLANK('Master Submitted DPDs'!#REF!),"",'Master Submitted DPDs'!#REF!)</f>
        <v>#REF!</v>
      </c>
      <c r="I41" s="3"/>
      <c r="J41" s="3"/>
      <c r="K41" s="3"/>
      <c r="L41" s="2" t="e">
        <f>IF(ISBLANK('Master Submitted DPDs'!#REF!),"",'Master Submitted DPDs'!#REF!)</f>
        <v>#REF!</v>
      </c>
      <c r="M41" s="2" t="e">
        <f t="shared" si="0"/>
        <v>#REF!</v>
      </c>
      <c r="N41" s="2" t="e">
        <f>IF(ISBLANK('Master Submitted DPDs'!#REF!),IF(ISBLANK('Master Submitted DPDs'!#REF!),"",'Master Submitted DPDs'!#REF!),'Master Submitted DPDs'!#REF!)</f>
        <v>#REF!</v>
      </c>
      <c r="O41" s="2" t="e">
        <f>IF(ISBLANK('Master Submitted DPDs'!#REF!),"",'Master Submitted DPDs'!#REF!)</f>
        <v>#REF!</v>
      </c>
      <c r="P41" s="2" t="e">
        <f>IF(ISBLANK('Master Submitted DPDs'!#REF!),"",'Master Submitted DPDs'!#REF!)</f>
        <v>#REF!</v>
      </c>
      <c r="Q41" t="e">
        <f>IF(ISBLANK('Master Submitted DPDs'!#REF!),"",'Master Submitted DPDs'!#REF!)</f>
        <v>#REF!</v>
      </c>
      <c r="R41" t="e">
        <f t="shared" si="1"/>
        <v>#REF!</v>
      </c>
      <c r="S41" s="3"/>
      <c r="T41" t="e">
        <f>IF(ISBLANK('Master Submitted DPDs'!#REF!),"",'Master Submitted DPDs'!#REF!)</f>
        <v>#REF!</v>
      </c>
    </row>
    <row r="42" spans="1:20" ht="15" x14ac:dyDescent="0.2">
      <c r="A42" s="3" t="str">
        <f>IF(ISBLANK('Master Submitted DPDs'!#REF!),"","Local Plans")</f>
        <v>Local Plans</v>
      </c>
      <c r="B42" t="e">
        <f>IF(ISBLANK('Master Submitted DPDs'!#REF!),"",'Master Submitted DPDs'!#REF!)</f>
        <v>#REF!</v>
      </c>
      <c r="C42" s="3" t="str">
        <f>IF(ISBLANK('Master Submitted DPDs'!#REF!),"","IH")</f>
        <v>IH</v>
      </c>
      <c r="D42" s="3" t="e">
        <f>LOOKUP($F42,'fuzzy LPA lookup'!$E:$E,'fuzzy LPA lookup'!$A:$A)</f>
        <v>#REF!</v>
      </c>
      <c r="E42" s="3" t="e">
        <f>LOOKUP($F42,'fuzzy LPA lookup'!$E:$E,'fuzzy LPA lookup'!$D:$D)</f>
        <v>#REF!</v>
      </c>
      <c r="F42" s="8" t="e">
        <f>IF(ISBLANK('Master Submitted DPDs'!#REF!),"",'Master Submitted DPDs'!#REF!)</f>
        <v>#REF!</v>
      </c>
      <c r="G42" t="str">
        <f>IF(ISBLANK('Master Submitted DPDs'!#REF!),"","Withdrawn")</f>
        <v>Withdrawn</v>
      </c>
      <c r="H42" s="2" t="e">
        <f>IF(ISBLANK('Master Submitted DPDs'!#REF!),"",'Master Submitted DPDs'!#REF!)</f>
        <v>#REF!</v>
      </c>
      <c r="I42" s="3"/>
      <c r="J42" s="3"/>
      <c r="K42" s="3"/>
      <c r="L42" s="2" t="e">
        <f>IF(ISBLANK('Master Submitted DPDs'!#REF!),"",'Master Submitted DPDs'!#REF!)</f>
        <v>#REF!</v>
      </c>
      <c r="M42" s="2" t="e">
        <f t="shared" si="0"/>
        <v>#REF!</v>
      </c>
      <c r="N42" s="2" t="e">
        <f>IF(ISBLANK('Master Submitted DPDs'!#REF!),IF(ISBLANK('Master Submitted DPDs'!#REF!),"",'Master Submitted DPDs'!#REF!),'Master Submitted DPDs'!#REF!)</f>
        <v>#REF!</v>
      </c>
      <c r="O42" s="2" t="e">
        <f>IF(ISBLANK('Master Submitted DPDs'!#REF!),"",'Master Submitted DPDs'!#REF!)</f>
        <v>#REF!</v>
      </c>
      <c r="P42" s="2" t="e">
        <f>IF(ISBLANK('Master Submitted DPDs'!#REF!),"",'Master Submitted DPDs'!#REF!)</f>
        <v>#REF!</v>
      </c>
      <c r="Q42" t="e">
        <f>IF(ISBLANK('Master Submitted DPDs'!#REF!),"",'Master Submitted DPDs'!#REF!)</f>
        <v>#REF!</v>
      </c>
      <c r="R42" t="e">
        <f t="shared" si="1"/>
        <v>#REF!</v>
      </c>
      <c r="S42" s="3"/>
      <c r="T42" t="e">
        <f>IF(ISBLANK('Master Submitted DPDs'!#REF!),"",'Master Submitted DPDs'!#REF!)</f>
        <v>#REF!</v>
      </c>
    </row>
    <row r="43" spans="1:20" ht="15" x14ac:dyDescent="0.2">
      <c r="A43" s="3" t="str">
        <f>IF(ISBLANK('Master Submitted DPDs'!#REF!),"","Local Plans")</f>
        <v>Local Plans</v>
      </c>
      <c r="B43" t="e">
        <f>IF(ISBLANK('Master Submitted DPDs'!#REF!),"",'Master Submitted DPDs'!#REF!)</f>
        <v>#REF!</v>
      </c>
      <c r="C43" s="3" t="str">
        <f>IF(ISBLANK('Master Submitted DPDs'!#REF!),"","IH")</f>
        <v>IH</v>
      </c>
      <c r="D43" s="3" t="e">
        <f>LOOKUP($F43,'fuzzy LPA lookup'!$E:$E,'fuzzy LPA lookup'!$A:$A)</f>
        <v>#REF!</v>
      </c>
      <c r="E43" s="3" t="e">
        <f>LOOKUP($F43,'fuzzy LPA lookup'!$E:$E,'fuzzy LPA lookup'!$D:$D)</f>
        <v>#REF!</v>
      </c>
      <c r="F43" s="8" t="e">
        <f>IF(ISBLANK('Master Submitted DPDs'!#REF!),"",'Master Submitted DPDs'!#REF!)</f>
        <v>#REF!</v>
      </c>
      <c r="G43" t="str">
        <f>IF(ISBLANK('Master Submitted DPDs'!#REF!),"","Withdrawn")</f>
        <v>Withdrawn</v>
      </c>
      <c r="H43" s="2" t="e">
        <f>IF(ISBLANK('Master Submitted DPDs'!#REF!),"",'Master Submitted DPDs'!#REF!)</f>
        <v>#REF!</v>
      </c>
      <c r="I43" s="3"/>
      <c r="J43" s="3"/>
      <c r="K43" s="3"/>
      <c r="L43" s="2" t="e">
        <f>IF(ISBLANK('Master Submitted DPDs'!#REF!),"",'Master Submitted DPDs'!#REF!)</f>
        <v>#REF!</v>
      </c>
      <c r="M43" s="2" t="e">
        <f t="shared" si="0"/>
        <v>#REF!</v>
      </c>
      <c r="N43" s="2" t="e">
        <f>IF(ISBLANK('Master Submitted DPDs'!#REF!),IF(ISBLANK('Master Submitted DPDs'!#REF!),"",'Master Submitted DPDs'!#REF!),'Master Submitted DPDs'!#REF!)</f>
        <v>#REF!</v>
      </c>
      <c r="O43" s="2" t="e">
        <f>IF(ISBLANK('Master Submitted DPDs'!#REF!),"",'Master Submitted DPDs'!#REF!)</f>
        <v>#REF!</v>
      </c>
      <c r="P43" s="2" t="e">
        <f>IF(ISBLANK('Master Submitted DPDs'!#REF!),"",'Master Submitted DPDs'!#REF!)</f>
        <v>#REF!</v>
      </c>
      <c r="Q43" t="e">
        <f>IF(ISBLANK('Master Submitted DPDs'!#REF!),"",'Master Submitted DPDs'!#REF!)</f>
        <v>#REF!</v>
      </c>
      <c r="R43" t="e">
        <f t="shared" si="1"/>
        <v>#REF!</v>
      </c>
      <c r="S43" s="3"/>
      <c r="T43" t="e">
        <f>IF(ISBLANK('Master Submitted DPDs'!#REF!),"",'Master Submitted DPDs'!#REF!)</f>
        <v>#REF!</v>
      </c>
    </row>
    <row r="44" spans="1:20" ht="15" x14ac:dyDescent="0.2">
      <c r="A44" s="3" t="str">
        <f>IF(ISBLANK('Master Submitted DPDs'!#REF!),"","Local Plans")</f>
        <v>Local Plans</v>
      </c>
      <c r="B44" t="e">
        <f>IF(ISBLANK('Master Submitted DPDs'!#REF!),"",'Master Submitted DPDs'!#REF!)</f>
        <v>#REF!</v>
      </c>
      <c r="C44" s="3" t="str">
        <f>IF(ISBLANK('Master Submitted DPDs'!#REF!),"","IH")</f>
        <v>IH</v>
      </c>
      <c r="D44" s="3" t="e">
        <f>LOOKUP($F44,'fuzzy LPA lookup'!$E:$E,'fuzzy LPA lookup'!$A:$A)</f>
        <v>#REF!</v>
      </c>
      <c r="E44" s="3" t="e">
        <f>LOOKUP($F44,'fuzzy LPA lookup'!$E:$E,'fuzzy LPA lookup'!$D:$D)</f>
        <v>#REF!</v>
      </c>
      <c r="F44" s="8" t="e">
        <f>IF(ISBLANK('Master Submitted DPDs'!#REF!),"",'Master Submitted DPDs'!#REF!)</f>
        <v>#REF!</v>
      </c>
      <c r="G44" t="str">
        <f>IF(ISBLANK('Master Submitted DPDs'!#REF!),"","Withdrawn")</f>
        <v>Withdrawn</v>
      </c>
      <c r="H44" s="2" t="e">
        <f>IF(ISBLANK('Master Submitted DPDs'!#REF!),"",'Master Submitted DPDs'!#REF!)</f>
        <v>#REF!</v>
      </c>
      <c r="I44" s="3"/>
      <c r="J44" s="3"/>
      <c r="K44" s="3"/>
      <c r="L44" s="2" t="e">
        <f>IF(ISBLANK('Master Submitted DPDs'!#REF!),"",'Master Submitted DPDs'!#REF!)</f>
        <v>#REF!</v>
      </c>
      <c r="M44" s="2" t="e">
        <f t="shared" si="0"/>
        <v>#REF!</v>
      </c>
      <c r="N44" s="2" t="e">
        <f>IF(ISBLANK('Master Submitted DPDs'!#REF!),IF(ISBLANK('Master Submitted DPDs'!#REF!),"",'Master Submitted DPDs'!#REF!),'Master Submitted DPDs'!#REF!)</f>
        <v>#REF!</v>
      </c>
      <c r="O44" s="2" t="e">
        <f>IF(ISBLANK('Master Submitted DPDs'!#REF!),"",'Master Submitted DPDs'!#REF!)</f>
        <v>#REF!</v>
      </c>
      <c r="P44" s="2" t="e">
        <f>IF(ISBLANK('Master Submitted DPDs'!#REF!),"",'Master Submitted DPDs'!#REF!)</f>
        <v>#REF!</v>
      </c>
      <c r="Q44" t="e">
        <f>IF(ISBLANK('Master Submitted DPDs'!#REF!),"",'Master Submitted DPDs'!#REF!)</f>
        <v>#REF!</v>
      </c>
      <c r="R44" t="e">
        <f t="shared" si="1"/>
        <v>#REF!</v>
      </c>
      <c r="S44" s="3"/>
      <c r="T44" t="e">
        <f>IF(ISBLANK('Master Submitted DPDs'!#REF!),"",'Master Submitted DPDs'!#REF!)</f>
        <v>#REF!</v>
      </c>
    </row>
    <row r="45" spans="1:20" ht="15" x14ac:dyDescent="0.2">
      <c r="A45" s="3" t="str">
        <f>IF(ISBLANK('Master Submitted DPDs'!#REF!),"","Local Plans")</f>
        <v>Local Plans</v>
      </c>
      <c r="B45" t="e">
        <f>IF(ISBLANK('Master Submitted DPDs'!#REF!),"",'Master Submitted DPDs'!#REF!)</f>
        <v>#REF!</v>
      </c>
      <c r="C45" s="3" t="str">
        <f>IF(ISBLANK('Master Submitted DPDs'!#REF!),"","IH")</f>
        <v>IH</v>
      </c>
      <c r="D45" s="3" t="e">
        <f>LOOKUP($F45,'fuzzy LPA lookup'!$E:$E,'fuzzy LPA lookup'!$A:$A)</f>
        <v>#REF!</v>
      </c>
      <c r="E45" s="3" t="e">
        <f>LOOKUP($F45,'fuzzy LPA lookup'!$E:$E,'fuzzy LPA lookup'!$D:$D)</f>
        <v>#REF!</v>
      </c>
      <c r="F45" s="8" t="e">
        <f>IF(ISBLANK('Master Submitted DPDs'!#REF!),"",'Master Submitted DPDs'!#REF!)</f>
        <v>#REF!</v>
      </c>
      <c r="G45" t="str">
        <f>IF(ISBLANK('Master Submitted DPDs'!#REF!),"","Withdrawn")</f>
        <v>Withdrawn</v>
      </c>
      <c r="H45" s="2" t="e">
        <f>IF(ISBLANK('Master Submitted DPDs'!#REF!),"",'Master Submitted DPDs'!#REF!)</f>
        <v>#REF!</v>
      </c>
      <c r="I45" s="3"/>
      <c r="J45" s="3"/>
      <c r="K45" s="3"/>
      <c r="L45" s="2" t="e">
        <f>IF(ISBLANK('Master Submitted DPDs'!#REF!),"",'Master Submitted DPDs'!#REF!)</f>
        <v>#REF!</v>
      </c>
      <c r="M45" s="2" t="e">
        <f t="shared" si="0"/>
        <v>#REF!</v>
      </c>
      <c r="N45" s="2" t="e">
        <f>IF(ISBLANK('Master Submitted DPDs'!#REF!),IF(ISBLANK('Master Submitted DPDs'!#REF!),"",'Master Submitted DPDs'!#REF!),'Master Submitted DPDs'!#REF!)</f>
        <v>#REF!</v>
      </c>
      <c r="O45" s="2" t="e">
        <f>IF(ISBLANK('Master Submitted DPDs'!#REF!),"",'Master Submitted DPDs'!#REF!)</f>
        <v>#REF!</v>
      </c>
      <c r="P45" s="2" t="e">
        <f>IF(ISBLANK('Master Submitted DPDs'!#REF!),"",'Master Submitted DPDs'!#REF!)</f>
        <v>#REF!</v>
      </c>
      <c r="Q45" t="e">
        <f>IF(ISBLANK('Master Submitted DPDs'!#REF!),"",'Master Submitted DPDs'!#REF!)</f>
        <v>#REF!</v>
      </c>
      <c r="R45" t="e">
        <f t="shared" si="1"/>
        <v>#REF!</v>
      </c>
      <c r="S45" s="3"/>
      <c r="T45" t="e">
        <f>IF(ISBLANK('Master Submitted DPDs'!#REF!),"",'Master Submitted DPDs'!#REF!)</f>
        <v>#REF!</v>
      </c>
    </row>
    <row r="46" spans="1:20" ht="15" x14ac:dyDescent="0.2">
      <c r="A46" s="3" t="str">
        <f>IF(ISBLANK('Master Submitted DPDs'!#REF!),"","Local Plans")</f>
        <v>Local Plans</v>
      </c>
      <c r="B46" t="e">
        <f>IF(ISBLANK('Master Submitted DPDs'!#REF!),"",'Master Submitted DPDs'!#REF!)</f>
        <v>#REF!</v>
      </c>
      <c r="C46" s="3" t="str">
        <f>IF(ISBLANK('Master Submitted DPDs'!#REF!),"","IH")</f>
        <v>IH</v>
      </c>
      <c r="D46" s="3" t="e">
        <f>LOOKUP($F46,'fuzzy LPA lookup'!$E:$E,'fuzzy LPA lookup'!$A:$A)</f>
        <v>#REF!</v>
      </c>
      <c r="E46" s="3" t="e">
        <f>LOOKUP($F46,'fuzzy LPA lookup'!$E:$E,'fuzzy LPA lookup'!$D:$D)</f>
        <v>#REF!</v>
      </c>
      <c r="F46" s="8" t="e">
        <f>IF(ISBLANK('Master Submitted DPDs'!#REF!),"",'Master Submitted DPDs'!#REF!)</f>
        <v>#REF!</v>
      </c>
      <c r="G46" t="str">
        <f>IF(ISBLANK('Master Submitted DPDs'!#REF!),"","Withdrawn")</f>
        <v>Withdrawn</v>
      </c>
      <c r="H46" s="2" t="e">
        <f>IF(ISBLANK('Master Submitted DPDs'!#REF!),"",'Master Submitted DPDs'!#REF!)</f>
        <v>#REF!</v>
      </c>
      <c r="I46" s="3"/>
      <c r="J46" s="3"/>
      <c r="K46" s="3"/>
      <c r="L46" s="2" t="e">
        <f>IF(ISBLANK('Master Submitted DPDs'!#REF!),"",'Master Submitted DPDs'!#REF!)</f>
        <v>#REF!</v>
      </c>
      <c r="M46" s="2" t="e">
        <f t="shared" si="0"/>
        <v>#REF!</v>
      </c>
      <c r="N46" s="2" t="e">
        <f>IF(ISBLANK('Master Submitted DPDs'!#REF!),IF(ISBLANK('Master Submitted DPDs'!#REF!),"",'Master Submitted DPDs'!#REF!),'Master Submitted DPDs'!#REF!)</f>
        <v>#REF!</v>
      </c>
      <c r="O46" s="2" t="e">
        <f>IF(ISBLANK('Master Submitted DPDs'!#REF!),"",'Master Submitted DPDs'!#REF!)</f>
        <v>#REF!</v>
      </c>
      <c r="P46" s="2" t="e">
        <f>IF(ISBLANK('Master Submitted DPDs'!#REF!),"",'Master Submitted DPDs'!#REF!)</f>
        <v>#REF!</v>
      </c>
      <c r="Q46" t="e">
        <f>IF(ISBLANK('Master Submitted DPDs'!#REF!),"",'Master Submitted DPDs'!#REF!)</f>
        <v>#REF!</v>
      </c>
      <c r="R46" t="e">
        <f t="shared" si="1"/>
        <v>#REF!</v>
      </c>
      <c r="S46" s="3"/>
      <c r="T46" t="e">
        <f>IF(ISBLANK('Master Submitted DPDs'!#REF!),"",'Master Submitted DPDs'!#REF!)</f>
        <v>#REF!</v>
      </c>
    </row>
    <row r="47" spans="1:20" ht="15" x14ac:dyDescent="0.2">
      <c r="A47" s="3" t="str">
        <f>IF(ISBLANK('Master Submitted DPDs'!#REF!),"","Local Plans")</f>
        <v>Local Plans</v>
      </c>
      <c r="B47" t="e">
        <f>IF(ISBLANK('Master Submitted DPDs'!#REF!),"",'Master Submitted DPDs'!#REF!)</f>
        <v>#REF!</v>
      </c>
      <c r="C47" s="3" t="str">
        <f>IF(ISBLANK('Master Submitted DPDs'!#REF!),"","IH")</f>
        <v>IH</v>
      </c>
      <c r="D47" s="3" t="e">
        <f>LOOKUP($F47,'fuzzy LPA lookup'!$E:$E,'fuzzy LPA lookup'!$A:$A)</f>
        <v>#REF!</v>
      </c>
      <c r="E47" s="3" t="e">
        <f>LOOKUP($F47,'fuzzy LPA lookup'!$E:$E,'fuzzy LPA lookup'!$D:$D)</f>
        <v>#REF!</v>
      </c>
      <c r="F47" s="8" t="e">
        <f>IF(ISBLANK('Master Submitted DPDs'!#REF!),"",'Master Submitted DPDs'!#REF!)</f>
        <v>#REF!</v>
      </c>
      <c r="G47" t="str">
        <f>IF(ISBLANK('Master Submitted DPDs'!#REF!),"","Withdrawn")</f>
        <v>Withdrawn</v>
      </c>
      <c r="H47" s="2" t="e">
        <f>IF(ISBLANK('Master Submitted DPDs'!#REF!),"",'Master Submitted DPDs'!#REF!)</f>
        <v>#REF!</v>
      </c>
      <c r="I47" s="3"/>
      <c r="J47" s="3"/>
      <c r="K47" s="3"/>
      <c r="L47" s="2" t="e">
        <f>IF(ISBLANK('Master Submitted DPDs'!#REF!),"",'Master Submitted DPDs'!#REF!)</f>
        <v>#REF!</v>
      </c>
      <c r="M47" s="2" t="e">
        <f t="shared" si="0"/>
        <v>#REF!</v>
      </c>
      <c r="N47" s="2" t="e">
        <f>IF(ISBLANK('Master Submitted DPDs'!#REF!),IF(ISBLANK('Master Submitted DPDs'!#REF!),"",'Master Submitted DPDs'!#REF!),'Master Submitted DPDs'!#REF!)</f>
        <v>#REF!</v>
      </c>
      <c r="O47" s="2" t="e">
        <f>IF(ISBLANK('Master Submitted DPDs'!#REF!),"",'Master Submitted DPDs'!#REF!)</f>
        <v>#REF!</v>
      </c>
      <c r="P47" s="2" t="e">
        <f>IF(ISBLANK('Master Submitted DPDs'!#REF!),"",'Master Submitted DPDs'!#REF!)</f>
        <v>#REF!</v>
      </c>
      <c r="Q47" t="e">
        <f>IF(ISBLANK('Master Submitted DPDs'!#REF!),"",'Master Submitted DPDs'!#REF!)</f>
        <v>#REF!</v>
      </c>
      <c r="R47" t="e">
        <f t="shared" si="1"/>
        <v>#REF!</v>
      </c>
      <c r="S47" s="3"/>
      <c r="T47" t="e">
        <f>IF(ISBLANK('Master Submitted DPDs'!#REF!),"",'Master Submitted DPDs'!#REF!)</f>
        <v>#REF!</v>
      </c>
    </row>
    <row r="48" spans="1:20" ht="15" x14ac:dyDescent="0.2">
      <c r="A48" s="3" t="str">
        <f>IF(ISBLANK('Master Submitted DPDs'!#REF!),"","Local Plans")</f>
        <v>Local Plans</v>
      </c>
      <c r="B48" t="e">
        <f>IF(ISBLANK('Master Submitted DPDs'!#REF!),"",'Master Submitted DPDs'!#REF!)</f>
        <v>#REF!</v>
      </c>
      <c r="C48" s="3" t="str">
        <f>IF(ISBLANK('Master Submitted DPDs'!#REF!),"","IH")</f>
        <v>IH</v>
      </c>
      <c r="D48" s="3" t="e">
        <f>LOOKUP($F48,'fuzzy LPA lookup'!$E:$E,'fuzzy LPA lookup'!$A:$A)</f>
        <v>#REF!</v>
      </c>
      <c r="E48" s="3" t="e">
        <f>LOOKUP($F48,'fuzzy LPA lookup'!$E:$E,'fuzzy LPA lookup'!$D:$D)</f>
        <v>#REF!</v>
      </c>
      <c r="F48" s="8" t="e">
        <f>IF(ISBLANK('Master Submitted DPDs'!#REF!),"",'Master Submitted DPDs'!#REF!)</f>
        <v>#REF!</v>
      </c>
      <c r="G48" t="str">
        <f>IF(ISBLANK('Master Submitted DPDs'!#REF!),"","Withdrawn")</f>
        <v>Withdrawn</v>
      </c>
      <c r="H48" s="2" t="e">
        <f>IF(ISBLANK('Master Submitted DPDs'!#REF!),"",'Master Submitted DPDs'!#REF!)</f>
        <v>#REF!</v>
      </c>
      <c r="I48" s="3"/>
      <c r="J48" s="3"/>
      <c r="K48" s="3"/>
      <c r="L48" s="2" t="e">
        <f>IF(ISBLANK('Master Submitted DPDs'!#REF!),"",'Master Submitted DPDs'!#REF!)</f>
        <v>#REF!</v>
      </c>
      <c r="M48" s="2" t="e">
        <f t="shared" si="0"/>
        <v>#REF!</v>
      </c>
      <c r="N48" s="2" t="e">
        <f>IF(ISBLANK('Master Submitted DPDs'!#REF!),IF(ISBLANK('Master Submitted DPDs'!#REF!),"",'Master Submitted DPDs'!#REF!),'Master Submitted DPDs'!#REF!)</f>
        <v>#REF!</v>
      </c>
      <c r="O48" s="2" t="e">
        <f>IF(ISBLANK('Master Submitted DPDs'!#REF!),"",'Master Submitted DPDs'!#REF!)</f>
        <v>#REF!</v>
      </c>
      <c r="P48" s="2" t="e">
        <f>IF(ISBLANK('Master Submitted DPDs'!#REF!),"",'Master Submitted DPDs'!#REF!)</f>
        <v>#REF!</v>
      </c>
      <c r="Q48" t="e">
        <f>IF(ISBLANK('Master Submitted DPDs'!#REF!),"",'Master Submitted DPDs'!#REF!)</f>
        <v>#REF!</v>
      </c>
      <c r="R48" t="e">
        <f t="shared" si="1"/>
        <v>#REF!</v>
      </c>
      <c r="S48" s="3"/>
      <c r="T48" t="e">
        <f>IF(ISBLANK('Master Submitted DPDs'!#REF!),"",'Master Submitted DPDs'!#REF!)</f>
        <v>#REF!</v>
      </c>
    </row>
    <row r="49" spans="1:20" ht="15" x14ac:dyDescent="0.2">
      <c r="A49" s="3" t="str">
        <f>IF(ISBLANK('Master Submitted DPDs'!#REF!),"","Local Plans")</f>
        <v>Local Plans</v>
      </c>
      <c r="B49" t="e">
        <f>IF(ISBLANK('Master Submitted DPDs'!#REF!),"",'Master Submitted DPDs'!#REF!)</f>
        <v>#REF!</v>
      </c>
      <c r="C49" s="3" t="str">
        <f>IF(ISBLANK('Master Submitted DPDs'!#REF!),"","IH")</f>
        <v>IH</v>
      </c>
      <c r="D49" s="3" t="e">
        <f>LOOKUP($F49,'fuzzy LPA lookup'!$E:$E,'fuzzy LPA lookup'!$A:$A)</f>
        <v>#REF!</v>
      </c>
      <c r="E49" s="3" t="e">
        <f>LOOKUP($F49,'fuzzy LPA lookup'!$E:$E,'fuzzy LPA lookup'!$D:$D)</f>
        <v>#REF!</v>
      </c>
      <c r="F49" s="8" t="e">
        <f>IF(ISBLANK('Master Submitted DPDs'!#REF!),"",'Master Submitted DPDs'!#REF!)</f>
        <v>#REF!</v>
      </c>
      <c r="G49" t="str">
        <f>IF(ISBLANK('Master Submitted DPDs'!#REF!),"","Withdrawn")</f>
        <v>Withdrawn</v>
      </c>
      <c r="H49" s="2" t="e">
        <f>IF(ISBLANK('Master Submitted DPDs'!#REF!),"",'Master Submitted DPDs'!#REF!)</f>
        <v>#REF!</v>
      </c>
      <c r="I49" s="3"/>
      <c r="J49" s="3"/>
      <c r="K49" s="3"/>
      <c r="L49" s="2" t="e">
        <f>IF(ISBLANK('Master Submitted DPDs'!#REF!),"",'Master Submitted DPDs'!#REF!)</f>
        <v>#REF!</v>
      </c>
      <c r="M49" s="2" t="e">
        <f t="shared" si="0"/>
        <v>#REF!</v>
      </c>
      <c r="N49" s="2" t="e">
        <f>IF(ISBLANK('Master Submitted DPDs'!#REF!),IF(ISBLANK('Master Submitted DPDs'!#REF!),"",'Master Submitted DPDs'!#REF!),'Master Submitted DPDs'!#REF!)</f>
        <v>#REF!</v>
      </c>
      <c r="O49" s="2" t="e">
        <f>IF(ISBLANK('Master Submitted DPDs'!#REF!),"",'Master Submitted DPDs'!#REF!)</f>
        <v>#REF!</v>
      </c>
      <c r="P49" s="2" t="e">
        <f>IF(ISBLANK('Master Submitted DPDs'!#REF!),"",'Master Submitted DPDs'!#REF!)</f>
        <v>#REF!</v>
      </c>
      <c r="Q49" t="e">
        <f>IF(ISBLANK('Master Submitted DPDs'!#REF!),"",'Master Submitted DPDs'!#REF!)</f>
        <v>#REF!</v>
      </c>
      <c r="R49" t="e">
        <f t="shared" si="1"/>
        <v>#REF!</v>
      </c>
      <c r="S49" s="3"/>
      <c r="T49" t="e">
        <f>IF(ISBLANK('Master Submitted DPDs'!#REF!),"",'Master Submitted DPDs'!#REF!)</f>
        <v>#REF!</v>
      </c>
    </row>
    <row r="50" spans="1:20" ht="15" x14ac:dyDescent="0.2">
      <c r="A50" s="3" t="str">
        <f>IF(ISBLANK('Master Submitted DPDs'!#REF!),"","Local Plans")</f>
        <v>Local Plans</v>
      </c>
      <c r="B50" t="e">
        <f>IF(ISBLANK('Master Submitted DPDs'!#REF!),"",'Master Submitted DPDs'!#REF!)</f>
        <v>#REF!</v>
      </c>
      <c r="C50" s="3" t="str">
        <f>IF(ISBLANK('Master Submitted DPDs'!#REF!),"","IH")</f>
        <v>IH</v>
      </c>
      <c r="D50" s="3" t="e">
        <f>LOOKUP($F50,'fuzzy LPA lookup'!$E:$E,'fuzzy LPA lookup'!$A:$A)</f>
        <v>#REF!</v>
      </c>
      <c r="E50" s="3" t="e">
        <f>LOOKUP($F50,'fuzzy LPA lookup'!$E:$E,'fuzzy LPA lookup'!$D:$D)</f>
        <v>#REF!</v>
      </c>
      <c r="F50" s="8" t="e">
        <f>IF(ISBLANK('Master Submitted DPDs'!#REF!),"",'Master Submitted DPDs'!#REF!)</f>
        <v>#REF!</v>
      </c>
      <c r="G50" t="str">
        <f>IF(ISBLANK('Master Submitted DPDs'!#REF!),"","Withdrawn")</f>
        <v>Withdrawn</v>
      </c>
      <c r="H50" s="2" t="e">
        <f>IF(ISBLANK('Master Submitted DPDs'!#REF!),"",'Master Submitted DPDs'!#REF!)</f>
        <v>#REF!</v>
      </c>
      <c r="I50" s="3"/>
      <c r="J50" s="3"/>
      <c r="K50" s="3"/>
      <c r="L50" s="2" t="e">
        <f>IF(ISBLANK('Master Submitted DPDs'!#REF!),"",'Master Submitted DPDs'!#REF!)</f>
        <v>#REF!</v>
      </c>
      <c r="M50" s="2" t="e">
        <f t="shared" si="0"/>
        <v>#REF!</v>
      </c>
      <c r="N50" s="2" t="e">
        <f>IF(ISBLANK('Master Submitted DPDs'!#REF!),IF(ISBLANK('Master Submitted DPDs'!#REF!),"",'Master Submitted DPDs'!#REF!),'Master Submitted DPDs'!#REF!)</f>
        <v>#REF!</v>
      </c>
      <c r="O50" s="2" t="e">
        <f>IF(ISBLANK('Master Submitted DPDs'!#REF!),"",'Master Submitted DPDs'!#REF!)</f>
        <v>#REF!</v>
      </c>
      <c r="P50" s="2" t="e">
        <f>IF(ISBLANK('Master Submitted DPDs'!#REF!),"",'Master Submitted DPDs'!#REF!)</f>
        <v>#REF!</v>
      </c>
      <c r="Q50" t="e">
        <f>IF(ISBLANK('Master Submitted DPDs'!#REF!),"",'Master Submitted DPDs'!#REF!)</f>
        <v>#REF!</v>
      </c>
      <c r="R50" t="e">
        <f t="shared" si="1"/>
        <v>#REF!</v>
      </c>
      <c r="S50" s="3"/>
      <c r="T50" t="e">
        <f>IF(ISBLANK('Master Submitted DPDs'!#REF!),"",'Master Submitted DPDs'!#REF!)</f>
        <v>#REF!</v>
      </c>
    </row>
    <row r="51" spans="1:20" ht="15" x14ac:dyDescent="0.2">
      <c r="A51" s="3" t="str">
        <f>IF(ISBLANK('Master Submitted DPDs'!#REF!),"","Local Plans")</f>
        <v>Local Plans</v>
      </c>
      <c r="B51" t="e">
        <f>IF(ISBLANK('Master Submitted DPDs'!#REF!),"",'Master Submitted DPDs'!#REF!)</f>
        <v>#REF!</v>
      </c>
      <c r="C51" s="3" t="str">
        <f>IF(ISBLANK('Master Submitted DPDs'!#REF!),"","IH")</f>
        <v>IH</v>
      </c>
      <c r="D51" s="3" t="e">
        <f>LOOKUP($F51,'fuzzy LPA lookup'!$E:$E,'fuzzy LPA lookup'!$A:$A)</f>
        <v>#REF!</v>
      </c>
      <c r="E51" s="3" t="e">
        <f>LOOKUP($F51,'fuzzy LPA lookup'!$E:$E,'fuzzy LPA lookup'!$D:$D)</f>
        <v>#REF!</v>
      </c>
      <c r="F51" s="8" t="e">
        <f>IF(ISBLANK('Master Submitted DPDs'!#REF!),"",'Master Submitted DPDs'!#REF!)</f>
        <v>#REF!</v>
      </c>
      <c r="G51" t="str">
        <f>IF(ISBLANK('Master Submitted DPDs'!#REF!),"","Withdrawn")</f>
        <v>Withdrawn</v>
      </c>
      <c r="H51" s="2" t="e">
        <f>IF(ISBLANK('Master Submitted DPDs'!#REF!),"",'Master Submitted DPDs'!#REF!)</f>
        <v>#REF!</v>
      </c>
      <c r="I51" s="3"/>
      <c r="J51" s="3"/>
      <c r="K51" s="3"/>
      <c r="L51" s="2" t="e">
        <f>IF(ISBLANK('Master Submitted DPDs'!#REF!),"",'Master Submitted DPDs'!#REF!)</f>
        <v>#REF!</v>
      </c>
      <c r="M51" s="2" t="e">
        <f t="shared" si="0"/>
        <v>#REF!</v>
      </c>
      <c r="N51" s="2" t="e">
        <f>IF(ISBLANK('Master Submitted DPDs'!#REF!),IF(ISBLANK('Master Submitted DPDs'!#REF!),"",'Master Submitted DPDs'!#REF!),'Master Submitted DPDs'!#REF!)</f>
        <v>#REF!</v>
      </c>
      <c r="O51" s="2" t="e">
        <f>IF(ISBLANK('Master Submitted DPDs'!#REF!),"",'Master Submitted DPDs'!#REF!)</f>
        <v>#REF!</v>
      </c>
      <c r="P51" s="2" t="e">
        <f>IF(ISBLANK('Master Submitted DPDs'!#REF!),"",'Master Submitted DPDs'!#REF!)</f>
        <v>#REF!</v>
      </c>
      <c r="Q51" t="e">
        <f>IF(ISBLANK('Master Submitted DPDs'!#REF!),"",'Master Submitted DPDs'!#REF!)</f>
        <v>#REF!</v>
      </c>
      <c r="R51" t="e">
        <f t="shared" si="1"/>
        <v>#REF!</v>
      </c>
      <c r="S51" s="3"/>
      <c r="T51" t="e">
        <f>IF(ISBLANK('Master Submitted DPDs'!#REF!),"",'Master Submitted DPDs'!#REF!)</f>
        <v>#REF!</v>
      </c>
    </row>
    <row r="52" spans="1:20" ht="15" x14ac:dyDescent="0.2">
      <c r="A52" s="3" t="str">
        <f>IF(ISBLANK('Master Submitted DPDs'!#REF!),"","Local Plans")</f>
        <v>Local Plans</v>
      </c>
      <c r="B52" t="e">
        <f>IF(ISBLANK('Master Submitted DPDs'!#REF!),"",'Master Submitted DPDs'!#REF!)</f>
        <v>#REF!</v>
      </c>
      <c r="C52" s="3" t="str">
        <f>IF(ISBLANK('Master Submitted DPDs'!#REF!),"","IH")</f>
        <v>IH</v>
      </c>
      <c r="D52" s="3" t="e">
        <f>LOOKUP($F52,'fuzzy LPA lookup'!$E:$E,'fuzzy LPA lookup'!$A:$A)</f>
        <v>#REF!</v>
      </c>
      <c r="E52" s="3" t="e">
        <f>LOOKUP($F52,'fuzzy LPA lookup'!$E:$E,'fuzzy LPA lookup'!$D:$D)</f>
        <v>#REF!</v>
      </c>
      <c r="F52" s="8" t="e">
        <f>IF(ISBLANK('Master Submitted DPDs'!#REF!),"",'Master Submitted DPDs'!#REF!)</f>
        <v>#REF!</v>
      </c>
      <c r="G52" t="str">
        <f>IF(ISBLANK('Master Submitted DPDs'!#REF!),"","Withdrawn")</f>
        <v>Withdrawn</v>
      </c>
      <c r="H52" s="2" t="e">
        <f>IF(ISBLANK('Master Submitted DPDs'!#REF!),"",'Master Submitted DPDs'!#REF!)</f>
        <v>#REF!</v>
      </c>
      <c r="I52" s="3"/>
      <c r="J52" s="3"/>
      <c r="K52" s="3"/>
      <c r="L52" s="2" t="e">
        <f>IF(ISBLANK('Master Submitted DPDs'!#REF!),"",'Master Submitted DPDs'!#REF!)</f>
        <v>#REF!</v>
      </c>
      <c r="M52" s="2" t="e">
        <f t="shared" si="0"/>
        <v>#REF!</v>
      </c>
      <c r="N52" s="2" t="e">
        <f>IF(ISBLANK('Master Submitted DPDs'!#REF!),IF(ISBLANK('Master Submitted DPDs'!#REF!),"",'Master Submitted DPDs'!#REF!),'Master Submitted DPDs'!#REF!)</f>
        <v>#REF!</v>
      </c>
      <c r="O52" s="2" t="e">
        <f>IF(ISBLANK('Master Submitted DPDs'!#REF!),"",'Master Submitted DPDs'!#REF!)</f>
        <v>#REF!</v>
      </c>
      <c r="P52" s="2" t="e">
        <f>IF(ISBLANK('Master Submitted DPDs'!#REF!),"",'Master Submitted DPDs'!#REF!)</f>
        <v>#REF!</v>
      </c>
      <c r="Q52" t="e">
        <f>IF(ISBLANK('Master Submitted DPDs'!#REF!),"",'Master Submitted DPDs'!#REF!)</f>
        <v>#REF!</v>
      </c>
      <c r="R52" t="e">
        <f t="shared" si="1"/>
        <v>#REF!</v>
      </c>
      <c r="S52" s="3"/>
      <c r="T52" t="e">
        <f>IF(ISBLANK('Master Submitted DPDs'!#REF!),"",'Master Submitted DPDs'!#REF!)</f>
        <v>#REF!</v>
      </c>
    </row>
    <row r="53" spans="1:20" ht="15" x14ac:dyDescent="0.2">
      <c r="A53" s="3" t="str">
        <f>IF(ISBLANK('Master Submitted DPDs'!#REF!),"","Local Plans")</f>
        <v>Local Plans</v>
      </c>
      <c r="B53" t="e">
        <f>IF(ISBLANK('Master Submitted DPDs'!#REF!),"",'Master Submitted DPDs'!#REF!)</f>
        <v>#REF!</v>
      </c>
      <c r="C53" s="3" t="str">
        <f>IF(ISBLANK('Master Submitted DPDs'!#REF!),"","IH")</f>
        <v>IH</v>
      </c>
      <c r="D53" s="3" t="e">
        <f>LOOKUP($F53,'fuzzy LPA lookup'!$E:$E,'fuzzy LPA lookup'!$A:$A)</f>
        <v>#REF!</v>
      </c>
      <c r="E53" s="3" t="e">
        <f>LOOKUP($F53,'fuzzy LPA lookup'!$E:$E,'fuzzy LPA lookup'!$D:$D)</f>
        <v>#REF!</v>
      </c>
      <c r="F53" s="8" t="e">
        <f>IF(ISBLANK('Master Submitted DPDs'!#REF!),"",'Master Submitted DPDs'!#REF!)</f>
        <v>#REF!</v>
      </c>
      <c r="G53" t="str">
        <f>IF(ISBLANK('Master Submitted DPDs'!#REF!),"","Withdrawn")</f>
        <v>Withdrawn</v>
      </c>
      <c r="H53" s="2" t="e">
        <f>IF(ISBLANK('Master Submitted DPDs'!#REF!),"",'Master Submitted DPDs'!#REF!)</f>
        <v>#REF!</v>
      </c>
      <c r="I53" s="3"/>
      <c r="J53" s="3"/>
      <c r="K53" s="3"/>
      <c r="L53" s="2" t="e">
        <f>IF(ISBLANK('Master Submitted DPDs'!#REF!),"",'Master Submitted DPDs'!#REF!)</f>
        <v>#REF!</v>
      </c>
      <c r="M53" s="2" t="e">
        <f t="shared" si="0"/>
        <v>#REF!</v>
      </c>
      <c r="N53" s="2" t="e">
        <f>IF(ISBLANK('Master Submitted DPDs'!#REF!),IF(ISBLANK('Master Submitted DPDs'!#REF!),"",'Master Submitted DPDs'!#REF!),'Master Submitted DPDs'!#REF!)</f>
        <v>#REF!</v>
      </c>
      <c r="O53" s="2" t="e">
        <f>IF(ISBLANK('Master Submitted DPDs'!#REF!),"",'Master Submitted DPDs'!#REF!)</f>
        <v>#REF!</v>
      </c>
      <c r="P53" s="2" t="e">
        <f>IF(ISBLANK('Master Submitted DPDs'!#REF!),"",'Master Submitted DPDs'!#REF!)</f>
        <v>#REF!</v>
      </c>
      <c r="Q53" t="e">
        <f>IF(ISBLANK('Master Submitted DPDs'!#REF!),"",'Master Submitted DPDs'!#REF!)</f>
        <v>#REF!</v>
      </c>
      <c r="R53" t="e">
        <f t="shared" si="1"/>
        <v>#REF!</v>
      </c>
      <c r="S53" s="3"/>
      <c r="T53" t="e">
        <f>IF(ISBLANK('Master Submitted DPDs'!#REF!),"",'Master Submitted DPDs'!#REF!)</f>
        <v>#REF!</v>
      </c>
    </row>
    <row r="54" spans="1:20" ht="15" x14ac:dyDescent="0.2">
      <c r="A54" s="3" t="str">
        <f>IF(ISBLANK('Master Submitted DPDs'!#REF!),"","Local Plans")</f>
        <v>Local Plans</v>
      </c>
      <c r="B54" t="e">
        <f>IF(ISBLANK('Master Submitted DPDs'!#REF!),"",'Master Submitted DPDs'!#REF!)</f>
        <v>#REF!</v>
      </c>
      <c r="C54" s="3" t="str">
        <f>IF(ISBLANK('Master Submitted DPDs'!#REF!),"","IH")</f>
        <v>IH</v>
      </c>
      <c r="D54" s="3" t="e">
        <f>LOOKUP($F54,'fuzzy LPA lookup'!$E:$E,'fuzzy LPA lookup'!$A:$A)</f>
        <v>#REF!</v>
      </c>
      <c r="E54" s="3" t="e">
        <f>LOOKUP($F54,'fuzzy LPA lookup'!$E:$E,'fuzzy LPA lookup'!$D:$D)</f>
        <v>#REF!</v>
      </c>
      <c r="F54" s="8" t="e">
        <f>IF(ISBLANK('Master Submitted DPDs'!#REF!),"",'Master Submitted DPDs'!#REF!)</f>
        <v>#REF!</v>
      </c>
      <c r="G54" t="str">
        <f>IF(ISBLANK('Master Submitted DPDs'!#REF!),"","Withdrawn")</f>
        <v>Withdrawn</v>
      </c>
      <c r="H54" s="2" t="e">
        <f>IF(ISBLANK('Master Submitted DPDs'!#REF!),"",'Master Submitted DPDs'!#REF!)</f>
        <v>#REF!</v>
      </c>
      <c r="I54" s="3"/>
      <c r="J54" s="3"/>
      <c r="K54" s="3"/>
      <c r="L54" s="2" t="e">
        <f>IF(ISBLANK('Master Submitted DPDs'!#REF!),"",'Master Submitted DPDs'!#REF!)</f>
        <v>#REF!</v>
      </c>
      <c r="M54" s="2" t="e">
        <f t="shared" si="0"/>
        <v>#REF!</v>
      </c>
      <c r="N54" s="2" t="e">
        <f>IF(ISBLANK('Master Submitted DPDs'!#REF!),IF(ISBLANK('Master Submitted DPDs'!#REF!),"",'Master Submitted DPDs'!#REF!),'Master Submitted DPDs'!#REF!)</f>
        <v>#REF!</v>
      </c>
      <c r="O54" s="2" t="e">
        <f>IF(ISBLANK('Master Submitted DPDs'!#REF!),"",'Master Submitted DPDs'!#REF!)</f>
        <v>#REF!</v>
      </c>
      <c r="P54" s="2" t="e">
        <f>IF(ISBLANK('Master Submitted DPDs'!#REF!),"",'Master Submitted DPDs'!#REF!)</f>
        <v>#REF!</v>
      </c>
      <c r="Q54" t="e">
        <f>IF(ISBLANK('Master Submitted DPDs'!#REF!),"",'Master Submitted DPDs'!#REF!)</f>
        <v>#REF!</v>
      </c>
      <c r="R54" t="e">
        <f t="shared" si="1"/>
        <v>#REF!</v>
      </c>
      <c r="S54" s="3"/>
      <c r="T54" t="e">
        <f>IF(ISBLANK('Master Submitted DPDs'!#REF!),"",'Master Submitted DPDs'!#REF!)</f>
        <v>#REF!</v>
      </c>
    </row>
    <row r="55" spans="1:20" ht="15" x14ac:dyDescent="0.2">
      <c r="A55" s="3" t="str">
        <f>IF(ISBLANK('Master Submitted DPDs'!#REF!),"","Local Plans")</f>
        <v>Local Plans</v>
      </c>
      <c r="B55" t="e">
        <f>IF(ISBLANK('Master Submitted DPDs'!#REF!),"",'Master Submitted DPDs'!#REF!)</f>
        <v>#REF!</v>
      </c>
      <c r="C55" s="3" t="str">
        <f>IF(ISBLANK('Master Submitted DPDs'!#REF!),"","IH")</f>
        <v>IH</v>
      </c>
      <c r="D55" s="3" t="e">
        <f>LOOKUP($F55,'fuzzy LPA lookup'!$E:$E,'fuzzy LPA lookup'!$A:$A)</f>
        <v>#REF!</v>
      </c>
      <c r="E55" s="3" t="e">
        <f>LOOKUP($F55,'fuzzy LPA lookup'!$E:$E,'fuzzy LPA lookup'!$D:$D)</f>
        <v>#REF!</v>
      </c>
      <c r="F55" s="8" t="e">
        <f>IF(ISBLANK('Master Submitted DPDs'!#REF!),"",'Master Submitted DPDs'!#REF!)</f>
        <v>#REF!</v>
      </c>
      <c r="G55" t="str">
        <f>IF(ISBLANK('Master Submitted DPDs'!#REF!),"","Withdrawn")</f>
        <v>Withdrawn</v>
      </c>
      <c r="H55" s="2" t="e">
        <f>IF(ISBLANK('Master Submitted DPDs'!#REF!),"",'Master Submitted DPDs'!#REF!)</f>
        <v>#REF!</v>
      </c>
      <c r="I55" s="3"/>
      <c r="J55" s="3"/>
      <c r="K55" s="3"/>
      <c r="L55" s="2" t="e">
        <f>IF(ISBLANK('Master Submitted DPDs'!#REF!),"",'Master Submitted DPDs'!#REF!)</f>
        <v>#REF!</v>
      </c>
      <c r="M55" s="2" t="e">
        <f t="shared" si="0"/>
        <v>#REF!</v>
      </c>
      <c r="N55" s="2" t="e">
        <f>IF(ISBLANK('Master Submitted DPDs'!#REF!),IF(ISBLANK('Master Submitted DPDs'!#REF!),"",'Master Submitted DPDs'!#REF!),'Master Submitted DPDs'!#REF!)</f>
        <v>#REF!</v>
      </c>
      <c r="O55" s="2" t="e">
        <f>IF(ISBLANK('Master Submitted DPDs'!#REF!),"",'Master Submitted DPDs'!#REF!)</f>
        <v>#REF!</v>
      </c>
      <c r="P55" s="2" t="e">
        <f>IF(ISBLANK('Master Submitted DPDs'!#REF!),"",'Master Submitted DPDs'!#REF!)</f>
        <v>#REF!</v>
      </c>
      <c r="Q55" t="e">
        <f>IF(ISBLANK('Master Submitted DPDs'!#REF!),"",'Master Submitted DPDs'!#REF!)</f>
        <v>#REF!</v>
      </c>
      <c r="R55" t="e">
        <f t="shared" si="1"/>
        <v>#REF!</v>
      </c>
      <c r="S55" s="3"/>
      <c r="T55" t="e">
        <f>IF(ISBLANK('Master Submitted DPDs'!#REF!),"",'Master Submitted DPDs'!#REF!)</f>
        <v>#REF!</v>
      </c>
    </row>
    <row r="56" spans="1:20" ht="15" x14ac:dyDescent="0.2">
      <c r="A56" s="3" t="str">
        <f>IF(ISBLANK('Master Submitted DPDs'!#REF!),"","Local Plans")</f>
        <v>Local Plans</v>
      </c>
      <c r="B56" t="e">
        <f>IF(ISBLANK('Master Submitted DPDs'!#REF!),"",'Master Submitted DPDs'!#REF!)</f>
        <v>#REF!</v>
      </c>
      <c r="C56" s="3" t="str">
        <f>IF(ISBLANK('Master Submitted DPDs'!#REF!),"","IH")</f>
        <v>IH</v>
      </c>
      <c r="D56" s="3" t="e">
        <f>LOOKUP($F56,'fuzzy LPA lookup'!$E:$E,'fuzzy LPA lookup'!$A:$A)</f>
        <v>#REF!</v>
      </c>
      <c r="E56" s="3" t="e">
        <f>LOOKUP($F56,'fuzzy LPA lookup'!$E:$E,'fuzzy LPA lookup'!$D:$D)</f>
        <v>#REF!</v>
      </c>
      <c r="F56" s="8" t="e">
        <f>IF(ISBLANK('Master Submitted DPDs'!#REF!),"",'Master Submitted DPDs'!#REF!)</f>
        <v>#REF!</v>
      </c>
      <c r="G56" t="str">
        <f>IF(ISBLANK('Master Submitted DPDs'!#REF!),"","Withdrawn")</f>
        <v>Withdrawn</v>
      </c>
      <c r="H56" s="2" t="e">
        <f>IF(ISBLANK('Master Submitted DPDs'!#REF!),"",'Master Submitted DPDs'!#REF!)</f>
        <v>#REF!</v>
      </c>
      <c r="I56" s="3"/>
      <c r="J56" s="3"/>
      <c r="K56" s="3"/>
      <c r="L56" s="2" t="e">
        <f>IF(ISBLANK('Master Submitted DPDs'!#REF!),"",'Master Submitted DPDs'!#REF!)</f>
        <v>#REF!</v>
      </c>
      <c r="M56" s="2" t="e">
        <f t="shared" si="0"/>
        <v>#REF!</v>
      </c>
      <c r="N56" s="2" t="e">
        <f>IF(ISBLANK('Master Submitted DPDs'!#REF!),IF(ISBLANK('Master Submitted DPDs'!#REF!),"",'Master Submitted DPDs'!#REF!),'Master Submitted DPDs'!#REF!)</f>
        <v>#REF!</v>
      </c>
      <c r="O56" s="2" t="e">
        <f>IF(ISBLANK('Master Submitted DPDs'!#REF!),"",'Master Submitted DPDs'!#REF!)</f>
        <v>#REF!</v>
      </c>
      <c r="P56" s="2" t="e">
        <f>IF(ISBLANK('Master Submitted DPDs'!#REF!),"",'Master Submitted DPDs'!#REF!)</f>
        <v>#REF!</v>
      </c>
      <c r="Q56" t="e">
        <f>IF(ISBLANK('Master Submitted DPDs'!#REF!),"",'Master Submitted DPDs'!#REF!)</f>
        <v>#REF!</v>
      </c>
      <c r="R56" t="e">
        <f t="shared" si="1"/>
        <v>#REF!</v>
      </c>
      <c r="S56" s="3"/>
      <c r="T56" t="e">
        <f>IF(ISBLANK('Master Submitted DPDs'!#REF!),"",'Master Submitted DPDs'!#REF!)</f>
        <v>#REF!</v>
      </c>
    </row>
    <row r="57" spans="1:20" ht="15" x14ac:dyDescent="0.2">
      <c r="A57" s="3" t="str">
        <f>IF(ISBLANK('Master Submitted DPDs'!#REF!),"","Local Plans")</f>
        <v>Local Plans</v>
      </c>
      <c r="B57" t="e">
        <f>IF(ISBLANK('Master Submitted DPDs'!#REF!),"",'Master Submitted DPDs'!#REF!)</f>
        <v>#REF!</v>
      </c>
      <c r="C57" s="3" t="str">
        <f>IF(ISBLANK('Master Submitted DPDs'!#REF!),"","IH")</f>
        <v>IH</v>
      </c>
      <c r="D57" s="3" t="e">
        <f>LOOKUP($F57,'fuzzy LPA lookup'!$E:$E,'fuzzy LPA lookup'!$A:$A)</f>
        <v>#REF!</v>
      </c>
      <c r="E57" s="3" t="e">
        <f>LOOKUP($F57,'fuzzy LPA lookup'!$E:$E,'fuzzy LPA lookup'!$D:$D)</f>
        <v>#REF!</v>
      </c>
      <c r="F57" s="8" t="e">
        <f>IF(ISBLANK('Master Submitted DPDs'!#REF!),"",'Master Submitted DPDs'!#REF!)</f>
        <v>#REF!</v>
      </c>
      <c r="G57" t="str">
        <f>IF(ISBLANK('Master Submitted DPDs'!#REF!),"","Withdrawn")</f>
        <v>Withdrawn</v>
      </c>
      <c r="H57" s="2" t="e">
        <f>IF(ISBLANK('Master Submitted DPDs'!#REF!),"",'Master Submitted DPDs'!#REF!)</f>
        <v>#REF!</v>
      </c>
      <c r="I57" s="3"/>
      <c r="J57" s="3"/>
      <c r="K57" s="3"/>
      <c r="L57" s="2" t="e">
        <f>IF(ISBLANK('Master Submitted DPDs'!#REF!),"",'Master Submitted DPDs'!#REF!)</f>
        <v>#REF!</v>
      </c>
      <c r="M57" s="2" t="e">
        <f t="shared" si="0"/>
        <v>#REF!</v>
      </c>
      <c r="N57" s="2" t="e">
        <f>IF(ISBLANK('Master Submitted DPDs'!#REF!),IF(ISBLANK('Master Submitted DPDs'!#REF!),"",'Master Submitted DPDs'!#REF!),'Master Submitted DPDs'!#REF!)</f>
        <v>#REF!</v>
      </c>
      <c r="O57" s="2" t="e">
        <f>IF(ISBLANK('Master Submitted DPDs'!#REF!),"",'Master Submitted DPDs'!#REF!)</f>
        <v>#REF!</v>
      </c>
      <c r="P57" s="2" t="e">
        <f>IF(ISBLANK('Master Submitted DPDs'!#REF!),"",'Master Submitted DPDs'!#REF!)</f>
        <v>#REF!</v>
      </c>
      <c r="Q57" t="e">
        <f>IF(ISBLANK('Master Submitted DPDs'!#REF!),"",'Master Submitted DPDs'!#REF!)</f>
        <v>#REF!</v>
      </c>
      <c r="R57" t="e">
        <f t="shared" si="1"/>
        <v>#REF!</v>
      </c>
      <c r="S57" s="3"/>
      <c r="T57" t="e">
        <f>IF(ISBLANK('Master Submitted DPDs'!#REF!),"",'Master Submitted DPDs'!#REF!)</f>
        <v>#REF!</v>
      </c>
    </row>
    <row r="58" spans="1:20" ht="15" x14ac:dyDescent="0.2">
      <c r="A58" s="3" t="str">
        <f>IF(ISBLANK('Master Submitted DPDs'!#REF!),"","Local Plans")</f>
        <v>Local Plans</v>
      </c>
      <c r="B58" t="e">
        <f>IF(ISBLANK('Master Submitted DPDs'!#REF!),"",'Master Submitted DPDs'!#REF!)</f>
        <v>#REF!</v>
      </c>
      <c r="C58" s="3" t="str">
        <f>IF(ISBLANK('Master Submitted DPDs'!#REF!),"","IH")</f>
        <v>IH</v>
      </c>
      <c r="D58" s="3" t="e">
        <f>LOOKUP($F58,'fuzzy LPA lookup'!$E:$E,'fuzzy LPA lookup'!$A:$A)</f>
        <v>#REF!</v>
      </c>
      <c r="E58" s="3" t="e">
        <f>LOOKUP($F58,'fuzzy LPA lookup'!$E:$E,'fuzzy LPA lookup'!$D:$D)</f>
        <v>#REF!</v>
      </c>
      <c r="F58" s="8" t="e">
        <f>IF(ISBLANK('Master Submitted DPDs'!#REF!),"",'Master Submitted DPDs'!#REF!)</f>
        <v>#REF!</v>
      </c>
      <c r="G58" t="str">
        <f>IF(ISBLANK('Master Submitted DPDs'!#REF!),"","Withdrawn")</f>
        <v>Withdrawn</v>
      </c>
      <c r="H58" s="2" t="e">
        <f>IF(ISBLANK('Master Submitted DPDs'!#REF!),"",'Master Submitted DPDs'!#REF!)</f>
        <v>#REF!</v>
      </c>
      <c r="I58" s="3"/>
      <c r="J58" s="3"/>
      <c r="K58" s="3"/>
      <c r="L58" s="2" t="e">
        <f>IF(ISBLANK('Master Submitted DPDs'!#REF!),"",'Master Submitted DPDs'!#REF!)</f>
        <v>#REF!</v>
      </c>
      <c r="M58" s="2" t="e">
        <f t="shared" si="0"/>
        <v>#REF!</v>
      </c>
      <c r="N58" s="2" t="e">
        <f>IF(ISBLANK('Master Submitted DPDs'!#REF!),IF(ISBLANK('Master Submitted DPDs'!#REF!),"",'Master Submitted DPDs'!#REF!),'Master Submitted DPDs'!#REF!)</f>
        <v>#REF!</v>
      </c>
      <c r="O58" s="2" t="e">
        <f>IF(ISBLANK('Master Submitted DPDs'!#REF!),"",'Master Submitted DPDs'!#REF!)</f>
        <v>#REF!</v>
      </c>
      <c r="P58" s="2" t="e">
        <f>IF(ISBLANK('Master Submitted DPDs'!#REF!),"",'Master Submitted DPDs'!#REF!)</f>
        <v>#REF!</v>
      </c>
      <c r="Q58" t="e">
        <f>IF(ISBLANK('Master Submitted DPDs'!#REF!),"",'Master Submitted DPDs'!#REF!)</f>
        <v>#REF!</v>
      </c>
      <c r="R58" t="e">
        <f t="shared" si="1"/>
        <v>#REF!</v>
      </c>
      <c r="S58" s="3"/>
      <c r="T58" t="e">
        <f>IF(ISBLANK('Master Submitted DPDs'!#REF!),"",'Master Submitted DPDs'!#REF!)</f>
        <v>#REF!</v>
      </c>
    </row>
    <row r="59" spans="1:20" ht="15" x14ac:dyDescent="0.2">
      <c r="A59" s="3" t="str">
        <f>IF(ISBLANK('Master Submitted DPDs'!#REF!),"","Local Plans")</f>
        <v>Local Plans</v>
      </c>
      <c r="B59" t="e">
        <f>IF(ISBLANK('Master Submitted DPDs'!#REF!),"",'Master Submitted DPDs'!#REF!)</f>
        <v>#REF!</v>
      </c>
      <c r="C59" s="3" t="str">
        <f>IF(ISBLANK('Master Submitted DPDs'!#REF!),"","IH")</f>
        <v>IH</v>
      </c>
      <c r="D59" s="3" t="e">
        <f>LOOKUP($F59,'fuzzy LPA lookup'!$E:$E,'fuzzy LPA lookup'!$A:$A)</f>
        <v>#REF!</v>
      </c>
      <c r="E59" s="3" t="e">
        <f>LOOKUP($F59,'fuzzy LPA lookup'!$E:$E,'fuzzy LPA lookup'!$D:$D)</f>
        <v>#REF!</v>
      </c>
      <c r="F59" s="8" t="e">
        <f>IF(ISBLANK('Master Submitted DPDs'!#REF!),"",'Master Submitted DPDs'!#REF!)</f>
        <v>#REF!</v>
      </c>
      <c r="G59" t="str">
        <f>IF(ISBLANK('Master Submitted DPDs'!#REF!),"","Withdrawn")</f>
        <v>Withdrawn</v>
      </c>
      <c r="H59" s="2" t="e">
        <f>IF(ISBLANK('Master Submitted DPDs'!#REF!),"",'Master Submitted DPDs'!#REF!)</f>
        <v>#REF!</v>
      </c>
      <c r="I59" s="3"/>
      <c r="J59" s="3"/>
      <c r="K59" s="3"/>
      <c r="L59" s="2" t="e">
        <f>IF(ISBLANK('Master Submitted DPDs'!#REF!),"",'Master Submitted DPDs'!#REF!)</f>
        <v>#REF!</v>
      </c>
      <c r="M59" s="2" t="e">
        <f t="shared" si="0"/>
        <v>#REF!</v>
      </c>
      <c r="N59" s="2" t="e">
        <f>IF(ISBLANK('Master Submitted DPDs'!#REF!),IF(ISBLANK('Master Submitted DPDs'!#REF!),"",'Master Submitted DPDs'!#REF!),'Master Submitted DPDs'!#REF!)</f>
        <v>#REF!</v>
      </c>
      <c r="O59" s="2" t="e">
        <f>IF(ISBLANK('Master Submitted DPDs'!#REF!),"",'Master Submitted DPDs'!#REF!)</f>
        <v>#REF!</v>
      </c>
      <c r="P59" s="2" t="e">
        <f>IF(ISBLANK('Master Submitted DPDs'!#REF!),"",'Master Submitted DPDs'!#REF!)</f>
        <v>#REF!</v>
      </c>
      <c r="Q59" t="e">
        <f>IF(ISBLANK('Master Submitted DPDs'!#REF!),"",'Master Submitted DPDs'!#REF!)</f>
        <v>#REF!</v>
      </c>
      <c r="R59" t="e">
        <f t="shared" si="1"/>
        <v>#REF!</v>
      </c>
      <c r="S59" s="3"/>
      <c r="T59" t="e">
        <f>IF(ISBLANK('Master Submitted DPDs'!#REF!),"",'Master Submitted DPDs'!#REF!)</f>
        <v>#REF!</v>
      </c>
    </row>
    <row r="60" spans="1:20" ht="15" x14ac:dyDescent="0.2">
      <c r="A60" s="3" t="str">
        <f>IF(ISBLANK('Master Submitted DPDs'!#REF!),"","Local Plans")</f>
        <v>Local Plans</v>
      </c>
      <c r="B60" t="e">
        <f>IF(ISBLANK('Master Submitted DPDs'!#REF!),"",'Master Submitted DPDs'!#REF!)</f>
        <v>#REF!</v>
      </c>
      <c r="C60" s="3" t="str">
        <f>IF(ISBLANK('Master Submitted DPDs'!#REF!),"","IH")</f>
        <v>IH</v>
      </c>
      <c r="D60" s="3" t="e">
        <f>LOOKUP($F60,'fuzzy LPA lookup'!$E:$E,'fuzzy LPA lookup'!$A:$A)</f>
        <v>#REF!</v>
      </c>
      <c r="E60" s="3" t="e">
        <f>LOOKUP($F60,'fuzzy LPA lookup'!$E:$E,'fuzzy LPA lookup'!$D:$D)</f>
        <v>#REF!</v>
      </c>
      <c r="F60" s="8" t="e">
        <f>IF(ISBLANK('Master Submitted DPDs'!#REF!),"",'Master Submitted DPDs'!#REF!)</f>
        <v>#REF!</v>
      </c>
      <c r="G60" t="str">
        <f>IF(ISBLANK('Master Submitted DPDs'!#REF!),"","Withdrawn")</f>
        <v>Withdrawn</v>
      </c>
      <c r="H60" s="2" t="e">
        <f>IF(ISBLANK('Master Submitted DPDs'!#REF!),"",'Master Submitted DPDs'!#REF!)</f>
        <v>#REF!</v>
      </c>
      <c r="I60" s="3"/>
      <c r="J60" s="3"/>
      <c r="K60" s="3"/>
      <c r="L60" s="2" t="e">
        <f>IF(ISBLANK('Master Submitted DPDs'!#REF!),"",'Master Submitted DPDs'!#REF!)</f>
        <v>#REF!</v>
      </c>
      <c r="M60" s="2" t="e">
        <f t="shared" si="0"/>
        <v>#REF!</v>
      </c>
      <c r="N60" s="2" t="e">
        <f>IF(ISBLANK('Master Submitted DPDs'!#REF!),IF(ISBLANK('Master Submitted DPDs'!#REF!),"",'Master Submitted DPDs'!#REF!),'Master Submitted DPDs'!#REF!)</f>
        <v>#REF!</v>
      </c>
      <c r="O60" s="2" t="e">
        <f>IF(ISBLANK('Master Submitted DPDs'!#REF!),"",'Master Submitted DPDs'!#REF!)</f>
        <v>#REF!</v>
      </c>
      <c r="P60" s="2" t="e">
        <f>IF(ISBLANK('Master Submitted DPDs'!#REF!),"",'Master Submitted DPDs'!#REF!)</f>
        <v>#REF!</v>
      </c>
      <c r="Q60" t="e">
        <f>IF(ISBLANK('Master Submitted DPDs'!#REF!),"",'Master Submitted DPDs'!#REF!)</f>
        <v>#REF!</v>
      </c>
      <c r="R60" t="e">
        <f t="shared" si="1"/>
        <v>#REF!</v>
      </c>
      <c r="S60" s="3"/>
      <c r="T60" t="e">
        <f>IF(ISBLANK('Master Submitted DPDs'!#REF!),"",'Master Submitted DPDs'!#REF!)</f>
        <v>#REF!</v>
      </c>
    </row>
    <row r="61" spans="1:20" ht="15" x14ac:dyDescent="0.2">
      <c r="A61" s="3" t="str">
        <f>IF(ISBLANK('Master Submitted DPDs'!#REF!),"","Local Plans")</f>
        <v>Local Plans</v>
      </c>
      <c r="B61" t="e">
        <f>IF(ISBLANK('Master Submitted DPDs'!#REF!),"",'Master Submitted DPDs'!#REF!)</f>
        <v>#REF!</v>
      </c>
      <c r="C61" s="3" t="str">
        <f>IF(ISBLANK('Master Submitted DPDs'!#REF!),"","IH")</f>
        <v>IH</v>
      </c>
      <c r="D61" s="3" t="e">
        <f>LOOKUP($F61,'fuzzy LPA lookup'!$E:$E,'fuzzy LPA lookup'!$A:$A)</f>
        <v>#REF!</v>
      </c>
      <c r="E61" s="3" t="e">
        <f>LOOKUP($F61,'fuzzy LPA lookup'!$E:$E,'fuzzy LPA lookup'!$D:$D)</f>
        <v>#REF!</v>
      </c>
      <c r="F61" s="8" t="e">
        <f>IF(ISBLANK('Master Submitted DPDs'!#REF!),"",'Master Submitted DPDs'!#REF!)</f>
        <v>#REF!</v>
      </c>
      <c r="G61" t="str">
        <f>IF(ISBLANK('Master Submitted DPDs'!#REF!),"","Withdrawn")</f>
        <v>Withdrawn</v>
      </c>
      <c r="H61" s="2" t="e">
        <f>IF(ISBLANK('Master Submitted DPDs'!#REF!),"",'Master Submitted DPDs'!#REF!)</f>
        <v>#REF!</v>
      </c>
      <c r="I61" s="3"/>
      <c r="J61" s="3"/>
      <c r="K61" s="3"/>
      <c r="L61" s="2" t="e">
        <f>IF(ISBLANK('Master Submitted DPDs'!#REF!),"",'Master Submitted DPDs'!#REF!)</f>
        <v>#REF!</v>
      </c>
      <c r="M61" s="2" t="e">
        <f t="shared" si="0"/>
        <v>#REF!</v>
      </c>
      <c r="N61" s="2" t="e">
        <f>IF(ISBLANK('Master Submitted DPDs'!#REF!),IF(ISBLANK('Master Submitted DPDs'!#REF!),"",'Master Submitted DPDs'!#REF!),'Master Submitted DPDs'!#REF!)</f>
        <v>#REF!</v>
      </c>
      <c r="O61" s="2" t="e">
        <f>IF(ISBLANK('Master Submitted DPDs'!#REF!),"",'Master Submitted DPDs'!#REF!)</f>
        <v>#REF!</v>
      </c>
      <c r="P61" s="2" t="e">
        <f>IF(ISBLANK('Master Submitted DPDs'!#REF!),"",'Master Submitted DPDs'!#REF!)</f>
        <v>#REF!</v>
      </c>
      <c r="Q61" t="e">
        <f>IF(ISBLANK('Master Submitted DPDs'!#REF!),"",'Master Submitted DPDs'!#REF!)</f>
        <v>#REF!</v>
      </c>
      <c r="R61" t="e">
        <f t="shared" si="1"/>
        <v>#REF!</v>
      </c>
      <c r="S61" s="3"/>
      <c r="T61" t="e">
        <f>IF(ISBLANK('Master Submitted DPDs'!#REF!),"",'Master Submitted DPDs'!#REF!)</f>
        <v>#REF!</v>
      </c>
    </row>
    <row r="62" spans="1:20" ht="15" x14ac:dyDescent="0.2">
      <c r="A62" s="3" t="str">
        <f>IF(ISBLANK('Master Submitted DPDs'!#REF!),"","Local Plans")</f>
        <v>Local Plans</v>
      </c>
      <c r="B62" t="e">
        <f>IF(ISBLANK('Master Submitted DPDs'!#REF!),"",'Master Submitted DPDs'!#REF!)</f>
        <v>#REF!</v>
      </c>
      <c r="C62" s="3" t="str">
        <f>IF(ISBLANK('Master Submitted DPDs'!#REF!),"","IH")</f>
        <v>IH</v>
      </c>
      <c r="D62" s="3" t="e">
        <f>LOOKUP($F62,'fuzzy LPA lookup'!$E:$E,'fuzzy LPA lookup'!$A:$A)</f>
        <v>#REF!</v>
      </c>
      <c r="E62" s="3" t="e">
        <f>LOOKUP($F62,'fuzzy LPA lookup'!$E:$E,'fuzzy LPA lookup'!$D:$D)</f>
        <v>#REF!</v>
      </c>
      <c r="F62" s="8" t="e">
        <f>IF(ISBLANK('Master Submitted DPDs'!#REF!),"",'Master Submitted DPDs'!#REF!)</f>
        <v>#REF!</v>
      </c>
      <c r="G62" t="str">
        <f>IF(ISBLANK('Master Submitted DPDs'!#REF!),"","Withdrawn")</f>
        <v>Withdrawn</v>
      </c>
      <c r="H62" s="2" t="e">
        <f>IF(ISBLANK('Master Submitted DPDs'!#REF!),"",'Master Submitted DPDs'!#REF!)</f>
        <v>#REF!</v>
      </c>
      <c r="I62" s="3"/>
      <c r="J62" s="3"/>
      <c r="K62" s="3"/>
      <c r="L62" s="2" t="e">
        <f>IF(ISBLANK('Master Submitted DPDs'!#REF!),"",'Master Submitted DPDs'!#REF!)</f>
        <v>#REF!</v>
      </c>
      <c r="M62" s="2" t="e">
        <f t="shared" si="0"/>
        <v>#REF!</v>
      </c>
      <c r="N62" s="2" t="e">
        <f>IF(ISBLANK('Master Submitted DPDs'!#REF!),IF(ISBLANK('Master Submitted DPDs'!#REF!),"",'Master Submitted DPDs'!#REF!),'Master Submitted DPDs'!#REF!)</f>
        <v>#REF!</v>
      </c>
      <c r="O62" s="2" t="e">
        <f>IF(ISBLANK('Master Submitted DPDs'!#REF!),"",'Master Submitted DPDs'!#REF!)</f>
        <v>#REF!</v>
      </c>
      <c r="P62" s="2" t="e">
        <f>IF(ISBLANK('Master Submitted DPDs'!#REF!),"",'Master Submitted DPDs'!#REF!)</f>
        <v>#REF!</v>
      </c>
      <c r="Q62" t="e">
        <f>IF(ISBLANK('Master Submitted DPDs'!#REF!),"",'Master Submitted DPDs'!#REF!)</f>
        <v>#REF!</v>
      </c>
      <c r="R62" t="e">
        <f t="shared" si="1"/>
        <v>#REF!</v>
      </c>
      <c r="S62" s="3"/>
      <c r="T62" t="e">
        <f>IF(ISBLANK('Master Submitted DPDs'!#REF!),"",'Master Submitted DPDs'!#REF!)</f>
        <v>#REF!</v>
      </c>
    </row>
    <row r="63" spans="1:20" ht="15" x14ac:dyDescent="0.2">
      <c r="A63" s="3" t="str">
        <f>IF(ISBLANK('Master Submitted DPDs'!#REF!),"","Local Plans")</f>
        <v>Local Plans</v>
      </c>
      <c r="B63" t="e">
        <f>IF(ISBLANK('Master Submitted DPDs'!#REF!),"",'Master Submitted DPDs'!#REF!)</f>
        <v>#REF!</v>
      </c>
      <c r="C63" s="3" t="str">
        <f>IF(ISBLANK('Master Submitted DPDs'!#REF!),"","IH")</f>
        <v>IH</v>
      </c>
      <c r="D63" s="3" t="e">
        <f>LOOKUP($F63,'fuzzy LPA lookup'!$E:$E,'fuzzy LPA lookup'!$A:$A)</f>
        <v>#REF!</v>
      </c>
      <c r="E63" s="3" t="e">
        <f>LOOKUP($F63,'fuzzy LPA lookup'!$E:$E,'fuzzy LPA lookup'!$D:$D)</f>
        <v>#REF!</v>
      </c>
      <c r="F63" s="8" t="e">
        <f>IF(ISBLANK('Master Submitted DPDs'!#REF!),"",'Master Submitted DPDs'!#REF!)</f>
        <v>#REF!</v>
      </c>
      <c r="G63" t="str">
        <f>IF(ISBLANK('Master Submitted DPDs'!#REF!),"","Withdrawn")</f>
        <v>Withdrawn</v>
      </c>
      <c r="H63" s="2" t="e">
        <f>IF(ISBLANK('Master Submitted DPDs'!#REF!),"",'Master Submitted DPDs'!#REF!)</f>
        <v>#REF!</v>
      </c>
      <c r="I63" s="3"/>
      <c r="J63" s="3"/>
      <c r="K63" s="3"/>
      <c r="L63" s="2" t="e">
        <f>IF(ISBLANK('Master Submitted DPDs'!#REF!),"",'Master Submitted DPDs'!#REF!)</f>
        <v>#REF!</v>
      </c>
      <c r="M63" s="2" t="e">
        <f t="shared" si="0"/>
        <v>#REF!</v>
      </c>
      <c r="N63" s="2" t="e">
        <f>IF(ISBLANK('Master Submitted DPDs'!#REF!),IF(ISBLANK('Master Submitted DPDs'!#REF!),"",'Master Submitted DPDs'!#REF!),'Master Submitted DPDs'!#REF!)</f>
        <v>#REF!</v>
      </c>
      <c r="O63" s="2" t="e">
        <f>IF(ISBLANK('Master Submitted DPDs'!#REF!),"",'Master Submitted DPDs'!#REF!)</f>
        <v>#REF!</v>
      </c>
      <c r="P63" s="2" t="e">
        <f>IF(ISBLANK('Master Submitted DPDs'!#REF!),"",'Master Submitted DPDs'!#REF!)</f>
        <v>#REF!</v>
      </c>
      <c r="Q63" t="e">
        <f>IF(ISBLANK('Master Submitted DPDs'!#REF!),"",'Master Submitted DPDs'!#REF!)</f>
        <v>#REF!</v>
      </c>
      <c r="R63" t="e">
        <f t="shared" si="1"/>
        <v>#REF!</v>
      </c>
      <c r="S63" s="3"/>
      <c r="T63" t="e">
        <f>IF(ISBLANK('Master Submitted DPDs'!#REF!),"",'Master Submitted DPDs'!#REF!)</f>
        <v>#REF!</v>
      </c>
    </row>
    <row r="64" spans="1:20" ht="15" x14ac:dyDescent="0.2">
      <c r="A64" s="3" t="str">
        <f>IF(ISBLANK('Master Submitted DPDs'!#REF!),"","Local Plans")</f>
        <v>Local Plans</v>
      </c>
      <c r="B64" t="e">
        <f>IF(ISBLANK('Master Submitted DPDs'!#REF!),"",'Master Submitted DPDs'!#REF!)</f>
        <v>#REF!</v>
      </c>
      <c r="C64" s="3" t="str">
        <f>IF(ISBLANK('Master Submitted DPDs'!#REF!),"","IH")</f>
        <v>IH</v>
      </c>
      <c r="D64" s="3" t="e">
        <f>LOOKUP($F64,'fuzzy LPA lookup'!$E:$E,'fuzzy LPA lookup'!$A:$A)</f>
        <v>#REF!</v>
      </c>
      <c r="E64" s="3" t="e">
        <f>LOOKUP($F64,'fuzzy LPA lookup'!$E:$E,'fuzzy LPA lookup'!$D:$D)</f>
        <v>#REF!</v>
      </c>
      <c r="F64" s="8" t="e">
        <f>IF(ISBLANK('Master Submitted DPDs'!#REF!),"",'Master Submitted DPDs'!#REF!)</f>
        <v>#REF!</v>
      </c>
      <c r="G64" t="str">
        <f>IF(ISBLANK('Master Submitted DPDs'!#REF!),"","Withdrawn")</f>
        <v>Withdrawn</v>
      </c>
      <c r="H64" s="2" t="e">
        <f>IF(ISBLANK('Master Submitted DPDs'!#REF!),"",'Master Submitted DPDs'!#REF!)</f>
        <v>#REF!</v>
      </c>
      <c r="I64" s="3"/>
      <c r="J64" s="3"/>
      <c r="K64" s="3"/>
      <c r="L64" s="2" t="e">
        <f>IF(ISBLANK('Master Submitted DPDs'!#REF!),"",'Master Submitted DPDs'!#REF!)</f>
        <v>#REF!</v>
      </c>
      <c r="M64" s="2" t="e">
        <f t="shared" si="0"/>
        <v>#REF!</v>
      </c>
      <c r="N64" s="2" t="e">
        <f>IF(ISBLANK('Master Submitted DPDs'!#REF!),IF(ISBLANK('Master Submitted DPDs'!#REF!),"",'Master Submitted DPDs'!#REF!),'Master Submitted DPDs'!#REF!)</f>
        <v>#REF!</v>
      </c>
      <c r="O64" s="2" t="e">
        <f>IF(ISBLANK('Master Submitted DPDs'!#REF!),"",'Master Submitted DPDs'!#REF!)</f>
        <v>#REF!</v>
      </c>
      <c r="P64" s="2" t="e">
        <f>IF(ISBLANK('Master Submitted DPDs'!#REF!),"",'Master Submitted DPDs'!#REF!)</f>
        <v>#REF!</v>
      </c>
      <c r="Q64" t="e">
        <f>IF(ISBLANK('Master Submitted DPDs'!#REF!),"",'Master Submitted DPDs'!#REF!)</f>
        <v>#REF!</v>
      </c>
      <c r="R64" t="e">
        <f t="shared" si="1"/>
        <v>#REF!</v>
      </c>
      <c r="S64" s="3"/>
      <c r="T64" t="e">
        <f>IF(ISBLANK('Master Submitted DPDs'!#REF!),"",'Master Submitted DPDs'!#REF!)</f>
        <v>#REF!</v>
      </c>
    </row>
    <row r="65" spans="1:20" ht="15" x14ac:dyDescent="0.2">
      <c r="A65" s="3" t="str">
        <f>IF(ISBLANK('Master Submitted DPDs'!#REF!),"","Local Plans")</f>
        <v>Local Plans</v>
      </c>
      <c r="B65" t="e">
        <f>IF(ISBLANK('Master Submitted DPDs'!#REF!),"",'Master Submitted DPDs'!#REF!)</f>
        <v>#REF!</v>
      </c>
      <c r="C65" s="3" t="str">
        <f>IF(ISBLANK('Master Submitted DPDs'!#REF!),"","IH")</f>
        <v>IH</v>
      </c>
      <c r="D65" s="3" t="e">
        <f>LOOKUP($F65,'fuzzy LPA lookup'!$E:$E,'fuzzy LPA lookup'!$A:$A)</f>
        <v>#REF!</v>
      </c>
      <c r="E65" s="3" t="e">
        <f>LOOKUP($F65,'fuzzy LPA lookup'!$E:$E,'fuzzy LPA lookup'!$D:$D)</f>
        <v>#REF!</v>
      </c>
      <c r="F65" s="8" t="e">
        <f>IF(ISBLANK('Master Submitted DPDs'!#REF!),"",'Master Submitted DPDs'!#REF!)</f>
        <v>#REF!</v>
      </c>
      <c r="G65" t="str">
        <f>IF(ISBLANK('Master Submitted DPDs'!#REF!),"","Withdrawn")</f>
        <v>Withdrawn</v>
      </c>
      <c r="H65" s="2" t="e">
        <f>IF(ISBLANK('Master Submitted DPDs'!#REF!),"",'Master Submitted DPDs'!#REF!)</f>
        <v>#REF!</v>
      </c>
      <c r="I65" s="3"/>
      <c r="J65" s="3"/>
      <c r="K65" s="3"/>
      <c r="L65" s="2" t="e">
        <f>IF(ISBLANK('Master Submitted DPDs'!#REF!),"",'Master Submitted DPDs'!#REF!)</f>
        <v>#REF!</v>
      </c>
      <c r="M65" s="2" t="e">
        <f t="shared" si="0"/>
        <v>#REF!</v>
      </c>
      <c r="N65" s="2" t="e">
        <f>IF(ISBLANK('Master Submitted DPDs'!#REF!),IF(ISBLANK('Master Submitted DPDs'!#REF!),"",'Master Submitted DPDs'!#REF!),'Master Submitted DPDs'!#REF!)</f>
        <v>#REF!</v>
      </c>
      <c r="O65" s="2" t="e">
        <f>IF(ISBLANK('Master Submitted DPDs'!#REF!),"",'Master Submitted DPDs'!#REF!)</f>
        <v>#REF!</v>
      </c>
      <c r="P65" s="2" t="e">
        <f>IF(ISBLANK('Master Submitted DPDs'!#REF!),"",'Master Submitted DPDs'!#REF!)</f>
        <v>#REF!</v>
      </c>
      <c r="Q65" t="e">
        <f>IF(ISBLANK('Master Submitted DPDs'!#REF!),"",'Master Submitted DPDs'!#REF!)</f>
        <v>#REF!</v>
      </c>
      <c r="R65" t="e">
        <f t="shared" si="1"/>
        <v>#REF!</v>
      </c>
      <c r="S65" s="3"/>
      <c r="T65" t="e">
        <f>IF(ISBLANK('Master Submitted DPDs'!#REF!),"",'Master Submitted DPDs'!#REF!)</f>
        <v>#REF!</v>
      </c>
    </row>
    <row r="66" spans="1:20" ht="15" x14ac:dyDescent="0.2">
      <c r="A66" s="3" t="str">
        <f>IF(ISBLANK('Master Submitted DPDs'!#REF!),"","Local Plans")</f>
        <v>Local Plans</v>
      </c>
      <c r="B66" t="e">
        <f>IF(ISBLANK('Master Submitted DPDs'!#REF!),"",'Master Submitted DPDs'!#REF!)</f>
        <v>#REF!</v>
      </c>
      <c r="C66" s="3" t="str">
        <f>IF(ISBLANK('Master Submitted DPDs'!#REF!),"","IH")</f>
        <v>IH</v>
      </c>
      <c r="D66" s="3" t="e">
        <f>LOOKUP($F66,'fuzzy LPA lookup'!$E:$E,'fuzzy LPA lookup'!$A:$A)</f>
        <v>#REF!</v>
      </c>
      <c r="E66" s="3" t="e">
        <f>LOOKUP($F66,'fuzzy LPA lookup'!$E:$E,'fuzzy LPA lookup'!$D:$D)</f>
        <v>#REF!</v>
      </c>
      <c r="F66" s="8" t="e">
        <f>IF(ISBLANK('Master Submitted DPDs'!#REF!),"",'Master Submitted DPDs'!#REF!)</f>
        <v>#REF!</v>
      </c>
      <c r="G66" t="str">
        <f>IF(ISBLANK('Master Submitted DPDs'!#REF!),"","Withdrawn")</f>
        <v>Withdrawn</v>
      </c>
      <c r="H66" s="2" t="e">
        <f>IF(ISBLANK('Master Submitted DPDs'!#REF!),"",'Master Submitted DPDs'!#REF!)</f>
        <v>#REF!</v>
      </c>
      <c r="I66" s="3"/>
      <c r="J66" s="3"/>
      <c r="K66" s="3"/>
      <c r="L66" s="2" t="e">
        <f>IF(ISBLANK('Master Submitted DPDs'!#REF!),"",'Master Submitted DPDs'!#REF!)</f>
        <v>#REF!</v>
      </c>
      <c r="M66" s="2" t="e">
        <f t="shared" ref="M66:M129" si="2">L66</f>
        <v>#REF!</v>
      </c>
      <c r="N66" s="2" t="e">
        <f>IF(ISBLANK('Master Submitted DPDs'!#REF!),IF(ISBLANK('Master Submitted DPDs'!#REF!),"",'Master Submitted DPDs'!#REF!),'Master Submitted DPDs'!#REF!)</f>
        <v>#REF!</v>
      </c>
      <c r="O66" s="2" t="e">
        <f>IF(ISBLANK('Master Submitted DPDs'!#REF!),"",'Master Submitted DPDs'!#REF!)</f>
        <v>#REF!</v>
      </c>
      <c r="P66" s="2" t="e">
        <f>IF(ISBLANK('Master Submitted DPDs'!#REF!),"",'Master Submitted DPDs'!#REF!)</f>
        <v>#REF!</v>
      </c>
      <c r="Q66" t="e">
        <f>IF(ISBLANK('Master Submitted DPDs'!#REF!),"",'Master Submitted DPDs'!#REF!)</f>
        <v>#REF!</v>
      </c>
      <c r="R66" t="e">
        <f t="shared" ref="R66:R129" si="3">IF(F66="","",IF(AND(H66="",Q66&lt;&gt;"UNS",P66=""),"Open","Closed"))</f>
        <v>#REF!</v>
      </c>
      <c r="S66" s="3"/>
      <c r="T66" t="e">
        <f>IF(ISBLANK('Master Submitted DPDs'!#REF!),"",'Master Submitted DPDs'!#REF!)</f>
        <v>#REF!</v>
      </c>
    </row>
    <row r="67" spans="1:20" ht="15" x14ac:dyDescent="0.2">
      <c r="A67" s="3" t="str">
        <f>IF(ISBLANK('Master Submitted DPDs'!#REF!),"","Local Plans")</f>
        <v>Local Plans</v>
      </c>
      <c r="B67" t="e">
        <f>IF(ISBLANK('Master Submitted DPDs'!#REF!),"",'Master Submitted DPDs'!#REF!)</f>
        <v>#REF!</v>
      </c>
      <c r="C67" s="3" t="str">
        <f>IF(ISBLANK('Master Submitted DPDs'!#REF!),"","IH")</f>
        <v>IH</v>
      </c>
      <c r="D67" s="3" t="e">
        <f>LOOKUP($F67,'fuzzy LPA lookup'!$E:$E,'fuzzy LPA lookup'!$A:$A)</f>
        <v>#REF!</v>
      </c>
      <c r="E67" s="3" t="e">
        <f>LOOKUP($F67,'fuzzy LPA lookup'!$E:$E,'fuzzy LPA lookup'!$D:$D)</f>
        <v>#REF!</v>
      </c>
      <c r="F67" s="8" t="e">
        <f>IF(ISBLANK('Master Submitted DPDs'!#REF!),"",'Master Submitted DPDs'!#REF!)</f>
        <v>#REF!</v>
      </c>
      <c r="G67" t="str">
        <f>IF(ISBLANK('Master Submitted DPDs'!#REF!),"","Withdrawn")</f>
        <v>Withdrawn</v>
      </c>
      <c r="H67" s="2" t="e">
        <f>IF(ISBLANK('Master Submitted DPDs'!#REF!),"",'Master Submitted DPDs'!#REF!)</f>
        <v>#REF!</v>
      </c>
      <c r="I67" s="3"/>
      <c r="J67" s="3"/>
      <c r="K67" s="3"/>
      <c r="L67" s="2" t="e">
        <f>IF(ISBLANK('Master Submitted DPDs'!#REF!),"",'Master Submitted DPDs'!#REF!)</f>
        <v>#REF!</v>
      </c>
      <c r="M67" s="2" t="e">
        <f t="shared" si="2"/>
        <v>#REF!</v>
      </c>
      <c r="N67" s="2" t="e">
        <f>IF(ISBLANK('Master Submitted DPDs'!#REF!),IF(ISBLANK('Master Submitted DPDs'!#REF!),"",'Master Submitted DPDs'!#REF!),'Master Submitted DPDs'!#REF!)</f>
        <v>#REF!</v>
      </c>
      <c r="O67" s="2" t="e">
        <f>IF(ISBLANK('Master Submitted DPDs'!#REF!),"",'Master Submitted DPDs'!#REF!)</f>
        <v>#REF!</v>
      </c>
      <c r="P67" s="2" t="e">
        <f>IF(ISBLANK('Master Submitted DPDs'!#REF!),"",'Master Submitted DPDs'!#REF!)</f>
        <v>#REF!</v>
      </c>
      <c r="Q67" t="e">
        <f>IF(ISBLANK('Master Submitted DPDs'!#REF!),"",'Master Submitted DPDs'!#REF!)</f>
        <v>#REF!</v>
      </c>
      <c r="R67" t="e">
        <f t="shared" si="3"/>
        <v>#REF!</v>
      </c>
      <c r="S67" s="3"/>
      <c r="T67" t="e">
        <f>IF(ISBLANK('Master Submitted DPDs'!#REF!),"",'Master Submitted DPDs'!#REF!)</f>
        <v>#REF!</v>
      </c>
    </row>
    <row r="68" spans="1:20" ht="15" x14ac:dyDescent="0.2">
      <c r="A68" s="3" t="str">
        <f>IF(ISBLANK('Master Submitted DPDs'!#REF!),"","Local Plans")</f>
        <v>Local Plans</v>
      </c>
      <c r="B68" t="e">
        <f>IF(ISBLANK('Master Submitted DPDs'!#REF!),"",'Master Submitted DPDs'!#REF!)</f>
        <v>#REF!</v>
      </c>
      <c r="C68" s="3" t="str">
        <f>IF(ISBLANK('Master Submitted DPDs'!#REF!),"","IH")</f>
        <v>IH</v>
      </c>
      <c r="D68" s="3" t="e">
        <f>LOOKUP($F68,'fuzzy LPA lookup'!$E:$E,'fuzzy LPA lookup'!$A:$A)</f>
        <v>#REF!</v>
      </c>
      <c r="E68" s="3" t="e">
        <f>LOOKUP($F68,'fuzzy LPA lookup'!$E:$E,'fuzzy LPA lookup'!$D:$D)</f>
        <v>#REF!</v>
      </c>
      <c r="F68" s="8" t="e">
        <f>IF(ISBLANK('Master Submitted DPDs'!#REF!),"",'Master Submitted DPDs'!#REF!)</f>
        <v>#REF!</v>
      </c>
      <c r="G68" t="str">
        <f>IF(ISBLANK('Master Submitted DPDs'!#REF!),"","Withdrawn")</f>
        <v>Withdrawn</v>
      </c>
      <c r="H68" s="2" t="e">
        <f>IF(ISBLANK('Master Submitted DPDs'!#REF!),"",'Master Submitted DPDs'!#REF!)</f>
        <v>#REF!</v>
      </c>
      <c r="I68" s="3"/>
      <c r="J68" s="3"/>
      <c r="K68" s="3"/>
      <c r="L68" s="2" t="e">
        <f>IF(ISBLANK('Master Submitted DPDs'!#REF!),"",'Master Submitted DPDs'!#REF!)</f>
        <v>#REF!</v>
      </c>
      <c r="M68" s="2" t="e">
        <f t="shared" si="2"/>
        <v>#REF!</v>
      </c>
      <c r="N68" s="2" t="e">
        <f>IF(ISBLANK('Master Submitted DPDs'!#REF!),IF(ISBLANK('Master Submitted DPDs'!#REF!),"",'Master Submitted DPDs'!#REF!),'Master Submitted DPDs'!#REF!)</f>
        <v>#REF!</v>
      </c>
      <c r="O68" s="2" t="e">
        <f>IF(ISBLANK('Master Submitted DPDs'!#REF!),"",'Master Submitted DPDs'!#REF!)</f>
        <v>#REF!</v>
      </c>
      <c r="P68" s="2" t="e">
        <f>IF(ISBLANK('Master Submitted DPDs'!#REF!),"",'Master Submitted DPDs'!#REF!)</f>
        <v>#REF!</v>
      </c>
      <c r="Q68" t="e">
        <f>IF(ISBLANK('Master Submitted DPDs'!#REF!),"",'Master Submitted DPDs'!#REF!)</f>
        <v>#REF!</v>
      </c>
      <c r="R68" t="e">
        <f t="shared" si="3"/>
        <v>#REF!</v>
      </c>
      <c r="S68" s="3"/>
      <c r="T68" t="e">
        <f>IF(ISBLANK('Master Submitted DPDs'!#REF!),"",'Master Submitted DPDs'!#REF!)</f>
        <v>#REF!</v>
      </c>
    </row>
    <row r="69" spans="1:20" ht="15" x14ac:dyDescent="0.2">
      <c r="A69" s="3" t="str">
        <f>IF(ISBLANK('Master Submitted DPDs'!#REF!),"","Local Plans")</f>
        <v>Local Plans</v>
      </c>
      <c r="B69" t="e">
        <f>IF(ISBLANK('Master Submitted DPDs'!#REF!),"",'Master Submitted DPDs'!#REF!)</f>
        <v>#REF!</v>
      </c>
      <c r="C69" s="3" t="str">
        <f>IF(ISBLANK('Master Submitted DPDs'!#REF!),"","IH")</f>
        <v>IH</v>
      </c>
      <c r="D69" s="3" t="e">
        <f>LOOKUP($F69,'fuzzy LPA lookup'!$E:$E,'fuzzy LPA lookup'!$A:$A)</f>
        <v>#REF!</v>
      </c>
      <c r="E69" s="3" t="e">
        <f>LOOKUP($F69,'fuzzy LPA lookup'!$E:$E,'fuzzy LPA lookup'!$D:$D)</f>
        <v>#REF!</v>
      </c>
      <c r="F69" s="8" t="e">
        <f>IF(ISBLANK('Master Submitted DPDs'!#REF!),"",'Master Submitted DPDs'!#REF!)</f>
        <v>#REF!</v>
      </c>
      <c r="G69" t="str">
        <f>IF(ISBLANK('Master Submitted DPDs'!#REF!),"","Withdrawn")</f>
        <v>Withdrawn</v>
      </c>
      <c r="H69" s="2" t="e">
        <f>IF(ISBLANK('Master Submitted DPDs'!#REF!),"",'Master Submitted DPDs'!#REF!)</f>
        <v>#REF!</v>
      </c>
      <c r="I69" s="3"/>
      <c r="J69" s="3"/>
      <c r="K69" s="3"/>
      <c r="L69" s="2" t="e">
        <f>IF(ISBLANK('Master Submitted DPDs'!#REF!),"",'Master Submitted DPDs'!#REF!)</f>
        <v>#REF!</v>
      </c>
      <c r="M69" s="2" t="e">
        <f t="shared" si="2"/>
        <v>#REF!</v>
      </c>
      <c r="N69" s="2" t="e">
        <f>IF(ISBLANK('Master Submitted DPDs'!#REF!),IF(ISBLANK('Master Submitted DPDs'!#REF!),"",'Master Submitted DPDs'!#REF!),'Master Submitted DPDs'!#REF!)</f>
        <v>#REF!</v>
      </c>
      <c r="O69" s="2" t="e">
        <f>IF(ISBLANK('Master Submitted DPDs'!#REF!),"",'Master Submitted DPDs'!#REF!)</f>
        <v>#REF!</v>
      </c>
      <c r="P69" s="2" t="e">
        <f>IF(ISBLANK('Master Submitted DPDs'!#REF!),"",'Master Submitted DPDs'!#REF!)</f>
        <v>#REF!</v>
      </c>
      <c r="Q69" t="e">
        <f>IF(ISBLANK('Master Submitted DPDs'!#REF!),"",'Master Submitted DPDs'!#REF!)</f>
        <v>#REF!</v>
      </c>
      <c r="R69" t="e">
        <f t="shared" si="3"/>
        <v>#REF!</v>
      </c>
      <c r="S69" s="3"/>
      <c r="T69" t="e">
        <f>IF(ISBLANK('Master Submitted DPDs'!#REF!),"",'Master Submitted DPDs'!#REF!)</f>
        <v>#REF!</v>
      </c>
    </row>
    <row r="70" spans="1:20" ht="15" x14ac:dyDescent="0.2">
      <c r="A70" s="3" t="str">
        <f>IF(ISBLANK('Master Submitted DPDs'!#REF!),"","Local Plans")</f>
        <v>Local Plans</v>
      </c>
      <c r="B70" t="e">
        <f>IF(ISBLANK('Master Submitted DPDs'!#REF!),"",'Master Submitted DPDs'!#REF!)</f>
        <v>#REF!</v>
      </c>
      <c r="C70" s="3" t="str">
        <f>IF(ISBLANK('Master Submitted DPDs'!#REF!),"","IH")</f>
        <v>IH</v>
      </c>
      <c r="D70" s="3" t="e">
        <f>LOOKUP($F70,'fuzzy LPA lookup'!$E:$E,'fuzzy LPA lookup'!$A:$A)</f>
        <v>#REF!</v>
      </c>
      <c r="E70" s="3" t="e">
        <f>LOOKUP($F70,'fuzzy LPA lookup'!$E:$E,'fuzzy LPA lookup'!$D:$D)</f>
        <v>#REF!</v>
      </c>
      <c r="F70" s="8" t="e">
        <f>IF(ISBLANK('Master Submitted DPDs'!#REF!),"",'Master Submitted DPDs'!#REF!)</f>
        <v>#REF!</v>
      </c>
      <c r="G70" t="str">
        <f>IF(ISBLANK('Master Submitted DPDs'!#REF!),"","Withdrawn")</f>
        <v>Withdrawn</v>
      </c>
      <c r="H70" s="2" t="e">
        <f>IF(ISBLANK('Master Submitted DPDs'!#REF!),"",'Master Submitted DPDs'!#REF!)</f>
        <v>#REF!</v>
      </c>
      <c r="I70" s="3"/>
      <c r="J70" s="3"/>
      <c r="K70" s="3"/>
      <c r="L70" s="2" t="e">
        <f>IF(ISBLANK('Master Submitted DPDs'!#REF!),"",'Master Submitted DPDs'!#REF!)</f>
        <v>#REF!</v>
      </c>
      <c r="M70" s="2" t="e">
        <f t="shared" si="2"/>
        <v>#REF!</v>
      </c>
      <c r="N70" s="2" t="e">
        <f>IF(ISBLANK('Master Submitted DPDs'!#REF!),IF(ISBLANK('Master Submitted DPDs'!#REF!),"",'Master Submitted DPDs'!#REF!),'Master Submitted DPDs'!#REF!)</f>
        <v>#REF!</v>
      </c>
      <c r="O70" s="2" t="e">
        <f>IF(ISBLANK('Master Submitted DPDs'!#REF!),"",'Master Submitted DPDs'!#REF!)</f>
        <v>#REF!</v>
      </c>
      <c r="P70" s="2" t="e">
        <f>IF(ISBLANK('Master Submitted DPDs'!#REF!),"",'Master Submitted DPDs'!#REF!)</f>
        <v>#REF!</v>
      </c>
      <c r="Q70" t="e">
        <f>IF(ISBLANK('Master Submitted DPDs'!#REF!),"",'Master Submitted DPDs'!#REF!)</f>
        <v>#REF!</v>
      </c>
      <c r="R70" t="e">
        <f t="shared" si="3"/>
        <v>#REF!</v>
      </c>
      <c r="S70" s="3"/>
      <c r="T70" t="e">
        <f>IF(ISBLANK('Master Submitted DPDs'!#REF!),"",'Master Submitted DPDs'!#REF!)</f>
        <v>#REF!</v>
      </c>
    </row>
    <row r="71" spans="1:20" ht="15" x14ac:dyDescent="0.2">
      <c r="A71" s="3" t="str">
        <f>IF(ISBLANK('Master Submitted DPDs'!#REF!),"","Local Plans")</f>
        <v>Local Plans</v>
      </c>
      <c r="B71" t="e">
        <f>IF(ISBLANK('Master Submitted DPDs'!#REF!),"",'Master Submitted DPDs'!#REF!)</f>
        <v>#REF!</v>
      </c>
      <c r="C71" s="3" t="str">
        <f>IF(ISBLANK('Master Submitted DPDs'!#REF!),"","IH")</f>
        <v>IH</v>
      </c>
      <c r="D71" s="3" t="e">
        <f>LOOKUP($F71,'fuzzy LPA lookup'!$E:$E,'fuzzy LPA lookup'!$A:$A)</f>
        <v>#REF!</v>
      </c>
      <c r="E71" s="3" t="e">
        <f>LOOKUP($F71,'fuzzy LPA lookup'!$E:$E,'fuzzy LPA lookup'!$D:$D)</f>
        <v>#REF!</v>
      </c>
      <c r="F71" s="8" t="e">
        <f>IF(ISBLANK('Master Submitted DPDs'!#REF!),"",'Master Submitted DPDs'!#REF!)</f>
        <v>#REF!</v>
      </c>
      <c r="G71" t="str">
        <f>IF(ISBLANK('Master Submitted DPDs'!#REF!),"","Withdrawn")</f>
        <v>Withdrawn</v>
      </c>
      <c r="H71" s="2" t="e">
        <f>IF(ISBLANK('Master Submitted DPDs'!#REF!),"",'Master Submitted DPDs'!#REF!)</f>
        <v>#REF!</v>
      </c>
      <c r="I71" s="3"/>
      <c r="J71" s="3"/>
      <c r="K71" s="3"/>
      <c r="L71" s="2" t="e">
        <f>IF(ISBLANK('Master Submitted DPDs'!#REF!),"",'Master Submitted DPDs'!#REF!)</f>
        <v>#REF!</v>
      </c>
      <c r="M71" s="2" t="e">
        <f t="shared" si="2"/>
        <v>#REF!</v>
      </c>
      <c r="N71" s="2" t="e">
        <f>IF(ISBLANK('Master Submitted DPDs'!#REF!),IF(ISBLANK('Master Submitted DPDs'!#REF!),"",'Master Submitted DPDs'!#REF!),'Master Submitted DPDs'!#REF!)</f>
        <v>#REF!</v>
      </c>
      <c r="O71" s="2" t="e">
        <f>IF(ISBLANK('Master Submitted DPDs'!#REF!),"",'Master Submitted DPDs'!#REF!)</f>
        <v>#REF!</v>
      </c>
      <c r="P71" s="2" t="e">
        <f>IF(ISBLANK('Master Submitted DPDs'!#REF!),"",'Master Submitted DPDs'!#REF!)</f>
        <v>#REF!</v>
      </c>
      <c r="Q71" t="e">
        <f>IF(ISBLANK('Master Submitted DPDs'!#REF!),"",'Master Submitted DPDs'!#REF!)</f>
        <v>#REF!</v>
      </c>
      <c r="R71" t="e">
        <f t="shared" si="3"/>
        <v>#REF!</v>
      </c>
      <c r="S71" s="3"/>
      <c r="T71" t="e">
        <f>IF(ISBLANK('Master Submitted DPDs'!#REF!),"",'Master Submitted DPDs'!#REF!)</f>
        <v>#REF!</v>
      </c>
    </row>
    <row r="72" spans="1:20" ht="15" x14ac:dyDescent="0.2">
      <c r="A72" s="3" t="str">
        <f>IF(ISBLANK('Master Submitted DPDs'!#REF!),"","Local Plans")</f>
        <v>Local Plans</v>
      </c>
      <c r="B72" t="e">
        <f>IF(ISBLANK('Master Submitted DPDs'!#REF!),"",'Master Submitted DPDs'!#REF!)</f>
        <v>#REF!</v>
      </c>
      <c r="C72" s="3" t="str">
        <f>IF(ISBLANK('Master Submitted DPDs'!#REF!),"","IH")</f>
        <v>IH</v>
      </c>
      <c r="D72" s="3" t="e">
        <f>LOOKUP($F72,'fuzzy LPA lookup'!$E:$E,'fuzzy LPA lookup'!$A:$A)</f>
        <v>#REF!</v>
      </c>
      <c r="E72" s="3" t="e">
        <f>LOOKUP($F72,'fuzzy LPA lookup'!$E:$E,'fuzzy LPA lookup'!$D:$D)</f>
        <v>#REF!</v>
      </c>
      <c r="F72" s="8" t="e">
        <f>IF(ISBLANK('Master Submitted DPDs'!#REF!),"",'Master Submitted DPDs'!#REF!)</f>
        <v>#REF!</v>
      </c>
      <c r="G72" t="str">
        <f>IF(ISBLANK('Master Submitted DPDs'!#REF!),"","Withdrawn")</f>
        <v>Withdrawn</v>
      </c>
      <c r="H72" s="2" t="e">
        <f>IF(ISBLANK('Master Submitted DPDs'!#REF!),"",'Master Submitted DPDs'!#REF!)</f>
        <v>#REF!</v>
      </c>
      <c r="I72" s="3"/>
      <c r="J72" s="3"/>
      <c r="K72" s="3"/>
      <c r="L72" s="2" t="e">
        <f>IF(ISBLANK('Master Submitted DPDs'!#REF!),"",'Master Submitted DPDs'!#REF!)</f>
        <v>#REF!</v>
      </c>
      <c r="M72" s="2" t="e">
        <f t="shared" si="2"/>
        <v>#REF!</v>
      </c>
      <c r="N72" s="2" t="e">
        <f>IF(ISBLANK('Master Submitted DPDs'!#REF!),IF(ISBLANK('Master Submitted DPDs'!#REF!),"",'Master Submitted DPDs'!#REF!),'Master Submitted DPDs'!#REF!)</f>
        <v>#REF!</v>
      </c>
      <c r="O72" s="2" t="e">
        <f>IF(ISBLANK('Master Submitted DPDs'!#REF!),"",'Master Submitted DPDs'!#REF!)</f>
        <v>#REF!</v>
      </c>
      <c r="P72" s="2" t="e">
        <f>IF(ISBLANK('Master Submitted DPDs'!#REF!),"",'Master Submitted DPDs'!#REF!)</f>
        <v>#REF!</v>
      </c>
      <c r="Q72" t="e">
        <f>IF(ISBLANK('Master Submitted DPDs'!#REF!),"",'Master Submitted DPDs'!#REF!)</f>
        <v>#REF!</v>
      </c>
      <c r="R72" t="e">
        <f t="shared" si="3"/>
        <v>#REF!</v>
      </c>
      <c r="S72" s="3"/>
      <c r="T72" t="e">
        <f>IF(ISBLANK('Master Submitted DPDs'!#REF!),"",'Master Submitted DPDs'!#REF!)</f>
        <v>#REF!</v>
      </c>
    </row>
    <row r="73" spans="1:20" ht="15" x14ac:dyDescent="0.2">
      <c r="A73" s="3" t="str">
        <f>IF(ISBLANK('Master Submitted DPDs'!#REF!),"","Local Plans")</f>
        <v>Local Plans</v>
      </c>
      <c r="B73" t="e">
        <f>IF(ISBLANK('Master Submitted DPDs'!#REF!),"",'Master Submitted DPDs'!#REF!)</f>
        <v>#REF!</v>
      </c>
      <c r="C73" s="3" t="str">
        <f>IF(ISBLANK('Master Submitted DPDs'!#REF!),"","IH")</f>
        <v>IH</v>
      </c>
      <c r="D73" s="3" t="e">
        <f>LOOKUP($F73,'fuzzy LPA lookup'!$E:$E,'fuzzy LPA lookup'!$A:$A)</f>
        <v>#REF!</v>
      </c>
      <c r="E73" s="3" t="e">
        <f>LOOKUP($F73,'fuzzy LPA lookup'!$E:$E,'fuzzy LPA lookup'!$D:$D)</f>
        <v>#REF!</v>
      </c>
      <c r="F73" s="8" t="e">
        <f>IF(ISBLANK('Master Submitted DPDs'!#REF!),"",'Master Submitted DPDs'!#REF!)</f>
        <v>#REF!</v>
      </c>
      <c r="G73" t="str">
        <f>IF(ISBLANK('Master Submitted DPDs'!#REF!),"","Withdrawn")</f>
        <v>Withdrawn</v>
      </c>
      <c r="H73" s="2" t="e">
        <f>IF(ISBLANK('Master Submitted DPDs'!#REF!),"",'Master Submitted DPDs'!#REF!)</f>
        <v>#REF!</v>
      </c>
      <c r="I73" s="3"/>
      <c r="J73" s="3"/>
      <c r="K73" s="3"/>
      <c r="L73" s="2" t="e">
        <f>IF(ISBLANK('Master Submitted DPDs'!#REF!),"",'Master Submitted DPDs'!#REF!)</f>
        <v>#REF!</v>
      </c>
      <c r="M73" s="2" t="e">
        <f t="shared" si="2"/>
        <v>#REF!</v>
      </c>
      <c r="N73" s="2" t="e">
        <f>IF(ISBLANK('Master Submitted DPDs'!#REF!),IF(ISBLANK('Master Submitted DPDs'!#REF!),"",'Master Submitted DPDs'!#REF!),'Master Submitted DPDs'!#REF!)</f>
        <v>#REF!</v>
      </c>
      <c r="O73" s="2" t="e">
        <f>IF(ISBLANK('Master Submitted DPDs'!#REF!),"",'Master Submitted DPDs'!#REF!)</f>
        <v>#REF!</v>
      </c>
      <c r="P73" s="2" t="e">
        <f>IF(ISBLANK('Master Submitted DPDs'!#REF!),"",'Master Submitted DPDs'!#REF!)</f>
        <v>#REF!</v>
      </c>
      <c r="Q73" t="e">
        <f>IF(ISBLANK('Master Submitted DPDs'!#REF!),"",'Master Submitted DPDs'!#REF!)</f>
        <v>#REF!</v>
      </c>
      <c r="R73" t="e">
        <f t="shared" si="3"/>
        <v>#REF!</v>
      </c>
      <c r="S73" s="3"/>
      <c r="T73" t="e">
        <f>IF(ISBLANK('Master Submitted DPDs'!#REF!),"",'Master Submitted DPDs'!#REF!)</f>
        <v>#REF!</v>
      </c>
    </row>
    <row r="74" spans="1:20" ht="15" x14ac:dyDescent="0.2">
      <c r="A74" s="3" t="str">
        <f>IF(ISBLANK('Master Submitted DPDs'!#REF!),"","Local Plans")</f>
        <v>Local Plans</v>
      </c>
      <c r="B74" t="e">
        <f>IF(ISBLANK('Master Submitted DPDs'!#REF!),"",'Master Submitted DPDs'!#REF!)</f>
        <v>#REF!</v>
      </c>
      <c r="C74" s="3" t="str">
        <f>IF(ISBLANK('Master Submitted DPDs'!#REF!),"","IH")</f>
        <v>IH</v>
      </c>
      <c r="D74" s="3" t="e">
        <f>LOOKUP($F74,'fuzzy LPA lookup'!$E:$E,'fuzzy LPA lookup'!$A:$A)</f>
        <v>#REF!</v>
      </c>
      <c r="E74" s="3" t="e">
        <f>LOOKUP($F74,'fuzzy LPA lookup'!$E:$E,'fuzzy LPA lookup'!$D:$D)</f>
        <v>#REF!</v>
      </c>
      <c r="F74" s="8" t="e">
        <f>IF(ISBLANK('Master Submitted DPDs'!#REF!),"",'Master Submitted DPDs'!#REF!)</f>
        <v>#REF!</v>
      </c>
      <c r="G74" t="str">
        <f>IF(ISBLANK('Master Submitted DPDs'!#REF!),"","Withdrawn")</f>
        <v>Withdrawn</v>
      </c>
      <c r="H74" s="2" t="e">
        <f>IF(ISBLANK('Master Submitted DPDs'!#REF!),"",'Master Submitted DPDs'!#REF!)</f>
        <v>#REF!</v>
      </c>
      <c r="I74" s="3"/>
      <c r="J74" s="3"/>
      <c r="K74" s="3"/>
      <c r="L74" s="2" t="e">
        <f>IF(ISBLANK('Master Submitted DPDs'!#REF!),"",'Master Submitted DPDs'!#REF!)</f>
        <v>#REF!</v>
      </c>
      <c r="M74" s="2" t="e">
        <f t="shared" si="2"/>
        <v>#REF!</v>
      </c>
      <c r="N74" s="2" t="e">
        <f>IF(ISBLANK('Master Submitted DPDs'!#REF!),IF(ISBLANK('Master Submitted DPDs'!#REF!),"",'Master Submitted DPDs'!#REF!),'Master Submitted DPDs'!#REF!)</f>
        <v>#REF!</v>
      </c>
      <c r="O74" s="2" t="e">
        <f>IF(ISBLANK('Master Submitted DPDs'!#REF!),"",'Master Submitted DPDs'!#REF!)</f>
        <v>#REF!</v>
      </c>
      <c r="P74" s="2" t="e">
        <f>IF(ISBLANK('Master Submitted DPDs'!#REF!),"",'Master Submitted DPDs'!#REF!)</f>
        <v>#REF!</v>
      </c>
      <c r="Q74" t="e">
        <f>IF(ISBLANK('Master Submitted DPDs'!#REF!),"",'Master Submitted DPDs'!#REF!)</f>
        <v>#REF!</v>
      </c>
      <c r="R74" t="e">
        <f t="shared" si="3"/>
        <v>#REF!</v>
      </c>
      <c r="S74" s="3"/>
      <c r="T74" t="e">
        <f>IF(ISBLANK('Master Submitted DPDs'!#REF!),"",'Master Submitted DPDs'!#REF!)</f>
        <v>#REF!</v>
      </c>
    </row>
    <row r="75" spans="1:20" ht="15" x14ac:dyDescent="0.2">
      <c r="A75" s="3" t="str">
        <f>IF(ISBLANK('Master Submitted DPDs'!#REF!),"","Local Plans")</f>
        <v>Local Plans</v>
      </c>
      <c r="B75" t="e">
        <f>IF(ISBLANK('Master Submitted DPDs'!#REF!),"",'Master Submitted DPDs'!#REF!)</f>
        <v>#REF!</v>
      </c>
      <c r="C75" s="3" t="str">
        <f>IF(ISBLANK('Master Submitted DPDs'!#REF!),"","IH")</f>
        <v>IH</v>
      </c>
      <c r="D75" s="3" t="e">
        <f>LOOKUP($F75,'fuzzy LPA lookup'!$E:$E,'fuzzy LPA lookup'!$A:$A)</f>
        <v>#REF!</v>
      </c>
      <c r="E75" s="3" t="e">
        <f>LOOKUP($F75,'fuzzy LPA lookup'!$E:$E,'fuzzy LPA lookup'!$D:$D)</f>
        <v>#REF!</v>
      </c>
      <c r="F75" s="8" t="e">
        <f>IF(ISBLANK('Master Submitted DPDs'!#REF!),"",'Master Submitted DPDs'!#REF!)</f>
        <v>#REF!</v>
      </c>
      <c r="G75" t="str">
        <f>IF(ISBLANK('Master Submitted DPDs'!#REF!),"","Withdrawn")</f>
        <v>Withdrawn</v>
      </c>
      <c r="H75" s="2" t="e">
        <f>IF(ISBLANK('Master Submitted DPDs'!#REF!),"",'Master Submitted DPDs'!#REF!)</f>
        <v>#REF!</v>
      </c>
      <c r="I75" s="3"/>
      <c r="J75" s="3"/>
      <c r="K75" s="3"/>
      <c r="L75" s="2" t="e">
        <f>IF(ISBLANK('Master Submitted DPDs'!#REF!),"",'Master Submitted DPDs'!#REF!)</f>
        <v>#REF!</v>
      </c>
      <c r="M75" s="2" t="e">
        <f t="shared" si="2"/>
        <v>#REF!</v>
      </c>
      <c r="N75" s="2" t="e">
        <f>IF(ISBLANK('Master Submitted DPDs'!#REF!),IF(ISBLANK('Master Submitted DPDs'!#REF!),"",'Master Submitted DPDs'!#REF!),'Master Submitted DPDs'!#REF!)</f>
        <v>#REF!</v>
      </c>
      <c r="O75" s="2" t="e">
        <f>IF(ISBLANK('Master Submitted DPDs'!#REF!),"",'Master Submitted DPDs'!#REF!)</f>
        <v>#REF!</v>
      </c>
      <c r="P75" s="2" t="e">
        <f>IF(ISBLANK('Master Submitted DPDs'!#REF!),"",'Master Submitted DPDs'!#REF!)</f>
        <v>#REF!</v>
      </c>
      <c r="Q75" t="e">
        <f>IF(ISBLANK('Master Submitted DPDs'!#REF!),"",'Master Submitted DPDs'!#REF!)</f>
        <v>#REF!</v>
      </c>
      <c r="R75" t="e">
        <f t="shared" si="3"/>
        <v>#REF!</v>
      </c>
      <c r="S75" s="3"/>
      <c r="T75" t="e">
        <f>IF(ISBLANK('Master Submitted DPDs'!#REF!),"",'Master Submitted DPDs'!#REF!)</f>
        <v>#REF!</v>
      </c>
    </row>
    <row r="76" spans="1:20" ht="15" x14ac:dyDescent="0.2">
      <c r="A76" s="3" t="str">
        <f>IF(ISBLANK('Master Submitted DPDs'!#REF!),"","Local Plans")</f>
        <v>Local Plans</v>
      </c>
      <c r="B76" t="e">
        <f>IF(ISBLANK('Master Submitted DPDs'!#REF!),"",'Master Submitted DPDs'!#REF!)</f>
        <v>#REF!</v>
      </c>
      <c r="C76" s="3" t="str">
        <f>IF(ISBLANK('Master Submitted DPDs'!#REF!),"","IH")</f>
        <v>IH</v>
      </c>
      <c r="D76" s="3" t="e">
        <f>LOOKUP($F76,'fuzzy LPA lookup'!$E:$E,'fuzzy LPA lookup'!$A:$A)</f>
        <v>#REF!</v>
      </c>
      <c r="E76" s="3" t="e">
        <f>LOOKUP($F76,'fuzzy LPA lookup'!$E:$E,'fuzzy LPA lookup'!$D:$D)</f>
        <v>#REF!</v>
      </c>
      <c r="F76" s="8" t="e">
        <f>IF(ISBLANK('Master Submitted DPDs'!#REF!),"",'Master Submitted DPDs'!#REF!)</f>
        <v>#REF!</v>
      </c>
      <c r="G76" t="str">
        <f>IF(ISBLANK('Master Submitted DPDs'!#REF!),"","Withdrawn")</f>
        <v>Withdrawn</v>
      </c>
      <c r="H76" s="2" t="e">
        <f>IF(ISBLANK('Master Submitted DPDs'!#REF!),"",'Master Submitted DPDs'!#REF!)</f>
        <v>#REF!</v>
      </c>
      <c r="I76" s="3"/>
      <c r="J76" s="3"/>
      <c r="K76" s="3"/>
      <c r="L76" s="2" t="e">
        <f>IF(ISBLANK('Master Submitted DPDs'!#REF!),"",'Master Submitted DPDs'!#REF!)</f>
        <v>#REF!</v>
      </c>
      <c r="M76" s="2" t="e">
        <f t="shared" si="2"/>
        <v>#REF!</v>
      </c>
      <c r="N76" s="2" t="e">
        <f>IF(ISBLANK('Master Submitted DPDs'!#REF!),IF(ISBLANK('Master Submitted DPDs'!#REF!),"",'Master Submitted DPDs'!#REF!),'Master Submitted DPDs'!#REF!)</f>
        <v>#REF!</v>
      </c>
      <c r="O76" s="2" t="e">
        <f>IF(ISBLANK('Master Submitted DPDs'!#REF!),"",'Master Submitted DPDs'!#REF!)</f>
        <v>#REF!</v>
      </c>
      <c r="P76" s="2" t="e">
        <f>IF(ISBLANK('Master Submitted DPDs'!#REF!),"",'Master Submitted DPDs'!#REF!)</f>
        <v>#REF!</v>
      </c>
      <c r="Q76" t="e">
        <f>IF(ISBLANK('Master Submitted DPDs'!#REF!),"",'Master Submitted DPDs'!#REF!)</f>
        <v>#REF!</v>
      </c>
      <c r="R76" t="e">
        <f t="shared" si="3"/>
        <v>#REF!</v>
      </c>
      <c r="S76" s="3"/>
      <c r="T76" t="e">
        <f>IF(ISBLANK('Master Submitted DPDs'!#REF!),"",'Master Submitted DPDs'!#REF!)</f>
        <v>#REF!</v>
      </c>
    </row>
    <row r="77" spans="1:20" ht="15" x14ac:dyDescent="0.2">
      <c r="A77" s="3" t="str">
        <f>IF(ISBLANK('Master Submitted DPDs'!#REF!),"","Local Plans")</f>
        <v>Local Plans</v>
      </c>
      <c r="B77" t="e">
        <f>IF(ISBLANK('Master Submitted DPDs'!#REF!),"",'Master Submitted DPDs'!#REF!)</f>
        <v>#REF!</v>
      </c>
      <c r="C77" s="3" t="str">
        <f>IF(ISBLANK('Master Submitted DPDs'!#REF!),"","IH")</f>
        <v>IH</v>
      </c>
      <c r="D77" s="3" t="e">
        <f>LOOKUP($F77,'fuzzy LPA lookup'!$E:$E,'fuzzy LPA lookup'!$A:$A)</f>
        <v>#REF!</v>
      </c>
      <c r="E77" s="3" t="e">
        <f>LOOKUP($F77,'fuzzy LPA lookup'!$E:$E,'fuzzy LPA lookup'!$D:$D)</f>
        <v>#REF!</v>
      </c>
      <c r="F77" s="8" t="e">
        <f>IF(ISBLANK('Master Submitted DPDs'!#REF!),"",'Master Submitted DPDs'!#REF!)</f>
        <v>#REF!</v>
      </c>
      <c r="G77" t="str">
        <f>IF(ISBLANK('Master Submitted DPDs'!#REF!),"","Withdrawn")</f>
        <v>Withdrawn</v>
      </c>
      <c r="H77" s="2" t="e">
        <f>IF(ISBLANK('Master Submitted DPDs'!#REF!),"",'Master Submitted DPDs'!#REF!)</f>
        <v>#REF!</v>
      </c>
      <c r="I77" s="3"/>
      <c r="J77" s="3"/>
      <c r="K77" s="3"/>
      <c r="L77" s="2" t="e">
        <f>IF(ISBLANK('Master Submitted DPDs'!#REF!),"",'Master Submitted DPDs'!#REF!)</f>
        <v>#REF!</v>
      </c>
      <c r="M77" s="2" t="e">
        <f t="shared" si="2"/>
        <v>#REF!</v>
      </c>
      <c r="N77" s="2" t="e">
        <f>IF(ISBLANK('Master Submitted DPDs'!#REF!),IF(ISBLANK('Master Submitted DPDs'!#REF!),"",'Master Submitted DPDs'!#REF!),'Master Submitted DPDs'!#REF!)</f>
        <v>#REF!</v>
      </c>
      <c r="O77" s="2" t="e">
        <f>IF(ISBLANK('Master Submitted DPDs'!#REF!),"",'Master Submitted DPDs'!#REF!)</f>
        <v>#REF!</v>
      </c>
      <c r="P77" s="2" t="e">
        <f>IF(ISBLANK('Master Submitted DPDs'!#REF!),"",'Master Submitted DPDs'!#REF!)</f>
        <v>#REF!</v>
      </c>
      <c r="Q77" t="e">
        <f>IF(ISBLANK('Master Submitted DPDs'!#REF!),"",'Master Submitted DPDs'!#REF!)</f>
        <v>#REF!</v>
      </c>
      <c r="R77" t="e">
        <f t="shared" si="3"/>
        <v>#REF!</v>
      </c>
      <c r="S77" s="3"/>
      <c r="T77" t="e">
        <f>IF(ISBLANK('Master Submitted DPDs'!#REF!),"",'Master Submitted DPDs'!#REF!)</f>
        <v>#REF!</v>
      </c>
    </row>
    <row r="78" spans="1:20" ht="15" x14ac:dyDescent="0.2">
      <c r="A78" s="3" t="str">
        <f>IF(ISBLANK('Master Submitted DPDs'!#REF!),"","Local Plans")</f>
        <v>Local Plans</v>
      </c>
      <c r="B78" t="e">
        <f>IF(ISBLANK('Master Submitted DPDs'!#REF!),"",'Master Submitted DPDs'!#REF!)</f>
        <v>#REF!</v>
      </c>
      <c r="C78" s="3" t="str">
        <f>IF(ISBLANK('Master Submitted DPDs'!#REF!),"","IH")</f>
        <v>IH</v>
      </c>
      <c r="D78" s="3" t="e">
        <f>LOOKUP($F78,'fuzzy LPA lookup'!$E:$E,'fuzzy LPA lookup'!$A:$A)</f>
        <v>#REF!</v>
      </c>
      <c r="E78" s="3" t="e">
        <f>LOOKUP($F78,'fuzzy LPA lookup'!$E:$E,'fuzzy LPA lookup'!$D:$D)</f>
        <v>#REF!</v>
      </c>
      <c r="F78" s="8" t="e">
        <f>IF(ISBLANK('Master Submitted DPDs'!#REF!),"",'Master Submitted DPDs'!#REF!)</f>
        <v>#REF!</v>
      </c>
      <c r="G78" t="str">
        <f>IF(ISBLANK('Master Submitted DPDs'!#REF!),"","Withdrawn")</f>
        <v>Withdrawn</v>
      </c>
      <c r="H78" s="2" t="e">
        <f>IF(ISBLANK('Master Submitted DPDs'!#REF!),"",'Master Submitted DPDs'!#REF!)</f>
        <v>#REF!</v>
      </c>
      <c r="I78" s="3"/>
      <c r="J78" s="3"/>
      <c r="K78" s="3"/>
      <c r="L78" s="2" t="e">
        <f>IF(ISBLANK('Master Submitted DPDs'!#REF!),"",'Master Submitted DPDs'!#REF!)</f>
        <v>#REF!</v>
      </c>
      <c r="M78" s="2" t="e">
        <f t="shared" si="2"/>
        <v>#REF!</v>
      </c>
      <c r="N78" s="2" t="e">
        <f>IF(ISBLANK('Master Submitted DPDs'!#REF!),IF(ISBLANK('Master Submitted DPDs'!#REF!),"",'Master Submitted DPDs'!#REF!),'Master Submitted DPDs'!#REF!)</f>
        <v>#REF!</v>
      </c>
      <c r="O78" s="2" t="e">
        <f>IF(ISBLANK('Master Submitted DPDs'!#REF!),"",'Master Submitted DPDs'!#REF!)</f>
        <v>#REF!</v>
      </c>
      <c r="P78" s="2" t="e">
        <f>IF(ISBLANK('Master Submitted DPDs'!#REF!),"",'Master Submitted DPDs'!#REF!)</f>
        <v>#REF!</v>
      </c>
      <c r="Q78" t="e">
        <f>IF(ISBLANK('Master Submitted DPDs'!#REF!),"",'Master Submitted DPDs'!#REF!)</f>
        <v>#REF!</v>
      </c>
      <c r="R78" t="e">
        <f t="shared" si="3"/>
        <v>#REF!</v>
      </c>
      <c r="S78" s="3"/>
      <c r="T78" t="e">
        <f>IF(ISBLANK('Master Submitted DPDs'!#REF!),"",'Master Submitted DPDs'!#REF!)</f>
        <v>#REF!</v>
      </c>
    </row>
    <row r="79" spans="1:20" ht="15" x14ac:dyDescent="0.2">
      <c r="A79" s="3" t="str">
        <f>IF(ISBLANK('Master Submitted DPDs'!#REF!),"","Local Plans")</f>
        <v>Local Plans</v>
      </c>
      <c r="B79" t="e">
        <f>IF(ISBLANK('Master Submitted DPDs'!#REF!),"",'Master Submitted DPDs'!#REF!)</f>
        <v>#REF!</v>
      </c>
      <c r="C79" s="3" t="str">
        <f>IF(ISBLANK('Master Submitted DPDs'!#REF!),"","IH")</f>
        <v>IH</v>
      </c>
      <c r="D79" s="3" t="e">
        <f>LOOKUP($F79,'fuzzy LPA lookup'!$E:$E,'fuzzy LPA lookup'!$A:$A)</f>
        <v>#REF!</v>
      </c>
      <c r="E79" s="3" t="e">
        <f>LOOKUP($F79,'fuzzy LPA lookup'!$E:$E,'fuzzy LPA lookup'!$D:$D)</f>
        <v>#REF!</v>
      </c>
      <c r="F79" s="8" t="e">
        <f>IF(ISBLANK('Master Submitted DPDs'!#REF!),"",'Master Submitted DPDs'!#REF!)</f>
        <v>#REF!</v>
      </c>
      <c r="G79" t="str">
        <f>IF(ISBLANK('Master Submitted DPDs'!#REF!),"","Withdrawn")</f>
        <v>Withdrawn</v>
      </c>
      <c r="H79" s="2" t="e">
        <f>IF(ISBLANK('Master Submitted DPDs'!#REF!),"",'Master Submitted DPDs'!#REF!)</f>
        <v>#REF!</v>
      </c>
      <c r="I79" s="3"/>
      <c r="J79" s="3"/>
      <c r="K79" s="3"/>
      <c r="L79" s="2" t="e">
        <f>IF(ISBLANK('Master Submitted DPDs'!#REF!),"",'Master Submitted DPDs'!#REF!)</f>
        <v>#REF!</v>
      </c>
      <c r="M79" s="2" t="e">
        <f t="shared" si="2"/>
        <v>#REF!</v>
      </c>
      <c r="N79" s="2" t="e">
        <f>IF(ISBLANK('Master Submitted DPDs'!#REF!),IF(ISBLANK('Master Submitted DPDs'!#REF!),"",'Master Submitted DPDs'!#REF!),'Master Submitted DPDs'!#REF!)</f>
        <v>#REF!</v>
      </c>
      <c r="O79" s="2" t="e">
        <f>IF(ISBLANK('Master Submitted DPDs'!#REF!),"",'Master Submitted DPDs'!#REF!)</f>
        <v>#REF!</v>
      </c>
      <c r="P79" s="2" t="e">
        <f>IF(ISBLANK('Master Submitted DPDs'!#REF!),"",'Master Submitted DPDs'!#REF!)</f>
        <v>#REF!</v>
      </c>
      <c r="Q79" t="e">
        <f>IF(ISBLANK('Master Submitted DPDs'!#REF!),"",'Master Submitted DPDs'!#REF!)</f>
        <v>#REF!</v>
      </c>
      <c r="R79" t="e">
        <f t="shared" si="3"/>
        <v>#REF!</v>
      </c>
      <c r="S79" s="3"/>
      <c r="T79" t="e">
        <f>IF(ISBLANK('Master Submitted DPDs'!#REF!),"",'Master Submitted DPDs'!#REF!)</f>
        <v>#REF!</v>
      </c>
    </row>
    <row r="80" spans="1:20" ht="15" x14ac:dyDescent="0.2">
      <c r="A80" s="3" t="str">
        <f>IF(ISBLANK('Master Submitted DPDs'!#REF!),"","Local Plans")</f>
        <v>Local Plans</v>
      </c>
      <c r="B80" t="e">
        <f>IF(ISBLANK('Master Submitted DPDs'!#REF!),"",'Master Submitted DPDs'!#REF!)</f>
        <v>#REF!</v>
      </c>
      <c r="C80" s="3" t="str">
        <f>IF(ISBLANK('Master Submitted DPDs'!#REF!),"","IH")</f>
        <v>IH</v>
      </c>
      <c r="D80" s="3" t="e">
        <f>LOOKUP($F80,'fuzzy LPA lookup'!$E:$E,'fuzzy LPA lookup'!$A:$A)</f>
        <v>#REF!</v>
      </c>
      <c r="E80" s="3" t="e">
        <f>LOOKUP($F80,'fuzzy LPA lookup'!$E:$E,'fuzzy LPA lookup'!$D:$D)</f>
        <v>#REF!</v>
      </c>
      <c r="F80" s="8" t="e">
        <f>IF(ISBLANK('Master Submitted DPDs'!#REF!),"",'Master Submitted DPDs'!#REF!)</f>
        <v>#REF!</v>
      </c>
      <c r="G80" t="str">
        <f>IF(ISBLANK('Master Submitted DPDs'!#REF!),"","Withdrawn")</f>
        <v>Withdrawn</v>
      </c>
      <c r="H80" s="2" t="e">
        <f>IF(ISBLANK('Master Submitted DPDs'!#REF!),"",'Master Submitted DPDs'!#REF!)</f>
        <v>#REF!</v>
      </c>
      <c r="I80" s="3"/>
      <c r="J80" s="3"/>
      <c r="K80" s="3"/>
      <c r="L80" s="2" t="e">
        <f>IF(ISBLANK('Master Submitted DPDs'!#REF!),"",'Master Submitted DPDs'!#REF!)</f>
        <v>#REF!</v>
      </c>
      <c r="M80" s="2" t="e">
        <f t="shared" si="2"/>
        <v>#REF!</v>
      </c>
      <c r="N80" s="2" t="e">
        <f>IF(ISBLANK('Master Submitted DPDs'!#REF!),IF(ISBLANK('Master Submitted DPDs'!#REF!),"",'Master Submitted DPDs'!#REF!),'Master Submitted DPDs'!#REF!)</f>
        <v>#REF!</v>
      </c>
      <c r="O80" s="2" t="e">
        <f>IF(ISBLANK('Master Submitted DPDs'!#REF!),"",'Master Submitted DPDs'!#REF!)</f>
        <v>#REF!</v>
      </c>
      <c r="P80" s="2" t="e">
        <f>IF(ISBLANK('Master Submitted DPDs'!#REF!),"",'Master Submitted DPDs'!#REF!)</f>
        <v>#REF!</v>
      </c>
      <c r="Q80" t="e">
        <f>IF(ISBLANK('Master Submitted DPDs'!#REF!),"",'Master Submitted DPDs'!#REF!)</f>
        <v>#REF!</v>
      </c>
      <c r="R80" t="e">
        <f t="shared" si="3"/>
        <v>#REF!</v>
      </c>
      <c r="S80" s="3"/>
      <c r="T80" t="e">
        <f>IF(ISBLANK('Master Submitted DPDs'!#REF!),"",'Master Submitted DPDs'!#REF!)</f>
        <v>#REF!</v>
      </c>
    </row>
    <row r="81" spans="1:20" ht="15" x14ac:dyDescent="0.2">
      <c r="A81" s="3" t="str">
        <f>IF(ISBLANK('Master Submitted DPDs'!#REF!),"","Local Plans")</f>
        <v>Local Plans</v>
      </c>
      <c r="B81" t="e">
        <f>IF(ISBLANK('Master Submitted DPDs'!#REF!),"",'Master Submitted DPDs'!#REF!)</f>
        <v>#REF!</v>
      </c>
      <c r="C81" s="3" t="str">
        <f>IF(ISBLANK('Master Submitted DPDs'!#REF!),"","IH")</f>
        <v>IH</v>
      </c>
      <c r="D81" s="3" t="e">
        <f>LOOKUP($F81,'fuzzy LPA lookup'!$E:$E,'fuzzy LPA lookup'!$A:$A)</f>
        <v>#REF!</v>
      </c>
      <c r="E81" s="3" t="e">
        <f>LOOKUP($F81,'fuzzy LPA lookup'!$E:$E,'fuzzy LPA lookup'!$D:$D)</f>
        <v>#REF!</v>
      </c>
      <c r="F81" s="8" t="e">
        <f>IF(ISBLANK('Master Submitted DPDs'!#REF!),"",'Master Submitted DPDs'!#REF!)</f>
        <v>#REF!</v>
      </c>
      <c r="G81" t="str">
        <f>IF(ISBLANK('Master Submitted DPDs'!#REF!),"","Withdrawn")</f>
        <v>Withdrawn</v>
      </c>
      <c r="H81" s="2" t="e">
        <f>IF(ISBLANK('Master Submitted DPDs'!#REF!),"",'Master Submitted DPDs'!#REF!)</f>
        <v>#REF!</v>
      </c>
      <c r="I81" s="3"/>
      <c r="J81" s="3"/>
      <c r="K81" s="3"/>
      <c r="L81" s="2" t="e">
        <f>IF(ISBLANK('Master Submitted DPDs'!#REF!),"",'Master Submitted DPDs'!#REF!)</f>
        <v>#REF!</v>
      </c>
      <c r="M81" s="2" t="e">
        <f t="shared" si="2"/>
        <v>#REF!</v>
      </c>
      <c r="N81" s="2" t="e">
        <f>IF(ISBLANK('Master Submitted DPDs'!#REF!),IF(ISBLANK('Master Submitted DPDs'!#REF!),"",'Master Submitted DPDs'!#REF!),'Master Submitted DPDs'!#REF!)</f>
        <v>#REF!</v>
      </c>
      <c r="O81" s="2" t="e">
        <f>IF(ISBLANK('Master Submitted DPDs'!#REF!),"",'Master Submitted DPDs'!#REF!)</f>
        <v>#REF!</v>
      </c>
      <c r="P81" s="2" t="e">
        <f>IF(ISBLANK('Master Submitted DPDs'!#REF!),"",'Master Submitted DPDs'!#REF!)</f>
        <v>#REF!</v>
      </c>
      <c r="Q81" t="e">
        <f>IF(ISBLANK('Master Submitted DPDs'!#REF!),"",'Master Submitted DPDs'!#REF!)</f>
        <v>#REF!</v>
      </c>
      <c r="R81" t="e">
        <f t="shared" si="3"/>
        <v>#REF!</v>
      </c>
      <c r="S81" s="3"/>
      <c r="T81" t="e">
        <f>IF(ISBLANK('Master Submitted DPDs'!#REF!),"",'Master Submitted DPDs'!#REF!)</f>
        <v>#REF!</v>
      </c>
    </row>
    <row r="82" spans="1:20" ht="15" x14ac:dyDescent="0.2">
      <c r="A82" s="3" t="str">
        <f>IF(ISBLANK('Master Submitted DPDs'!#REF!),"","Local Plans")</f>
        <v>Local Plans</v>
      </c>
      <c r="B82" t="e">
        <f>IF(ISBLANK('Master Submitted DPDs'!#REF!),"",'Master Submitted DPDs'!#REF!)</f>
        <v>#REF!</v>
      </c>
      <c r="C82" s="3" t="str">
        <f>IF(ISBLANK('Master Submitted DPDs'!#REF!),"","IH")</f>
        <v>IH</v>
      </c>
      <c r="D82" s="3" t="e">
        <f>LOOKUP($F82,'fuzzy LPA lookup'!$E:$E,'fuzzy LPA lookup'!$A:$A)</f>
        <v>#REF!</v>
      </c>
      <c r="E82" s="3" t="e">
        <f>LOOKUP($F82,'fuzzy LPA lookup'!$E:$E,'fuzzy LPA lookup'!$D:$D)</f>
        <v>#REF!</v>
      </c>
      <c r="F82" s="8" t="e">
        <f>IF(ISBLANK('Master Submitted DPDs'!#REF!),"",'Master Submitted DPDs'!#REF!)</f>
        <v>#REF!</v>
      </c>
      <c r="G82" t="str">
        <f>IF(ISBLANK('Master Submitted DPDs'!#REF!),"","Withdrawn")</f>
        <v>Withdrawn</v>
      </c>
      <c r="H82" s="2" t="e">
        <f>IF(ISBLANK('Master Submitted DPDs'!#REF!),"",'Master Submitted DPDs'!#REF!)</f>
        <v>#REF!</v>
      </c>
      <c r="I82" s="3"/>
      <c r="J82" s="3"/>
      <c r="K82" s="3"/>
      <c r="L82" s="2" t="e">
        <f>IF(ISBLANK('Master Submitted DPDs'!#REF!),"",'Master Submitted DPDs'!#REF!)</f>
        <v>#REF!</v>
      </c>
      <c r="M82" s="2" t="e">
        <f t="shared" si="2"/>
        <v>#REF!</v>
      </c>
      <c r="N82" s="2" t="e">
        <f>IF(ISBLANK('Master Submitted DPDs'!#REF!),IF(ISBLANK('Master Submitted DPDs'!#REF!),"",'Master Submitted DPDs'!#REF!),'Master Submitted DPDs'!#REF!)</f>
        <v>#REF!</v>
      </c>
      <c r="O82" s="2" t="e">
        <f>IF(ISBLANK('Master Submitted DPDs'!#REF!),"",'Master Submitted DPDs'!#REF!)</f>
        <v>#REF!</v>
      </c>
      <c r="P82" s="2" t="e">
        <f>IF(ISBLANK('Master Submitted DPDs'!#REF!),"",'Master Submitted DPDs'!#REF!)</f>
        <v>#REF!</v>
      </c>
      <c r="Q82" t="e">
        <f>IF(ISBLANK('Master Submitted DPDs'!#REF!),"",'Master Submitted DPDs'!#REF!)</f>
        <v>#REF!</v>
      </c>
      <c r="R82" t="e">
        <f t="shared" si="3"/>
        <v>#REF!</v>
      </c>
      <c r="S82" s="3"/>
      <c r="T82" t="e">
        <f>IF(ISBLANK('Master Submitted DPDs'!#REF!),"",'Master Submitted DPDs'!#REF!)</f>
        <v>#REF!</v>
      </c>
    </row>
    <row r="83" spans="1:20" ht="15" x14ac:dyDescent="0.2">
      <c r="A83" s="3" t="str">
        <f>IF(ISBLANK('Master Submitted DPDs'!#REF!),"","Local Plans")</f>
        <v>Local Plans</v>
      </c>
      <c r="B83" t="e">
        <f>IF(ISBLANK('Master Submitted DPDs'!#REF!),"",'Master Submitted DPDs'!#REF!)</f>
        <v>#REF!</v>
      </c>
      <c r="C83" s="3" t="str">
        <f>IF(ISBLANK('Master Submitted DPDs'!#REF!),"","IH")</f>
        <v>IH</v>
      </c>
      <c r="D83" s="3" t="e">
        <f>LOOKUP($F83,'fuzzy LPA lookup'!$E:$E,'fuzzy LPA lookup'!$A:$A)</f>
        <v>#REF!</v>
      </c>
      <c r="E83" s="3" t="e">
        <f>LOOKUP($F83,'fuzzy LPA lookup'!$E:$E,'fuzzy LPA lookup'!$D:$D)</f>
        <v>#REF!</v>
      </c>
      <c r="F83" s="8" t="e">
        <f>IF(ISBLANK('Master Submitted DPDs'!#REF!),"",'Master Submitted DPDs'!#REF!)</f>
        <v>#REF!</v>
      </c>
      <c r="G83" t="str">
        <f>IF(ISBLANK('Master Submitted DPDs'!#REF!),"","Withdrawn")</f>
        <v>Withdrawn</v>
      </c>
      <c r="H83" s="2" t="e">
        <f>IF(ISBLANK('Master Submitted DPDs'!#REF!),"",'Master Submitted DPDs'!#REF!)</f>
        <v>#REF!</v>
      </c>
      <c r="I83" s="3"/>
      <c r="J83" s="3"/>
      <c r="K83" s="3"/>
      <c r="L83" s="2" t="e">
        <f>IF(ISBLANK('Master Submitted DPDs'!#REF!),"",'Master Submitted DPDs'!#REF!)</f>
        <v>#REF!</v>
      </c>
      <c r="M83" s="2" t="e">
        <f t="shared" si="2"/>
        <v>#REF!</v>
      </c>
      <c r="N83" s="2" t="e">
        <f>IF(ISBLANK('Master Submitted DPDs'!#REF!),IF(ISBLANK('Master Submitted DPDs'!#REF!),"",'Master Submitted DPDs'!#REF!),'Master Submitted DPDs'!#REF!)</f>
        <v>#REF!</v>
      </c>
      <c r="O83" s="2" t="e">
        <f>IF(ISBLANK('Master Submitted DPDs'!#REF!),"",'Master Submitted DPDs'!#REF!)</f>
        <v>#REF!</v>
      </c>
      <c r="P83" s="2" t="e">
        <f>IF(ISBLANK('Master Submitted DPDs'!#REF!),"",'Master Submitted DPDs'!#REF!)</f>
        <v>#REF!</v>
      </c>
      <c r="Q83" t="e">
        <f>IF(ISBLANK('Master Submitted DPDs'!#REF!),"",'Master Submitted DPDs'!#REF!)</f>
        <v>#REF!</v>
      </c>
      <c r="R83" t="e">
        <f t="shared" si="3"/>
        <v>#REF!</v>
      </c>
      <c r="S83" s="3"/>
      <c r="T83" t="e">
        <f>IF(ISBLANK('Master Submitted DPDs'!#REF!),"",'Master Submitted DPDs'!#REF!)</f>
        <v>#REF!</v>
      </c>
    </row>
    <row r="84" spans="1:20" ht="15" x14ac:dyDescent="0.2">
      <c r="A84" s="3" t="str">
        <f>IF(ISBLANK('Master Submitted DPDs'!#REF!),"","Local Plans")</f>
        <v>Local Plans</v>
      </c>
      <c r="B84" t="e">
        <f>IF(ISBLANK('Master Submitted DPDs'!#REF!),"",'Master Submitted DPDs'!#REF!)</f>
        <v>#REF!</v>
      </c>
      <c r="C84" s="3" t="str">
        <f>IF(ISBLANK('Master Submitted DPDs'!#REF!),"","IH")</f>
        <v>IH</v>
      </c>
      <c r="D84" s="3" t="e">
        <f>LOOKUP($F84,'fuzzy LPA lookup'!$E:$E,'fuzzy LPA lookup'!$A:$A)</f>
        <v>#REF!</v>
      </c>
      <c r="E84" s="3" t="e">
        <f>LOOKUP($F84,'fuzzy LPA lookup'!$E:$E,'fuzzy LPA lookup'!$D:$D)</f>
        <v>#REF!</v>
      </c>
      <c r="F84" s="8" t="e">
        <f>IF(ISBLANK('Master Submitted DPDs'!#REF!),"",'Master Submitted DPDs'!#REF!)</f>
        <v>#REF!</v>
      </c>
      <c r="G84" t="str">
        <f>IF(ISBLANK('Master Submitted DPDs'!#REF!),"","Withdrawn")</f>
        <v>Withdrawn</v>
      </c>
      <c r="H84" s="2" t="e">
        <f>IF(ISBLANK('Master Submitted DPDs'!#REF!),"",'Master Submitted DPDs'!#REF!)</f>
        <v>#REF!</v>
      </c>
      <c r="I84" s="3"/>
      <c r="J84" s="3"/>
      <c r="K84" s="3"/>
      <c r="L84" s="2" t="e">
        <f>IF(ISBLANK('Master Submitted DPDs'!#REF!),"",'Master Submitted DPDs'!#REF!)</f>
        <v>#REF!</v>
      </c>
      <c r="M84" s="2" t="e">
        <f t="shared" si="2"/>
        <v>#REF!</v>
      </c>
      <c r="N84" s="2" t="e">
        <f>IF(ISBLANK('Master Submitted DPDs'!#REF!),IF(ISBLANK('Master Submitted DPDs'!#REF!),"",'Master Submitted DPDs'!#REF!),'Master Submitted DPDs'!#REF!)</f>
        <v>#REF!</v>
      </c>
      <c r="O84" s="2" t="e">
        <f>IF(ISBLANK('Master Submitted DPDs'!#REF!),"",'Master Submitted DPDs'!#REF!)</f>
        <v>#REF!</v>
      </c>
      <c r="P84" s="2" t="e">
        <f>IF(ISBLANK('Master Submitted DPDs'!#REF!),"",'Master Submitted DPDs'!#REF!)</f>
        <v>#REF!</v>
      </c>
      <c r="Q84" t="e">
        <f>IF(ISBLANK('Master Submitted DPDs'!#REF!),"",'Master Submitted DPDs'!#REF!)</f>
        <v>#REF!</v>
      </c>
      <c r="R84" t="e">
        <f t="shared" si="3"/>
        <v>#REF!</v>
      </c>
      <c r="S84" s="3"/>
      <c r="T84" t="e">
        <f>IF(ISBLANK('Master Submitted DPDs'!#REF!),"",'Master Submitted DPDs'!#REF!)</f>
        <v>#REF!</v>
      </c>
    </row>
    <row r="85" spans="1:20" ht="15" x14ac:dyDescent="0.2">
      <c r="A85" s="3" t="str">
        <f>IF(ISBLANK('Master Submitted DPDs'!#REF!),"","Local Plans")</f>
        <v>Local Plans</v>
      </c>
      <c r="B85" t="e">
        <f>IF(ISBLANK('Master Submitted DPDs'!#REF!),"",'Master Submitted DPDs'!#REF!)</f>
        <v>#REF!</v>
      </c>
      <c r="C85" s="3" t="str">
        <f>IF(ISBLANK('Master Submitted DPDs'!#REF!),"","IH")</f>
        <v>IH</v>
      </c>
      <c r="D85" s="3" t="e">
        <f>LOOKUP($F85,'fuzzy LPA lookup'!$E:$E,'fuzzy LPA lookup'!$A:$A)</f>
        <v>#REF!</v>
      </c>
      <c r="E85" s="3" t="e">
        <f>LOOKUP($F85,'fuzzy LPA lookup'!$E:$E,'fuzzy LPA lookup'!$D:$D)</f>
        <v>#REF!</v>
      </c>
      <c r="F85" s="8" t="e">
        <f>IF(ISBLANK('Master Submitted DPDs'!#REF!),"",'Master Submitted DPDs'!#REF!)</f>
        <v>#REF!</v>
      </c>
      <c r="G85" t="str">
        <f>IF(ISBLANK('Master Submitted DPDs'!#REF!),"","Withdrawn")</f>
        <v>Withdrawn</v>
      </c>
      <c r="H85" s="2" t="e">
        <f>IF(ISBLANK('Master Submitted DPDs'!#REF!),"",'Master Submitted DPDs'!#REF!)</f>
        <v>#REF!</v>
      </c>
      <c r="I85" s="3"/>
      <c r="J85" s="3"/>
      <c r="K85" s="3"/>
      <c r="L85" s="2" t="e">
        <f>IF(ISBLANK('Master Submitted DPDs'!#REF!),"",'Master Submitted DPDs'!#REF!)</f>
        <v>#REF!</v>
      </c>
      <c r="M85" s="2" t="e">
        <f t="shared" si="2"/>
        <v>#REF!</v>
      </c>
      <c r="N85" s="2" t="e">
        <f>IF(ISBLANK('Master Submitted DPDs'!#REF!),IF(ISBLANK('Master Submitted DPDs'!#REF!),"",'Master Submitted DPDs'!#REF!),'Master Submitted DPDs'!#REF!)</f>
        <v>#REF!</v>
      </c>
      <c r="O85" s="2" t="e">
        <f>IF(ISBLANK('Master Submitted DPDs'!#REF!),"",'Master Submitted DPDs'!#REF!)</f>
        <v>#REF!</v>
      </c>
      <c r="P85" s="2" t="e">
        <f>IF(ISBLANK('Master Submitted DPDs'!#REF!),"",'Master Submitted DPDs'!#REF!)</f>
        <v>#REF!</v>
      </c>
      <c r="Q85" t="e">
        <f>IF(ISBLANK('Master Submitted DPDs'!#REF!),"",'Master Submitted DPDs'!#REF!)</f>
        <v>#REF!</v>
      </c>
      <c r="R85" t="e">
        <f t="shared" si="3"/>
        <v>#REF!</v>
      </c>
      <c r="S85" s="3"/>
      <c r="T85" t="e">
        <f>IF(ISBLANK('Master Submitted DPDs'!#REF!),"",'Master Submitted DPDs'!#REF!)</f>
        <v>#REF!</v>
      </c>
    </row>
    <row r="86" spans="1:20" ht="15" x14ac:dyDescent="0.2">
      <c r="A86" s="3" t="str">
        <f>IF(ISBLANK('Master Submitted DPDs'!#REF!),"","Local Plans")</f>
        <v>Local Plans</v>
      </c>
      <c r="B86" t="e">
        <f>IF(ISBLANK('Master Submitted DPDs'!#REF!),"",'Master Submitted DPDs'!#REF!)</f>
        <v>#REF!</v>
      </c>
      <c r="C86" s="3" t="str">
        <f>IF(ISBLANK('Master Submitted DPDs'!#REF!),"","IH")</f>
        <v>IH</v>
      </c>
      <c r="D86" s="3" t="e">
        <f>LOOKUP($F86,'fuzzy LPA lookup'!$E:$E,'fuzzy LPA lookup'!$A:$A)</f>
        <v>#REF!</v>
      </c>
      <c r="E86" s="3" t="e">
        <f>LOOKUP($F86,'fuzzy LPA lookup'!$E:$E,'fuzzy LPA lookup'!$D:$D)</f>
        <v>#REF!</v>
      </c>
      <c r="F86" s="8" t="e">
        <f>IF(ISBLANK('Master Submitted DPDs'!#REF!),"",'Master Submitted DPDs'!#REF!)</f>
        <v>#REF!</v>
      </c>
      <c r="G86" t="str">
        <f>IF(ISBLANK('Master Submitted DPDs'!#REF!),"","Withdrawn")</f>
        <v>Withdrawn</v>
      </c>
      <c r="H86" s="2" t="e">
        <f>IF(ISBLANK('Master Submitted DPDs'!#REF!),"",'Master Submitted DPDs'!#REF!)</f>
        <v>#REF!</v>
      </c>
      <c r="I86" s="3"/>
      <c r="J86" s="3"/>
      <c r="K86" s="3"/>
      <c r="L86" s="2" t="e">
        <f>IF(ISBLANK('Master Submitted DPDs'!#REF!),"",'Master Submitted DPDs'!#REF!)</f>
        <v>#REF!</v>
      </c>
      <c r="M86" s="2" t="e">
        <f t="shared" si="2"/>
        <v>#REF!</v>
      </c>
      <c r="N86" s="2" t="e">
        <f>IF(ISBLANK('Master Submitted DPDs'!#REF!),IF(ISBLANK('Master Submitted DPDs'!#REF!),"",'Master Submitted DPDs'!#REF!),'Master Submitted DPDs'!#REF!)</f>
        <v>#REF!</v>
      </c>
      <c r="O86" s="2" t="e">
        <f>IF(ISBLANK('Master Submitted DPDs'!#REF!),"",'Master Submitted DPDs'!#REF!)</f>
        <v>#REF!</v>
      </c>
      <c r="P86" s="2" t="e">
        <f>IF(ISBLANK('Master Submitted DPDs'!#REF!),"",'Master Submitted DPDs'!#REF!)</f>
        <v>#REF!</v>
      </c>
      <c r="Q86" t="e">
        <f>IF(ISBLANK('Master Submitted DPDs'!#REF!),"",'Master Submitted DPDs'!#REF!)</f>
        <v>#REF!</v>
      </c>
      <c r="R86" t="e">
        <f t="shared" si="3"/>
        <v>#REF!</v>
      </c>
      <c r="S86" s="3"/>
      <c r="T86" t="e">
        <f>IF(ISBLANK('Master Submitted DPDs'!#REF!),"",'Master Submitted DPDs'!#REF!)</f>
        <v>#REF!</v>
      </c>
    </row>
    <row r="87" spans="1:20" ht="15" x14ac:dyDescent="0.2">
      <c r="A87" s="3" t="str">
        <f>IF(ISBLANK('Master Submitted DPDs'!#REF!),"","Local Plans")</f>
        <v>Local Plans</v>
      </c>
      <c r="B87" t="e">
        <f>IF(ISBLANK('Master Submitted DPDs'!#REF!),"",'Master Submitted DPDs'!#REF!)</f>
        <v>#REF!</v>
      </c>
      <c r="C87" s="3" t="str">
        <f>IF(ISBLANK('Master Submitted DPDs'!#REF!),"","IH")</f>
        <v>IH</v>
      </c>
      <c r="D87" s="3" t="e">
        <f>LOOKUP($F87,'fuzzy LPA lookup'!$E:$E,'fuzzy LPA lookup'!$A:$A)</f>
        <v>#REF!</v>
      </c>
      <c r="E87" s="3" t="e">
        <f>LOOKUP($F87,'fuzzy LPA lookup'!$E:$E,'fuzzy LPA lookup'!$D:$D)</f>
        <v>#REF!</v>
      </c>
      <c r="F87" s="8" t="e">
        <f>IF(ISBLANK('Master Submitted DPDs'!#REF!),"",'Master Submitted DPDs'!#REF!)</f>
        <v>#REF!</v>
      </c>
      <c r="G87" t="str">
        <f>IF(ISBLANK('Master Submitted DPDs'!#REF!),"","Withdrawn")</f>
        <v>Withdrawn</v>
      </c>
      <c r="H87" s="2" t="e">
        <f>IF(ISBLANK('Master Submitted DPDs'!#REF!),"",'Master Submitted DPDs'!#REF!)</f>
        <v>#REF!</v>
      </c>
      <c r="I87" s="3"/>
      <c r="J87" s="3"/>
      <c r="K87" s="3"/>
      <c r="L87" s="2" t="e">
        <f>IF(ISBLANK('Master Submitted DPDs'!#REF!),"",'Master Submitted DPDs'!#REF!)</f>
        <v>#REF!</v>
      </c>
      <c r="M87" s="2" t="e">
        <f t="shared" si="2"/>
        <v>#REF!</v>
      </c>
      <c r="N87" s="2" t="e">
        <f>IF(ISBLANK('Master Submitted DPDs'!#REF!),IF(ISBLANK('Master Submitted DPDs'!#REF!),"",'Master Submitted DPDs'!#REF!),'Master Submitted DPDs'!#REF!)</f>
        <v>#REF!</v>
      </c>
      <c r="O87" s="2" t="e">
        <f>IF(ISBLANK('Master Submitted DPDs'!#REF!),"",'Master Submitted DPDs'!#REF!)</f>
        <v>#REF!</v>
      </c>
      <c r="P87" s="2" t="e">
        <f>IF(ISBLANK('Master Submitted DPDs'!#REF!),"",'Master Submitted DPDs'!#REF!)</f>
        <v>#REF!</v>
      </c>
      <c r="Q87" t="e">
        <f>IF(ISBLANK('Master Submitted DPDs'!#REF!),"",'Master Submitted DPDs'!#REF!)</f>
        <v>#REF!</v>
      </c>
      <c r="R87" t="e">
        <f t="shared" si="3"/>
        <v>#REF!</v>
      </c>
      <c r="S87" s="3"/>
      <c r="T87" t="e">
        <f>IF(ISBLANK('Master Submitted DPDs'!#REF!),"",'Master Submitted DPDs'!#REF!)</f>
        <v>#REF!</v>
      </c>
    </row>
    <row r="88" spans="1:20" ht="15" x14ac:dyDescent="0.2">
      <c r="A88" s="3" t="str">
        <f>IF(ISBLANK('Master Submitted DPDs'!#REF!),"","Local Plans")</f>
        <v>Local Plans</v>
      </c>
      <c r="B88" t="e">
        <f>IF(ISBLANK('Master Submitted DPDs'!#REF!),"",'Master Submitted DPDs'!#REF!)</f>
        <v>#REF!</v>
      </c>
      <c r="C88" s="3" t="str">
        <f>IF(ISBLANK('Master Submitted DPDs'!#REF!),"","IH")</f>
        <v>IH</v>
      </c>
      <c r="D88" s="3" t="e">
        <f>LOOKUP($F88,'fuzzy LPA lookup'!$E:$E,'fuzzy LPA lookup'!$A:$A)</f>
        <v>#REF!</v>
      </c>
      <c r="E88" s="3" t="e">
        <f>LOOKUP($F88,'fuzzy LPA lookup'!$E:$E,'fuzzy LPA lookup'!$D:$D)</f>
        <v>#REF!</v>
      </c>
      <c r="F88" s="8" t="e">
        <f>IF(ISBLANK('Master Submitted DPDs'!#REF!),"",'Master Submitted DPDs'!#REF!)</f>
        <v>#REF!</v>
      </c>
      <c r="G88" t="str">
        <f>IF(ISBLANK('Master Submitted DPDs'!#REF!),"","Withdrawn")</f>
        <v>Withdrawn</v>
      </c>
      <c r="H88" s="2" t="e">
        <f>IF(ISBLANK('Master Submitted DPDs'!#REF!),"",'Master Submitted DPDs'!#REF!)</f>
        <v>#REF!</v>
      </c>
      <c r="I88" s="3"/>
      <c r="J88" s="3"/>
      <c r="K88" s="3"/>
      <c r="L88" s="2" t="e">
        <f>IF(ISBLANK('Master Submitted DPDs'!#REF!),"",'Master Submitted DPDs'!#REF!)</f>
        <v>#REF!</v>
      </c>
      <c r="M88" s="2" t="e">
        <f t="shared" si="2"/>
        <v>#REF!</v>
      </c>
      <c r="N88" s="2" t="e">
        <f>IF(ISBLANK('Master Submitted DPDs'!#REF!),IF(ISBLANK('Master Submitted DPDs'!#REF!),"",'Master Submitted DPDs'!#REF!),'Master Submitted DPDs'!#REF!)</f>
        <v>#REF!</v>
      </c>
      <c r="O88" s="2" t="e">
        <f>IF(ISBLANK('Master Submitted DPDs'!#REF!),"",'Master Submitted DPDs'!#REF!)</f>
        <v>#REF!</v>
      </c>
      <c r="P88" s="2" t="e">
        <f>IF(ISBLANK('Master Submitted DPDs'!#REF!),"",'Master Submitted DPDs'!#REF!)</f>
        <v>#REF!</v>
      </c>
      <c r="Q88" t="e">
        <f>IF(ISBLANK('Master Submitted DPDs'!#REF!),"",'Master Submitted DPDs'!#REF!)</f>
        <v>#REF!</v>
      </c>
      <c r="R88" t="e">
        <f t="shared" si="3"/>
        <v>#REF!</v>
      </c>
      <c r="S88" s="3"/>
      <c r="T88" t="e">
        <f>IF(ISBLANK('Master Submitted DPDs'!#REF!),"",'Master Submitted DPDs'!#REF!)</f>
        <v>#REF!</v>
      </c>
    </row>
    <row r="89" spans="1:20" ht="15" x14ac:dyDescent="0.2">
      <c r="A89" s="3" t="str">
        <f>IF(ISBLANK('Master Submitted DPDs'!#REF!),"","Local Plans")</f>
        <v>Local Plans</v>
      </c>
      <c r="B89" t="e">
        <f>IF(ISBLANK('Master Submitted DPDs'!#REF!),"",'Master Submitted DPDs'!#REF!)</f>
        <v>#REF!</v>
      </c>
      <c r="C89" s="3" t="str">
        <f>IF(ISBLANK('Master Submitted DPDs'!#REF!),"","IH")</f>
        <v>IH</v>
      </c>
      <c r="D89" s="3" t="e">
        <f>LOOKUP($F89,'fuzzy LPA lookup'!$E:$E,'fuzzy LPA lookup'!$A:$A)</f>
        <v>#REF!</v>
      </c>
      <c r="E89" s="3" t="e">
        <f>LOOKUP($F89,'fuzzy LPA lookup'!$E:$E,'fuzzy LPA lookup'!$D:$D)</f>
        <v>#REF!</v>
      </c>
      <c r="F89" s="8" t="e">
        <f>IF(ISBLANK('Master Submitted DPDs'!#REF!),"",'Master Submitted DPDs'!#REF!)</f>
        <v>#REF!</v>
      </c>
      <c r="G89" t="str">
        <f>IF(ISBLANK('Master Submitted DPDs'!#REF!),"","Withdrawn")</f>
        <v>Withdrawn</v>
      </c>
      <c r="H89" s="2" t="e">
        <f>IF(ISBLANK('Master Submitted DPDs'!#REF!),"",'Master Submitted DPDs'!#REF!)</f>
        <v>#REF!</v>
      </c>
      <c r="I89" s="3"/>
      <c r="J89" s="3"/>
      <c r="K89" s="3"/>
      <c r="L89" s="2" t="e">
        <f>IF(ISBLANK('Master Submitted DPDs'!#REF!),"",'Master Submitted DPDs'!#REF!)</f>
        <v>#REF!</v>
      </c>
      <c r="M89" s="2" t="e">
        <f t="shared" si="2"/>
        <v>#REF!</v>
      </c>
      <c r="N89" s="2" t="e">
        <f>IF(ISBLANK('Master Submitted DPDs'!#REF!),IF(ISBLANK('Master Submitted DPDs'!#REF!),"",'Master Submitted DPDs'!#REF!),'Master Submitted DPDs'!#REF!)</f>
        <v>#REF!</v>
      </c>
      <c r="O89" s="2" t="e">
        <f>IF(ISBLANK('Master Submitted DPDs'!#REF!),"",'Master Submitted DPDs'!#REF!)</f>
        <v>#REF!</v>
      </c>
      <c r="P89" s="2" t="e">
        <f>IF(ISBLANK('Master Submitted DPDs'!#REF!),"",'Master Submitted DPDs'!#REF!)</f>
        <v>#REF!</v>
      </c>
      <c r="Q89" t="e">
        <f>IF(ISBLANK('Master Submitted DPDs'!#REF!),"",'Master Submitted DPDs'!#REF!)</f>
        <v>#REF!</v>
      </c>
      <c r="R89" t="e">
        <f t="shared" si="3"/>
        <v>#REF!</v>
      </c>
      <c r="S89" s="3"/>
      <c r="T89" t="e">
        <f>IF(ISBLANK('Master Submitted DPDs'!#REF!),"",'Master Submitted DPDs'!#REF!)</f>
        <v>#REF!</v>
      </c>
    </row>
    <row r="90" spans="1:20" ht="15" x14ac:dyDescent="0.2">
      <c r="A90" s="3" t="str">
        <f>IF(ISBLANK('Master Submitted DPDs'!#REF!),"","Local Plans")</f>
        <v>Local Plans</v>
      </c>
      <c r="B90" t="e">
        <f>IF(ISBLANK('Master Submitted DPDs'!#REF!),"",'Master Submitted DPDs'!#REF!)</f>
        <v>#REF!</v>
      </c>
      <c r="C90" s="3" t="str">
        <f>IF(ISBLANK('Master Submitted DPDs'!#REF!),"","IH")</f>
        <v>IH</v>
      </c>
      <c r="D90" s="3" t="e">
        <f>LOOKUP($F90,'fuzzy LPA lookup'!$E:$E,'fuzzy LPA lookup'!$A:$A)</f>
        <v>#REF!</v>
      </c>
      <c r="E90" s="3" t="e">
        <f>LOOKUP($F90,'fuzzy LPA lookup'!$E:$E,'fuzzy LPA lookup'!$D:$D)</f>
        <v>#REF!</v>
      </c>
      <c r="F90" s="8" t="e">
        <f>IF(ISBLANK('Master Submitted DPDs'!#REF!),"",'Master Submitted DPDs'!#REF!)</f>
        <v>#REF!</v>
      </c>
      <c r="G90" t="str">
        <f>IF(ISBLANK('Master Submitted DPDs'!#REF!),"","Withdrawn")</f>
        <v>Withdrawn</v>
      </c>
      <c r="H90" s="2" t="e">
        <f>IF(ISBLANK('Master Submitted DPDs'!#REF!),"",'Master Submitted DPDs'!#REF!)</f>
        <v>#REF!</v>
      </c>
      <c r="I90" s="3"/>
      <c r="J90" s="3"/>
      <c r="K90" s="3"/>
      <c r="L90" s="2" t="e">
        <f>IF(ISBLANK('Master Submitted DPDs'!#REF!),"",'Master Submitted DPDs'!#REF!)</f>
        <v>#REF!</v>
      </c>
      <c r="M90" s="2" t="e">
        <f t="shared" si="2"/>
        <v>#REF!</v>
      </c>
      <c r="N90" s="2" t="e">
        <f>IF(ISBLANK('Master Submitted DPDs'!#REF!),IF(ISBLANK('Master Submitted DPDs'!#REF!),"",'Master Submitted DPDs'!#REF!),'Master Submitted DPDs'!#REF!)</f>
        <v>#REF!</v>
      </c>
      <c r="O90" s="2" t="e">
        <f>IF(ISBLANK('Master Submitted DPDs'!#REF!),"",'Master Submitted DPDs'!#REF!)</f>
        <v>#REF!</v>
      </c>
      <c r="P90" s="2" t="e">
        <f>IF(ISBLANK('Master Submitted DPDs'!#REF!),"",'Master Submitted DPDs'!#REF!)</f>
        <v>#REF!</v>
      </c>
      <c r="Q90" t="e">
        <f>IF(ISBLANK('Master Submitted DPDs'!#REF!),"",'Master Submitted DPDs'!#REF!)</f>
        <v>#REF!</v>
      </c>
      <c r="R90" t="e">
        <f t="shared" si="3"/>
        <v>#REF!</v>
      </c>
      <c r="S90" s="3"/>
      <c r="T90" t="e">
        <f>IF(ISBLANK('Master Submitted DPDs'!#REF!),"",'Master Submitted DPDs'!#REF!)</f>
        <v>#REF!</v>
      </c>
    </row>
    <row r="91" spans="1:20" ht="15" x14ac:dyDescent="0.2">
      <c r="A91" s="3" t="str">
        <f>IF(ISBLANK('Master Submitted DPDs'!#REF!),"","Local Plans")</f>
        <v>Local Plans</v>
      </c>
      <c r="B91" t="e">
        <f>IF(ISBLANK('Master Submitted DPDs'!#REF!),"",'Master Submitted DPDs'!#REF!)</f>
        <v>#REF!</v>
      </c>
      <c r="C91" s="3" t="str">
        <f>IF(ISBLANK('Master Submitted DPDs'!#REF!),"","IH")</f>
        <v>IH</v>
      </c>
      <c r="D91" s="3" t="e">
        <f>LOOKUP($F91,'fuzzy LPA lookup'!$E:$E,'fuzzy LPA lookup'!$A:$A)</f>
        <v>#REF!</v>
      </c>
      <c r="E91" s="3" t="e">
        <f>LOOKUP($F91,'fuzzy LPA lookup'!$E:$E,'fuzzy LPA lookup'!$D:$D)</f>
        <v>#REF!</v>
      </c>
      <c r="F91" s="8" t="e">
        <f>IF(ISBLANK('Master Submitted DPDs'!#REF!),"",'Master Submitted DPDs'!#REF!)</f>
        <v>#REF!</v>
      </c>
      <c r="G91" t="str">
        <f>IF(ISBLANK('Master Submitted DPDs'!#REF!),"","Withdrawn")</f>
        <v>Withdrawn</v>
      </c>
      <c r="H91" s="2" t="e">
        <f>IF(ISBLANK('Master Submitted DPDs'!#REF!),"",'Master Submitted DPDs'!#REF!)</f>
        <v>#REF!</v>
      </c>
      <c r="I91" s="3"/>
      <c r="J91" s="3"/>
      <c r="K91" s="3"/>
      <c r="L91" s="2" t="e">
        <f>IF(ISBLANK('Master Submitted DPDs'!#REF!),"",'Master Submitted DPDs'!#REF!)</f>
        <v>#REF!</v>
      </c>
      <c r="M91" s="2" t="e">
        <f t="shared" si="2"/>
        <v>#REF!</v>
      </c>
      <c r="N91" s="2" t="e">
        <f>IF(ISBLANK('Master Submitted DPDs'!#REF!),IF(ISBLANK('Master Submitted DPDs'!#REF!),"",'Master Submitted DPDs'!#REF!),'Master Submitted DPDs'!#REF!)</f>
        <v>#REF!</v>
      </c>
      <c r="O91" s="2" t="e">
        <f>IF(ISBLANK('Master Submitted DPDs'!#REF!),"",'Master Submitted DPDs'!#REF!)</f>
        <v>#REF!</v>
      </c>
      <c r="P91" s="2" t="e">
        <f>IF(ISBLANK('Master Submitted DPDs'!#REF!),"",'Master Submitted DPDs'!#REF!)</f>
        <v>#REF!</v>
      </c>
      <c r="Q91" t="e">
        <f>IF(ISBLANK('Master Submitted DPDs'!#REF!),"",'Master Submitted DPDs'!#REF!)</f>
        <v>#REF!</v>
      </c>
      <c r="R91" t="e">
        <f t="shared" si="3"/>
        <v>#REF!</v>
      </c>
      <c r="S91" s="3"/>
      <c r="T91" t="e">
        <f>IF(ISBLANK('Master Submitted DPDs'!#REF!),"",'Master Submitted DPDs'!#REF!)</f>
        <v>#REF!</v>
      </c>
    </row>
    <row r="92" spans="1:20" ht="15" x14ac:dyDescent="0.2">
      <c r="A92" s="3" t="str">
        <f>IF(ISBLANK('Master Submitted DPDs'!#REF!),"","Local Plans")</f>
        <v>Local Plans</v>
      </c>
      <c r="B92" t="e">
        <f>IF(ISBLANK('Master Submitted DPDs'!#REF!),"",'Master Submitted DPDs'!#REF!)</f>
        <v>#REF!</v>
      </c>
      <c r="C92" s="3" t="str">
        <f>IF(ISBLANK('Master Submitted DPDs'!#REF!),"","IH")</f>
        <v>IH</v>
      </c>
      <c r="D92" s="3" t="e">
        <f>LOOKUP($F92,'fuzzy LPA lookup'!$E:$E,'fuzzy LPA lookup'!$A:$A)</f>
        <v>#REF!</v>
      </c>
      <c r="E92" s="3" t="e">
        <f>LOOKUP($F92,'fuzzy LPA lookup'!$E:$E,'fuzzy LPA lookup'!$D:$D)</f>
        <v>#REF!</v>
      </c>
      <c r="F92" s="8" t="e">
        <f>IF(ISBLANK('Master Submitted DPDs'!#REF!),"",'Master Submitted DPDs'!#REF!)</f>
        <v>#REF!</v>
      </c>
      <c r="G92" t="str">
        <f>IF(ISBLANK('Master Submitted DPDs'!#REF!),"","Withdrawn")</f>
        <v>Withdrawn</v>
      </c>
      <c r="H92" s="2" t="e">
        <f>IF(ISBLANK('Master Submitted DPDs'!#REF!),"",'Master Submitted DPDs'!#REF!)</f>
        <v>#REF!</v>
      </c>
      <c r="I92" s="3"/>
      <c r="J92" s="3"/>
      <c r="K92" s="3"/>
      <c r="L92" s="2" t="e">
        <f>IF(ISBLANK('Master Submitted DPDs'!#REF!),"",'Master Submitted DPDs'!#REF!)</f>
        <v>#REF!</v>
      </c>
      <c r="M92" s="2" t="e">
        <f t="shared" si="2"/>
        <v>#REF!</v>
      </c>
      <c r="N92" s="2" t="e">
        <f>IF(ISBLANK('Master Submitted DPDs'!#REF!),IF(ISBLANK('Master Submitted DPDs'!#REF!),"",'Master Submitted DPDs'!#REF!),'Master Submitted DPDs'!#REF!)</f>
        <v>#REF!</v>
      </c>
      <c r="O92" s="2" t="e">
        <f>IF(ISBLANK('Master Submitted DPDs'!#REF!),"",'Master Submitted DPDs'!#REF!)</f>
        <v>#REF!</v>
      </c>
      <c r="P92" s="2" t="e">
        <f>IF(ISBLANK('Master Submitted DPDs'!#REF!),"",'Master Submitted DPDs'!#REF!)</f>
        <v>#REF!</v>
      </c>
      <c r="Q92" t="e">
        <f>IF(ISBLANK('Master Submitted DPDs'!#REF!),"",'Master Submitted DPDs'!#REF!)</f>
        <v>#REF!</v>
      </c>
      <c r="R92" t="e">
        <f t="shared" si="3"/>
        <v>#REF!</v>
      </c>
      <c r="S92" s="3"/>
      <c r="T92" t="e">
        <f>IF(ISBLANK('Master Submitted DPDs'!#REF!),"",'Master Submitted DPDs'!#REF!)</f>
        <v>#REF!</v>
      </c>
    </row>
    <row r="93" spans="1:20" ht="15" x14ac:dyDescent="0.2">
      <c r="A93" s="3" t="str">
        <f>IF(ISBLANK('Master Submitted DPDs'!#REF!),"","Local Plans")</f>
        <v>Local Plans</v>
      </c>
      <c r="B93" t="e">
        <f>IF(ISBLANK('Master Submitted DPDs'!#REF!),"",'Master Submitted DPDs'!#REF!)</f>
        <v>#REF!</v>
      </c>
      <c r="C93" s="3" t="str">
        <f>IF(ISBLANK('Master Submitted DPDs'!#REF!),"","IH")</f>
        <v>IH</v>
      </c>
      <c r="D93" s="3" t="e">
        <f>LOOKUP($F93,'fuzzy LPA lookup'!$E:$E,'fuzzy LPA lookup'!$A:$A)</f>
        <v>#REF!</v>
      </c>
      <c r="E93" s="3" t="e">
        <f>LOOKUP($F93,'fuzzy LPA lookup'!$E:$E,'fuzzy LPA lookup'!$D:$D)</f>
        <v>#REF!</v>
      </c>
      <c r="F93" s="8" t="e">
        <f>IF(ISBLANK('Master Submitted DPDs'!#REF!),"",'Master Submitted DPDs'!#REF!)</f>
        <v>#REF!</v>
      </c>
      <c r="G93" t="str">
        <f>IF(ISBLANK('Master Submitted DPDs'!#REF!),"","Withdrawn")</f>
        <v>Withdrawn</v>
      </c>
      <c r="H93" s="2" t="e">
        <f>IF(ISBLANK('Master Submitted DPDs'!#REF!),"",'Master Submitted DPDs'!#REF!)</f>
        <v>#REF!</v>
      </c>
      <c r="I93" s="3"/>
      <c r="J93" s="3"/>
      <c r="K93" s="3"/>
      <c r="L93" s="2" t="e">
        <f>IF(ISBLANK('Master Submitted DPDs'!#REF!),"",'Master Submitted DPDs'!#REF!)</f>
        <v>#REF!</v>
      </c>
      <c r="M93" s="2" t="e">
        <f t="shared" si="2"/>
        <v>#REF!</v>
      </c>
      <c r="N93" s="2" t="e">
        <f>IF(ISBLANK('Master Submitted DPDs'!#REF!),IF(ISBLANK('Master Submitted DPDs'!#REF!),"",'Master Submitted DPDs'!#REF!),'Master Submitted DPDs'!#REF!)</f>
        <v>#REF!</v>
      </c>
      <c r="O93" s="2" t="e">
        <f>IF(ISBLANK('Master Submitted DPDs'!#REF!),"",'Master Submitted DPDs'!#REF!)</f>
        <v>#REF!</v>
      </c>
      <c r="P93" s="2" t="e">
        <f>IF(ISBLANK('Master Submitted DPDs'!#REF!),"",'Master Submitted DPDs'!#REF!)</f>
        <v>#REF!</v>
      </c>
      <c r="Q93" t="e">
        <f>IF(ISBLANK('Master Submitted DPDs'!#REF!),"",'Master Submitted DPDs'!#REF!)</f>
        <v>#REF!</v>
      </c>
      <c r="R93" t="e">
        <f t="shared" si="3"/>
        <v>#REF!</v>
      </c>
      <c r="S93" s="3"/>
      <c r="T93" t="e">
        <f>IF(ISBLANK('Master Submitted DPDs'!#REF!),"",'Master Submitted DPDs'!#REF!)</f>
        <v>#REF!</v>
      </c>
    </row>
    <row r="94" spans="1:20" ht="15" x14ac:dyDescent="0.2">
      <c r="A94" s="3" t="str">
        <f>IF(ISBLANK('Master Submitted DPDs'!#REF!),"","Local Plans")</f>
        <v>Local Plans</v>
      </c>
      <c r="B94" t="e">
        <f>IF(ISBLANK('Master Submitted DPDs'!#REF!),"",'Master Submitted DPDs'!#REF!)</f>
        <v>#REF!</v>
      </c>
      <c r="C94" s="3" t="str">
        <f>IF(ISBLANK('Master Submitted DPDs'!#REF!),"","IH")</f>
        <v>IH</v>
      </c>
      <c r="D94" s="3" t="e">
        <f>LOOKUP($F94,'fuzzy LPA lookup'!$E:$E,'fuzzy LPA lookup'!$A:$A)</f>
        <v>#REF!</v>
      </c>
      <c r="E94" s="3" t="e">
        <f>LOOKUP($F94,'fuzzy LPA lookup'!$E:$E,'fuzzy LPA lookup'!$D:$D)</f>
        <v>#REF!</v>
      </c>
      <c r="F94" s="8" t="e">
        <f>IF(ISBLANK('Master Submitted DPDs'!#REF!),"",'Master Submitted DPDs'!#REF!)</f>
        <v>#REF!</v>
      </c>
      <c r="G94" t="str">
        <f>IF(ISBLANK('Master Submitted DPDs'!#REF!),"","Withdrawn")</f>
        <v>Withdrawn</v>
      </c>
      <c r="H94" s="2" t="e">
        <f>IF(ISBLANK('Master Submitted DPDs'!#REF!),"",'Master Submitted DPDs'!#REF!)</f>
        <v>#REF!</v>
      </c>
      <c r="I94" s="3"/>
      <c r="J94" s="3"/>
      <c r="K94" s="3"/>
      <c r="L94" s="2" t="e">
        <f>IF(ISBLANK('Master Submitted DPDs'!#REF!),"",'Master Submitted DPDs'!#REF!)</f>
        <v>#REF!</v>
      </c>
      <c r="M94" s="2" t="e">
        <f t="shared" si="2"/>
        <v>#REF!</v>
      </c>
      <c r="N94" s="2" t="e">
        <f>IF(ISBLANK('Master Submitted DPDs'!#REF!),IF(ISBLANK('Master Submitted DPDs'!#REF!),"",'Master Submitted DPDs'!#REF!),'Master Submitted DPDs'!#REF!)</f>
        <v>#REF!</v>
      </c>
      <c r="O94" s="2" t="e">
        <f>IF(ISBLANK('Master Submitted DPDs'!#REF!),"",'Master Submitted DPDs'!#REF!)</f>
        <v>#REF!</v>
      </c>
      <c r="P94" s="2" t="e">
        <f>IF(ISBLANK('Master Submitted DPDs'!#REF!),"",'Master Submitted DPDs'!#REF!)</f>
        <v>#REF!</v>
      </c>
      <c r="Q94" t="e">
        <f>IF(ISBLANK('Master Submitted DPDs'!#REF!),"",'Master Submitted DPDs'!#REF!)</f>
        <v>#REF!</v>
      </c>
      <c r="R94" t="e">
        <f t="shared" si="3"/>
        <v>#REF!</v>
      </c>
      <c r="S94" s="3"/>
      <c r="T94" t="e">
        <f>IF(ISBLANK('Master Submitted DPDs'!#REF!),"",'Master Submitted DPDs'!#REF!)</f>
        <v>#REF!</v>
      </c>
    </row>
    <row r="95" spans="1:20" ht="15" x14ac:dyDescent="0.2">
      <c r="A95" s="3" t="str">
        <f>IF(ISBLANK('Master Submitted DPDs'!#REF!),"","Local Plans")</f>
        <v>Local Plans</v>
      </c>
      <c r="B95" t="e">
        <f>IF(ISBLANK('Master Submitted DPDs'!#REF!),"",'Master Submitted DPDs'!#REF!)</f>
        <v>#REF!</v>
      </c>
      <c r="C95" s="3" t="str">
        <f>IF(ISBLANK('Master Submitted DPDs'!#REF!),"","IH")</f>
        <v>IH</v>
      </c>
      <c r="D95" s="3" t="e">
        <f>LOOKUP($F95,'fuzzy LPA lookup'!$E:$E,'fuzzy LPA lookup'!$A:$A)</f>
        <v>#REF!</v>
      </c>
      <c r="E95" s="3" t="e">
        <f>LOOKUP($F95,'fuzzy LPA lookup'!$E:$E,'fuzzy LPA lookup'!$D:$D)</f>
        <v>#REF!</v>
      </c>
      <c r="F95" s="8" t="e">
        <f>IF(ISBLANK('Master Submitted DPDs'!#REF!),"",'Master Submitted DPDs'!#REF!)</f>
        <v>#REF!</v>
      </c>
      <c r="G95" t="str">
        <f>IF(ISBLANK('Master Submitted DPDs'!#REF!),"","Withdrawn")</f>
        <v>Withdrawn</v>
      </c>
      <c r="H95" s="2" t="e">
        <f>IF(ISBLANK('Master Submitted DPDs'!#REF!),"",'Master Submitted DPDs'!#REF!)</f>
        <v>#REF!</v>
      </c>
      <c r="I95" s="3"/>
      <c r="J95" s="3"/>
      <c r="K95" s="3"/>
      <c r="L95" s="2" t="e">
        <f>IF(ISBLANK('Master Submitted DPDs'!#REF!),"",'Master Submitted DPDs'!#REF!)</f>
        <v>#REF!</v>
      </c>
      <c r="M95" s="2" t="e">
        <f t="shared" si="2"/>
        <v>#REF!</v>
      </c>
      <c r="N95" s="2" t="e">
        <f>IF(ISBLANK('Master Submitted DPDs'!#REF!),IF(ISBLANK('Master Submitted DPDs'!#REF!),"",'Master Submitted DPDs'!#REF!),'Master Submitted DPDs'!#REF!)</f>
        <v>#REF!</v>
      </c>
      <c r="O95" s="2" t="e">
        <f>IF(ISBLANK('Master Submitted DPDs'!#REF!),"",'Master Submitted DPDs'!#REF!)</f>
        <v>#REF!</v>
      </c>
      <c r="P95" s="2" t="e">
        <f>IF(ISBLANK('Master Submitted DPDs'!#REF!),"",'Master Submitted DPDs'!#REF!)</f>
        <v>#REF!</v>
      </c>
      <c r="Q95" t="e">
        <f>IF(ISBLANK('Master Submitted DPDs'!#REF!),"",'Master Submitted DPDs'!#REF!)</f>
        <v>#REF!</v>
      </c>
      <c r="R95" t="e">
        <f t="shared" si="3"/>
        <v>#REF!</v>
      </c>
      <c r="S95" s="3"/>
      <c r="T95" t="e">
        <f>IF(ISBLANK('Master Submitted DPDs'!#REF!),"",'Master Submitted DPDs'!#REF!)</f>
        <v>#REF!</v>
      </c>
    </row>
    <row r="96" spans="1:20" ht="15" x14ac:dyDescent="0.2">
      <c r="A96" s="3" t="str">
        <f>IF(ISBLANK('Master Submitted DPDs'!#REF!),"","Local Plans")</f>
        <v>Local Plans</v>
      </c>
      <c r="B96" t="e">
        <f>IF(ISBLANK('Master Submitted DPDs'!#REF!),"",'Master Submitted DPDs'!#REF!)</f>
        <v>#REF!</v>
      </c>
      <c r="C96" s="3" t="str">
        <f>IF(ISBLANK('Master Submitted DPDs'!#REF!),"","IH")</f>
        <v>IH</v>
      </c>
      <c r="D96" s="3" t="e">
        <f>LOOKUP($F96,'fuzzy LPA lookup'!$E:$E,'fuzzy LPA lookup'!$A:$A)</f>
        <v>#REF!</v>
      </c>
      <c r="E96" s="3" t="e">
        <f>LOOKUP($F96,'fuzzy LPA lookup'!$E:$E,'fuzzy LPA lookup'!$D:$D)</f>
        <v>#REF!</v>
      </c>
      <c r="F96" s="8" t="e">
        <f>IF(ISBLANK('Master Submitted DPDs'!#REF!),"",'Master Submitted DPDs'!#REF!)</f>
        <v>#REF!</v>
      </c>
      <c r="G96" t="str">
        <f>IF(ISBLANK('Master Submitted DPDs'!#REF!),"","Withdrawn")</f>
        <v>Withdrawn</v>
      </c>
      <c r="H96" s="2" t="e">
        <f>IF(ISBLANK('Master Submitted DPDs'!#REF!),"",'Master Submitted DPDs'!#REF!)</f>
        <v>#REF!</v>
      </c>
      <c r="I96" s="3"/>
      <c r="J96" s="3"/>
      <c r="K96" s="3"/>
      <c r="L96" s="2" t="e">
        <f>IF(ISBLANK('Master Submitted DPDs'!#REF!),"",'Master Submitted DPDs'!#REF!)</f>
        <v>#REF!</v>
      </c>
      <c r="M96" s="2" t="e">
        <f t="shared" si="2"/>
        <v>#REF!</v>
      </c>
      <c r="N96" s="2" t="e">
        <f>IF(ISBLANK('Master Submitted DPDs'!#REF!),IF(ISBLANK('Master Submitted DPDs'!#REF!),"",'Master Submitted DPDs'!#REF!),'Master Submitted DPDs'!#REF!)</f>
        <v>#REF!</v>
      </c>
      <c r="O96" s="2" t="e">
        <f>IF(ISBLANK('Master Submitted DPDs'!#REF!),"",'Master Submitted DPDs'!#REF!)</f>
        <v>#REF!</v>
      </c>
      <c r="P96" s="2" t="e">
        <f>IF(ISBLANK('Master Submitted DPDs'!#REF!),"",'Master Submitted DPDs'!#REF!)</f>
        <v>#REF!</v>
      </c>
      <c r="Q96" t="e">
        <f>IF(ISBLANK('Master Submitted DPDs'!#REF!),"",'Master Submitted DPDs'!#REF!)</f>
        <v>#REF!</v>
      </c>
      <c r="R96" t="e">
        <f t="shared" si="3"/>
        <v>#REF!</v>
      </c>
      <c r="S96" s="3"/>
      <c r="T96" t="e">
        <f>IF(ISBLANK('Master Submitted DPDs'!#REF!),"",'Master Submitted DPDs'!#REF!)</f>
        <v>#REF!</v>
      </c>
    </row>
    <row r="97" spans="1:20" ht="15" x14ac:dyDescent="0.2">
      <c r="A97" s="3" t="str">
        <f>IF(ISBLANK('Master Submitted DPDs'!#REF!),"","Local Plans")</f>
        <v>Local Plans</v>
      </c>
      <c r="B97" t="e">
        <f>IF(ISBLANK('Master Submitted DPDs'!#REF!),"",'Master Submitted DPDs'!#REF!)</f>
        <v>#REF!</v>
      </c>
      <c r="C97" s="3" t="str">
        <f>IF(ISBLANK('Master Submitted DPDs'!#REF!),"","IH")</f>
        <v>IH</v>
      </c>
      <c r="D97" s="3" t="e">
        <f>LOOKUP($F97,'fuzzy LPA lookup'!$E:$E,'fuzzy LPA lookup'!$A:$A)</f>
        <v>#REF!</v>
      </c>
      <c r="E97" s="3" t="e">
        <f>LOOKUP($F97,'fuzzy LPA lookup'!$E:$E,'fuzzy LPA lookup'!$D:$D)</f>
        <v>#REF!</v>
      </c>
      <c r="F97" s="8" t="e">
        <f>IF(ISBLANK('Master Submitted DPDs'!#REF!),"",'Master Submitted DPDs'!#REF!)</f>
        <v>#REF!</v>
      </c>
      <c r="G97" t="str">
        <f>IF(ISBLANK('Master Submitted DPDs'!#REF!),"","Withdrawn")</f>
        <v>Withdrawn</v>
      </c>
      <c r="H97" s="2" t="e">
        <f>IF(ISBLANK('Master Submitted DPDs'!#REF!),"",'Master Submitted DPDs'!#REF!)</f>
        <v>#REF!</v>
      </c>
      <c r="I97" s="3"/>
      <c r="J97" s="3"/>
      <c r="K97" s="3"/>
      <c r="L97" s="2" t="e">
        <f>IF(ISBLANK('Master Submitted DPDs'!#REF!),"",'Master Submitted DPDs'!#REF!)</f>
        <v>#REF!</v>
      </c>
      <c r="M97" s="2" t="e">
        <f t="shared" si="2"/>
        <v>#REF!</v>
      </c>
      <c r="N97" s="2" t="e">
        <f>IF(ISBLANK('Master Submitted DPDs'!#REF!),IF(ISBLANK('Master Submitted DPDs'!#REF!),"",'Master Submitted DPDs'!#REF!),'Master Submitted DPDs'!#REF!)</f>
        <v>#REF!</v>
      </c>
      <c r="O97" s="2" t="e">
        <f>IF(ISBLANK('Master Submitted DPDs'!#REF!),"",'Master Submitted DPDs'!#REF!)</f>
        <v>#REF!</v>
      </c>
      <c r="P97" s="2" t="e">
        <f>IF(ISBLANK('Master Submitted DPDs'!#REF!),"",'Master Submitted DPDs'!#REF!)</f>
        <v>#REF!</v>
      </c>
      <c r="Q97" t="e">
        <f>IF(ISBLANK('Master Submitted DPDs'!#REF!),"",'Master Submitted DPDs'!#REF!)</f>
        <v>#REF!</v>
      </c>
      <c r="R97" t="e">
        <f t="shared" si="3"/>
        <v>#REF!</v>
      </c>
      <c r="S97" s="3"/>
      <c r="T97" t="e">
        <f>IF(ISBLANK('Master Submitted DPDs'!#REF!),"",'Master Submitted DPDs'!#REF!)</f>
        <v>#REF!</v>
      </c>
    </row>
    <row r="98" spans="1:20" ht="15" x14ac:dyDescent="0.2">
      <c r="A98" s="3" t="str">
        <f>IF(ISBLANK('Master Submitted DPDs'!#REF!),"","Local Plans")</f>
        <v>Local Plans</v>
      </c>
      <c r="B98" t="e">
        <f>IF(ISBLANK('Master Submitted DPDs'!#REF!),"",'Master Submitted DPDs'!#REF!)</f>
        <v>#REF!</v>
      </c>
      <c r="C98" s="3" t="str">
        <f>IF(ISBLANK('Master Submitted DPDs'!#REF!),"","IH")</f>
        <v>IH</v>
      </c>
      <c r="D98" s="3" t="e">
        <f>LOOKUP($F98,'fuzzy LPA lookup'!$E:$E,'fuzzy LPA lookup'!$A:$A)</f>
        <v>#REF!</v>
      </c>
      <c r="E98" s="3" t="e">
        <f>LOOKUP($F98,'fuzzy LPA lookup'!$E:$E,'fuzzy LPA lookup'!$D:$D)</f>
        <v>#REF!</v>
      </c>
      <c r="F98" s="8" t="e">
        <f>IF(ISBLANK('Master Submitted DPDs'!#REF!),"",'Master Submitted DPDs'!#REF!)</f>
        <v>#REF!</v>
      </c>
      <c r="G98" t="str">
        <f>IF(ISBLANK('Master Submitted DPDs'!#REF!),"","Withdrawn")</f>
        <v>Withdrawn</v>
      </c>
      <c r="H98" s="2" t="e">
        <f>IF(ISBLANK('Master Submitted DPDs'!#REF!),"",'Master Submitted DPDs'!#REF!)</f>
        <v>#REF!</v>
      </c>
      <c r="I98" s="3"/>
      <c r="J98" s="3"/>
      <c r="K98" s="3"/>
      <c r="L98" s="2" t="e">
        <f>IF(ISBLANK('Master Submitted DPDs'!#REF!),"",'Master Submitted DPDs'!#REF!)</f>
        <v>#REF!</v>
      </c>
      <c r="M98" s="2" t="e">
        <f t="shared" si="2"/>
        <v>#REF!</v>
      </c>
      <c r="N98" s="2" t="e">
        <f>IF(ISBLANK('Master Submitted DPDs'!#REF!),IF(ISBLANK('Master Submitted DPDs'!#REF!),"",'Master Submitted DPDs'!#REF!),'Master Submitted DPDs'!#REF!)</f>
        <v>#REF!</v>
      </c>
      <c r="O98" s="2" t="e">
        <f>IF(ISBLANK('Master Submitted DPDs'!#REF!),"",'Master Submitted DPDs'!#REF!)</f>
        <v>#REF!</v>
      </c>
      <c r="P98" s="2" t="e">
        <f>IF(ISBLANK('Master Submitted DPDs'!#REF!),"",'Master Submitted DPDs'!#REF!)</f>
        <v>#REF!</v>
      </c>
      <c r="Q98" t="e">
        <f>IF(ISBLANK('Master Submitted DPDs'!#REF!),"",'Master Submitted DPDs'!#REF!)</f>
        <v>#REF!</v>
      </c>
      <c r="R98" t="e">
        <f t="shared" si="3"/>
        <v>#REF!</v>
      </c>
      <c r="S98" s="3"/>
      <c r="T98" t="e">
        <f>IF(ISBLANK('Master Submitted DPDs'!#REF!),"",'Master Submitted DPDs'!#REF!)</f>
        <v>#REF!</v>
      </c>
    </row>
    <row r="99" spans="1:20" ht="15" x14ac:dyDescent="0.2">
      <c r="A99" s="3" t="str">
        <f>IF(ISBLANK('Master Submitted DPDs'!#REF!),"","Local Plans")</f>
        <v>Local Plans</v>
      </c>
      <c r="B99" t="e">
        <f>IF(ISBLANK('Master Submitted DPDs'!#REF!),"",'Master Submitted DPDs'!#REF!)</f>
        <v>#REF!</v>
      </c>
      <c r="C99" s="3" t="str">
        <f>IF(ISBLANK('Master Submitted DPDs'!#REF!),"","IH")</f>
        <v>IH</v>
      </c>
      <c r="D99" s="3" t="e">
        <f>LOOKUP($F99,'fuzzy LPA lookup'!$E:$E,'fuzzy LPA lookup'!$A:$A)</f>
        <v>#REF!</v>
      </c>
      <c r="E99" s="3" t="e">
        <f>LOOKUP($F99,'fuzzy LPA lookup'!$E:$E,'fuzzy LPA lookup'!$D:$D)</f>
        <v>#REF!</v>
      </c>
      <c r="F99" s="8" t="e">
        <f>IF(ISBLANK('Master Submitted DPDs'!#REF!),"",'Master Submitted DPDs'!#REF!)</f>
        <v>#REF!</v>
      </c>
      <c r="G99" t="str">
        <f>IF(ISBLANK('Master Submitted DPDs'!#REF!),"","Withdrawn")</f>
        <v>Withdrawn</v>
      </c>
      <c r="H99" s="2" t="e">
        <f>IF(ISBLANK('Master Submitted DPDs'!#REF!),"",'Master Submitted DPDs'!#REF!)</f>
        <v>#REF!</v>
      </c>
      <c r="I99" s="3"/>
      <c r="J99" s="3"/>
      <c r="K99" s="3"/>
      <c r="L99" s="2" t="e">
        <f>IF(ISBLANK('Master Submitted DPDs'!#REF!),"",'Master Submitted DPDs'!#REF!)</f>
        <v>#REF!</v>
      </c>
      <c r="M99" s="2" t="e">
        <f t="shared" si="2"/>
        <v>#REF!</v>
      </c>
      <c r="N99" s="2" t="e">
        <f>IF(ISBLANK('Master Submitted DPDs'!#REF!),IF(ISBLANK('Master Submitted DPDs'!#REF!),"",'Master Submitted DPDs'!#REF!),'Master Submitted DPDs'!#REF!)</f>
        <v>#REF!</v>
      </c>
      <c r="O99" s="2" t="e">
        <f>IF(ISBLANK('Master Submitted DPDs'!#REF!),"",'Master Submitted DPDs'!#REF!)</f>
        <v>#REF!</v>
      </c>
      <c r="P99" s="2" t="e">
        <f>IF(ISBLANK('Master Submitted DPDs'!#REF!),"",'Master Submitted DPDs'!#REF!)</f>
        <v>#REF!</v>
      </c>
      <c r="Q99" t="e">
        <f>IF(ISBLANK('Master Submitted DPDs'!#REF!),"",'Master Submitted DPDs'!#REF!)</f>
        <v>#REF!</v>
      </c>
      <c r="R99" t="e">
        <f t="shared" si="3"/>
        <v>#REF!</v>
      </c>
      <c r="S99" s="3"/>
      <c r="T99" t="e">
        <f>IF(ISBLANK('Master Submitted DPDs'!#REF!),"",'Master Submitted DPDs'!#REF!)</f>
        <v>#REF!</v>
      </c>
    </row>
    <row r="100" spans="1:20" ht="15" x14ac:dyDescent="0.2">
      <c r="A100" s="3" t="str">
        <f>IF(ISBLANK('Master Submitted DPDs'!#REF!),"","Local Plans")</f>
        <v>Local Plans</v>
      </c>
      <c r="B100" t="e">
        <f>IF(ISBLANK('Master Submitted DPDs'!#REF!),"",'Master Submitted DPDs'!#REF!)</f>
        <v>#REF!</v>
      </c>
      <c r="C100" s="3" t="str">
        <f>IF(ISBLANK('Master Submitted DPDs'!#REF!),"","IH")</f>
        <v>IH</v>
      </c>
      <c r="D100" s="3" t="e">
        <f>LOOKUP($F100,'fuzzy LPA lookup'!$E:$E,'fuzzy LPA lookup'!$A:$A)</f>
        <v>#REF!</v>
      </c>
      <c r="E100" s="3" t="e">
        <f>LOOKUP($F100,'fuzzy LPA lookup'!$E:$E,'fuzzy LPA lookup'!$D:$D)</f>
        <v>#REF!</v>
      </c>
      <c r="F100" s="8" t="e">
        <f>IF(ISBLANK('Master Submitted DPDs'!#REF!),"",'Master Submitted DPDs'!#REF!)</f>
        <v>#REF!</v>
      </c>
      <c r="G100" t="str">
        <f>IF(ISBLANK('Master Submitted DPDs'!#REF!),"","Withdrawn")</f>
        <v>Withdrawn</v>
      </c>
      <c r="H100" s="2" t="e">
        <f>IF(ISBLANK('Master Submitted DPDs'!#REF!),"",'Master Submitted DPDs'!#REF!)</f>
        <v>#REF!</v>
      </c>
      <c r="I100" s="3"/>
      <c r="J100" s="3"/>
      <c r="K100" s="3"/>
      <c r="L100" s="2" t="e">
        <f>IF(ISBLANK('Master Submitted DPDs'!#REF!),"",'Master Submitted DPDs'!#REF!)</f>
        <v>#REF!</v>
      </c>
      <c r="M100" s="2" t="e">
        <f t="shared" si="2"/>
        <v>#REF!</v>
      </c>
      <c r="N100" s="2" t="e">
        <f>IF(ISBLANK('Master Submitted DPDs'!#REF!),IF(ISBLANK('Master Submitted DPDs'!#REF!),"",'Master Submitted DPDs'!#REF!),'Master Submitted DPDs'!#REF!)</f>
        <v>#REF!</v>
      </c>
      <c r="O100" s="2" t="e">
        <f>IF(ISBLANK('Master Submitted DPDs'!#REF!),"",'Master Submitted DPDs'!#REF!)</f>
        <v>#REF!</v>
      </c>
      <c r="P100" s="2" t="e">
        <f>IF(ISBLANK('Master Submitted DPDs'!#REF!),"",'Master Submitted DPDs'!#REF!)</f>
        <v>#REF!</v>
      </c>
      <c r="Q100" t="e">
        <f>IF(ISBLANK('Master Submitted DPDs'!#REF!),"",'Master Submitted DPDs'!#REF!)</f>
        <v>#REF!</v>
      </c>
      <c r="R100" t="e">
        <f t="shared" si="3"/>
        <v>#REF!</v>
      </c>
      <c r="S100" s="3"/>
      <c r="T100" t="e">
        <f>IF(ISBLANK('Master Submitted DPDs'!#REF!),"",'Master Submitted DPDs'!#REF!)</f>
        <v>#REF!</v>
      </c>
    </row>
    <row r="101" spans="1:20" ht="15" x14ac:dyDescent="0.2">
      <c r="A101" s="3" t="str">
        <f>IF(ISBLANK('Master Submitted DPDs'!#REF!),"","Local Plans")</f>
        <v>Local Plans</v>
      </c>
      <c r="B101" t="e">
        <f>IF(ISBLANK('Master Submitted DPDs'!#REF!),"",'Master Submitted DPDs'!#REF!)</f>
        <v>#REF!</v>
      </c>
      <c r="C101" s="3" t="str">
        <f>IF(ISBLANK('Master Submitted DPDs'!#REF!),"","IH")</f>
        <v>IH</v>
      </c>
      <c r="D101" s="3" t="e">
        <f>LOOKUP($F101,'fuzzy LPA lookup'!$E:$E,'fuzzy LPA lookup'!$A:$A)</f>
        <v>#REF!</v>
      </c>
      <c r="E101" s="3" t="e">
        <f>LOOKUP($F101,'fuzzy LPA lookup'!$E:$E,'fuzzy LPA lookup'!$D:$D)</f>
        <v>#REF!</v>
      </c>
      <c r="F101" s="8" t="e">
        <f>IF(ISBLANK('Master Submitted DPDs'!#REF!),"",'Master Submitted DPDs'!#REF!)</f>
        <v>#REF!</v>
      </c>
      <c r="G101" t="str">
        <f>IF(ISBLANK('Master Submitted DPDs'!#REF!),"","Withdrawn")</f>
        <v>Withdrawn</v>
      </c>
      <c r="H101" s="2" t="e">
        <f>IF(ISBLANK('Master Submitted DPDs'!#REF!),"",'Master Submitted DPDs'!#REF!)</f>
        <v>#REF!</v>
      </c>
      <c r="I101" s="3"/>
      <c r="J101" s="3"/>
      <c r="K101" s="3"/>
      <c r="L101" s="2" t="e">
        <f>IF(ISBLANK('Master Submitted DPDs'!#REF!),"",'Master Submitted DPDs'!#REF!)</f>
        <v>#REF!</v>
      </c>
      <c r="M101" s="2" t="e">
        <f t="shared" si="2"/>
        <v>#REF!</v>
      </c>
      <c r="N101" s="2" t="e">
        <f>IF(ISBLANK('Master Submitted DPDs'!#REF!),IF(ISBLANK('Master Submitted DPDs'!#REF!),"",'Master Submitted DPDs'!#REF!),'Master Submitted DPDs'!#REF!)</f>
        <v>#REF!</v>
      </c>
      <c r="O101" s="2" t="e">
        <f>IF(ISBLANK('Master Submitted DPDs'!#REF!),"",'Master Submitted DPDs'!#REF!)</f>
        <v>#REF!</v>
      </c>
      <c r="P101" s="2" t="e">
        <f>IF(ISBLANK('Master Submitted DPDs'!#REF!),"",'Master Submitted DPDs'!#REF!)</f>
        <v>#REF!</v>
      </c>
      <c r="Q101" t="e">
        <f>IF(ISBLANK('Master Submitted DPDs'!#REF!),"",'Master Submitted DPDs'!#REF!)</f>
        <v>#REF!</v>
      </c>
      <c r="R101" t="e">
        <f t="shared" si="3"/>
        <v>#REF!</v>
      </c>
      <c r="S101" s="3"/>
      <c r="T101" t="e">
        <f>IF(ISBLANK('Master Submitted DPDs'!#REF!),"",'Master Submitted DPDs'!#REF!)</f>
        <v>#REF!</v>
      </c>
    </row>
    <row r="102" spans="1:20" ht="15" x14ac:dyDescent="0.2">
      <c r="A102" s="3" t="str">
        <f>IF(ISBLANK('Master Submitted DPDs'!#REF!),"","Local Plans")</f>
        <v>Local Plans</v>
      </c>
      <c r="B102" t="e">
        <f>IF(ISBLANK('Master Submitted DPDs'!#REF!),"",'Master Submitted DPDs'!#REF!)</f>
        <v>#REF!</v>
      </c>
      <c r="C102" s="3" t="str">
        <f>IF(ISBLANK('Master Submitted DPDs'!#REF!),"","IH")</f>
        <v>IH</v>
      </c>
      <c r="D102" s="3" t="e">
        <f>LOOKUP($F102,'fuzzy LPA lookup'!$E:$E,'fuzzy LPA lookup'!$A:$A)</f>
        <v>#REF!</v>
      </c>
      <c r="E102" s="3" t="e">
        <f>LOOKUP($F102,'fuzzy LPA lookup'!$E:$E,'fuzzy LPA lookup'!$D:$D)</f>
        <v>#REF!</v>
      </c>
      <c r="F102" s="8" t="e">
        <f>IF(ISBLANK('Master Submitted DPDs'!#REF!),"",'Master Submitted DPDs'!#REF!)</f>
        <v>#REF!</v>
      </c>
      <c r="G102" t="str">
        <f>IF(ISBLANK('Master Submitted DPDs'!#REF!),"","Withdrawn")</f>
        <v>Withdrawn</v>
      </c>
      <c r="H102" s="2" t="e">
        <f>IF(ISBLANK('Master Submitted DPDs'!#REF!),"",'Master Submitted DPDs'!#REF!)</f>
        <v>#REF!</v>
      </c>
      <c r="I102" s="3"/>
      <c r="J102" s="3"/>
      <c r="K102" s="3"/>
      <c r="L102" s="2" t="e">
        <f>IF(ISBLANK('Master Submitted DPDs'!#REF!),"",'Master Submitted DPDs'!#REF!)</f>
        <v>#REF!</v>
      </c>
      <c r="M102" s="2" t="e">
        <f t="shared" si="2"/>
        <v>#REF!</v>
      </c>
      <c r="N102" s="2" t="e">
        <f>IF(ISBLANK('Master Submitted DPDs'!#REF!),IF(ISBLANK('Master Submitted DPDs'!#REF!),"",'Master Submitted DPDs'!#REF!),'Master Submitted DPDs'!#REF!)</f>
        <v>#REF!</v>
      </c>
      <c r="O102" s="2" t="e">
        <f>IF(ISBLANK('Master Submitted DPDs'!#REF!),"",'Master Submitted DPDs'!#REF!)</f>
        <v>#REF!</v>
      </c>
      <c r="P102" s="2" t="e">
        <f>IF(ISBLANK('Master Submitted DPDs'!#REF!),"",'Master Submitted DPDs'!#REF!)</f>
        <v>#REF!</v>
      </c>
      <c r="Q102" t="e">
        <f>IF(ISBLANK('Master Submitted DPDs'!#REF!),"",'Master Submitted DPDs'!#REF!)</f>
        <v>#REF!</v>
      </c>
      <c r="R102" t="e">
        <f t="shared" si="3"/>
        <v>#REF!</v>
      </c>
      <c r="S102" s="3"/>
      <c r="T102" t="e">
        <f>IF(ISBLANK('Master Submitted DPDs'!#REF!),"",'Master Submitted DPDs'!#REF!)</f>
        <v>#REF!</v>
      </c>
    </row>
    <row r="103" spans="1:20" ht="15" x14ac:dyDescent="0.2">
      <c r="A103" s="3" t="str">
        <f>IF(ISBLANK('Master Submitted DPDs'!#REF!),"","Local Plans")</f>
        <v>Local Plans</v>
      </c>
      <c r="B103" t="e">
        <f>IF(ISBLANK('Master Submitted DPDs'!#REF!),"",'Master Submitted DPDs'!#REF!)</f>
        <v>#REF!</v>
      </c>
      <c r="C103" s="3" t="str">
        <f>IF(ISBLANK('Master Submitted DPDs'!#REF!),"","IH")</f>
        <v>IH</v>
      </c>
      <c r="D103" s="3" t="e">
        <f>LOOKUP($F103,'fuzzy LPA lookup'!$E:$E,'fuzzy LPA lookup'!$A:$A)</f>
        <v>#REF!</v>
      </c>
      <c r="E103" s="3" t="e">
        <f>LOOKUP($F103,'fuzzy LPA lookup'!$E:$E,'fuzzy LPA lookup'!$D:$D)</f>
        <v>#REF!</v>
      </c>
      <c r="F103" s="8" t="e">
        <f>IF(ISBLANK('Master Submitted DPDs'!#REF!),"",'Master Submitted DPDs'!#REF!)</f>
        <v>#REF!</v>
      </c>
      <c r="G103" t="str">
        <f>IF(ISBLANK('Master Submitted DPDs'!#REF!),"","Withdrawn")</f>
        <v>Withdrawn</v>
      </c>
      <c r="H103" s="2" t="e">
        <f>IF(ISBLANK('Master Submitted DPDs'!#REF!),"",'Master Submitted DPDs'!#REF!)</f>
        <v>#REF!</v>
      </c>
      <c r="I103" s="3"/>
      <c r="J103" s="3"/>
      <c r="K103" s="3"/>
      <c r="L103" s="2" t="e">
        <f>IF(ISBLANK('Master Submitted DPDs'!#REF!),"",'Master Submitted DPDs'!#REF!)</f>
        <v>#REF!</v>
      </c>
      <c r="M103" s="2" t="e">
        <f t="shared" si="2"/>
        <v>#REF!</v>
      </c>
      <c r="N103" s="2" t="e">
        <f>IF(ISBLANK('Master Submitted DPDs'!#REF!),IF(ISBLANK('Master Submitted DPDs'!#REF!),"",'Master Submitted DPDs'!#REF!),'Master Submitted DPDs'!#REF!)</f>
        <v>#REF!</v>
      </c>
      <c r="O103" s="2" t="e">
        <f>IF(ISBLANK('Master Submitted DPDs'!#REF!),"",'Master Submitted DPDs'!#REF!)</f>
        <v>#REF!</v>
      </c>
      <c r="P103" s="2" t="e">
        <f>IF(ISBLANK('Master Submitted DPDs'!#REF!),"",'Master Submitted DPDs'!#REF!)</f>
        <v>#REF!</v>
      </c>
      <c r="Q103" t="e">
        <f>IF(ISBLANK('Master Submitted DPDs'!#REF!),"",'Master Submitted DPDs'!#REF!)</f>
        <v>#REF!</v>
      </c>
      <c r="R103" t="e">
        <f t="shared" si="3"/>
        <v>#REF!</v>
      </c>
      <c r="S103" s="3"/>
      <c r="T103" t="e">
        <f>IF(ISBLANK('Master Submitted DPDs'!#REF!),"",'Master Submitted DPDs'!#REF!)</f>
        <v>#REF!</v>
      </c>
    </row>
    <row r="104" spans="1:20" ht="15" x14ac:dyDescent="0.2">
      <c r="A104" s="3" t="str">
        <f>IF(ISBLANK('Master Submitted DPDs'!#REF!),"","Local Plans")</f>
        <v>Local Plans</v>
      </c>
      <c r="B104" t="e">
        <f>IF(ISBLANK('Master Submitted DPDs'!#REF!),"",'Master Submitted DPDs'!#REF!)</f>
        <v>#REF!</v>
      </c>
      <c r="C104" s="3" t="str">
        <f>IF(ISBLANK('Master Submitted DPDs'!#REF!),"","IH")</f>
        <v>IH</v>
      </c>
      <c r="D104" s="3" t="e">
        <f>LOOKUP($F104,'fuzzy LPA lookup'!$E:$E,'fuzzy LPA lookup'!$A:$A)</f>
        <v>#REF!</v>
      </c>
      <c r="E104" s="3" t="e">
        <f>LOOKUP($F104,'fuzzy LPA lookup'!$E:$E,'fuzzy LPA lookup'!$D:$D)</f>
        <v>#REF!</v>
      </c>
      <c r="F104" s="8" t="e">
        <f>IF(ISBLANK('Master Submitted DPDs'!#REF!),"",'Master Submitted DPDs'!#REF!)</f>
        <v>#REF!</v>
      </c>
      <c r="G104" t="str">
        <f>IF(ISBLANK('Master Submitted DPDs'!#REF!),"","Withdrawn")</f>
        <v>Withdrawn</v>
      </c>
      <c r="H104" s="2" t="e">
        <f>IF(ISBLANK('Master Submitted DPDs'!#REF!),"",'Master Submitted DPDs'!#REF!)</f>
        <v>#REF!</v>
      </c>
      <c r="I104" s="3"/>
      <c r="J104" s="3"/>
      <c r="K104" s="3"/>
      <c r="L104" s="2" t="e">
        <f>IF(ISBLANK('Master Submitted DPDs'!#REF!),"",'Master Submitted DPDs'!#REF!)</f>
        <v>#REF!</v>
      </c>
      <c r="M104" s="2" t="e">
        <f t="shared" si="2"/>
        <v>#REF!</v>
      </c>
      <c r="N104" s="2" t="e">
        <f>IF(ISBLANK('Master Submitted DPDs'!#REF!),IF(ISBLANK('Master Submitted DPDs'!#REF!),"",'Master Submitted DPDs'!#REF!),'Master Submitted DPDs'!#REF!)</f>
        <v>#REF!</v>
      </c>
      <c r="O104" s="2" t="e">
        <f>IF(ISBLANK('Master Submitted DPDs'!#REF!),"",'Master Submitted DPDs'!#REF!)</f>
        <v>#REF!</v>
      </c>
      <c r="P104" s="2" t="e">
        <f>IF(ISBLANK('Master Submitted DPDs'!#REF!),"",'Master Submitted DPDs'!#REF!)</f>
        <v>#REF!</v>
      </c>
      <c r="Q104" t="e">
        <f>IF(ISBLANK('Master Submitted DPDs'!#REF!),"",'Master Submitted DPDs'!#REF!)</f>
        <v>#REF!</v>
      </c>
      <c r="R104" t="e">
        <f t="shared" si="3"/>
        <v>#REF!</v>
      </c>
      <c r="S104" s="3"/>
      <c r="T104" t="e">
        <f>IF(ISBLANK('Master Submitted DPDs'!#REF!),"",'Master Submitted DPDs'!#REF!)</f>
        <v>#REF!</v>
      </c>
    </row>
    <row r="105" spans="1:20" ht="15" x14ac:dyDescent="0.2">
      <c r="A105" s="3" t="str">
        <f>IF(ISBLANK('Master Submitted DPDs'!#REF!),"","Local Plans")</f>
        <v>Local Plans</v>
      </c>
      <c r="B105" t="e">
        <f>IF(ISBLANK('Master Submitted DPDs'!#REF!),"",'Master Submitted DPDs'!#REF!)</f>
        <v>#REF!</v>
      </c>
      <c r="C105" s="3" t="str">
        <f>IF(ISBLANK('Master Submitted DPDs'!#REF!),"","IH")</f>
        <v>IH</v>
      </c>
      <c r="D105" s="3" t="e">
        <f>LOOKUP($F105,'fuzzy LPA lookup'!$E:$E,'fuzzy LPA lookup'!$A:$A)</f>
        <v>#REF!</v>
      </c>
      <c r="E105" s="3" t="e">
        <f>LOOKUP($F105,'fuzzy LPA lookup'!$E:$E,'fuzzy LPA lookup'!$D:$D)</f>
        <v>#REF!</v>
      </c>
      <c r="F105" s="8" t="e">
        <f>IF(ISBLANK('Master Submitted DPDs'!#REF!),"",'Master Submitted DPDs'!#REF!)</f>
        <v>#REF!</v>
      </c>
      <c r="G105" t="str">
        <f>IF(ISBLANK('Master Submitted DPDs'!#REF!),"","Withdrawn")</f>
        <v>Withdrawn</v>
      </c>
      <c r="H105" s="2" t="e">
        <f>IF(ISBLANK('Master Submitted DPDs'!#REF!),"",'Master Submitted DPDs'!#REF!)</f>
        <v>#REF!</v>
      </c>
      <c r="I105" s="3"/>
      <c r="J105" s="3"/>
      <c r="K105" s="3"/>
      <c r="L105" s="2" t="e">
        <f>IF(ISBLANK('Master Submitted DPDs'!#REF!),"",'Master Submitted DPDs'!#REF!)</f>
        <v>#REF!</v>
      </c>
      <c r="M105" s="2" t="e">
        <f t="shared" si="2"/>
        <v>#REF!</v>
      </c>
      <c r="N105" s="2" t="e">
        <f>IF(ISBLANK('Master Submitted DPDs'!#REF!),IF(ISBLANK('Master Submitted DPDs'!#REF!),"",'Master Submitted DPDs'!#REF!),'Master Submitted DPDs'!#REF!)</f>
        <v>#REF!</v>
      </c>
      <c r="O105" s="2" t="e">
        <f>IF(ISBLANK('Master Submitted DPDs'!#REF!),"",'Master Submitted DPDs'!#REF!)</f>
        <v>#REF!</v>
      </c>
      <c r="P105" s="2" t="e">
        <f>IF(ISBLANK('Master Submitted DPDs'!#REF!),"",'Master Submitted DPDs'!#REF!)</f>
        <v>#REF!</v>
      </c>
      <c r="Q105" t="e">
        <f>IF(ISBLANK('Master Submitted DPDs'!#REF!),"",'Master Submitted DPDs'!#REF!)</f>
        <v>#REF!</v>
      </c>
      <c r="R105" t="e">
        <f t="shared" si="3"/>
        <v>#REF!</v>
      </c>
      <c r="S105" s="3"/>
      <c r="T105" t="e">
        <f>IF(ISBLANK('Master Submitted DPDs'!#REF!),"",'Master Submitted DPDs'!#REF!)</f>
        <v>#REF!</v>
      </c>
    </row>
    <row r="106" spans="1:20" ht="15" x14ac:dyDescent="0.2">
      <c r="A106" s="3" t="str">
        <f>IF(ISBLANK('Master Submitted DPDs'!#REF!),"","Local Plans")</f>
        <v>Local Plans</v>
      </c>
      <c r="B106" t="e">
        <f>IF(ISBLANK('Master Submitted DPDs'!#REF!),"",'Master Submitted DPDs'!#REF!)</f>
        <v>#REF!</v>
      </c>
      <c r="C106" s="3" t="str">
        <f>IF(ISBLANK('Master Submitted DPDs'!#REF!),"","IH")</f>
        <v>IH</v>
      </c>
      <c r="D106" s="3" t="e">
        <f>LOOKUP($F106,'fuzzy LPA lookup'!$E:$E,'fuzzy LPA lookup'!$A:$A)</f>
        <v>#REF!</v>
      </c>
      <c r="E106" s="3" t="e">
        <f>LOOKUP($F106,'fuzzy LPA lookup'!$E:$E,'fuzzy LPA lookup'!$D:$D)</f>
        <v>#REF!</v>
      </c>
      <c r="F106" s="8" t="e">
        <f>IF(ISBLANK('Master Submitted DPDs'!#REF!),"",'Master Submitted DPDs'!#REF!)</f>
        <v>#REF!</v>
      </c>
      <c r="G106" t="str">
        <f>IF(ISBLANK('Master Submitted DPDs'!#REF!),"","Withdrawn")</f>
        <v>Withdrawn</v>
      </c>
      <c r="H106" s="2" t="e">
        <f>IF(ISBLANK('Master Submitted DPDs'!#REF!),"",'Master Submitted DPDs'!#REF!)</f>
        <v>#REF!</v>
      </c>
      <c r="I106" s="3"/>
      <c r="J106" s="3"/>
      <c r="K106" s="3"/>
      <c r="L106" s="2" t="e">
        <f>IF(ISBLANK('Master Submitted DPDs'!#REF!),"",'Master Submitted DPDs'!#REF!)</f>
        <v>#REF!</v>
      </c>
      <c r="M106" s="2" t="e">
        <f t="shared" si="2"/>
        <v>#REF!</v>
      </c>
      <c r="N106" s="2" t="e">
        <f>IF(ISBLANK('Master Submitted DPDs'!#REF!),IF(ISBLANK('Master Submitted DPDs'!#REF!),"",'Master Submitted DPDs'!#REF!),'Master Submitted DPDs'!#REF!)</f>
        <v>#REF!</v>
      </c>
      <c r="O106" s="2" t="e">
        <f>IF(ISBLANK('Master Submitted DPDs'!#REF!),"",'Master Submitted DPDs'!#REF!)</f>
        <v>#REF!</v>
      </c>
      <c r="P106" s="2" t="e">
        <f>IF(ISBLANK('Master Submitted DPDs'!#REF!),"",'Master Submitted DPDs'!#REF!)</f>
        <v>#REF!</v>
      </c>
      <c r="Q106" t="e">
        <f>IF(ISBLANK('Master Submitted DPDs'!#REF!),"",'Master Submitted DPDs'!#REF!)</f>
        <v>#REF!</v>
      </c>
      <c r="R106" t="e">
        <f t="shared" si="3"/>
        <v>#REF!</v>
      </c>
      <c r="S106" s="3"/>
      <c r="T106" t="e">
        <f>IF(ISBLANK('Master Submitted DPDs'!#REF!),"",'Master Submitted DPDs'!#REF!)</f>
        <v>#REF!</v>
      </c>
    </row>
    <row r="107" spans="1:20" ht="15" x14ac:dyDescent="0.2">
      <c r="A107" s="3" t="str">
        <f>IF(ISBLANK('Master Submitted DPDs'!#REF!),"","Local Plans")</f>
        <v>Local Plans</v>
      </c>
      <c r="B107" t="e">
        <f>IF(ISBLANK('Master Submitted DPDs'!#REF!),"",'Master Submitted DPDs'!#REF!)</f>
        <v>#REF!</v>
      </c>
      <c r="C107" s="3" t="str">
        <f>IF(ISBLANK('Master Submitted DPDs'!#REF!),"","IH")</f>
        <v>IH</v>
      </c>
      <c r="D107" s="3" t="e">
        <f>LOOKUP($F107,'fuzzy LPA lookup'!$E:$E,'fuzzy LPA lookup'!$A:$A)</f>
        <v>#REF!</v>
      </c>
      <c r="E107" s="3" t="e">
        <f>LOOKUP($F107,'fuzzy LPA lookup'!$E:$E,'fuzzy LPA lookup'!$D:$D)</f>
        <v>#REF!</v>
      </c>
      <c r="F107" s="8" t="e">
        <f>IF(ISBLANK('Master Submitted DPDs'!#REF!),"",'Master Submitted DPDs'!#REF!)</f>
        <v>#REF!</v>
      </c>
      <c r="G107" t="str">
        <f>IF(ISBLANK('Master Submitted DPDs'!#REF!),"","Withdrawn")</f>
        <v>Withdrawn</v>
      </c>
      <c r="H107" s="2" t="e">
        <f>IF(ISBLANK('Master Submitted DPDs'!#REF!),"",'Master Submitted DPDs'!#REF!)</f>
        <v>#REF!</v>
      </c>
      <c r="I107" s="3"/>
      <c r="J107" s="3"/>
      <c r="K107" s="3"/>
      <c r="L107" s="2" t="e">
        <f>IF(ISBLANK('Master Submitted DPDs'!#REF!),"",'Master Submitted DPDs'!#REF!)</f>
        <v>#REF!</v>
      </c>
      <c r="M107" s="2" t="e">
        <f t="shared" si="2"/>
        <v>#REF!</v>
      </c>
      <c r="N107" s="2" t="e">
        <f>IF(ISBLANK('Master Submitted DPDs'!#REF!),IF(ISBLANK('Master Submitted DPDs'!#REF!),"",'Master Submitted DPDs'!#REF!),'Master Submitted DPDs'!#REF!)</f>
        <v>#REF!</v>
      </c>
      <c r="O107" s="2" t="e">
        <f>IF(ISBLANK('Master Submitted DPDs'!#REF!),"",'Master Submitted DPDs'!#REF!)</f>
        <v>#REF!</v>
      </c>
      <c r="P107" s="2" t="e">
        <f>IF(ISBLANK('Master Submitted DPDs'!#REF!),"",'Master Submitted DPDs'!#REF!)</f>
        <v>#REF!</v>
      </c>
      <c r="Q107" t="e">
        <f>IF(ISBLANK('Master Submitted DPDs'!#REF!),"",'Master Submitted DPDs'!#REF!)</f>
        <v>#REF!</v>
      </c>
      <c r="R107" t="e">
        <f t="shared" si="3"/>
        <v>#REF!</v>
      </c>
      <c r="S107" s="3"/>
      <c r="T107" t="e">
        <f>IF(ISBLANK('Master Submitted DPDs'!#REF!),"",'Master Submitted DPDs'!#REF!)</f>
        <v>#REF!</v>
      </c>
    </row>
    <row r="108" spans="1:20" ht="15" x14ac:dyDescent="0.2">
      <c r="A108" s="3" t="str">
        <f>IF(ISBLANK('Master Submitted DPDs'!#REF!),"","Local Plans")</f>
        <v>Local Plans</v>
      </c>
      <c r="B108" t="e">
        <f>IF(ISBLANK('Master Submitted DPDs'!#REF!),"",'Master Submitted DPDs'!#REF!)</f>
        <v>#REF!</v>
      </c>
      <c r="C108" s="3" t="str">
        <f>IF(ISBLANK('Master Submitted DPDs'!#REF!),"","IH")</f>
        <v>IH</v>
      </c>
      <c r="D108" s="3" t="e">
        <f>LOOKUP($F108,'fuzzy LPA lookup'!$E:$E,'fuzzy LPA lookup'!$A:$A)</f>
        <v>#REF!</v>
      </c>
      <c r="E108" s="3" t="e">
        <f>LOOKUP($F108,'fuzzy LPA lookup'!$E:$E,'fuzzy LPA lookup'!$D:$D)</f>
        <v>#REF!</v>
      </c>
      <c r="F108" s="8" t="e">
        <f>IF(ISBLANK('Master Submitted DPDs'!#REF!),"",'Master Submitted DPDs'!#REF!)</f>
        <v>#REF!</v>
      </c>
      <c r="G108" t="str">
        <f>IF(ISBLANK('Master Submitted DPDs'!#REF!),"","Withdrawn")</f>
        <v>Withdrawn</v>
      </c>
      <c r="H108" s="2" t="e">
        <f>IF(ISBLANK('Master Submitted DPDs'!#REF!),"",'Master Submitted DPDs'!#REF!)</f>
        <v>#REF!</v>
      </c>
      <c r="I108" s="3"/>
      <c r="J108" s="3"/>
      <c r="K108" s="3"/>
      <c r="L108" s="2" t="e">
        <f>IF(ISBLANK('Master Submitted DPDs'!#REF!),"",'Master Submitted DPDs'!#REF!)</f>
        <v>#REF!</v>
      </c>
      <c r="M108" s="2" t="e">
        <f t="shared" si="2"/>
        <v>#REF!</v>
      </c>
      <c r="N108" s="2" t="e">
        <f>IF(ISBLANK('Master Submitted DPDs'!#REF!),IF(ISBLANK('Master Submitted DPDs'!#REF!),"",'Master Submitted DPDs'!#REF!),'Master Submitted DPDs'!#REF!)</f>
        <v>#REF!</v>
      </c>
      <c r="O108" s="2" t="e">
        <f>IF(ISBLANK('Master Submitted DPDs'!#REF!),"",'Master Submitted DPDs'!#REF!)</f>
        <v>#REF!</v>
      </c>
      <c r="P108" s="2" t="e">
        <f>IF(ISBLANK('Master Submitted DPDs'!#REF!),"",'Master Submitted DPDs'!#REF!)</f>
        <v>#REF!</v>
      </c>
      <c r="Q108" t="e">
        <f>IF(ISBLANK('Master Submitted DPDs'!#REF!),"",'Master Submitted DPDs'!#REF!)</f>
        <v>#REF!</v>
      </c>
      <c r="R108" t="e">
        <f t="shared" si="3"/>
        <v>#REF!</v>
      </c>
      <c r="S108" s="3"/>
      <c r="T108" t="e">
        <f>IF(ISBLANK('Master Submitted DPDs'!#REF!),"",'Master Submitted DPDs'!#REF!)</f>
        <v>#REF!</v>
      </c>
    </row>
    <row r="109" spans="1:20" ht="15" x14ac:dyDescent="0.2">
      <c r="A109" s="3" t="str">
        <f>IF(ISBLANK('Master Submitted DPDs'!#REF!),"","Local Plans")</f>
        <v>Local Plans</v>
      </c>
      <c r="B109" t="e">
        <f>IF(ISBLANK('Master Submitted DPDs'!#REF!),"",'Master Submitted DPDs'!#REF!)</f>
        <v>#REF!</v>
      </c>
      <c r="C109" s="3" t="str">
        <f>IF(ISBLANK('Master Submitted DPDs'!#REF!),"","IH")</f>
        <v>IH</v>
      </c>
      <c r="D109" s="3" t="e">
        <f>LOOKUP($F109,'fuzzy LPA lookup'!$E:$E,'fuzzy LPA lookup'!$A:$A)</f>
        <v>#REF!</v>
      </c>
      <c r="E109" s="3" t="e">
        <f>LOOKUP($F109,'fuzzy LPA lookup'!$E:$E,'fuzzy LPA lookup'!$D:$D)</f>
        <v>#REF!</v>
      </c>
      <c r="F109" s="8" t="e">
        <f>IF(ISBLANK('Master Submitted DPDs'!#REF!),"",'Master Submitted DPDs'!#REF!)</f>
        <v>#REF!</v>
      </c>
      <c r="G109" t="str">
        <f>IF(ISBLANK('Master Submitted DPDs'!#REF!),"","Withdrawn")</f>
        <v>Withdrawn</v>
      </c>
      <c r="H109" s="2" t="e">
        <f>IF(ISBLANK('Master Submitted DPDs'!#REF!),"",'Master Submitted DPDs'!#REF!)</f>
        <v>#REF!</v>
      </c>
      <c r="I109" s="3"/>
      <c r="J109" s="3"/>
      <c r="K109" s="3"/>
      <c r="L109" s="2" t="e">
        <f>IF(ISBLANK('Master Submitted DPDs'!#REF!),"",'Master Submitted DPDs'!#REF!)</f>
        <v>#REF!</v>
      </c>
      <c r="M109" s="2" t="e">
        <f t="shared" si="2"/>
        <v>#REF!</v>
      </c>
      <c r="N109" s="2" t="e">
        <f>IF(ISBLANK('Master Submitted DPDs'!#REF!),IF(ISBLANK('Master Submitted DPDs'!#REF!),"",'Master Submitted DPDs'!#REF!),'Master Submitted DPDs'!#REF!)</f>
        <v>#REF!</v>
      </c>
      <c r="O109" s="2" t="e">
        <f>IF(ISBLANK('Master Submitted DPDs'!#REF!),"",'Master Submitted DPDs'!#REF!)</f>
        <v>#REF!</v>
      </c>
      <c r="P109" s="2" t="e">
        <f>IF(ISBLANK('Master Submitted DPDs'!#REF!),"",'Master Submitted DPDs'!#REF!)</f>
        <v>#REF!</v>
      </c>
      <c r="Q109" t="e">
        <f>IF(ISBLANK('Master Submitted DPDs'!#REF!),"",'Master Submitted DPDs'!#REF!)</f>
        <v>#REF!</v>
      </c>
      <c r="R109" t="e">
        <f t="shared" si="3"/>
        <v>#REF!</v>
      </c>
      <c r="S109" s="3"/>
      <c r="T109" t="e">
        <f>IF(ISBLANK('Master Submitted DPDs'!#REF!),"",'Master Submitted DPDs'!#REF!)</f>
        <v>#REF!</v>
      </c>
    </row>
    <row r="110" spans="1:20" ht="15" x14ac:dyDescent="0.2">
      <c r="A110" s="3" t="str">
        <f>IF(ISBLANK('Master Submitted DPDs'!#REF!),"","Local Plans")</f>
        <v>Local Plans</v>
      </c>
      <c r="B110" t="e">
        <f>IF(ISBLANK('Master Submitted DPDs'!#REF!),"",'Master Submitted DPDs'!#REF!)</f>
        <v>#REF!</v>
      </c>
      <c r="C110" s="3" t="str">
        <f>IF(ISBLANK('Master Submitted DPDs'!#REF!),"","IH")</f>
        <v>IH</v>
      </c>
      <c r="D110" s="3" t="e">
        <f>LOOKUP($F110,'fuzzy LPA lookup'!$E:$E,'fuzzy LPA lookup'!$A:$A)</f>
        <v>#REF!</v>
      </c>
      <c r="E110" s="3" t="e">
        <f>LOOKUP($F110,'fuzzy LPA lookup'!$E:$E,'fuzzy LPA lookup'!$D:$D)</f>
        <v>#REF!</v>
      </c>
      <c r="F110" s="8" t="e">
        <f>IF(ISBLANK('Master Submitted DPDs'!#REF!),"",'Master Submitted DPDs'!#REF!)</f>
        <v>#REF!</v>
      </c>
      <c r="G110" t="str">
        <f>IF(ISBLANK('Master Submitted DPDs'!#REF!),"","Withdrawn")</f>
        <v>Withdrawn</v>
      </c>
      <c r="H110" s="2" t="e">
        <f>IF(ISBLANK('Master Submitted DPDs'!#REF!),"",'Master Submitted DPDs'!#REF!)</f>
        <v>#REF!</v>
      </c>
      <c r="I110" s="3"/>
      <c r="J110" s="3"/>
      <c r="K110" s="3"/>
      <c r="L110" s="2" t="e">
        <f>IF(ISBLANK('Master Submitted DPDs'!#REF!),"",'Master Submitted DPDs'!#REF!)</f>
        <v>#REF!</v>
      </c>
      <c r="M110" s="2" t="e">
        <f t="shared" si="2"/>
        <v>#REF!</v>
      </c>
      <c r="N110" s="2" t="e">
        <f>IF(ISBLANK('Master Submitted DPDs'!#REF!),IF(ISBLANK('Master Submitted DPDs'!#REF!),"",'Master Submitted DPDs'!#REF!),'Master Submitted DPDs'!#REF!)</f>
        <v>#REF!</v>
      </c>
      <c r="O110" s="2" t="e">
        <f>IF(ISBLANK('Master Submitted DPDs'!#REF!),"",'Master Submitted DPDs'!#REF!)</f>
        <v>#REF!</v>
      </c>
      <c r="P110" s="2" t="e">
        <f>IF(ISBLANK('Master Submitted DPDs'!#REF!),"",'Master Submitted DPDs'!#REF!)</f>
        <v>#REF!</v>
      </c>
      <c r="Q110" t="e">
        <f>IF(ISBLANK('Master Submitted DPDs'!#REF!),"",'Master Submitted DPDs'!#REF!)</f>
        <v>#REF!</v>
      </c>
      <c r="R110" t="e">
        <f t="shared" si="3"/>
        <v>#REF!</v>
      </c>
      <c r="S110" s="3"/>
      <c r="T110" t="e">
        <f>IF(ISBLANK('Master Submitted DPDs'!#REF!),"",'Master Submitted DPDs'!#REF!)</f>
        <v>#REF!</v>
      </c>
    </row>
    <row r="111" spans="1:20" ht="15" x14ac:dyDescent="0.2">
      <c r="A111" s="3" t="str">
        <f>IF(ISBLANK('Master Submitted DPDs'!#REF!),"","Local Plans")</f>
        <v>Local Plans</v>
      </c>
      <c r="B111" t="e">
        <f>IF(ISBLANK('Master Submitted DPDs'!#REF!),"",'Master Submitted DPDs'!#REF!)</f>
        <v>#REF!</v>
      </c>
      <c r="C111" s="3" t="str">
        <f>IF(ISBLANK('Master Submitted DPDs'!#REF!),"","IH")</f>
        <v>IH</v>
      </c>
      <c r="D111" s="3" t="e">
        <f>LOOKUP($F111,'fuzzy LPA lookup'!$E:$E,'fuzzy LPA lookup'!$A:$A)</f>
        <v>#REF!</v>
      </c>
      <c r="E111" s="3" t="e">
        <f>LOOKUP($F111,'fuzzy LPA lookup'!$E:$E,'fuzzy LPA lookup'!$D:$D)</f>
        <v>#REF!</v>
      </c>
      <c r="F111" s="8" t="e">
        <f>IF(ISBLANK('Master Submitted DPDs'!#REF!),"",'Master Submitted DPDs'!#REF!)</f>
        <v>#REF!</v>
      </c>
      <c r="G111" t="str">
        <f>IF(ISBLANK('Master Submitted DPDs'!#REF!),"","Withdrawn")</f>
        <v>Withdrawn</v>
      </c>
      <c r="H111" s="2" t="e">
        <f>IF(ISBLANK('Master Submitted DPDs'!#REF!),"",'Master Submitted DPDs'!#REF!)</f>
        <v>#REF!</v>
      </c>
      <c r="I111" s="3"/>
      <c r="J111" s="3"/>
      <c r="K111" s="3"/>
      <c r="L111" s="2" t="e">
        <f>IF(ISBLANK('Master Submitted DPDs'!#REF!),"",'Master Submitted DPDs'!#REF!)</f>
        <v>#REF!</v>
      </c>
      <c r="M111" s="2" t="e">
        <f t="shared" si="2"/>
        <v>#REF!</v>
      </c>
      <c r="N111" s="2" t="e">
        <f>IF(ISBLANK('Master Submitted DPDs'!#REF!),IF(ISBLANK('Master Submitted DPDs'!#REF!),"",'Master Submitted DPDs'!#REF!),'Master Submitted DPDs'!#REF!)</f>
        <v>#REF!</v>
      </c>
      <c r="O111" s="2" t="e">
        <f>IF(ISBLANK('Master Submitted DPDs'!#REF!),"",'Master Submitted DPDs'!#REF!)</f>
        <v>#REF!</v>
      </c>
      <c r="P111" s="2" t="e">
        <f>IF(ISBLANK('Master Submitted DPDs'!#REF!),"",'Master Submitted DPDs'!#REF!)</f>
        <v>#REF!</v>
      </c>
      <c r="Q111" t="e">
        <f>IF(ISBLANK('Master Submitted DPDs'!#REF!),"",'Master Submitted DPDs'!#REF!)</f>
        <v>#REF!</v>
      </c>
      <c r="R111" t="e">
        <f t="shared" si="3"/>
        <v>#REF!</v>
      </c>
      <c r="S111" s="3"/>
      <c r="T111" t="e">
        <f>IF(ISBLANK('Master Submitted DPDs'!#REF!),"",'Master Submitted DPDs'!#REF!)</f>
        <v>#REF!</v>
      </c>
    </row>
    <row r="112" spans="1:20" ht="15" x14ac:dyDescent="0.2">
      <c r="A112" s="3" t="str">
        <f>IF(ISBLANK('Master Submitted DPDs'!#REF!),"","Local Plans")</f>
        <v>Local Plans</v>
      </c>
      <c r="B112" t="e">
        <f>IF(ISBLANK('Master Submitted DPDs'!#REF!),"",'Master Submitted DPDs'!#REF!)</f>
        <v>#REF!</v>
      </c>
      <c r="C112" s="3" t="str">
        <f>IF(ISBLANK('Master Submitted DPDs'!#REF!),"","IH")</f>
        <v>IH</v>
      </c>
      <c r="D112" s="3" t="e">
        <f>LOOKUP($F112,'fuzzy LPA lookup'!$E:$E,'fuzzy LPA lookup'!$A:$A)</f>
        <v>#REF!</v>
      </c>
      <c r="E112" s="3" t="e">
        <f>LOOKUP($F112,'fuzzy LPA lookup'!$E:$E,'fuzzy LPA lookup'!$D:$D)</f>
        <v>#REF!</v>
      </c>
      <c r="F112" s="8" t="e">
        <f>IF(ISBLANK('Master Submitted DPDs'!#REF!),"",'Master Submitted DPDs'!#REF!)</f>
        <v>#REF!</v>
      </c>
      <c r="G112" t="str">
        <f>IF(ISBLANK('Master Submitted DPDs'!#REF!),"","Withdrawn")</f>
        <v>Withdrawn</v>
      </c>
      <c r="H112" s="2" t="e">
        <f>IF(ISBLANK('Master Submitted DPDs'!#REF!),"",'Master Submitted DPDs'!#REF!)</f>
        <v>#REF!</v>
      </c>
      <c r="I112" s="3"/>
      <c r="J112" s="3"/>
      <c r="K112" s="3"/>
      <c r="L112" s="2" t="e">
        <f>IF(ISBLANK('Master Submitted DPDs'!#REF!),"",'Master Submitted DPDs'!#REF!)</f>
        <v>#REF!</v>
      </c>
      <c r="M112" s="2" t="e">
        <f t="shared" si="2"/>
        <v>#REF!</v>
      </c>
      <c r="N112" s="2" t="e">
        <f>IF(ISBLANK('Master Submitted DPDs'!#REF!),IF(ISBLANK('Master Submitted DPDs'!#REF!),"",'Master Submitted DPDs'!#REF!),'Master Submitted DPDs'!#REF!)</f>
        <v>#REF!</v>
      </c>
      <c r="O112" s="2" t="e">
        <f>IF(ISBLANK('Master Submitted DPDs'!#REF!),"",'Master Submitted DPDs'!#REF!)</f>
        <v>#REF!</v>
      </c>
      <c r="P112" s="2" t="e">
        <f>IF(ISBLANK('Master Submitted DPDs'!#REF!),"",'Master Submitted DPDs'!#REF!)</f>
        <v>#REF!</v>
      </c>
      <c r="Q112" t="e">
        <f>IF(ISBLANK('Master Submitted DPDs'!#REF!),"",'Master Submitted DPDs'!#REF!)</f>
        <v>#REF!</v>
      </c>
      <c r="R112" t="e">
        <f t="shared" si="3"/>
        <v>#REF!</v>
      </c>
      <c r="S112" s="3"/>
      <c r="T112" t="e">
        <f>IF(ISBLANK('Master Submitted DPDs'!#REF!),"",'Master Submitted DPDs'!#REF!)</f>
        <v>#REF!</v>
      </c>
    </row>
    <row r="113" spans="1:20" ht="15" x14ac:dyDescent="0.2">
      <c r="A113" s="3" t="str">
        <f>IF(ISBLANK('Master Submitted DPDs'!#REF!),"","Local Plans")</f>
        <v>Local Plans</v>
      </c>
      <c r="B113" t="e">
        <f>IF(ISBLANK('Master Submitted DPDs'!#REF!),"",'Master Submitted DPDs'!#REF!)</f>
        <v>#REF!</v>
      </c>
      <c r="C113" s="3" t="str">
        <f>IF(ISBLANK('Master Submitted DPDs'!#REF!),"","IH")</f>
        <v>IH</v>
      </c>
      <c r="D113" s="3" t="e">
        <f>LOOKUP($F113,'fuzzy LPA lookup'!$E:$E,'fuzzy LPA lookup'!$A:$A)</f>
        <v>#REF!</v>
      </c>
      <c r="E113" s="3" t="e">
        <f>LOOKUP($F113,'fuzzy LPA lookup'!$E:$E,'fuzzy LPA lookup'!$D:$D)</f>
        <v>#REF!</v>
      </c>
      <c r="F113" s="8" t="e">
        <f>IF(ISBLANK('Master Submitted DPDs'!#REF!),"",'Master Submitted DPDs'!#REF!)</f>
        <v>#REF!</v>
      </c>
      <c r="G113" t="str">
        <f>IF(ISBLANK('Master Submitted DPDs'!#REF!),"","Withdrawn")</f>
        <v>Withdrawn</v>
      </c>
      <c r="H113" s="2" t="e">
        <f>IF(ISBLANK('Master Submitted DPDs'!#REF!),"",'Master Submitted DPDs'!#REF!)</f>
        <v>#REF!</v>
      </c>
      <c r="I113" s="3"/>
      <c r="J113" s="3"/>
      <c r="K113" s="3"/>
      <c r="L113" s="2" t="e">
        <f>IF(ISBLANK('Master Submitted DPDs'!#REF!),"",'Master Submitted DPDs'!#REF!)</f>
        <v>#REF!</v>
      </c>
      <c r="M113" s="2" t="e">
        <f t="shared" si="2"/>
        <v>#REF!</v>
      </c>
      <c r="N113" s="2" t="e">
        <f>IF(ISBLANK('Master Submitted DPDs'!#REF!),IF(ISBLANK('Master Submitted DPDs'!#REF!),"",'Master Submitted DPDs'!#REF!),'Master Submitted DPDs'!#REF!)</f>
        <v>#REF!</v>
      </c>
      <c r="O113" s="2" t="e">
        <f>IF(ISBLANK('Master Submitted DPDs'!#REF!),"",'Master Submitted DPDs'!#REF!)</f>
        <v>#REF!</v>
      </c>
      <c r="P113" s="2" t="e">
        <f>IF(ISBLANK('Master Submitted DPDs'!#REF!),"",'Master Submitted DPDs'!#REF!)</f>
        <v>#REF!</v>
      </c>
      <c r="Q113" t="e">
        <f>IF(ISBLANK('Master Submitted DPDs'!#REF!),"",'Master Submitted DPDs'!#REF!)</f>
        <v>#REF!</v>
      </c>
      <c r="R113" t="e">
        <f t="shared" si="3"/>
        <v>#REF!</v>
      </c>
      <c r="S113" s="3"/>
      <c r="T113" t="e">
        <f>IF(ISBLANK('Master Submitted DPDs'!#REF!),"",'Master Submitted DPDs'!#REF!)</f>
        <v>#REF!</v>
      </c>
    </row>
    <row r="114" spans="1:20" ht="15" x14ac:dyDescent="0.2">
      <c r="A114" s="3" t="str">
        <f>IF(ISBLANK('Master Submitted DPDs'!#REF!),"","Local Plans")</f>
        <v>Local Plans</v>
      </c>
      <c r="B114" t="e">
        <f>IF(ISBLANK('Master Submitted DPDs'!#REF!),"",'Master Submitted DPDs'!#REF!)</f>
        <v>#REF!</v>
      </c>
      <c r="C114" s="3" t="str">
        <f>IF(ISBLANK('Master Submitted DPDs'!#REF!),"","IH")</f>
        <v>IH</v>
      </c>
      <c r="D114" s="3" t="e">
        <f>LOOKUP($F114,'fuzzy LPA lookup'!$E:$E,'fuzzy LPA lookup'!$A:$A)</f>
        <v>#REF!</v>
      </c>
      <c r="E114" s="3" t="e">
        <f>LOOKUP($F114,'fuzzy LPA lookup'!$E:$E,'fuzzy LPA lookup'!$D:$D)</f>
        <v>#REF!</v>
      </c>
      <c r="F114" s="8" t="e">
        <f>IF(ISBLANK('Master Submitted DPDs'!#REF!),"",'Master Submitted DPDs'!#REF!)</f>
        <v>#REF!</v>
      </c>
      <c r="G114" t="str">
        <f>IF(ISBLANK('Master Submitted DPDs'!#REF!),"","Withdrawn")</f>
        <v>Withdrawn</v>
      </c>
      <c r="H114" s="2" t="e">
        <f>IF(ISBLANK('Master Submitted DPDs'!#REF!),"",'Master Submitted DPDs'!#REF!)</f>
        <v>#REF!</v>
      </c>
      <c r="I114" s="3"/>
      <c r="J114" s="3"/>
      <c r="K114" s="3"/>
      <c r="L114" s="2" t="e">
        <f>IF(ISBLANK('Master Submitted DPDs'!#REF!),"",'Master Submitted DPDs'!#REF!)</f>
        <v>#REF!</v>
      </c>
      <c r="M114" s="2" t="e">
        <f t="shared" si="2"/>
        <v>#REF!</v>
      </c>
      <c r="N114" s="2" t="e">
        <f>IF(ISBLANK('Master Submitted DPDs'!#REF!),IF(ISBLANK('Master Submitted DPDs'!#REF!),"",'Master Submitted DPDs'!#REF!),'Master Submitted DPDs'!#REF!)</f>
        <v>#REF!</v>
      </c>
      <c r="O114" s="2" t="e">
        <f>IF(ISBLANK('Master Submitted DPDs'!#REF!),"",'Master Submitted DPDs'!#REF!)</f>
        <v>#REF!</v>
      </c>
      <c r="P114" s="2" t="e">
        <f>IF(ISBLANK('Master Submitted DPDs'!#REF!),"",'Master Submitted DPDs'!#REF!)</f>
        <v>#REF!</v>
      </c>
      <c r="Q114" t="e">
        <f>IF(ISBLANK('Master Submitted DPDs'!#REF!),"",'Master Submitted DPDs'!#REF!)</f>
        <v>#REF!</v>
      </c>
      <c r="R114" t="e">
        <f t="shared" si="3"/>
        <v>#REF!</v>
      </c>
      <c r="S114" s="3"/>
      <c r="T114" t="e">
        <f>IF(ISBLANK('Master Submitted DPDs'!#REF!),"",'Master Submitted DPDs'!#REF!)</f>
        <v>#REF!</v>
      </c>
    </row>
    <row r="115" spans="1:20" ht="15" x14ac:dyDescent="0.2">
      <c r="A115" s="3" t="str">
        <f>IF(ISBLANK('Master Submitted DPDs'!#REF!),"","Local Plans")</f>
        <v>Local Plans</v>
      </c>
      <c r="B115" t="e">
        <f>IF(ISBLANK('Master Submitted DPDs'!#REF!),"",'Master Submitted DPDs'!#REF!)</f>
        <v>#REF!</v>
      </c>
      <c r="C115" s="3" t="str">
        <f>IF(ISBLANK('Master Submitted DPDs'!#REF!),"","IH")</f>
        <v>IH</v>
      </c>
      <c r="D115" s="3" t="e">
        <f>LOOKUP($F115,'fuzzy LPA lookup'!$E:$E,'fuzzy LPA lookup'!$A:$A)</f>
        <v>#REF!</v>
      </c>
      <c r="E115" s="3" t="e">
        <f>LOOKUP($F115,'fuzzy LPA lookup'!$E:$E,'fuzzy LPA lookup'!$D:$D)</f>
        <v>#REF!</v>
      </c>
      <c r="F115" s="8" t="e">
        <f>IF(ISBLANK('Master Submitted DPDs'!#REF!),"",'Master Submitted DPDs'!#REF!)</f>
        <v>#REF!</v>
      </c>
      <c r="G115" t="str">
        <f>IF(ISBLANK('Master Submitted DPDs'!#REF!),"","Withdrawn")</f>
        <v>Withdrawn</v>
      </c>
      <c r="H115" s="2" t="e">
        <f>IF(ISBLANK('Master Submitted DPDs'!#REF!),"",'Master Submitted DPDs'!#REF!)</f>
        <v>#REF!</v>
      </c>
      <c r="I115" s="3"/>
      <c r="J115" s="3"/>
      <c r="K115" s="3"/>
      <c r="L115" s="2" t="e">
        <f>IF(ISBLANK('Master Submitted DPDs'!#REF!),"",'Master Submitted DPDs'!#REF!)</f>
        <v>#REF!</v>
      </c>
      <c r="M115" s="2" t="e">
        <f t="shared" si="2"/>
        <v>#REF!</v>
      </c>
      <c r="N115" s="2" t="e">
        <f>IF(ISBLANK('Master Submitted DPDs'!#REF!),IF(ISBLANK('Master Submitted DPDs'!#REF!),"",'Master Submitted DPDs'!#REF!),'Master Submitted DPDs'!#REF!)</f>
        <v>#REF!</v>
      </c>
      <c r="O115" s="2" t="e">
        <f>IF(ISBLANK('Master Submitted DPDs'!#REF!),"",'Master Submitted DPDs'!#REF!)</f>
        <v>#REF!</v>
      </c>
      <c r="P115" s="2" t="e">
        <f>IF(ISBLANK('Master Submitted DPDs'!#REF!),"",'Master Submitted DPDs'!#REF!)</f>
        <v>#REF!</v>
      </c>
      <c r="Q115" t="e">
        <f>IF(ISBLANK('Master Submitted DPDs'!#REF!),"",'Master Submitted DPDs'!#REF!)</f>
        <v>#REF!</v>
      </c>
      <c r="R115" t="e">
        <f t="shared" si="3"/>
        <v>#REF!</v>
      </c>
      <c r="S115" s="3"/>
      <c r="T115" t="e">
        <f>IF(ISBLANK('Master Submitted DPDs'!#REF!),"",'Master Submitted DPDs'!#REF!)</f>
        <v>#REF!</v>
      </c>
    </row>
    <row r="116" spans="1:20" ht="15" x14ac:dyDescent="0.2">
      <c r="A116" s="3" t="str">
        <f>IF(ISBLANK('Master Submitted DPDs'!#REF!),"","Local Plans")</f>
        <v>Local Plans</v>
      </c>
      <c r="B116" t="e">
        <f>IF(ISBLANK('Master Submitted DPDs'!#REF!),"",'Master Submitted DPDs'!#REF!)</f>
        <v>#REF!</v>
      </c>
      <c r="C116" s="3" t="str">
        <f>IF(ISBLANK('Master Submitted DPDs'!#REF!),"","IH")</f>
        <v>IH</v>
      </c>
      <c r="D116" s="3" t="e">
        <f>LOOKUP($F116,'fuzzy LPA lookup'!$E:$E,'fuzzy LPA lookup'!$A:$A)</f>
        <v>#REF!</v>
      </c>
      <c r="E116" s="3" t="e">
        <f>LOOKUP($F116,'fuzzy LPA lookup'!$E:$E,'fuzzy LPA lookup'!$D:$D)</f>
        <v>#REF!</v>
      </c>
      <c r="F116" s="8" t="e">
        <f>IF(ISBLANK('Master Submitted DPDs'!#REF!),"",'Master Submitted DPDs'!#REF!)</f>
        <v>#REF!</v>
      </c>
      <c r="G116" t="str">
        <f>IF(ISBLANK('Master Submitted DPDs'!#REF!),"","Withdrawn")</f>
        <v>Withdrawn</v>
      </c>
      <c r="H116" s="2" t="e">
        <f>IF(ISBLANK('Master Submitted DPDs'!#REF!),"",'Master Submitted DPDs'!#REF!)</f>
        <v>#REF!</v>
      </c>
      <c r="I116" s="3"/>
      <c r="J116" s="3"/>
      <c r="K116" s="3"/>
      <c r="L116" s="2" t="e">
        <f>IF(ISBLANK('Master Submitted DPDs'!#REF!),"",'Master Submitted DPDs'!#REF!)</f>
        <v>#REF!</v>
      </c>
      <c r="M116" s="2" t="e">
        <f t="shared" si="2"/>
        <v>#REF!</v>
      </c>
      <c r="N116" s="2" t="e">
        <f>IF(ISBLANK('Master Submitted DPDs'!#REF!),IF(ISBLANK('Master Submitted DPDs'!#REF!),"",'Master Submitted DPDs'!#REF!),'Master Submitted DPDs'!#REF!)</f>
        <v>#REF!</v>
      </c>
      <c r="O116" s="2" t="e">
        <f>IF(ISBLANK('Master Submitted DPDs'!#REF!),"",'Master Submitted DPDs'!#REF!)</f>
        <v>#REF!</v>
      </c>
      <c r="P116" s="2" t="e">
        <f>IF(ISBLANK('Master Submitted DPDs'!#REF!),"",'Master Submitted DPDs'!#REF!)</f>
        <v>#REF!</v>
      </c>
      <c r="Q116" t="e">
        <f>IF(ISBLANK('Master Submitted DPDs'!#REF!),"",'Master Submitted DPDs'!#REF!)</f>
        <v>#REF!</v>
      </c>
      <c r="R116" t="e">
        <f t="shared" si="3"/>
        <v>#REF!</v>
      </c>
      <c r="S116" s="3"/>
      <c r="T116" t="e">
        <f>IF(ISBLANK('Master Submitted DPDs'!#REF!),"",'Master Submitted DPDs'!#REF!)</f>
        <v>#REF!</v>
      </c>
    </row>
    <row r="117" spans="1:20" ht="15" x14ac:dyDescent="0.2">
      <c r="A117" s="3" t="str">
        <f>IF(ISBLANK('Master Submitted DPDs'!#REF!),"","Local Plans")</f>
        <v>Local Plans</v>
      </c>
      <c r="B117" t="e">
        <f>IF(ISBLANK('Master Submitted DPDs'!#REF!),"",'Master Submitted DPDs'!#REF!)</f>
        <v>#REF!</v>
      </c>
      <c r="C117" s="3" t="str">
        <f>IF(ISBLANK('Master Submitted DPDs'!#REF!),"","IH")</f>
        <v>IH</v>
      </c>
      <c r="D117" s="3" t="e">
        <f>LOOKUP($F117,'fuzzy LPA lookup'!$E:$E,'fuzzy LPA lookup'!$A:$A)</f>
        <v>#REF!</v>
      </c>
      <c r="E117" s="3" t="e">
        <f>LOOKUP($F117,'fuzzy LPA lookup'!$E:$E,'fuzzy LPA lookup'!$D:$D)</f>
        <v>#REF!</v>
      </c>
      <c r="F117" s="8" t="e">
        <f>IF(ISBLANK('Master Submitted DPDs'!#REF!),"",'Master Submitted DPDs'!#REF!)</f>
        <v>#REF!</v>
      </c>
      <c r="G117" t="str">
        <f>IF(ISBLANK('Master Submitted DPDs'!#REF!),"","Withdrawn")</f>
        <v>Withdrawn</v>
      </c>
      <c r="H117" s="2" t="e">
        <f>IF(ISBLANK('Master Submitted DPDs'!#REF!),"",'Master Submitted DPDs'!#REF!)</f>
        <v>#REF!</v>
      </c>
      <c r="I117" s="3"/>
      <c r="J117" s="3"/>
      <c r="K117" s="3"/>
      <c r="L117" s="2" t="e">
        <f>IF(ISBLANK('Master Submitted DPDs'!#REF!),"",'Master Submitted DPDs'!#REF!)</f>
        <v>#REF!</v>
      </c>
      <c r="M117" s="2" t="e">
        <f t="shared" si="2"/>
        <v>#REF!</v>
      </c>
      <c r="N117" s="2" t="e">
        <f>IF(ISBLANK('Master Submitted DPDs'!#REF!),IF(ISBLANK('Master Submitted DPDs'!#REF!),"",'Master Submitted DPDs'!#REF!),'Master Submitted DPDs'!#REF!)</f>
        <v>#REF!</v>
      </c>
      <c r="O117" s="2" t="e">
        <f>IF(ISBLANK('Master Submitted DPDs'!#REF!),"",'Master Submitted DPDs'!#REF!)</f>
        <v>#REF!</v>
      </c>
      <c r="P117" s="2" t="e">
        <f>IF(ISBLANK('Master Submitted DPDs'!#REF!),"",'Master Submitted DPDs'!#REF!)</f>
        <v>#REF!</v>
      </c>
      <c r="Q117" t="e">
        <f>IF(ISBLANK('Master Submitted DPDs'!#REF!),"",'Master Submitted DPDs'!#REF!)</f>
        <v>#REF!</v>
      </c>
      <c r="R117" t="e">
        <f t="shared" si="3"/>
        <v>#REF!</v>
      </c>
      <c r="S117" s="3"/>
      <c r="T117" t="e">
        <f>IF(ISBLANK('Master Submitted DPDs'!#REF!),"",'Master Submitted DPDs'!#REF!)</f>
        <v>#REF!</v>
      </c>
    </row>
    <row r="118" spans="1:20" ht="15" x14ac:dyDescent="0.2">
      <c r="A118" s="3" t="str">
        <f>IF(ISBLANK('Master Submitted DPDs'!#REF!),"","Local Plans")</f>
        <v>Local Plans</v>
      </c>
      <c r="B118" t="e">
        <f>IF(ISBLANK('Master Submitted DPDs'!#REF!),"",'Master Submitted DPDs'!#REF!)</f>
        <v>#REF!</v>
      </c>
      <c r="C118" s="3" t="str">
        <f>IF(ISBLANK('Master Submitted DPDs'!#REF!),"","IH")</f>
        <v>IH</v>
      </c>
      <c r="D118" s="3" t="e">
        <f>LOOKUP($F118,'fuzzy LPA lookup'!$E:$E,'fuzzy LPA lookup'!$A:$A)</f>
        <v>#REF!</v>
      </c>
      <c r="E118" s="3" t="e">
        <f>LOOKUP($F118,'fuzzy LPA lookup'!$E:$E,'fuzzy LPA lookup'!$D:$D)</f>
        <v>#REF!</v>
      </c>
      <c r="F118" s="8" t="e">
        <f>IF(ISBLANK('Master Submitted DPDs'!#REF!),"",'Master Submitted DPDs'!#REF!)</f>
        <v>#REF!</v>
      </c>
      <c r="G118" t="str">
        <f>IF(ISBLANK('Master Submitted DPDs'!#REF!),"","Withdrawn")</f>
        <v>Withdrawn</v>
      </c>
      <c r="H118" s="2" t="e">
        <f>IF(ISBLANK('Master Submitted DPDs'!#REF!),"",'Master Submitted DPDs'!#REF!)</f>
        <v>#REF!</v>
      </c>
      <c r="I118" s="3"/>
      <c r="J118" s="3"/>
      <c r="K118" s="3"/>
      <c r="L118" s="2" t="e">
        <f>IF(ISBLANK('Master Submitted DPDs'!#REF!),"",'Master Submitted DPDs'!#REF!)</f>
        <v>#REF!</v>
      </c>
      <c r="M118" s="2" t="e">
        <f t="shared" si="2"/>
        <v>#REF!</v>
      </c>
      <c r="N118" s="2" t="e">
        <f>IF(ISBLANK('Master Submitted DPDs'!#REF!),IF(ISBLANK('Master Submitted DPDs'!#REF!),"",'Master Submitted DPDs'!#REF!),'Master Submitted DPDs'!#REF!)</f>
        <v>#REF!</v>
      </c>
      <c r="O118" s="2" t="e">
        <f>IF(ISBLANK('Master Submitted DPDs'!#REF!),"",'Master Submitted DPDs'!#REF!)</f>
        <v>#REF!</v>
      </c>
      <c r="P118" s="2" t="e">
        <f>IF(ISBLANK('Master Submitted DPDs'!#REF!),"",'Master Submitted DPDs'!#REF!)</f>
        <v>#REF!</v>
      </c>
      <c r="Q118" t="e">
        <f>IF(ISBLANK('Master Submitted DPDs'!#REF!),"",'Master Submitted DPDs'!#REF!)</f>
        <v>#REF!</v>
      </c>
      <c r="R118" t="e">
        <f t="shared" si="3"/>
        <v>#REF!</v>
      </c>
      <c r="S118" s="3"/>
      <c r="T118" t="e">
        <f>IF(ISBLANK('Master Submitted DPDs'!#REF!),"",'Master Submitted DPDs'!#REF!)</f>
        <v>#REF!</v>
      </c>
    </row>
    <row r="119" spans="1:20" ht="15" x14ac:dyDescent="0.2">
      <c r="A119" s="3" t="str">
        <f>IF(ISBLANK('Master Submitted DPDs'!#REF!),"","Local Plans")</f>
        <v>Local Plans</v>
      </c>
      <c r="B119" t="e">
        <f>IF(ISBLANK('Master Submitted DPDs'!#REF!),"",'Master Submitted DPDs'!#REF!)</f>
        <v>#REF!</v>
      </c>
      <c r="C119" s="3" t="str">
        <f>IF(ISBLANK('Master Submitted DPDs'!#REF!),"","IH")</f>
        <v>IH</v>
      </c>
      <c r="D119" s="3" t="e">
        <f>LOOKUP($F119,'fuzzy LPA lookup'!$E:$E,'fuzzy LPA lookup'!$A:$A)</f>
        <v>#REF!</v>
      </c>
      <c r="E119" s="3" t="e">
        <f>LOOKUP($F119,'fuzzy LPA lookup'!$E:$E,'fuzzy LPA lookup'!$D:$D)</f>
        <v>#REF!</v>
      </c>
      <c r="F119" s="8" t="e">
        <f>IF(ISBLANK('Master Submitted DPDs'!#REF!),"",'Master Submitted DPDs'!#REF!)</f>
        <v>#REF!</v>
      </c>
      <c r="G119" t="str">
        <f>IF(ISBLANK('Master Submitted DPDs'!#REF!),"","Withdrawn")</f>
        <v>Withdrawn</v>
      </c>
      <c r="H119" s="2" t="e">
        <f>IF(ISBLANK('Master Submitted DPDs'!#REF!),"",'Master Submitted DPDs'!#REF!)</f>
        <v>#REF!</v>
      </c>
      <c r="I119" s="3"/>
      <c r="J119" s="3"/>
      <c r="K119" s="3"/>
      <c r="L119" s="2" t="e">
        <f>IF(ISBLANK('Master Submitted DPDs'!#REF!),"",'Master Submitted DPDs'!#REF!)</f>
        <v>#REF!</v>
      </c>
      <c r="M119" s="2" t="e">
        <f t="shared" si="2"/>
        <v>#REF!</v>
      </c>
      <c r="N119" s="2" t="e">
        <f>IF(ISBLANK('Master Submitted DPDs'!#REF!),IF(ISBLANK('Master Submitted DPDs'!#REF!),"",'Master Submitted DPDs'!#REF!),'Master Submitted DPDs'!#REF!)</f>
        <v>#REF!</v>
      </c>
      <c r="O119" s="2" t="e">
        <f>IF(ISBLANK('Master Submitted DPDs'!#REF!),"",'Master Submitted DPDs'!#REF!)</f>
        <v>#REF!</v>
      </c>
      <c r="P119" s="2" t="e">
        <f>IF(ISBLANK('Master Submitted DPDs'!#REF!),"",'Master Submitted DPDs'!#REF!)</f>
        <v>#REF!</v>
      </c>
      <c r="Q119" t="e">
        <f>IF(ISBLANK('Master Submitted DPDs'!#REF!),"",'Master Submitted DPDs'!#REF!)</f>
        <v>#REF!</v>
      </c>
      <c r="R119" t="e">
        <f t="shared" si="3"/>
        <v>#REF!</v>
      </c>
      <c r="S119" s="3"/>
      <c r="T119" t="e">
        <f>IF(ISBLANK('Master Submitted DPDs'!#REF!),"",'Master Submitted DPDs'!#REF!)</f>
        <v>#REF!</v>
      </c>
    </row>
    <row r="120" spans="1:20" ht="15" x14ac:dyDescent="0.2">
      <c r="A120" s="3" t="str">
        <f>IF(ISBLANK('Master Submitted DPDs'!#REF!),"","Local Plans")</f>
        <v>Local Plans</v>
      </c>
      <c r="B120" t="e">
        <f>IF(ISBLANK('Master Submitted DPDs'!#REF!),"",'Master Submitted DPDs'!#REF!)</f>
        <v>#REF!</v>
      </c>
      <c r="C120" s="3" t="str">
        <f>IF(ISBLANK('Master Submitted DPDs'!#REF!),"","IH")</f>
        <v>IH</v>
      </c>
      <c r="D120" s="3" t="e">
        <f>LOOKUP($F120,'fuzzy LPA lookup'!$E:$E,'fuzzy LPA lookup'!$A:$A)</f>
        <v>#REF!</v>
      </c>
      <c r="E120" s="3" t="e">
        <f>LOOKUP($F120,'fuzzy LPA lookup'!$E:$E,'fuzzy LPA lookup'!$D:$D)</f>
        <v>#REF!</v>
      </c>
      <c r="F120" s="8" t="e">
        <f>IF(ISBLANK('Master Submitted DPDs'!#REF!),"",'Master Submitted DPDs'!#REF!)</f>
        <v>#REF!</v>
      </c>
      <c r="G120" t="str">
        <f>IF(ISBLANK('Master Submitted DPDs'!#REF!),"","Withdrawn")</f>
        <v>Withdrawn</v>
      </c>
      <c r="H120" s="2" t="e">
        <f>IF(ISBLANK('Master Submitted DPDs'!#REF!),"",'Master Submitted DPDs'!#REF!)</f>
        <v>#REF!</v>
      </c>
      <c r="I120" s="3"/>
      <c r="J120" s="3"/>
      <c r="K120" s="3"/>
      <c r="L120" s="2" t="e">
        <f>IF(ISBLANK('Master Submitted DPDs'!#REF!),"",'Master Submitted DPDs'!#REF!)</f>
        <v>#REF!</v>
      </c>
      <c r="M120" s="2" t="e">
        <f t="shared" si="2"/>
        <v>#REF!</v>
      </c>
      <c r="N120" s="2" t="e">
        <f>IF(ISBLANK('Master Submitted DPDs'!#REF!),IF(ISBLANK('Master Submitted DPDs'!#REF!),"",'Master Submitted DPDs'!#REF!),'Master Submitted DPDs'!#REF!)</f>
        <v>#REF!</v>
      </c>
      <c r="O120" s="2" t="e">
        <f>IF(ISBLANK('Master Submitted DPDs'!#REF!),"",'Master Submitted DPDs'!#REF!)</f>
        <v>#REF!</v>
      </c>
      <c r="P120" s="2" t="e">
        <f>IF(ISBLANK('Master Submitted DPDs'!#REF!),"",'Master Submitted DPDs'!#REF!)</f>
        <v>#REF!</v>
      </c>
      <c r="Q120" t="e">
        <f>IF(ISBLANK('Master Submitted DPDs'!#REF!),"",'Master Submitted DPDs'!#REF!)</f>
        <v>#REF!</v>
      </c>
      <c r="R120" t="e">
        <f t="shared" si="3"/>
        <v>#REF!</v>
      </c>
      <c r="S120" s="3"/>
      <c r="T120" t="e">
        <f>IF(ISBLANK('Master Submitted DPDs'!#REF!),"",'Master Submitted DPDs'!#REF!)</f>
        <v>#REF!</v>
      </c>
    </row>
    <row r="121" spans="1:20" ht="15" x14ac:dyDescent="0.2">
      <c r="A121" s="3" t="str">
        <f>IF(ISBLANK('Master Submitted DPDs'!#REF!),"","Local Plans")</f>
        <v>Local Plans</v>
      </c>
      <c r="B121" t="e">
        <f>IF(ISBLANK('Master Submitted DPDs'!#REF!),"",'Master Submitted DPDs'!#REF!)</f>
        <v>#REF!</v>
      </c>
      <c r="C121" s="3" t="str">
        <f>IF(ISBLANK('Master Submitted DPDs'!#REF!),"","IH")</f>
        <v>IH</v>
      </c>
      <c r="D121" s="3" t="e">
        <f>LOOKUP($F121,'fuzzy LPA lookup'!$E:$E,'fuzzy LPA lookup'!$A:$A)</f>
        <v>#REF!</v>
      </c>
      <c r="E121" s="3" t="e">
        <f>LOOKUP($F121,'fuzzy LPA lookup'!$E:$E,'fuzzy LPA lookup'!$D:$D)</f>
        <v>#REF!</v>
      </c>
      <c r="F121" s="8" t="e">
        <f>IF(ISBLANK('Master Submitted DPDs'!#REF!),"",'Master Submitted DPDs'!#REF!)</f>
        <v>#REF!</v>
      </c>
      <c r="G121" t="str">
        <f>IF(ISBLANK('Master Submitted DPDs'!#REF!),"","Withdrawn")</f>
        <v>Withdrawn</v>
      </c>
      <c r="H121" s="2" t="e">
        <f>IF(ISBLANK('Master Submitted DPDs'!#REF!),"",'Master Submitted DPDs'!#REF!)</f>
        <v>#REF!</v>
      </c>
      <c r="I121" s="3"/>
      <c r="J121" s="3"/>
      <c r="K121" s="3"/>
      <c r="L121" s="2" t="e">
        <f>IF(ISBLANK('Master Submitted DPDs'!#REF!),"",'Master Submitted DPDs'!#REF!)</f>
        <v>#REF!</v>
      </c>
      <c r="M121" s="2" t="e">
        <f t="shared" si="2"/>
        <v>#REF!</v>
      </c>
      <c r="N121" s="2" t="e">
        <f>IF(ISBLANK('Master Submitted DPDs'!#REF!),IF(ISBLANK('Master Submitted DPDs'!#REF!),"",'Master Submitted DPDs'!#REF!),'Master Submitted DPDs'!#REF!)</f>
        <v>#REF!</v>
      </c>
      <c r="O121" s="2" t="e">
        <f>IF(ISBLANK('Master Submitted DPDs'!#REF!),"",'Master Submitted DPDs'!#REF!)</f>
        <v>#REF!</v>
      </c>
      <c r="P121" s="2" t="e">
        <f>IF(ISBLANK('Master Submitted DPDs'!#REF!),"",'Master Submitted DPDs'!#REF!)</f>
        <v>#REF!</v>
      </c>
      <c r="Q121" t="e">
        <f>IF(ISBLANK('Master Submitted DPDs'!#REF!),"",'Master Submitted DPDs'!#REF!)</f>
        <v>#REF!</v>
      </c>
      <c r="R121" t="e">
        <f t="shared" si="3"/>
        <v>#REF!</v>
      </c>
      <c r="S121" s="3"/>
      <c r="T121" t="e">
        <f>IF(ISBLANK('Master Submitted DPDs'!#REF!),"",'Master Submitted DPDs'!#REF!)</f>
        <v>#REF!</v>
      </c>
    </row>
    <row r="122" spans="1:20" ht="15" x14ac:dyDescent="0.2">
      <c r="A122" s="3" t="str">
        <f>IF(ISBLANK('Master Submitted DPDs'!#REF!),"","Local Plans")</f>
        <v>Local Plans</v>
      </c>
      <c r="B122" t="e">
        <f>IF(ISBLANK('Master Submitted DPDs'!#REF!),"",'Master Submitted DPDs'!#REF!)</f>
        <v>#REF!</v>
      </c>
      <c r="C122" s="3" t="str">
        <f>IF(ISBLANK('Master Submitted DPDs'!#REF!),"","IH")</f>
        <v>IH</v>
      </c>
      <c r="D122" s="3" t="e">
        <f>LOOKUP($F122,'fuzzy LPA lookup'!$E:$E,'fuzzy LPA lookup'!$A:$A)</f>
        <v>#REF!</v>
      </c>
      <c r="E122" s="3" t="e">
        <f>LOOKUP($F122,'fuzzy LPA lookup'!$E:$E,'fuzzy LPA lookup'!$D:$D)</f>
        <v>#REF!</v>
      </c>
      <c r="F122" s="8" t="e">
        <f>IF(ISBLANK('Master Submitted DPDs'!#REF!),"",'Master Submitted DPDs'!#REF!)</f>
        <v>#REF!</v>
      </c>
      <c r="G122" t="str">
        <f>IF(ISBLANK('Master Submitted DPDs'!#REF!),"","Withdrawn")</f>
        <v>Withdrawn</v>
      </c>
      <c r="H122" s="2" t="e">
        <f>IF(ISBLANK('Master Submitted DPDs'!#REF!),"",'Master Submitted DPDs'!#REF!)</f>
        <v>#REF!</v>
      </c>
      <c r="I122" s="3"/>
      <c r="J122" s="3"/>
      <c r="K122" s="3"/>
      <c r="L122" s="2" t="e">
        <f>IF(ISBLANK('Master Submitted DPDs'!#REF!),"",'Master Submitted DPDs'!#REF!)</f>
        <v>#REF!</v>
      </c>
      <c r="M122" s="2" t="e">
        <f t="shared" si="2"/>
        <v>#REF!</v>
      </c>
      <c r="N122" s="2" t="e">
        <f>IF(ISBLANK('Master Submitted DPDs'!#REF!),IF(ISBLANK('Master Submitted DPDs'!#REF!),"",'Master Submitted DPDs'!#REF!),'Master Submitted DPDs'!#REF!)</f>
        <v>#REF!</v>
      </c>
      <c r="O122" s="2" t="e">
        <f>IF(ISBLANK('Master Submitted DPDs'!#REF!),"",'Master Submitted DPDs'!#REF!)</f>
        <v>#REF!</v>
      </c>
      <c r="P122" s="2" t="e">
        <f>IF(ISBLANK('Master Submitted DPDs'!#REF!),"",'Master Submitted DPDs'!#REF!)</f>
        <v>#REF!</v>
      </c>
      <c r="Q122" t="e">
        <f>IF(ISBLANK('Master Submitted DPDs'!#REF!),"",'Master Submitted DPDs'!#REF!)</f>
        <v>#REF!</v>
      </c>
      <c r="R122" t="e">
        <f t="shared" si="3"/>
        <v>#REF!</v>
      </c>
      <c r="S122" s="3"/>
      <c r="T122" t="e">
        <f>IF(ISBLANK('Master Submitted DPDs'!#REF!),"",'Master Submitted DPDs'!#REF!)</f>
        <v>#REF!</v>
      </c>
    </row>
    <row r="123" spans="1:20" ht="15" x14ac:dyDescent="0.2">
      <c r="A123" s="3" t="str">
        <f>IF(ISBLANK('Master Submitted DPDs'!#REF!),"","Local Plans")</f>
        <v>Local Plans</v>
      </c>
      <c r="B123" t="e">
        <f>IF(ISBLANK('Master Submitted DPDs'!#REF!),"",'Master Submitted DPDs'!#REF!)</f>
        <v>#REF!</v>
      </c>
      <c r="C123" s="3" t="str">
        <f>IF(ISBLANK('Master Submitted DPDs'!#REF!),"","IH")</f>
        <v>IH</v>
      </c>
      <c r="D123" s="3" t="e">
        <f>LOOKUP($F123,'fuzzy LPA lookup'!$E:$E,'fuzzy LPA lookup'!$A:$A)</f>
        <v>#REF!</v>
      </c>
      <c r="E123" s="3" t="e">
        <f>LOOKUP($F123,'fuzzy LPA lookup'!$E:$E,'fuzzy LPA lookup'!$D:$D)</f>
        <v>#REF!</v>
      </c>
      <c r="F123" s="8" t="e">
        <f>IF(ISBLANK('Master Submitted DPDs'!#REF!),"",'Master Submitted DPDs'!#REF!)</f>
        <v>#REF!</v>
      </c>
      <c r="G123" t="str">
        <f>IF(ISBLANK('Master Submitted DPDs'!#REF!),"","Withdrawn")</f>
        <v>Withdrawn</v>
      </c>
      <c r="H123" s="2" t="e">
        <f>IF(ISBLANK('Master Submitted DPDs'!#REF!),"",'Master Submitted DPDs'!#REF!)</f>
        <v>#REF!</v>
      </c>
      <c r="I123" s="3"/>
      <c r="J123" s="3"/>
      <c r="K123" s="3"/>
      <c r="L123" s="2" t="e">
        <f>IF(ISBLANK('Master Submitted DPDs'!#REF!),"",'Master Submitted DPDs'!#REF!)</f>
        <v>#REF!</v>
      </c>
      <c r="M123" s="2" t="e">
        <f t="shared" si="2"/>
        <v>#REF!</v>
      </c>
      <c r="N123" s="2" t="e">
        <f>IF(ISBLANK('Master Submitted DPDs'!#REF!),IF(ISBLANK('Master Submitted DPDs'!#REF!),"",'Master Submitted DPDs'!#REF!),'Master Submitted DPDs'!#REF!)</f>
        <v>#REF!</v>
      </c>
      <c r="O123" s="2" t="e">
        <f>IF(ISBLANK('Master Submitted DPDs'!#REF!),"",'Master Submitted DPDs'!#REF!)</f>
        <v>#REF!</v>
      </c>
      <c r="P123" s="2" t="e">
        <f>IF(ISBLANK('Master Submitted DPDs'!#REF!),"",'Master Submitted DPDs'!#REF!)</f>
        <v>#REF!</v>
      </c>
      <c r="Q123" t="e">
        <f>IF(ISBLANK('Master Submitted DPDs'!#REF!),"",'Master Submitted DPDs'!#REF!)</f>
        <v>#REF!</v>
      </c>
      <c r="R123" t="e">
        <f t="shared" si="3"/>
        <v>#REF!</v>
      </c>
      <c r="S123" s="3"/>
      <c r="T123" t="e">
        <f>IF(ISBLANK('Master Submitted DPDs'!#REF!),"",'Master Submitted DPDs'!#REF!)</f>
        <v>#REF!</v>
      </c>
    </row>
    <row r="124" spans="1:20" ht="15" x14ac:dyDescent="0.2">
      <c r="A124" s="3" t="str">
        <f>IF(ISBLANK('Master Submitted DPDs'!#REF!),"","Local Plans")</f>
        <v>Local Plans</v>
      </c>
      <c r="B124" t="e">
        <f>IF(ISBLANK('Master Submitted DPDs'!#REF!),"",'Master Submitted DPDs'!#REF!)</f>
        <v>#REF!</v>
      </c>
      <c r="C124" s="3" t="str">
        <f>IF(ISBLANK('Master Submitted DPDs'!#REF!),"","IH")</f>
        <v>IH</v>
      </c>
      <c r="D124" s="3" t="e">
        <f>LOOKUP($F124,'fuzzy LPA lookup'!$E:$E,'fuzzy LPA lookup'!$A:$A)</f>
        <v>#REF!</v>
      </c>
      <c r="E124" s="3" t="e">
        <f>LOOKUP($F124,'fuzzy LPA lookup'!$E:$E,'fuzzy LPA lookup'!$D:$D)</f>
        <v>#REF!</v>
      </c>
      <c r="F124" s="8" t="e">
        <f>IF(ISBLANK('Master Submitted DPDs'!#REF!),"",'Master Submitted DPDs'!#REF!)</f>
        <v>#REF!</v>
      </c>
      <c r="G124" t="str">
        <f>IF(ISBLANK('Master Submitted DPDs'!#REF!),"","Withdrawn")</f>
        <v>Withdrawn</v>
      </c>
      <c r="H124" s="2" t="e">
        <f>IF(ISBLANK('Master Submitted DPDs'!#REF!),"",'Master Submitted DPDs'!#REF!)</f>
        <v>#REF!</v>
      </c>
      <c r="I124" s="3"/>
      <c r="J124" s="3"/>
      <c r="K124" s="3"/>
      <c r="L124" s="2" t="e">
        <f>IF(ISBLANK('Master Submitted DPDs'!#REF!),"",'Master Submitted DPDs'!#REF!)</f>
        <v>#REF!</v>
      </c>
      <c r="M124" s="2" t="e">
        <f t="shared" si="2"/>
        <v>#REF!</v>
      </c>
      <c r="N124" s="2" t="e">
        <f>IF(ISBLANK('Master Submitted DPDs'!#REF!),IF(ISBLANK('Master Submitted DPDs'!#REF!),"",'Master Submitted DPDs'!#REF!),'Master Submitted DPDs'!#REF!)</f>
        <v>#REF!</v>
      </c>
      <c r="O124" s="2" t="e">
        <f>IF(ISBLANK('Master Submitted DPDs'!#REF!),"",'Master Submitted DPDs'!#REF!)</f>
        <v>#REF!</v>
      </c>
      <c r="P124" s="2" t="e">
        <f>IF(ISBLANK('Master Submitted DPDs'!#REF!),"",'Master Submitted DPDs'!#REF!)</f>
        <v>#REF!</v>
      </c>
      <c r="Q124" t="e">
        <f>IF(ISBLANK('Master Submitted DPDs'!#REF!),"",'Master Submitted DPDs'!#REF!)</f>
        <v>#REF!</v>
      </c>
      <c r="R124" t="e">
        <f t="shared" si="3"/>
        <v>#REF!</v>
      </c>
      <c r="S124" s="3"/>
      <c r="T124" t="e">
        <f>IF(ISBLANK('Master Submitted DPDs'!#REF!),"",'Master Submitted DPDs'!#REF!)</f>
        <v>#REF!</v>
      </c>
    </row>
    <row r="125" spans="1:20" ht="15" x14ac:dyDescent="0.2">
      <c r="A125" s="3" t="str">
        <f>IF(ISBLANK('Master Submitted DPDs'!#REF!),"","Local Plans")</f>
        <v>Local Plans</v>
      </c>
      <c r="B125" t="e">
        <f>IF(ISBLANK('Master Submitted DPDs'!#REF!),"",'Master Submitted DPDs'!#REF!)</f>
        <v>#REF!</v>
      </c>
      <c r="C125" s="3" t="str">
        <f>IF(ISBLANK('Master Submitted DPDs'!#REF!),"","IH")</f>
        <v>IH</v>
      </c>
      <c r="D125" s="3" t="e">
        <f>LOOKUP($F125,'fuzzy LPA lookup'!$E:$E,'fuzzy LPA lookup'!$A:$A)</f>
        <v>#REF!</v>
      </c>
      <c r="E125" s="3" t="e">
        <f>LOOKUP($F125,'fuzzy LPA lookup'!$E:$E,'fuzzy LPA lookup'!$D:$D)</f>
        <v>#REF!</v>
      </c>
      <c r="F125" s="8" t="e">
        <f>IF(ISBLANK('Master Submitted DPDs'!#REF!),"",'Master Submitted DPDs'!#REF!)</f>
        <v>#REF!</v>
      </c>
      <c r="G125" t="str">
        <f>IF(ISBLANK('Master Submitted DPDs'!#REF!),"","Withdrawn")</f>
        <v>Withdrawn</v>
      </c>
      <c r="H125" s="2" t="e">
        <f>IF(ISBLANK('Master Submitted DPDs'!#REF!),"",'Master Submitted DPDs'!#REF!)</f>
        <v>#REF!</v>
      </c>
      <c r="I125" s="3"/>
      <c r="J125" s="3"/>
      <c r="K125" s="3"/>
      <c r="L125" s="2" t="e">
        <f>IF(ISBLANK('Master Submitted DPDs'!#REF!),"",'Master Submitted DPDs'!#REF!)</f>
        <v>#REF!</v>
      </c>
      <c r="M125" s="2" t="e">
        <f t="shared" si="2"/>
        <v>#REF!</v>
      </c>
      <c r="N125" s="2" t="e">
        <f>IF(ISBLANK('Master Submitted DPDs'!#REF!),IF(ISBLANK('Master Submitted DPDs'!#REF!),"",'Master Submitted DPDs'!#REF!),'Master Submitted DPDs'!#REF!)</f>
        <v>#REF!</v>
      </c>
      <c r="O125" s="2" t="e">
        <f>IF(ISBLANK('Master Submitted DPDs'!#REF!),"",'Master Submitted DPDs'!#REF!)</f>
        <v>#REF!</v>
      </c>
      <c r="P125" s="2" t="e">
        <f>IF(ISBLANK('Master Submitted DPDs'!#REF!),"",'Master Submitted DPDs'!#REF!)</f>
        <v>#REF!</v>
      </c>
      <c r="Q125" t="e">
        <f>IF(ISBLANK('Master Submitted DPDs'!#REF!),"",'Master Submitted DPDs'!#REF!)</f>
        <v>#REF!</v>
      </c>
      <c r="R125" t="e">
        <f t="shared" si="3"/>
        <v>#REF!</v>
      </c>
      <c r="S125" s="3"/>
      <c r="T125" t="e">
        <f>IF(ISBLANK('Master Submitted DPDs'!#REF!),"",'Master Submitted DPDs'!#REF!)</f>
        <v>#REF!</v>
      </c>
    </row>
    <row r="126" spans="1:20" ht="15" x14ac:dyDescent="0.2">
      <c r="A126" s="3" t="str">
        <f>IF(ISBLANK('Master Submitted DPDs'!#REF!),"","Local Plans")</f>
        <v>Local Plans</v>
      </c>
      <c r="B126" t="e">
        <f>IF(ISBLANK('Master Submitted DPDs'!#REF!),"",'Master Submitted DPDs'!#REF!)</f>
        <v>#REF!</v>
      </c>
      <c r="C126" s="3" t="str">
        <f>IF(ISBLANK('Master Submitted DPDs'!#REF!),"","IH")</f>
        <v>IH</v>
      </c>
      <c r="D126" s="3" t="e">
        <f>LOOKUP($F126,'fuzzy LPA lookup'!$E:$E,'fuzzy LPA lookup'!$A:$A)</f>
        <v>#REF!</v>
      </c>
      <c r="E126" s="3" t="e">
        <f>LOOKUP($F126,'fuzzy LPA lookup'!$E:$E,'fuzzy LPA lookup'!$D:$D)</f>
        <v>#REF!</v>
      </c>
      <c r="F126" s="8" t="e">
        <f>IF(ISBLANK('Master Submitted DPDs'!#REF!),"",'Master Submitted DPDs'!#REF!)</f>
        <v>#REF!</v>
      </c>
      <c r="G126" t="str">
        <f>IF(ISBLANK('Master Submitted DPDs'!#REF!),"","Withdrawn")</f>
        <v>Withdrawn</v>
      </c>
      <c r="H126" s="2" t="e">
        <f>IF(ISBLANK('Master Submitted DPDs'!#REF!),"",'Master Submitted DPDs'!#REF!)</f>
        <v>#REF!</v>
      </c>
      <c r="I126" s="3"/>
      <c r="J126" s="3"/>
      <c r="K126" s="3"/>
      <c r="L126" s="2" t="e">
        <f>IF(ISBLANK('Master Submitted DPDs'!#REF!),"",'Master Submitted DPDs'!#REF!)</f>
        <v>#REF!</v>
      </c>
      <c r="M126" s="2" t="e">
        <f t="shared" si="2"/>
        <v>#REF!</v>
      </c>
      <c r="N126" s="2" t="e">
        <f>IF(ISBLANK('Master Submitted DPDs'!#REF!),IF(ISBLANK('Master Submitted DPDs'!#REF!),"",'Master Submitted DPDs'!#REF!),'Master Submitted DPDs'!#REF!)</f>
        <v>#REF!</v>
      </c>
      <c r="O126" s="2" t="e">
        <f>IF(ISBLANK('Master Submitted DPDs'!#REF!),"",'Master Submitted DPDs'!#REF!)</f>
        <v>#REF!</v>
      </c>
      <c r="P126" s="2" t="e">
        <f>IF(ISBLANK('Master Submitted DPDs'!#REF!),"",'Master Submitted DPDs'!#REF!)</f>
        <v>#REF!</v>
      </c>
      <c r="Q126" t="e">
        <f>IF(ISBLANK('Master Submitted DPDs'!#REF!),"",'Master Submitted DPDs'!#REF!)</f>
        <v>#REF!</v>
      </c>
      <c r="R126" t="e">
        <f t="shared" si="3"/>
        <v>#REF!</v>
      </c>
      <c r="S126" s="3"/>
      <c r="T126" t="e">
        <f>IF(ISBLANK('Master Submitted DPDs'!#REF!),"",'Master Submitted DPDs'!#REF!)</f>
        <v>#REF!</v>
      </c>
    </row>
    <row r="127" spans="1:20" ht="15" x14ac:dyDescent="0.2">
      <c r="A127" s="3" t="str">
        <f>IF(ISBLANK('Master Submitted DPDs'!#REF!),"","Local Plans")</f>
        <v>Local Plans</v>
      </c>
      <c r="B127" t="e">
        <f>IF(ISBLANK('Master Submitted DPDs'!#REF!),"",'Master Submitted DPDs'!#REF!)</f>
        <v>#REF!</v>
      </c>
      <c r="C127" s="3" t="str">
        <f>IF(ISBLANK('Master Submitted DPDs'!#REF!),"","IH")</f>
        <v>IH</v>
      </c>
      <c r="D127" s="3" t="e">
        <f>LOOKUP($F127,'fuzzy LPA lookup'!$E:$E,'fuzzy LPA lookup'!$A:$A)</f>
        <v>#REF!</v>
      </c>
      <c r="E127" s="3" t="e">
        <f>LOOKUP($F127,'fuzzy LPA lookup'!$E:$E,'fuzzy LPA lookup'!$D:$D)</f>
        <v>#REF!</v>
      </c>
      <c r="F127" s="8" t="e">
        <f>IF(ISBLANK('Master Submitted DPDs'!#REF!),"",'Master Submitted DPDs'!#REF!)</f>
        <v>#REF!</v>
      </c>
      <c r="G127" t="str">
        <f>IF(ISBLANK('Master Submitted DPDs'!#REF!),"","Withdrawn")</f>
        <v>Withdrawn</v>
      </c>
      <c r="H127" s="2" t="e">
        <f>IF(ISBLANK('Master Submitted DPDs'!#REF!),"",'Master Submitted DPDs'!#REF!)</f>
        <v>#REF!</v>
      </c>
      <c r="I127" s="3"/>
      <c r="J127" s="3"/>
      <c r="K127" s="3"/>
      <c r="L127" s="2" t="e">
        <f>IF(ISBLANK('Master Submitted DPDs'!#REF!),"",'Master Submitted DPDs'!#REF!)</f>
        <v>#REF!</v>
      </c>
      <c r="M127" s="2" t="e">
        <f t="shared" si="2"/>
        <v>#REF!</v>
      </c>
      <c r="N127" s="2" t="e">
        <f>IF(ISBLANK('Master Submitted DPDs'!#REF!),IF(ISBLANK('Master Submitted DPDs'!#REF!),"",'Master Submitted DPDs'!#REF!),'Master Submitted DPDs'!#REF!)</f>
        <v>#REF!</v>
      </c>
      <c r="O127" s="2" t="e">
        <f>IF(ISBLANK('Master Submitted DPDs'!#REF!),"",'Master Submitted DPDs'!#REF!)</f>
        <v>#REF!</v>
      </c>
      <c r="P127" s="2" t="e">
        <f>IF(ISBLANK('Master Submitted DPDs'!#REF!),"",'Master Submitted DPDs'!#REF!)</f>
        <v>#REF!</v>
      </c>
      <c r="Q127" t="e">
        <f>IF(ISBLANK('Master Submitted DPDs'!#REF!),"",'Master Submitted DPDs'!#REF!)</f>
        <v>#REF!</v>
      </c>
      <c r="R127" t="e">
        <f t="shared" si="3"/>
        <v>#REF!</v>
      </c>
      <c r="S127" s="3"/>
      <c r="T127" t="e">
        <f>IF(ISBLANK('Master Submitted DPDs'!#REF!),"",'Master Submitted DPDs'!#REF!)</f>
        <v>#REF!</v>
      </c>
    </row>
    <row r="128" spans="1:20" ht="15" x14ac:dyDescent="0.2">
      <c r="A128" s="3" t="str">
        <f>IF(ISBLANK('Master Submitted DPDs'!#REF!),"","Local Plans")</f>
        <v>Local Plans</v>
      </c>
      <c r="B128" t="e">
        <f>IF(ISBLANK('Master Submitted DPDs'!#REF!),"",'Master Submitted DPDs'!#REF!)</f>
        <v>#REF!</v>
      </c>
      <c r="C128" s="3" t="str">
        <f>IF(ISBLANK('Master Submitted DPDs'!#REF!),"","IH")</f>
        <v>IH</v>
      </c>
      <c r="D128" s="3" t="e">
        <f>LOOKUP($F128,'fuzzy LPA lookup'!$E:$E,'fuzzy LPA lookup'!$A:$A)</f>
        <v>#REF!</v>
      </c>
      <c r="E128" s="3" t="e">
        <f>LOOKUP($F128,'fuzzy LPA lookup'!$E:$E,'fuzzy LPA lookup'!$D:$D)</f>
        <v>#REF!</v>
      </c>
      <c r="F128" s="8" t="e">
        <f>IF(ISBLANK('Master Submitted DPDs'!#REF!),"",'Master Submitted DPDs'!#REF!)</f>
        <v>#REF!</v>
      </c>
      <c r="G128" t="str">
        <f>IF(ISBLANK('Master Submitted DPDs'!#REF!),"","Withdrawn")</f>
        <v>Withdrawn</v>
      </c>
      <c r="H128" s="2" t="e">
        <f>IF(ISBLANK('Master Submitted DPDs'!#REF!),"",'Master Submitted DPDs'!#REF!)</f>
        <v>#REF!</v>
      </c>
      <c r="I128" s="3"/>
      <c r="J128" s="3"/>
      <c r="K128" s="3"/>
      <c r="L128" s="2" t="e">
        <f>IF(ISBLANK('Master Submitted DPDs'!#REF!),"",'Master Submitted DPDs'!#REF!)</f>
        <v>#REF!</v>
      </c>
      <c r="M128" s="2" t="e">
        <f t="shared" si="2"/>
        <v>#REF!</v>
      </c>
      <c r="N128" s="2" t="e">
        <f>IF(ISBLANK('Master Submitted DPDs'!#REF!),IF(ISBLANK('Master Submitted DPDs'!#REF!),"",'Master Submitted DPDs'!#REF!),'Master Submitted DPDs'!#REF!)</f>
        <v>#REF!</v>
      </c>
      <c r="O128" s="2" t="e">
        <f>IF(ISBLANK('Master Submitted DPDs'!#REF!),"",'Master Submitted DPDs'!#REF!)</f>
        <v>#REF!</v>
      </c>
      <c r="P128" s="2" t="e">
        <f>IF(ISBLANK('Master Submitted DPDs'!#REF!),"",'Master Submitted DPDs'!#REF!)</f>
        <v>#REF!</v>
      </c>
      <c r="Q128" t="e">
        <f>IF(ISBLANK('Master Submitted DPDs'!#REF!),"",'Master Submitted DPDs'!#REF!)</f>
        <v>#REF!</v>
      </c>
      <c r="R128" t="e">
        <f t="shared" si="3"/>
        <v>#REF!</v>
      </c>
      <c r="S128" s="3"/>
      <c r="T128" t="e">
        <f>IF(ISBLANK('Master Submitted DPDs'!#REF!),"",'Master Submitted DPDs'!#REF!)</f>
        <v>#REF!</v>
      </c>
    </row>
    <row r="129" spans="1:20" ht="15" x14ac:dyDescent="0.2">
      <c r="A129" s="3" t="str">
        <f>IF(ISBLANK('Master Submitted DPDs'!#REF!),"","Local Plans")</f>
        <v>Local Plans</v>
      </c>
      <c r="B129" t="e">
        <f>IF(ISBLANK('Master Submitted DPDs'!#REF!),"",'Master Submitted DPDs'!#REF!)</f>
        <v>#REF!</v>
      </c>
      <c r="C129" s="3" t="str">
        <f>IF(ISBLANK('Master Submitted DPDs'!#REF!),"","IH")</f>
        <v>IH</v>
      </c>
      <c r="D129" s="3" t="e">
        <f>LOOKUP($F129,'fuzzy LPA lookup'!$E:$E,'fuzzy LPA lookup'!$A:$A)</f>
        <v>#REF!</v>
      </c>
      <c r="E129" s="3" t="e">
        <f>LOOKUP($F129,'fuzzy LPA lookup'!$E:$E,'fuzzy LPA lookup'!$D:$D)</f>
        <v>#REF!</v>
      </c>
      <c r="F129" s="8" t="e">
        <f>IF(ISBLANK('Master Submitted DPDs'!#REF!),"",'Master Submitted DPDs'!#REF!)</f>
        <v>#REF!</v>
      </c>
      <c r="G129" t="str">
        <f>IF(ISBLANK('Master Submitted DPDs'!#REF!),"","Withdrawn")</f>
        <v>Withdrawn</v>
      </c>
      <c r="H129" s="2" t="e">
        <f>IF(ISBLANK('Master Submitted DPDs'!#REF!),"",'Master Submitted DPDs'!#REF!)</f>
        <v>#REF!</v>
      </c>
      <c r="I129" s="3"/>
      <c r="J129" s="3"/>
      <c r="K129" s="3"/>
      <c r="L129" s="2" t="e">
        <f>IF(ISBLANK('Master Submitted DPDs'!#REF!),"",'Master Submitted DPDs'!#REF!)</f>
        <v>#REF!</v>
      </c>
      <c r="M129" s="2" t="e">
        <f t="shared" si="2"/>
        <v>#REF!</v>
      </c>
      <c r="N129" s="2" t="e">
        <f>IF(ISBLANK('Master Submitted DPDs'!#REF!),IF(ISBLANK('Master Submitted DPDs'!#REF!),"",'Master Submitted DPDs'!#REF!),'Master Submitted DPDs'!#REF!)</f>
        <v>#REF!</v>
      </c>
      <c r="O129" s="2" t="e">
        <f>IF(ISBLANK('Master Submitted DPDs'!#REF!),"",'Master Submitted DPDs'!#REF!)</f>
        <v>#REF!</v>
      </c>
      <c r="P129" s="2" t="e">
        <f>IF(ISBLANK('Master Submitted DPDs'!#REF!),"",'Master Submitted DPDs'!#REF!)</f>
        <v>#REF!</v>
      </c>
      <c r="Q129" t="e">
        <f>IF(ISBLANK('Master Submitted DPDs'!#REF!),"",'Master Submitted DPDs'!#REF!)</f>
        <v>#REF!</v>
      </c>
      <c r="R129" t="e">
        <f t="shared" si="3"/>
        <v>#REF!</v>
      </c>
      <c r="S129" s="3"/>
      <c r="T129" t="e">
        <f>IF(ISBLANK('Master Submitted DPDs'!#REF!),"",'Master Submitted DPDs'!#REF!)</f>
        <v>#REF!</v>
      </c>
    </row>
    <row r="130" spans="1:20" ht="15" x14ac:dyDescent="0.2">
      <c r="A130" s="3" t="str">
        <f>IF(ISBLANK('Master Submitted DPDs'!#REF!),"","Local Plans")</f>
        <v>Local Plans</v>
      </c>
      <c r="B130" t="e">
        <f>IF(ISBLANK('Master Submitted DPDs'!#REF!),"",'Master Submitted DPDs'!#REF!)</f>
        <v>#REF!</v>
      </c>
      <c r="C130" s="3" t="str">
        <f>IF(ISBLANK('Master Submitted DPDs'!#REF!),"","IH")</f>
        <v>IH</v>
      </c>
      <c r="D130" s="3" t="e">
        <f>LOOKUP($F130,'fuzzy LPA lookup'!$E:$E,'fuzzy LPA lookup'!$A:$A)</f>
        <v>#REF!</v>
      </c>
      <c r="E130" s="3" t="e">
        <f>LOOKUP($F130,'fuzzy LPA lookup'!$E:$E,'fuzzy LPA lookup'!$D:$D)</f>
        <v>#REF!</v>
      </c>
      <c r="F130" s="8" t="e">
        <f>IF(ISBLANK('Master Submitted DPDs'!#REF!),"",'Master Submitted DPDs'!#REF!)</f>
        <v>#REF!</v>
      </c>
      <c r="G130" t="str">
        <f>IF(ISBLANK('Master Submitted DPDs'!#REF!),"","Withdrawn")</f>
        <v>Withdrawn</v>
      </c>
      <c r="H130" s="2" t="e">
        <f>IF(ISBLANK('Master Submitted DPDs'!#REF!),"",'Master Submitted DPDs'!#REF!)</f>
        <v>#REF!</v>
      </c>
      <c r="I130" s="3"/>
      <c r="J130" s="3"/>
      <c r="K130" s="3"/>
      <c r="L130" s="2" t="e">
        <f>IF(ISBLANK('Master Submitted DPDs'!#REF!),"",'Master Submitted DPDs'!#REF!)</f>
        <v>#REF!</v>
      </c>
      <c r="M130" s="2" t="e">
        <f t="shared" ref="M130:M193" si="4">L130</f>
        <v>#REF!</v>
      </c>
      <c r="N130" s="2" t="e">
        <f>IF(ISBLANK('Master Submitted DPDs'!#REF!),IF(ISBLANK('Master Submitted DPDs'!#REF!),"",'Master Submitted DPDs'!#REF!),'Master Submitted DPDs'!#REF!)</f>
        <v>#REF!</v>
      </c>
      <c r="O130" s="2" t="e">
        <f>IF(ISBLANK('Master Submitted DPDs'!#REF!),"",'Master Submitted DPDs'!#REF!)</f>
        <v>#REF!</v>
      </c>
      <c r="P130" s="2" t="e">
        <f>IF(ISBLANK('Master Submitted DPDs'!#REF!),"",'Master Submitted DPDs'!#REF!)</f>
        <v>#REF!</v>
      </c>
      <c r="Q130" t="e">
        <f>IF(ISBLANK('Master Submitted DPDs'!#REF!),"",'Master Submitted DPDs'!#REF!)</f>
        <v>#REF!</v>
      </c>
      <c r="R130" t="e">
        <f t="shared" ref="R130:R193" si="5">IF(F130="","",IF(AND(H130="",Q130&lt;&gt;"UNS",P130=""),"Open","Closed"))</f>
        <v>#REF!</v>
      </c>
      <c r="S130" s="3"/>
      <c r="T130" t="e">
        <f>IF(ISBLANK('Master Submitted DPDs'!#REF!),"",'Master Submitted DPDs'!#REF!)</f>
        <v>#REF!</v>
      </c>
    </row>
    <row r="131" spans="1:20" ht="15" x14ac:dyDescent="0.2">
      <c r="A131" s="3" t="str">
        <f>IF(ISBLANK('Master Submitted DPDs'!#REF!),"","Local Plans")</f>
        <v>Local Plans</v>
      </c>
      <c r="B131" t="e">
        <f>IF(ISBLANK('Master Submitted DPDs'!#REF!),"",'Master Submitted DPDs'!#REF!)</f>
        <v>#REF!</v>
      </c>
      <c r="C131" s="3" t="str">
        <f>IF(ISBLANK('Master Submitted DPDs'!#REF!),"","IH")</f>
        <v>IH</v>
      </c>
      <c r="D131" s="3" t="e">
        <f>LOOKUP($F131,'fuzzy LPA lookup'!$E:$E,'fuzzy LPA lookup'!$A:$A)</f>
        <v>#REF!</v>
      </c>
      <c r="E131" s="3" t="e">
        <f>LOOKUP($F131,'fuzzy LPA lookup'!$E:$E,'fuzzy LPA lookup'!$D:$D)</f>
        <v>#REF!</v>
      </c>
      <c r="F131" s="8" t="e">
        <f>IF(ISBLANK('Master Submitted DPDs'!#REF!),"",'Master Submitted DPDs'!#REF!)</f>
        <v>#REF!</v>
      </c>
      <c r="G131" t="str">
        <f>IF(ISBLANK('Master Submitted DPDs'!#REF!),"","Withdrawn")</f>
        <v>Withdrawn</v>
      </c>
      <c r="H131" s="2" t="e">
        <f>IF(ISBLANK('Master Submitted DPDs'!#REF!),"",'Master Submitted DPDs'!#REF!)</f>
        <v>#REF!</v>
      </c>
      <c r="I131" s="3"/>
      <c r="J131" s="3"/>
      <c r="K131" s="3"/>
      <c r="L131" s="2" t="e">
        <f>IF(ISBLANK('Master Submitted DPDs'!#REF!),"",'Master Submitted DPDs'!#REF!)</f>
        <v>#REF!</v>
      </c>
      <c r="M131" s="2" t="e">
        <f t="shared" si="4"/>
        <v>#REF!</v>
      </c>
      <c r="N131" s="2" t="e">
        <f>IF(ISBLANK('Master Submitted DPDs'!#REF!),IF(ISBLANK('Master Submitted DPDs'!#REF!),"",'Master Submitted DPDs'!#REF!),'Master Submitted DPDs'!#REF!)</f>
        <v>#REF!</v>
      </c>
      <c r="O131" s="2" t="e">
        <f>IF(ISBLANK('Master Submitted DPDs'!#REF!),"",'Master Submitted DPDs'!#REF!)</f>
        <v>#REF!</v>
      </c>
      <c r="P131" s="2" t="e">
        <f>IF(ISBLANK('Master Submitted DPDs'!#REF!),"",'Master Submitted DPDs'!#REF!)</f>
        <v>#REF!</v>
      </c>
      <c r="Q131" t="e">
        <f>IF(ISBLANK('Master Submitted DPDs'!#REF!),"",'Master Submitted DPDs'!#REF!)</f>
        <v>#REF!</v>
      </c>
      <c r="R131" t="e">
        <f t="shared" si="5"/>
        <v>#REF!</v>
      </c>
      <c r="S131" s="3"/>
      <c r="T131" t="e">
        <f>IF(ISBLANK('Master Submitted DPDs'!#REF!),"",'Master Submitted DPDs'!#REF!)</f>
        <v>#REF!</v>
      </c>
    </row>
    <row r="132" spans="1:20" ht="15" x14ac:dyDescent="0.2">
      <c r="A132" s="3" t="str">
        <f>IF(ISBLANK('Master Submitted DPDs'!#REF!),"","Local Plans")</f>
        <v>Local Plans</v>
      </c>
      <c r="B132" t="e">
        <f>IF(ISBLANK('Master Submitted DPDs'!#REF!),"",'Master Submitted DPDs'!#REF!)</f>
        <v>#REF!</v>
      </c>
      <c r="C132" s="3" t="str">
        <f>IF(ISBLANK('Master Submitted DPDs'!#REF!),"","IH")</f>
        <v>IH</v>
      </c>
      <c r="D132" s="3" t="e">
        <f>LOOKUP($F132,'fuzzy LPA lookup'!$E:$E,'fuzzy LPA lookup'!$A:$A)</f>
        <v>#REF!</v>
      </c>
      <c r="E132" s="3" t="e">
        <f>LOOKUP($F132,'fuzzy LPA lookup'!$E:$E,'fuzzy LPA lookup'!$D:$D)</f>
        <v>#REF!</v>
      </c>
      <c r="F132" s="8" t="e">
        <f>IF(ISBLANK('Master Submitted DPDs'!#REF!),"",'Master Submitted DPDs'!#REF!)</f>
        <v>#REF!</v>
      </c>
      <c r="G132" t="str">
        <f>IF(ISBLANK('Master Submitted DPDs'!#REF!),"","Withdrawn")</f>
        <v>Withdrawn</v>
      </c>
      <c r="H132" s="2" t="e">
        <f>IF(ISBLANK('Master Submitted DPDs'!#REF!),"",'Master Submitted DPDs'!#REF!)</f>
        <v>#REF!</v>
      </c>
      <c r="I132" s="3"/>
      <c r="J132" s="3"/>
      <c r="K132" s="3"/>
      <c r="L132" s="2" t="e">
        <f>IF(ISBLANK('Master Submitted DPDs'!#REF!),"",'Master Submitted DPDs'!#REF!)</f>
        <v>#REF!</v>
      </c>
      <c r="M132" s="2" t="e">
        <f t="shared" si="4"/>
        <v>#REF!</v>
      </c>
      <c r="N132" s="2" t="e">
        <f>IF(ISBLANK('Master Submitted DPDs'!#REF!),IF(ISBLANK('Master Submitted DPDs'!#REF!),"",'Master Submitted DPDs'!#REF!),'Master Submitted DPDs'!#REF!)</f>
        <v>#REF!</v>
      </c>
      <c r="O132" s="2" t="e">
        <f>IF(ISBLANK('Master Submitted DPDs'!#REF!),"",'Master Submitted DPDs'!#REF!)</f>
        <v>#REF!</v>
      </c>
      <c r="P132" s="2" t="e">
        <f>IF(ISBLANK('Master Submitted DPDs'!#REF!),"",'Master Submitted DPDs'!#REF!)</f>
        <v>#REF!</v>
      </c>
      <c r="Q132" t="e">
        <f>IF(ISBLANK('Master Submitted DPDs'!#REF!),"",'Master Submitted DPDs'!#REF!)</f>
        <v>#REF!</v>
      </c>
      <c r="R132" t="e">
        <f t="shared" si="5"/>
        <v>#REF!</v>
      </c>
      <c r="S132" s="3"/>
      <c r="T132" t="e">
        <f>IF(ISBLANK('Master Submitted DPDs'!#REF!),"",'Master Submitted DPDs'!#REF!)</f>
        <v>#REF!</v>
      </c>
    </row>
    <row r="133" spans="1:20" ht="15" x14ac:dyDescent="0.2">
      <c r="A133" s="3" t="str">
        <f>IF(ISBLANK('Master Submitted DPDs'!#REF!),"","Local Plans")</f>
        <v>Local Plans</v>
      </c>
      <c r="B133" t="e">
        <f>IF(ISBLANK('Master Submitted DPDs'!#REF!),"",'Master Submitted DPDs'!#REF!)</f>
        <v>#REF!</v>
      </c>
      <c r="C133" s="3" t="str">
        <f>IF(ISBLANK('Master Submitted DPDs'!#REF!),"","IH")</f>
        <v>IH</v>
      </c>
      <c r="D133" s="3" t="e">
        <f>LOOKUP($F133,'fuzzy LPA lookup'!$E:$E,'fuzzy LPA lookup'!$A:$A)</f>
        <v>#REF!</v>
      </c>
      <c r="E133" s="3" t="e">
        <f>LOOKUP($F133,'fuzzy LPA lookup'!$E:$E,'fuzzy LPA lookup'!$D:$D)</f>
        <v>#REF!</v>
      </c>
      <c r="F133" s="8" t="e">
        <f>IF(ISBLANK('Master Submitted DPDs'!#REF!),"",'Master Submitted DPDs'!#REF!)</f>
        <v>#REF!</v>
      </c>
      <c r="G133" t="str">
        <f>IF(ISBLANK('Master Submitted DPDs'!#REF!),"","Withdrawn")</f>
        <v>Withdrawn</v>
      </c>
      <c r="H133" s="2" t="e">
        <f>IF(ISBLANK('Master Submitted DPDs'!#REF!),"",'Master Submitted DPDs'!#REF!)</f>
        <v>#REF!</v>
      </c>
      <c r="I133" s="3"/>
      <c r="J133" s="3"/>
      <c r="K133" s="3"/>
      <c r="L133" s="2" t="e">
        <f>IF(ISBLANK('Master Submitted DPDs'!#REF!),"",'Master Submitted DPDs'!#REF!)</f>
        <v>#REF!</v>
      </c>
      <c r="M133" s="2" t="e">
        <f t="shared" si="4"/>
        <v>#REF!</v>
      </c>
      <c r="N133" s="2" t="e">
        <f>IF(ISBLANK('Master Submitted DPDs'!#REF!),IF(ISBLANK('Master Submitted DPDs'!#REF!),"",'Master Submitted DPDs'!#REF!),'Master Submitted DPDs'!#REF!)</f>
        <v>#REF!</v>
      </c>
      <c r="O133" s="2" t="e">
        <f>IF(ISBLANK('Master Submitted DPDs'!#REF!),"",'Master Submitted DPDs'!#REF!)</f>
        <v>#REF!</v>
      </c>
      <c r="P133" s="2" t="e">
        <f>IF(ISBLANK('Master Submitted DPDs'!#REF!),"",'Master Submitted DPDs'!#REF!)</f>
        <v>#REF!</v>
      </c>
      <c r="Q133" t="e">
        <f>IF(ISBLANK('Master Submitted DPDs'!#REF!),"",'Master Submitted DPDs'!#REF!)</f>
        <v>#REF!</v>
      </c>
      <c r="R133" t="e">
        <f t="shared" si="5"/>
        <v>#REF!</v>
      </c>
      <c r="S133" s="3"/>
      <c r="T133" t="e">
        <f>IF(ISBLANK('Master Submitted DPDs'!#REF!),"",'Master Submitted DPDs'!#REF!)</f>
        <v>#REF!</v>
      </c>
    </row>
    <row r="134" spans="1:20" ht="15" x14ac:dyDescent="0.2">
      <c r="A134" s="3" t="str">
        <f>IF(ISBLANK('Master Submitted DPDs'!#REF!),"","Local Plans")</f>
        <v>Local Plans</v>
      </c>
      <c r="B134" t="e">
        <f>IF(ISBLANK('Master Submitted DPDs'!#REF!),"",'Master Submitted DPDs'!#REF!)</f>
        <v>#REF!</v>
      </c>
      <c r="C134" s="3" t="str">
        <f>IF(ISBLANK('Master Submitted DPDs'!#REF!),"","IH")</f>
        <v>IH</v>
      </c>
      <c r="D134" s="3" t="e">
        <f>LOOKUP($F134,'fuzzy LPA lookup'!$E:$E,'fuzzy LPA lookup'!$A:$A)</f>
        <v>#REF!</v>
      </c>
      <c r="E134" s="3" t="e">
        <f>LOOKUP($F134,'fuzzy LPA lookup'!$E:$E,'fuzzy LPA lookup'!$D:$D)</f>
        <v>#REF!</v>
      </c>
      <c r="F134" s="8" t="e">
        <f>IF(ISBLANK('Master Submitted DPDs'!#REF!),"",'Master Submitted DPDs'!#REF!)</f>
        <v>#REF!</v>
      </c>
      <c r="G134" t="str">
        <f>IF(ISBLANK('Master Submitted DPDs'!#REF!),"","Withdrawn")</f>
        <v>Withdrawn</v>
      </c>
      <c r="H134" s="2" t="e">
        <f>IF(ISBLANK('Master Submitted DPDs'!#REF!),"",'Master Submitted DPDs'!#REF!)</f>
        <v>#REF!</v>
      </c>
      <c r="I134" s="3"/>
      <c r="J134" s="3"/>
      <c r="K134" s="3"/>
      <c r="L134" s="2" t="e">
        <f>IF(ISBLANK('Master Submitted DPDs'!#REF!),"",'Master Submitted DPDs'!#REF!)</f>
        <v>#REF!</v>
      </c>
      <c r="M134" s="2" t="e">
        <f t="shared" si="4"/>
        <v>#REF!</v>
      </c>
      <c r="N134" s="2" t="e">
        <f>IF(ISBLANK('Master Submitted DPDs'!#REF!),IF(ISBLANK('Master Submitted DPDs'!#REF!),"",'Master Submitted DPDs'!#REF!),'Master Submitted DPDs'!#REF!)</f>
        <v>#REF!</v>
      </c>
      <c r="O134" s="2" t="e">
        <f>IF(ISBLANK('Master Submitted DPDs'!#REF!),"",'Master Submitted DPDs'!#REF!)</f>
        <v>#REF!</v>
      </c>
      <c r="P134" s="2" t="e">
        <f>IF(ISBLANK('Master Submitted DPDs'!#REF!),"",'Master Submitted DPDs'!#REF!)</f>
        <v>#REF!</v>
      </c>
      <c r="Q134" t="e">
        <f>IF(ISBLANK('Master Submitted DPDs'!#REF!),"",'Master Submitted DPDs'!#REF!)</f>
        <v>#REF!</v>
      </c>
      <c r="R134" t="e">
        <f t="shared" si="5"/>
        <v>#REF!</v>
      </c>
      <c r="S134" s="3"/>
      <c r="T134" t="e">
        <f>IF(ISBLANK('Master Submitted DPDs'!#REF!),"",'Master Submitted DPDs'!#REF!)</f>
        <v>#REF!</v>
      </c>
    </row>
    <row r="135" spans="1:20" ht="15" x14ac:dyDescent="0.2">
      <c r="A135" s="3" t="str">
        <f>IF(ISBLANK('Master Submitted DPDs'!#REF!),"","Local Plans")</f>
        <v>Local Plans</v>
      </c>
      <c r="B135" t="e">
        <f>IF(ISBLANK('Master Submitted DPDs'!#REF!),"",'Master Submitted DPDs'!#REF!)</f>
        <v>#REF!</v>
      </c>
      <c r="C135" s="3" t="str">
        <f>IF(ISBLANK('Master Submitted DPDs'!#REF!),"","IH")</f>
        <v>IH</v>
      </c>
      <c r="D135" s="3" t="e">
        <f>LOOKUP($F135,'fuzzy LPA lookup'!$E:$E,'fuzzy LPA lookup'!$A:$A)</f>
        <v>#REF!</v>
      </c>
      <c r="E135" s="3" t="e">
        <f>LOOKUP($F135,'fuzzy LPA lookup'!$E:$E,'fuzzy LPA lookup'!$D:$D)</f>
        <v>#REF!</v>
      </c>
      <c r="F135" s="8" t="e">
        <f>IF(ISBLANK('Master Submitted DPDs'!#REF!),"",'Master Submitted DPDs'!#REF!)</f>
        <v>#REF!</v>
      </c>
      <c r="G135" t="str">
        <f>IF(ISBLANK('Master Submitted DPDs'!#REF!),"","Withdrawn")</f>
        <v>Withdrawn</v>
      </c>
      <c r="H135" s="2" t="e">
        <f>IF(ISBLANK('Master Submitted DPDs'!#REF!),"",'Master Submitted DPDs'!#REF!)</f>
        <v>#REF!</v>
      </c>
      <c r="I135" s="3"/>
      <c r="J135" s="3"/>
      <c r="K135" s="3"/>
      <c r="L135" s="2" t="e">
        <f>IF(ISBLANK('Master Submitted DPDs'!#REF!),"",'Master Submitted DPDs'!#REF!)</f>
        <v>#REF!</v>
      </c>
      <c r="M135" s="2" t="e">
        <f t="shared" si="4"/>
        <v>#REF!</v>
      </c>
      <c r="N135" s="2" t="e">
        <f>IF(ISBLANK('Master Submitted DPDs'!#REF!),IF(ISBLANK('Master Submitted DPDs'!#REF!),"",'Master Submitted DPDs'!#REF!),'Master Submitted DPDs'!#REF!)</f>
        <v>#REF!</v>
      </c>
      <c r="O135" s="2" t="e">
        <f>IF(ISBLANK('Master Submitted DPDs'!#REF!),"",'Master Submitted DPDs'!#REF!)</f>
        <v>#REF!</v>
      </c>
      <c r="P135" s="2" t="e">
        <f>IF(ISBLANK('Master Submitted DPDs'!#REF!),"",'Master Submitted DPDs'!#REF!)</f>
        <v>#REF!</v>
      </c>
      <c r="Q135" t="e">
        <f>IF(ISBLANK('Master Submitted DPDs'!#REF!),"",'Master Submitted DPDs'!#REF!)</f>
        <v>#REF!</v>
      </c>
      <c r="R135" t="e">
        <f t="shared" si="5"/>
        <v>#REF!</v>
      </c>
      <c r="S135" s="3"/>
      <c r="T135" t="e">
        <f>IF(ISBLANK('Master Submitted DPDs'!#REF!),"",'Master Submitted DPDs'!#REF!)</f>
        <v>#REF!</v>
      </c>
    </row>
    <row r="136" spans="1:20" ht="15" x14ac:dyDescent="0.2">
      <c r="A136" s="3" t="str">
        <f>IF(ISBLANK('Master Submitted DPDs'!#REF!),"","Local Plans")</f>
        <v>Local Plans</v>
      </c>
      <c r="B136" t="e">
        <f>IF(ISBLANK('Master Submitted DPDs'!#REF!),"",'Master Submitted DPDs'!#REF!)</f>
        <v>#REF!</v>
      </c>
      <c r="C136" s="3" t="str">
        <f>IF(ISBLANK('Master Submitted DPDs'!#REF!),"","IH")</f>
        <v>IH</v>
      </c>
      <c r="D136" s="3" t="e">
        <f>LOOKUP($F136,'fuzzy LPA lookup'!$E:$E,'fuzzy LPA lookup'!$A:$A)</f>
        <v>#REF!</v>
      </c>
      <c r="E136" s="3" t="e">
        <f>LOOKUP($F136,'fuzzy LPA lookup'!$E:$E,'fuzzy LPA lookup'!$D:$D)</f>
        <v>#REF!</v>
      </c>
      <c r="F136" s="8" t="e">
        <f>IF(ISBLANK('Master Submitted DPDs'!#REF!),"",'Master Submitted DPDs'!#REF!)</f>
        <v>#REF!</v>
      </c>
      <c r="G136" t="str">
        <f>IF(ISBLANK('Master Submitted DPDs'!#REF!),"","Withdrawn")</f>
        <v>Withdrawn</v>
      </c>
      <c r="H136" s="2" t="e">
        <f>IF(ISBLANK('Master Submitted DPDs'!#REF!),"",'Master Submitted DPDs'!#REF!)</f>
        <v>#REF!</v>
      </c>
      <c r="I136" s="3"/>
      <c r="J136" s="3"/>
      <c r="K136" s="3"/>
      <c r="L136" s="2" t="e">
        <f>IF(ISBLANK('Master Submitted DPDs'!#REF!),"",'Master Submitted DPDs'!#REF!)</f>
        <v>#REF!</v>
      </c>
      <c r="M136" s="2" t="e">
        <f t="shared" si="4"/>
        <v>#REF!</v>
      </c>
      <c r="N136" s="2" t="e">
        <f>IF(ISBLANK('Master Submitted DPDs'!#REF!),IF(ISBLANK('Master Submitted DPDs'!#REF!),"",'Master Submitted DPDs'!#REF!),'Master Submitted DPDs'!#REF!)</f>
        <v>#REF!</v>
      </c>
      <c r="O136" s="2" t="e">
        <f>IF(ISBLANK('Master Submitted DPDs'!#REF!),"",'Master Submitted DPDs'!#REF!)</f>
        <v>#REF!</v>
      </c>
      <c r="P136" s="2" t="e">
        <f>IF(ISBLANK('Master Submitted DPDs'!#REF!),"",'Master Submitted DPDs'!#REF!)</f>
        <v>#REF!</v>
      </c>
      <c r="Q136" t="e">
        <f>IF(ISBLANK('Master Submitted DPDs'!#REF!),"",'Master Submitted DPDs'!#REF!)</f>
        <v>#REF!</v>
      </c>
      <c r="R136" t="e">
        <f t="shared" si="5"/>
        <v>#REF!</v>
      </c>
      <c r="S136" s="3"/>
      <c r="T136" t="e">
        <f>IF(ISBLANK('Master Submitted DPDs'!#REF!),"",'Master Submitted DPDs'!#REF!)</f>
        <v>#REF!</v>
      </c>
    </row>
    <row r="137" spans="1:20" ht="15" x14ac:dyDescent="0.2">
      <c r="A137" s="3" t="str">
        <f>IF(ISBLANK('Master Submitted DPDs'!#REF!),"","Local Plans")</f>
        <v>Local Plans</v>
      </c>
      <c r="B137" t="e">
        <f>IF(ISBLANK('Master Submitted DPDs'!#REF!),"",'Master Submitted DPDs'!#REF!)</f>
        <v>#REF!</v>
      </c>
      <c r="C137" s="3" t="str">
        <f>IF(ISBLANK('Master Submitted DPDs'!#REF!),"","IH")</f>
        <v>IH</v>
      </c>
      <c r="D137" s="3" t="e">
        <f>LOOKUP($F137,'fuzzy LPA lookup'!$E:$E,'fuzzy LPA lookup'!$A:$A)</f>
        <v>#REF!</v>
      </c>
      <c r="E137" s="3" t="e">
        <f>LOOKUP($F137,'fuzzy LPA lookup'!$E:$E,'fuzzy LPA lookup'!$D:$D)</f>
        <v>#REF!</v>
      </c>
      <c r="F137" s="8" t="e">
        <f>IF(ISBLANK('Master Submitted DPDs'!#REF!),"",'Master Submitted DPDs'!#REF!)</f>
        <v>#REF!</v>
      </c>
      <c r="G137" t="str">
        <f>IF(ISBLANK('Master Submitted DPDs'!#REF!),"","Withdrawn")</f>
        <v>Withdrawn</v>
      </c>
      <c r="H137" s="2" t="e">
        <f>IF(ISBLANK('Master Submitted DPDs'!#REF!),"",'Master Submitted DPDs'!#REF!)</f>
        <v>#REF!</v>
      </c>
      <c r="I137" s="3"/>
      <c r="J137" s="3"/>
      <c r="K137" s="3"/>
      <c r="L137" s="2" t="e">
        <f>IF(ISBLANK('Master Submitted DPDs'!#REF!),"",'Master Submitted DPDs'!#REF!)</f>
        <v>#REF!</v>
      </c>
      <c r="M137" s="2" t="e">
        <f t="shared" si="4"/>
        <v>#REF!</v>
      </c>
      <c r="N137" s="2" t="e">
        <f>IF(ISBLANK('Master Submitted DPDs'!#REF!),IF(ISBLANK('Master Submitted DPDs'!#REF!),"",'Master Submitted DPDs'!#REF!),'Master Submitted DPDs'!#REF!)</f>
        <v>#REF!</v>
      </c>
      <c r="O137" s="2" t="e">
        <f>IF(ISBLANK('Master Submitted DPDs'!#REF!),"",'Master Submitted DPDs'!#REF!)</f>
        <v>#REF!</v>
      </c>
      <c r="P137" s="2" t="e">
        <f>IF(ISBLANK('Master Submitted DPDs'!#REF!),"",'Master Submitted DPDs'!#REF!)</f>
        <v>#REF!</v>
      </c>
      <c r="Q137" t="e">
        <f>IF(ISBLANK('Master Submitted DPDs'!#REF!),"",'Master Submitted DPDs'!#REF!)</f>
        <v>#REF!</v>
      </c>
      <c r="R137" t="e">
        <f t="shared" si="5"/>
        <v>#REF!</v>
      </c>
      <c r="S137" s="3"/>
      <c r="T137" t="e">
        <f>IF(ISBLANK('Master Submitted DPDs'!#REF!),"",'Master Submitted DPDs'!#REF!)</f>
        <v>#REF!</v>
      </c>
    </row>
    <row r="138" spans="1:20" ht="15" x14ac:dyDescent="0.2">
      <c r="A138" s="3" t="str">
        <f>IF(ISBLANK('Master Submitted DPDs'!#REF!),"","Local Plans")</f>
        <v>Local Plans</v>
      </c>
      <c r="B138" t="e">
        <f>IF(ISBLANK('Master Submitted DPDs'!#REF!),"",'Master Submitted DPDs'!#REF!)</f>
        <v>#REF!</v>
      </c>
      <c r="C138" s="3" t="str">
        <f>IF(ISBLANK('Master Submitted DPDs'!#REF!),"","IH")</f>
        <v>IH</v>
      </c>
      <c r="D138" s="3" t="e">
        <f>LOOKUP($F138,'fuzzy LPA lookup'!$E:$E,'fuzzy LPA lookup'!$A:$A)</f>
        <v>#REF!</v>
      </c>
      <c r="E138" s="3" t="e">
        <f>LOOKUP($F138,'fuzzy LPA lookup'!$E:$E,'fuzzy LPA lookup'!$D:$D)</f>
        <v>#REF!</v>
      </c>
      <c r="F138" s="8" t="e">
        <f>IF(ISBLANK('Master Submitted DPDs'!#REF!),"",'Master Submitted DPDs'!#REF!)</f>
        <v>#REF!</v>
      </c>
      <c r="G138" t="str">
        <f>IF(ISBLANK('Master Submitted DPDs'!#REF!),"","Withdrawn")</f>
        <v>Withdrawn</v>
      </c>
      <c r="H138" s="2" t="e">
        <f>IF(ISBLANK('Master Submitted DPDs'!#REF!),"",'Master Submitted DPDs'!#REF!)</f>
        <v>#REF!</v>
      </c>
      <c r="I138" s="3"/>
      <c r="J138" s="3"/>
      <c r="K138" s="3"/>
      <c r="L138" s="2" t="e">
        <f>IF(ISBLANK('Master Submitted DPDs'!#REF!),"",'Master Submitted DPDs'!#REF!)</f>
        <v>#REF!</v>
      </c>
      <c r="M138" s="2" t="e">
        <f t="shared" si="4"/>
        <v>#REF!</v>
      </c>
      <c r="N138" s="2" t="e">
        <f>IF(ISBLANK('Master Submitted DPDs'!#REF!),IF(ISBLANK('Master Submitted DPDs'!#REF!),"",'Master Submitted DPDs'!#REF!),'Master Submitted DPDs'!#REF!)</f>
        <v>#REF!</v>
      </c>
      <c r="O138" s="2" t="e">
        <f>IF(ISBLANK('Master Submitted DPDs'!#REF!),"",'Master Submitted DPDs'!#REF!)</f>
        <v>#REF!</v>
      </c>
      <c r="P138" s="2" t="e">
        <f>IF(ISBLANK('Master Submitted DPDs'!#REF!),"",'Master Submitted DPDs'!#REF!)</f>
        <v>#REF!</v>
      </c>
      <c r="Q138" t="e">
        <f>IF(ISBLANK('Master Submitted DPDs'!#REF!),"",'Master Submitted DPDs'!#REF!)</f>
        <v>#REF!</v>
      </c>
      <c r="R138" t="e">
        <f t="shared" si="5"/>
        <v>#REF!</v>
      </c>
      <c r="S138" s="3"/>
      <c r="T138" t="e">
        <f>IF(ISBLANK('Master Submitted DPDs'!#REF!),"",'Master Submitted DPDs'!#REF!)</f>
        <v>#REF!</v>
      </c>
    </row>
    <row r="139" spans="1:20" ht="15" x14ac:dyDescent="0.2">
      <c r="A139" s="3" t="str">
        <f>IF(ISBLANK('Master Submitted DPDs'!#REF!),"","Local Plans")</f>
        <v>Local Plans</v>
      </c>
      <c r="B139" t="e">
        <f>IF(ISBLANK('Master Submitted DPDs'!#REF!),"",'Master Submitted DPDs'!#REF!)</f>
        <v>#REF!</v>
      </c>
      <c r="C139" s="3" t="str">
        <f>IF(ISBLANK('Master Submitted DPDs'!#REF!),"","IH")</f>
        <v>IH</v>
      </c>
      <c r="D139" s="3" t="e">
        <f>LOOKUP($F139,'fuzzy LPA lookup'!$E:$E,'fuzzy LPA lookup'!$A:$A)</f>
        <v>#REF!</v>
      </c>
      <c r="E139" s="3" t="e">
        <f>LOOKUP($F139,'fuzzy LPA lookup'!$E:$E,'fuzzy LPA lookup'!$D:$D)</f>
        <v>#REF!</v>
      </c>
      <c r="F139" s="8" t="e">
        <f>IF(ISBLANK('Master Submitted DPDs'!#REF!),"",'Master Submitted DPDs'!#REF!)</f>
        <v>#REF!</v>
      </c>
      <c r="G139" t="str">
        <f>IF(ISBLANK('Master Submitted DPDs'!#REF!),"","Withdrawn")</f>
        <v>Withdrawn</v>
      </c>
      <c r="H139" s="2" t="e">
        <f>IF(ISBLANK('Master Submitted DPDs'!#REF!),"",'Master Submitted DPDs'!#REF!)</f>
        <v>#REF!</v>
      </c>
      <c r="I139" s="3"/>
      <c r="J139" s="3"/>
      <c r="K139" s="3"/>
      <c r="L139" s="2" t="e">
        <f>IF(ISBLANK('Master Submitted DPDs'!#REF!),"",'Master Submitted DPDs'!#REF!)</f>
        <v>#REF!</v>
      </c>
      <c r="M139" s="2" t="e">
        <f t="shared" si="4"/>
        <v>#REF!</v>
      </c>
      <c r="N139" s="2" t="e">
        <f>IF(ISBLANK('Master Submitted DPDs'!#REF!),IF(ISBLANK('Master Submitted DPDs'!#REF!),"",'Master Submitted DPDs'!#REF!),'Master Submitted DPDs'!#REF!)</f>
        <v>#REF!</v>
      </c>
      <c r="O139" s="2" t="e">
        <f>IF(ISBLANK('Master Submitted DPDs'!#REF!),"",'Master Submitted DPDs'!#REF!)</f>
        <v>#REF!</v>
      </c>
      <c r="P139" s="2" t="e">
        <f>IF(ISBLANK('Master Submitted DPDs'!#REF!),"",'Master Submitted DPDs'!#REF!)</f>
        <v>#REF!</v>
      </c>
      <c r="Q139" t="e">
        <f>IF(ISBLANK('Master Submitted DPDs'!#REF!),"",'Master Submitted DPDs'!#REF!)</f>
        <v>#REF!</v>
      </c>
      <c r="R139" t="e">
        <f t="shared" si="5"/>
        <v>#REF!</v>
      </c>
      <c r="S139" s="3"/>
      <c r="T139" t="e">
        <f>IF(ISBLANK('Master Submitted DPDs'!#REF!),"",'Master Submitted DPDs'!#REF!)</f>
        <v>#REF!</v>
      </c>
    </row>
    <row r="140" spans="1:20" ht="15" x14ac:dyDescent="0.2">
      <c r="A140" s="3" t="str">
        <f>IF(ISBLANK('Master Submitted DPDs'!#REF!),"","Local Plans")</f>
        <v>Local Plans</v>
      </c>
      <c r="B140" t="e">
        <f>IF(ISBLANK('Master Submitted DPDs'!#REF!),"",'Master Submitted DPDs'!#REF!)</f>
        <v>#REF!</v>
      </c>
      <c r="C140" s="3" t="str">
        <f>IF(ISBLANK('Master Submitted DPDs'!#REF!),"","IH")</f>
        <v>IH</v>
      </c>
      <c r="D140" s="3" t="e">
        <f>LOOKUP($F140,'fuzzy LPA lookup'!$E:$E,'fuzzy LPA lookup'!$A:$A)</f>
        <v>#REF!</v>
      </c>
      <c r="E140" s="3" t="e">
        <f>LOOKUP($F140,'fuzzy LPA lookup'!$E:$E,'fuzzy LPA lookup'!$D:$D)</f>
        <v>#REF!</v>
      </c>
      <c r="F140" s="8" t="e">
        <f>IF(ISBLANK('Master Submitted DPDs'!#REF!),"",'Master Submitted DPDs'!#REF!)</f>
        <v>#REF!</v>
      </c>
      <c r="G140" t="str">
        <f>IF(ISBLANK('Master Submitted DPDs'!#REF!),"","Withdrawn")</f>
        <v>Withdrawn</v>
      </c>
      <c r="H140" s="2" t="e">
        <f>IF(ISBLANK('Master Submitted DPDs'!#REF!),"",'Master Submitted DPDs'!#REF!)</f>
        <v>#REF!</v>
      </c>
      <c r="I140" s="3"/>
      <c r="J140" s="3"/>
      <c r="K140" s="3"/>
      <c r="L140" s="2" t="e">
        <f>IF(ISBLANK('Master Submitted DPDs'!#REF!),"",'Master Submitted DPDs'!#REF!)</f>
        <v>#REF!</v>
      </c>
      <c r="M140" s="2" t="e">
        <f t="shared" si="4"/>
        <v>#REF!</v>
      </c>
      <c r="N140" s="2" t="e">
        <f>IF(ISBLANK('Master Submitted DPDs'!#REF!),IF(ISBLANK('Master Submitted DPDs'!#REF!),"",'Master Submitted DPDs'!#REF!),'Master Submitted DPDs'!#REF!)</f>
        <v>#REF!</v>
      </c>
      <c r="O140" s="2" t="e">
        <f>IF(ISBLANK('Master Submitted DPDs'!#REF!),"",'Master Submitted DPDs'!#REF!)</f>
        <v>#REF!</v>
      </c>
      <c r="P140" s="2" t="e">
        <f>IF(ISBLANK('Master Submitted DPDs'!#REF!),"",'Master Submitted DPDs'!#REF!)</f>
        <v>#REF!</v>
      </c>
      <c r="Q140" t="e">
        <f>IF(ISBLANK('Master Submitted DPDs'!#REF!),"",'Master Submitted DPDs'!#REF!)</f>
        <v>#REF!</v>
      </c>
      <c r="R140" t="e">
        <f t="shared" si="5"/>
        <v>#REF!</v>
      </c>
      <c r="S140" s="3"/>
      <c r="T140" t="e">
        <f>IF(ISBLANK('Master Submitted DPDs'!#REF!),"",'Master Submitted DPDs'!#REF!)</f>
        <v>#REF!</v>
      </c>
    </row>
    <row r="141" spans="1:20" ht="15" x14ac:dyDescent="0.2">
      <c r="A141" s="3" t="str">
        <f>IF(ISBLANK('Master Submitted DPDs'!#REF!),"","Local Plans")</f>
        <v>Local Plans</v>
      </c>
      <c r="B141" t="e">
        <f>IF(ISBLANK('Master Submitted DPDs'!#REF!),"",'Master Submitted DPDs'!#REF!)</f>
        <v>#REF!</v>
      </c>
      <c r="C141" s="3" t="str">
        <f>IF(ISBLANK('Master Submitted DPDs'!#REF!),"","IH")</f>
        <v>IH</v>
      </c>
      <c r="D141" s="3" t="e">
        <f>LOOKUP($F141,'fuzzy LPA lookup'!$E:$E,'fuzzy LPA lookup'!$A:$A)</f>
        <v>#REF!</v>
      </c>
      <c r="E141" s="3" t="e">
        <f>LOOKUP($F141,'fuzzy LPA lookup'!$E:$E,'fuzzy LPA lookup'!$D:$D)</f>
        <v>#REF!</v>
      </c>
      <c r="F141" s="8" t="e">
        <f>IF(ISBLANK('Master Submitted DPDs'!#REF!),"",'Master Submitted DPDs'!#REF!)</f>
        <v>#REF!</v>
      </c>
      <c r="G141" t="str">
        <f>IF(ISBLANK('Master Submitted DPDs'!#REF!),"","Withdrawn")</f>
        <v>Withdrawn</v>
      </c>
      <c r="H141" s="2" t="e">
        <f>IF(ISBLANK('Master Submitted DPDs'!#REF!),"",'Master Submitted DPDs'!#REF!)</f>
        <v>#REF!</v>
      </c>
      <c r="I141" s="3"/>
      <c r="J141" s="3"/>
      <c r="K141" s="3"/>
      <c r="L141" s="2" t="e">
        <f>IF(ISBLANK('Master Submitted DPDs'!#REF!),"",'Master Submitted DPDs'!#REF!)</f>
        <v>#REF!</v>
      </c>
      <c r="M141" s="2" t="e">
        <f t="shared" si="4"/>
        <v>#REF!</v>
      </c>
      <c r="N141" s="2" t="e">
        <f>IF(ISBLANK('Master Submitted DPDs'!#REF!),IF(ISBLANK('Master Submitted DPDs'!#REF!),"",'Master Submitted DPDs'!#REF!),'Master Submitted DPDs'!#REF!)</f>
        <v>#REF!</v>
      </c>
      <c r="O141" s="2" t="e">
        <f>IF(ISBLANK('Master Submitted DPDs'!#REF!),"",'Master Submitted DPDs'!#REF!)</f>
        <v>#REF!</v>
      </c>
      <c r="P141" s="2" t="e">
        <f>IF(ISBLANK('Master Submitted DPDs'!#REF!),"",'Master Submitted DPDs'!#REF!)</f>
        <v>#REF!</v>
      </c>
      <c r="Q141" t="e">
        <f>IF(ISBLANK('Master Submitted DPDs'!#REF!),"",'Master Submitted DPDs'!#REF!)</f>
        <v>#REF!</v>
      </c>
      <c r="R141" t="e">
        <f t="shared" si="5"/>
        <v>#REF!</v>
      </c>
      <c r="S141" s="3"/>
      <c r="T141" t="e">
        <f>IF(ISBLANK('Master Submitted DPDs'!#REF!),"",'Master Submitted DPDs'!#REF!)</f>
        <v>#REF!</v>
      </c>
    </row>
    <row r="142" spans="1:20" ht="15" x14ac:dyDescent="0.2">
      <c r="A142" s="3" t="str">
        <f>IF(ISBLANK('Master Submitted DPDs'!#REF!),"","Local Plans")</f>
        <v>Local Plans</v>
      </c>
      <c r="B142" t="e">
        <f>IF(ISBLANK('Master Submitted DPDs'!#REF!),"",'Master Submitted DPDs'!#REF!)</f>
        <v>#REF!</v>
      </c>
      <c r="C142" s="3" t="str">
        <f>IF(ISBLANK('Master Submitted DPDs'!#REF!),"","IH")</f>
        <v>IH</v>
      </c>
      <c r="D142" s="3" t="e">
        <f>LOOKUP($F142,'fuzzy LPA lookup'!$E:$E,'fuzzy LPA lookup'!$A:$A)</f>
        <v>#REF!</v>
      </c>
      <c r="E142" s="3" t="e">
        <f>LOOKUP($F142,'fuzzy LPA lookup'!$E:$E,'fuzzy LPA lookup'!$D:$D)</f>
        <v>#REF!</v>
      </c>
      <c r="F142" s="8" t="e">
        <f>IF(ISBLANK('Master Submitted DPDs'!#REF!),"",'Master Submitted DPDs'!#REF!)</f>
        <v>#REF!</v>
      </c>
      <c r="G142" t="str">
        <f>IF(ISBLANK('Master Submitted DPDs'!#REF!),"","Withdrawn")</f>
        <v>Withdrawn</v>
      </c>
      <c r="H142" s="2" t="e">
        <f>IF(ISBLANK('Master Submitted DPDs'!#REF!),"",'Master Submitted DPDs'!#REF!)</f>
        <v>#REF!</v>
      </c>
      <c r="I142" s="3"/>
      <c r="J142" s="3"/>
      <c r="K142" s="3"/>
      <c r="L142" s="2" t="e">
        <f>IF(ISBLANK('Master Submitted DPDs'!#REF!),"",'Master Submitted DPDs'!#REF!)</f>
        <v>#REF!</v>
      </c>
      <c r="M142" s="2" t="e">
        <f t="shared" si="4"/>
        <v>#REF!</v>
      </c>
      <c r="N142" s="2" t="e">
        <f>IF(ISBLANK('Master Submitted DPDs'!#REF!),IF(ISBLANK('Master Submitted DPDs'!#REF!),"",'Master Submitted DPDs'!#REF!),'Master Submitted DPDs'!#REF!)</f>
        <v>#REF!</v>
      </c>
      <c r="O142" s="2" t="e">
        <f>IF(ISBLANK('Master Submitted DPDs'!#REF!),"",'Master Submitted DPDs'!#REF!)</f>
        <v>#REF!</v>
      </c>
      <c r="P142" s="2" t="e">
        <f>IF(ISBLANK('Master Submitted DPDs'!#REF!),"",'Master Submitted DPDs'!#REF!)</f>
        <v>#REF!</v>
      </c>
      <c r="Q142" t="e">
        <f>IF(ISBLANK('Master Submitted DPDs'!#REF!),"",'Master Submitted DPDs'!#REF!)</f>
        <v>#REF!</v>
      </c>
      <c r="R142" t="e">
        <f t="shared" si="5"/>
        <v>#REF!</v>
      </c>
      <c r="S142" s="3"/>
      <c r="T142" t="e">
        <f>IF(ISBLANK('Master Submitted DPDs'!#REF!),"",'Master Submitted DPDs'!#REF!)</f>
        <v>#REF!</v>
      </c>
    </row>
    <row r="143" spans="1:20" ht="15" x14ac:dyDescent="0.2">
      <c r="A143" s="3" t="str">
        <f>IF(ISBLANK('Master Submitted DPDs'!#REF!),"","Local Plans")</f>
        <v>Local Plans</v>
      </c>
      <c r="B143" t="e">
        <f>IF(ISBLANK('Master Submitted DPDs'!#REF!),"",'Master Submitted DPDs'!#REF!)</f>
        <v>#REF!</v>
      </c>
      <c r="C143" s="3" t="str">
        <f>IF(ISBLANK('Master Submitted DPDs'!#REF!),"","IH")</f>
        <v>IH</v>
      </c>
      <c r="D143" s="3" t="e">
        <f>LOOKUP($F143,'fuzzy LPA lookup'!$E:$E,'fuzzy LPA lookup'!$A:$A)</f>
        <v>#REF!</v>
      </c>
      <c r="E143" s="3" t="e">
        <f>LOOKUP($F143,'fuzzy LPA lookup'!$E:$E,'fuzzy LPA lookup'!$D:$D)</f>
        <v>#REF!</v>
      </c>
      <c r="F143" s="8" t="e">
        <f>IF(ISBLANK('Master Submitted DPDs'!#REF!),"",'Master Submitted DPDs'!#REF!)</f>
        <v>#REF!</v>
      </c>
      <c r="G143" t="str">
        <f>IF(ISBLANK('Master Submitted DPDs'!#REF!),"","Withdrawn")</f>
        <v>Withdrawn</v>
      </c>
      <c r="H143" s="2" t="e">
        <f>IF(ISBLANK('Master Submitted DPDs'!#REF!),"",'Master Submitted DPDs'!#REF!)</f>
        <v>#REF!</v>
      </c>
      <c r="I143" s="3"/>
      <c r="J143" s="3"/>
      <c r="K143" s="3"/>
      <c r="L143" s="2" t="e">
        <f>IF(ISBLANK('Master Submitted DPDs'!#REF!),"",'Master Submitted DPDs'!#REF!)</f>
        <v>#REF!</v>
      </c>
      <c r="M143" s="2" t="e">
        <f t="shared" si="4"/>
        <v>#REF!</v>
      </c>
      <c r="N143" s="2" t="e">
        <f>IF(ISBLANK('Master Submitted DPDs'!#REF!),IF(ISBLANK('Master Submitted DPDs'!#REF!),"",'Master Submitted DPDs'!#REF!),'Master Submitted DPDs'!#REF!)</f>
        <v>#REF!</v>
      </c>
      <c r="O143" s="2" t="e">
        <f>IF(ISBLANK('Master Submitted DPDs'!#REF!),"",'Master Submitted DPDs'!#REF!)</f>
        <v>#REF!</v>
      </c>
      <c r="P143" s="2" t="e">
        <f>IF(ISBLANK('Master Submitted DPDs'!#REF!),"",'Master Submitted DPDs'!#REF!)</f>
        <v>#REF!</v>
      </c>
      <c r="Q143" t="e">
        <f>IF(ISBLANK('Master Submitted DPDs'!#REF!),"",'Master Submitted DPDs'!#REF!)</f>
        <v>#REF!</v>
      </c>
      <c r="R143" t="e">
        <f t="shared" si="5"/>
        <v>#REF!</v>
      </c>
      <c r="S143" s="3"/>
      <c r="T143" t="e">
        <f>IF(ISBLANK('Master Submitted DPDs'!#REF!),"",'Master Submitted DPDs'!#REF!)</f>
        <v>#REF!</v>
      </c>
    </row>
    <row r="144" spans="1:20" ht="15" x14ac:dyDescent="0.2">
      <c r="A144" s="3" t="str">
        <f>IF(ISBLANK('Master Submitted DPDs'!#REF!),"","Local Plans")</f>
        <v>Local Plans</v>
      </c>
      <c r="B144" t="e">
        <f>IF(ISBLANK('Master Submitted DPDs'!#REF!),"",'Master Submitted DPDs'!#REF!)</f>
        <v>#REF!</v>
      </c>
      <c r="C144" s="3" t="str">
        <f>IF(ISBLANK('Master Submitted DPDs'!#REF!),"","IH")</f>
        <v>IH</v>
      </c>
      <c r="D144" s="3" t="e">
        <f>LOOKUP($F144,'fuzzy LPA lookup'!$E:$E,'fuzzy LPA lookup'!$A:$A)</f>
        <v>#REF!</v>
      </c>
      <c r="E144" s="3" t="e">
        <f>LOOKUP($F144,'fuzzy LPA lookup'!$E:$E,'fuzzy LPA lookup'!$D:$D)</f>
        <v>#REF!</v>
      </c>
      <c r="F144" s="8" t="e">
        <f>IF(ISBLANK('Master Submitted DPDs'!#REF!),"",'Master Submitted DPDs'!#REF!)</f>
        <v>#REF!</v>
      </c>
      <c r="G144" t="str">
        <f>IF(ISBLANK('Master Submitted DPDs'!#REF!),"","Withdrawn")</f>
        <v>Withdrawn</v>
      </c>
      <c r="H144" s="2" t="e">
        <f>IF(ISBLANK('Master Submitted DPDs'!#REF!),"",'Master Submitted DPDs'!#REF!)</f>
        <v>#REF!</v>
      </c>
      <c r="I144" s="3"/>
      <c r="J144" s="3"/>
      <c r="K144" s="3"/>
      <c r="L144" s="2" t="e">
        <f>IF(ISBLANK('Master Submitted DPDs'!#REF!),"",'Master Submitted DPDs'!#REF!)</f>
        <v>#REF!</v>
      </c>
      <c r="M144" s="2" t="e">
        <f t="shared" si="4"/>
        <v>#REF!</v>
      </c>
      <c r="N144" s="2" t="e">
        <f>IF(ISBLANK('Master Submitted DPDs'!#REF!),IF(ISBLANK('Master Submitted DPDs'!#REF!),"",'Master Submitted DPDs'!#REF!),'Master Submitted DPDs'!#REF!)</f>
        <v>#REF!</v>
      </c>
      <c r="O144" s="2" t="e">
        <f>IF(ISBLANK('Master Submitted DPDs'!#REF!),"",'Master Submitted DPDs'!#REF!)</f>
        <v>#REF!</v>
      </c>
      <c r="P144" s="2" t="e">
        <f>IF(ISBLANK('Master Submitted DPDs'!#REF!),"",'Master Submitted DPDs'!#REF!)</f>
        <v>#REF!</v>
      </c>
      <c r="Q144" t="e">
        <f>IF(ISBLANK('Master Submitted DPDs'!#REF!),"",'Master Submitted DPDs'!#REF!)</f>
        <v>#REF!</v>
      </c>
      <c r="R144" t="e">
        <f t="shared" si="5"/>
        <v>#REF!</v>
      </c>
      <c r="S144" s="3"/>
      <c r="T144" t="e">
        <f>IF(ISBLANK('Master Submitted DPDs'!#REF!),"",'Master Submitted DPDs'!#REF!)</f>
        <v>#REF!</v>
      </c>
    </row>
    <row r="145" spans="1:20" ht="15" x14ac:dyDescent="0.2">
      <c r="A145" s="3" t="str">
        <f>IF(ISBLANK('Master Submitted DPDs'!#REF!),"","Local Plans")</f>
        <v>Local Plans</v>
      </c>
      <c r="B145" t="e">
        <f>IF(ISBLANK('Master Submitted DPDs'!#REF!),"",'Master Submitted DPDs'!#REF!)</f>
        <v>#REF!</v>
      </c>
      <c r="C145" s="3" t="str">
        <f>IF(ISBLANK('Master Submitted DPDs'!#REF!),"","IH")</f>
        <v>IH</v>
      </c>
      <c r="D145" s="3" t="e">
        <f>LOOKUP($F145,'fuzzy LPA lookup'!$E:$E,'fuzzy LPA lookup'!$A:$A)</f>
        <v>#REF!</v>
      </c>
      <c r="E145" s="3" t="e">
        <f>LOOKUP($F145,'fuzzy LPA lookup'!$E:$E,'fuzzy LPA lookup'!$D:$D)</f>
        <v>#REF!</v>
      </c>
      <c r="F145" s="8" t="e">
        <f>IF(ISBLANK('Master Submitted DPDs'!#REF!),"",'Master Submitted DPDs'!#REF!)</f>
        <v>#REF!</v>
      </c>
      <c r="G145" t="str">
        <f>IF(ISBLANK('Master Submitted DPDs'!#REF!),"","Withdrawn")</f>
        <v>Withdrawn</v>
      </c>
      <c r="H145" s="2" t="e">
        <f>IF(ISBLANK('Master Submitted DPDs'!#REF!),"",'Master Submitted DPDs'!#REF!)</f>
        <v>#REF!</v>
      </c>
      <c r="I145" s="3"/>
      <c r="J145" s="3"/>
      <c r="K145" s="3"/>
      <c r="L145" s="2" t="e">
        <f>IF(ISBLANK('Master Submitted DPDs'!#REF!),"",'Master Submitted DPDs'!#REF!)</f>
        <v>#REF!</v>
      </c>
      <c r="M145" s="2" t="e">
        <f t="shared" si="4"/>
        <v>#REF!</v>
      </c>
      <c r="N145" s="2" t="e">
        <f>IF(ISBLANK('Master Submitted DPDs'!#REF!),IF(ISBLANK('Master Submitted DPDs'!#REF!),"",'Master Submitted DPDs'!#REF!),'Master Submitted DPDs'!#REF!)</f>
        <v>#REF!</v>
      </c>
      <c r="O145" s="2" t="e">
        <f>IF(ISBLANK('Master Submitted DPDs'!#REF!),"",'Master Submitted DPDs'!#REF!)</f>
        <v>#REF!</v>
      </c>
      <c r="P145" s="2" t="e">
        <f>IF(ISBLANK('Master Submitted DPDs'!#REF!),"",'Master Submitted DPDs'!#REF!)</f>
        <v>#REF!</v>
      </c>
      <c r="Q145" t="e">
        <f>IF(ISBLANK('Master Submitted DPDs'!#REF!),"",'Master Submitted DPDs'!#REF!)</f>
        <v>#REF!</v>
      </c>
      <c r="R145" t="e">
        <f t="shared" si="5"/>
        <v>#REF!</v>
      </c>
      <c r="S145" s="3"/>
      <c r="T145" t="e">
        <f>IF(ISBLANK('Master Submitted DPDs'!#REF!),"",'Master Submitted DPDs'!#REF!)</f>
        <v>#REF!</v>
      </c>
    </row>
    <row r="146" spans="1:20" ht="15" x14ac:dyDescent="0.2">
      <c r="A146" s="3" t="str">
        <f>IF(ISBLANK('Master Submitted DPDs'!#REF!),"","Local Plans")</f>
        <v>Local Plans</v>
      </c>
      <c r="B146" t="e">
        <f>IF(ISBLANK('Master Submitted DPDs'!#REF!),"",'Master Submitted DPDs'!#REF!)</f>
        <v>#REF!</v>
      </c>
      <c r="C146" s="3" t="str">
        <f>IF(ISBLANK('Master Submitted DPDs'!#REF!),"","IH")</f>
        <v>IH</v>
      </c>
      <c r="D146" s="3" t="e">
        <f>LOOKUP($F146,'fuzzy LPA lookup'!$E:$E,'fuzzy LPA lookup'!$A:$A)</f>
        <v>#REF!</v>
      </c>
      <c r="E146" s="3" t="e">
        <f>LOOKUP($F146,'fuzzy LPA lookup'!$E:$E,'fuzzy LPA lookup'!$D:$D)</f>
        <v>#REF!</v>
      </c>
      <c r="F146" s="8" t="e">
        <f>IF(ISBLANK('Master Submitted DPDs'!#REF!),"",'Master Submitted DPDs'!#REF!)</f>
        <v>#REF!</v>
      </c>
      <c r="G146" t="str">
        <f>IF(ISBLANK('Master Submitted DPDs'!#REF!),"","Withdrawn")</f>
        <v>Withdrawn</v>
      </c>
      <c r="H146" s="2" t="e">
        <f>IF(ISBLANK('Master Submitted DPDs'!#REF!),"",'Master Submitted DPDs'!#REF!)</f>
        <v>#REF!</v>
      </c>
      <c r="I146" s="3"/>
      <c r="J146" s="3"/>
      <c r="K146" s="3"/>
      <c r="L146" s="2" t="e">
        <f>IF(ISBLANK('Master Submitted DPDs'!#REF!),"",'Master Submitted DPDs'!#REF!)</f>
        <v>#REF!</v>
      </c>
      <c r="M146" s="2" t="e">
        <f t="shared" si="4"/>
        <v>#REF!</v>
      </c>
      <c r="N146" s="2" t="e">
        <f>IF(ISBLANK('Master Submitted DPDs'!#REF!),IF(ISBLANK('Master Submitted DPDs'!#REF!),"",'Master Submitted DPDs'!#REF!),'Master Submitted DPDs'!#REF!)</f>
        <v>#REF!</v>
      </c>
      <c r="O146" s="2" t="e">
        <f>IF(ISBLANK('Master Submitted DPDs'!#REF!),"",'Master Submitted DPDs'!#REF!)</f>
        <v>#REF!</v>
      </c>
      <c r="P146" s="2" t="e">
        <f>IF(ISBLANK('Master Submitted DPDs'!#REF!),"",'Master Submitted DPDs'!#REF!)</f>
        <v>#REF!</v>
      </c>
      <c r="Q146" t="e">
        <f>IF(ISBLANK('Master Submitted DPDs'!#REF!),"",'Master Submitted DPDs'!#REF!)</f>
        <v>#REF!</v>
      </c>
      <c r="R146" t="e">
        <f t="shared" si="5"/>
        <v>#REF!</v>
      </c>
      <c r="S146" s="3"/>
      <c r="T146" t="e">
        <f>IF(ISBLANK('Master Submitted DPDs'!#REF!),"",'Master Submitted DPDs'!#REF!)</f>
        <v>#REF!</v>
      </c>
    </row>
    <row r="147" spans="1:20" ht="15" x14ac:dyDescent="0.2">
      <c r="A147" s="3" t="str">
        <f>IF(ISBLANK('Master Submitted DPDs'!#REF!),"","Local Plans")</f>
        <v>Local Plans</v>
      </c>
      <c r="B147" t="e">
        <f>IF(ISBLANK('Master Submitted DPDs'!#REF!),"",'Master Submitted DPDs'!#REF!)</f>
        <v>#REF!</v>
      </c>
      <c r="C147" s="3" t="str">
        <f>IF(ISBLANK('Master Submitted DPDs'!#REF!),"","IH")</f>
        <v>IH</v>
      </c>
      <c r="D147" s="3" t="e">
        <f>LOOKUP($F147,'fuzzy LPA lookup'!$E:$E,'fuzzy LPA lookup'!$A:$A)</f>
        <v>#REF!</v>
      </c>
      <c r="E147" s="3" t="e">
        <f>LOOKUP($F147,'fuzzy LPA lookup'!$E:$E,'fuzzy LPA lookup'!$D:$D)</f>
        <v>#REF!</v>
      </c>
      <c r="F147" s="8" t="e">
        <f>IF(ISBLANK('Master Submitted DPDs'!#REF!),"",'Master Submitted DPDs'!#REF!)</f>
        <v>#REF!</v>
      </c>
      <c r="G147" t="str">
        <f>IF(ISBLANK('Master Submitted DPDs'!#REF!),"","Withdrawn")</f>
        <v>Withdrawn</v>
      </c>
      <c r="H147" s="2" t="e">
        <f>IF(ISBLANK('Master Submitted DPDs'!#REF!),"",'Master Submitted DPDs'!#REF!)</f>
        <v>#REF!</v>
      </c>
      <c r="I147" s="3"/>
      <c r="J147" s="3"/>
      <c r="K147" s="3"/>
      <c r="L147" s="2" t="e">
        <f>IF(ISBLANK('Master Submitted DPDs'!#REF!),"",'Master Submitted DPDs'!#REF!)</f>
        <v>#REF!</v>
      </c>
      <c r="M147" s="2" t="e">
        <f t="shared" si="4"/>
        <v>#REF!</v>
      </c>
      <c r="N147" s="2" t="e">
        <f>IF(ISBLANK('Master Submitted DPDs'!#REF!),IF(ISBLANK('Master Submitted DPDs'!#REF!),"",'Master Submitted DPDs'!#REF!),'Master Submitted DPDs'!#REF!)</f>
        <v>#REF!</v>
      </c>
      <c r="O147" s="2" t="e">
        <f>IF(ISBLANK('Master Submitted DPDs'!#REF!),"",'Master Submitted DPDs'!#REF!)</f>
        <v>#REF!</v>
      </c>
      <c r="P147" s="2" t="e">
        <f>IF(ISBLANK('Master Submitted DPDs'!#REF!),"",'Master Submitted DPDs'!#REF!)</f>
        <v>#REF!</v>
      </c>
      <c r="Q147" t="e">
        <f>IF(ISBLANK('Master Submitted DPDs'!#REF!),"",'Master Submitted DPDs'!#REF!)</f>
        <v>#REF!</v>
      </c>
      <c r="R147" t="e">
        <f t="shared" si="5"/>
        <v>#REF!</v>
      </c>
      <c r="S147" s="3"/>
      <c r="T147" t="e">
        <f>IF(ISBLANK('Master Submitted DPDs'!#REF!),"",'Master Submitted DPDs'!#REF!)</f>
        <v>#REF!</v>
      </c>
    </row>
    <row r="148" spans="1:20" ht="15" x14ac:dyDescent="0.2">
      <c r="A148" s="3" t="str">
        <f>IF(ISBLANK('Master Submitted DPDs'!#REF!),"","Local Plans")</f>
        <v>Local Plans</v>
      </c>
      <c r="B148" t="e">
        <f>IF(ISBLANK('Master Submitted DPDs'!#REF!),"",'Master Submitted DPDs'!#REF!)</f>
        <v>#REF!</v>
      </c>
      <c r="C148" s="3" t="str">
        <f>IF(ISBLANK('Master Submitted DPDs'!#REF!),"","IH")</f>
        <v>IH</v>
      </c>
      <c r="D148" s="3" t="e">
        <f>LOOKUP($F148,'fuzzy LPA lookup'!$E:$E,'fuzzy LPA lookup'!$A:$A)</f>
        <v>#REF!</v>
      </c>
      <c r="E148" s="3" t="e">
        <f>LOOKUP($F148,'fuzzy LPA lookup'!$E:$E,'fuzzy LPA lookup'!$D:$D)</f>
        <v>#REF!</v>
      </c>
      <c r="F148" s="8" t="e">
        <f>IF(ISBLANK('Master Submitted DPDs'!#REF!),"",'Master Submitted DPDs'!#REF!)</f>
        <v>#REF!</v>
      </c>
      <c r="G148" t="str">
        <f>IF(ISBLANK('Master Submitted DPDs'!#REF!),"","Withdrawn")</f>
        <v>Withdrawn</v>
      </c>
      <c r="H148" s="2" t="e">
        <f>IF(ISBLANK('Master Submitted DPDs'!#REF!),"",'Master Submitted DPDs'!#REF!)</f>
        <v>#REF!</v>
      </c>
      <c r="I148" s="3"/>
      <c r="J148" s="3"/>
      <c r="K148" s="3"/>
      <c r="L148" s="2" t="e">
        <f>IF(ISBLANK('Master Submitted DPDs'!#REF!),"",'Master Submitted DPDs'!#REF!)</f>
        <v>#REF!</v>
      </c>
      <c r="M148" s="2" t="e">
        <f t="shared" si="4"/>
        <v>#REF!</v>
      </c>
      <c r="N148" s="2" t="e">
        <f>IF(ISBLANK('Master Submitted DPDs'!#REF!),IF(ISBLANK('Master Submitted DPDs'!#REF!),"",'Master Submitted DPDs'!#REF!),'Master Submitted DPDs'!#REF!)</f>
        <v>#REF!</v>
      </c>
      <c r="O148" s="2" t="e">
        <f>IF(ISBLANK('Master Submitted DPDs'!#REF!),"",'Master Submitted DPDs'!#REF!)</f>
        <v>#REF!</v>
      </c>
      <c r="P148" s="2" t="e">
        <f>IF(ISBLANK('Master Submitted DPDs'!#REF!),"",'Master Submitted DPDs'!#REF!)</f>
        <v>#REF!</v>
      </c>
      <c r="Q148" t="e">
        <f>IF(ISBLANK('Master Submitted DPDs'!#REF!),"",'Master Submitted DPDs'!#REF!)</f>
        <v>#REF!</v>
      </c>
      <c r="R148" t="e">
        <f t="shared" si="5"/>
        <v>#REF!</v>
      </c>
      <c r="S148" s="3"/>
      <c r="T148" t="e">
        <f>IF(ISBLANK('Master Submitted DPDs'!#REF!),"",'Master Submitted DPDs'!#REF!)</f>
        <v>#REF!</v>
      </c>
    </row>
    <row r="149" spans="1:20" ht="15" x14ac:dyDescent="0.2">
      <c r="A149" s="3" t="str">
        <f>IF(ISBLANK('Master Submitted DPDs'!#REF!),"","Local Plans")</f>
        <v>Local Plans</v>
      </c>
      <c r="B149" t="e">
        <f>IF(ISBLANK('Master Submitted DPDs'!#REF!),"",'Master Submitted DPDs'!#REF!)</f>
        <v>#REF!</v>
      </c>
      <c r="C149" s="3" t="str">
        <f>IF(ISBLANK('Master Submitted DPDs'!#REF!),"","IH")</f>
        <v>IH</v>
      </c>
      <c r="D149" s="3" t="e">
        <f>LOOKUP($F149,'fuzzy LPA lookup'!$E:$E,'fuzzy LPA lookup'!$A:$A)</f>
        <v>#REF!</v>
      </c>
      <c r="E149" s="3" t="e">
        <f>LOOKUP($F149,'fuzzy LPA lookup'!$E:$E,'fuzzy LPA lookup'!$D:$D)</f>
        <v>#REF!</v>
      </c>
      <c r="F149" s="8" t="e">
        <f>IF(ISBLANK('Master Submitted DPDs'!#REF!),"",'Master Submitted DPDs'!#REF!)</f>
        <v>#REF!</v>
      </c>
      <c r="G149" t="str">
        <f>IF(ISBLANK('Master Submitted DPDs'!#REF!),"","Withdrawn")</f>
        <v>Withdrawn</v>
      </c>
      <c r="H149" s="2" t="e">
        <f>IF(ISBLANK('Master Submitted DPDs'!#REF!),"",'Master Submitted DPDs'!#REF!)</f>
        <v>#REF!</v>
      </c>
      <c r="I149" s="3"/>
      <c r="J149" s="3"/>
      <c r="K149" s="3"/>
      <c r="L149" s="2" t="e">
        <f>IF(ISBLANK('Master Submitted DPDs'!#REF!),"",'Master Submitted DPDs'!#REF!)</f>
        <v>#REF!</v>
      </c>
      <c r="M149" s="2" t="e">
        <f t="shared" si="4"/>
        <v>#REF!</v>
      </c>
      <c r="N149" s="2" t="e">
        <f>IF(ISBLANK('Master Submitted DPDs'!#REF!),IF(ISBLANK('Master Submitted DPDs'!#REF!),"",'Master Submitted DPDs'!#REF!),'Master Submitted DPDs'!#REF!)</f>
        <v>#REF!</v>
      </c>
      <c r="O149" s="2" t="e">
        <f>IF(ISBLANK('Master Submitted DPDs'!#REF!),"",'Master Submitted DPDs'!#REF!)</f>
        <v>#REF!</v>
      </c>
      <c r="P149" s="2" t="e">
        <f>IF(ISBLANK('Master Submitted DPDs'!#REF!),"",'Master Submitted DPDs'!#REF!)</f>
        <v>#REF!</v>
      </c>
      <c r="Q149" t="e">
        <f>IF(ISBLANK('Master Submitted DPDs'!#REF!),"",'Master Submitted DPDs'!#REF!)</f>
        <v>#REF!</v>
      </c>
      <c r="R149" t="e">
        <f t="shared" si="5"/>
        <v>#REF!</v>
      </c>
      <c r="S149" s="3"/>
      <c r="T149" t="e">
        <f>IF(ISBLANK('Master Submitted DPDs'!#REF!),"",'Master Submitted DPDs'!#REF!)</f>
        <v>#REF!</v>
      </c>
    </row>
    <row r="150" spans="1:20" ht="15" x14ac:dyDescent="0.2">
      <c r="A150" s="3" t="str">
        <f>IF(ISBLANK('Master Submitted DPDs'!#REF!),"","Local Plans")</f>
        <v>Local Plans</v>
      </c>
      <c r="B150" t="e">
        <f>IF(ISBLANK('Master Submitted DPDs'!#REF!),"",'Master Submitted DPDs'!#REF!)</f>
        <v>#REF!</v>
      </c>
      <c r="C150" s="3" t="str">
        <f>IF(ISBLANK('Master Submitted DPDs'!#REF!),"","IH")</f>
        <v>IH</v>
      </c>
      <c r="D150" s="3" t="e">
        <f>LOOKUP($F150,'fuzzy LPA lookup'!$E:$E,'fuzzy LPA lookup'!$A:$A)</f>
        <v>#REF!</v>
      </c>
      <c r="E150" s="3" t="e">
        <f>LOOKUP($F150,'fuzzy LPA lookup'!$E:$E,'fuzzy LPA lookup'!$D:$D)</f>
        <v>#REF!</v>
      </c>
      <c r="F150" s="8" t="e">
        <f>IF(ISBLANK('Master Submitted DPDs'!#REF!),"",'Master Submitted DPDs'!#REF!)</f>
        <v>#REF!</v>
      </c>
      <c r="G150" t="str">
        <f>IF(ISBLANK('Master Submitted DPDs'!#REF!),"","Withdrawn")</f>
        <v>Withdrawn</v>
      </c>
      <c r="H150" s="2" t="e">
        <f>IF(ISBLANK('Master Submitted DPDs'!#REF!),"",'Master Submitted DPDs'!#REF!)</f>
        <v>#REF!</v>
      </c>
      <c r="I150" s="3"/>
      <c r="J150" s="3"/>
      <c r="K150" s="3"/>
      <c r="L150" s="2" t="e">
        <f>IF(ISBLANK('Master Submitted DPDs'!#REF!),"",'Master Submitted DPDs'!#REF!)</f>
        <v>#REF!</v>
      </c>
      <c r="M150" s="2" t="e">
        <f t="shared" si="4"/>
        <v>#REF!</v>
      </c>
      <c r="N150" s="2" t="e">
        <f>IF(ISBLANK('Master Submitted DPDs'!#REF!),IF(ISBLANK('Master Submitted DPDs'!#REF!),"",'Master Submitted DPDs'!#REF!),'Master Submitted DPDs'!#REF!)</f>
        <v>#REF!</v>
      </c>
      <c r="O150" s="2" t="e">
        <f>IF(ISBLANK('Master Submitted DPDs'!#REF!),"",'Master Submitted DPDs'!#REF!)</f>
        <v>#REF!</v>
      </c>
      <c r="P150" s="2" t="e">
        <f>IF(ISBLANK('Master Submitted DPDs'!#REF!),"",'Master Submitted DPDs'!#REF!)</f>
        <v>#REF!</v>
      </c>
      <c r="Q150" t="e">
        <f>IF(ISBLANK('Master Submitted DPDs'!#REF!),"",'Master Submitted DPDs'!#REF!)</f>
        <v>#REF!</v>
      </c>
      <c r="R150" t="e">
        <f t="shared" si="5"/>
        <v>#REF!</v>
      </c>
      <c r="S150" s="3"/>
      <c r="T150" t="e">
        <f>IF(ISBLANK('Master Submitted DPDs'!#REF!),"",'Master Submitted DPDs'!#REF!)</f>
        <v>#REF!</v>
      </c>
    </row>
    <row r="151" spans="1:20" ht="15" x14ac:dyDescent="0.2">
      <c r="A151" s="3" t="str">
        <f>IF(ISBLANK('Master Submitted DPDs'!#REF!),"","Local Plans")</f>
        <v>Local Plans</v>
      </c>
      <c r="B151" t="e">
        <f>IF(ISBLANK('Master Submitted DPDs'!#REF!),"",'Master Submitted DPDs'!#REF!)</f>
        <v>#REF!</v>
      </c>
      <c r="C151" s="3" t="str">
        <f>IF(ISBLANK('Master Submitted DPDs'!#REF!),"","IH")</f>
        <v>IH</v>
      </c>
      <c r="D151" s="3" t="e">
        <f>LOOKUP($F151,'fuzzy LPA lookup'!$E:$E,'fuzzy LPA lookup'!$A:$A)</f>
        <v>#REF!</v>
      </c>
      <c r="E151" s="3" t="e">
        <f>LOOKUP($F151,'fuzzy LPA lookup'!$E:$E,'fuzzy LPA lookup'!$D:$D)</f>
        <v>#REF!</v>
      </c>
      <c r="F151" s="8" t="e">
        <f>IF(ISBLANK('Master Submitted DPDs'!#REF!),"",'Master Submitted DPDs'!#REF!)</f>
        <v>#REF!</v>
      </c>
      <c r="G151" t="str">
        <f>IF(ISBLANK('Master Submitted DPDs'!#REF!),"","Withdrawn")</f>
        <v>Withdrawn</v>
      </c>
      <c r="H151" s="2" t="e">
        <f>IF(ISBLANK('Master Submitted DPDs'!#REF!),"",'Master Submitted DPDs'!#REF!)</f>
        <v>#REF!</v>
      </c>
      <c r="I151" s="3"/>
      <c r="J151" s="3"/>
      <c r="K151" s="3"/>
      <c r="L151" s="2" t="e">
        <f>IF(ISBLANK('Master Submitted DPDs'!#REF!),"",'Master Submitted DPDs'!#REF!)</f>
        <v>#REF!</v>
      </c>
      <c r="M151" s="2" t="e">
        <f t="shared" si="4"/>
        <v>#REF!</v>
      </c>
      <c r="N151" s="2" t="e">
        <f>IF(ISBLANK('Master Submitted DPDs'!#REF!),IF(ISBLANK('Master Submitted DPDs'!#REF!),"",'Master Submitted DPDs'!#REF!),'Master Submitted DPDs'!#REF!)</f>
        <v>#REF!</v>
      </c>
      <c r="O151" s="2" t="e">
        <f>IF(ISBLANK('Master Submitted DPDs'!#REF!),"",'Master Submitted DPDs'!#REF!)</f>
        <v>#REF!</v>
      </c>
      <c r="P151" s="2" t="e">
        <f>IF(ISBLANK('Master Submitted DPDs'!#REF!),"",'Master Submitted DPDs'!#REF!)</f>
        <v>#REF!</v>
      </c>
      <c r="Q151" t="e">
        <f>IF(ISBLANK('Master Submitted DPDs'!#REF!),"",'Master Submitted DPDs'!#REF!)</f>
        <v>#REF!</v>
      </c>
      <c r="R151" t="e">
        <f t="shared" si="5"/>
        <v>#REF!</v>
      </c>
      <c r="S151" s="3"/>
      <c r="T151" t="e">
        <f>IF(ISBLANK('Master Submitted DPDs'!#REF!),"",'Master Submitted DPDs'!#REF!)</f>
        <v>#REF!</v>
      </c>
    </row>
    <row r="152" spans="1:20" ht="15" x14ac:dyDescent="0.2">
      <c r="A152" s="3" t="str">
        <f>IF(ISBLANK('Master Submitted DPDs'!#REF!),"","Local Plans")</f>
        <v>Local Plans</v>
      </c>
      <c r="B152" t="e">
        <f>IF(ISBLANK('Master Submitted DPDs'!#REF!),"",'Master Submitted DPDs'!#REF!)</f>
        <v>#REF!</v>
      </c>
      <c r="C152" s="3" t="str">
        <f>IF(ISBLANK('Master Submitted DPDs'!#REF!),"","IH")</f>
        <v>IH</v>
      </c>
      <c r="D152" s="3" t="e">
        <f>LOOKUP($F152,'fuzzy LPA lookup'!$E:$E,'fuzzy LPA lookup'!$A:$A)</f>
        <v>#REF!</v>
      </c>
      <c r="E152" s="3" t="e">
        <f>LOOKUP($F152,'fuzzy LPA lookup'!$E:$E,'fuzzy LPA lookup'!$D:$D)</f>
        <v>#REF!</v>
      </c>
      <c r="F152" s="8" t="e">
        <f>IF(ISBLANK('Master Submitted DPDs'!#REF!),"",'Master Submitted DPDs'!#REF!)</f>
        <v>#REF!</v>
      </c>
      <c r="G152" t="str">
        <f>IF(ISBLANK('Master Submitted DPDs'!#REF!),"","Withdrawn")</f>
        <v>Withdrawn</v>
      </c>
      <c r="H152" s="2" t="e">
        <f>IF(ISBLANK('Master Submitted DPDs'!#REF!),"",'Master Submitted DPDs'!#REF!)</f>
        <v>#REF!</v>
      </c>
      <c r="I152" s="3"/>
      <c r="J152" s="3"/>
      <c r="K152" s="3"/>
      <c r="L152" s="2" t="e">
        <f>IF(ISBLANK('Master Submitted DPDs'!#REF!),"",'Master Submitted DPDs'!#REF!)</f>
        <v>#REF!</v>
      </c>
      <c r="M152" s="2" t="e">
        <f t="shared" si="4"/>
        <v>#REF!</v>
      </c>
      <c r="N152" s="2" t="e">
        <f>IF(ISBLANK('Master Submitted DPDs'!#REF!),IF(ISBLANK('Master Submitted DPDs'!#REF!),"",'Master Submitted DPDs'!#REF!),'Master Submitted DPDs'!#REF!)</f>
        <v>#REF!</v>
      </c>
      <c r="O152" s="2" t="e">
        <f>IF(ISBLANK('Master Submitted DPDs'!#REF!),"",'Master Submitted DPDs'!#REF!)</f>
        <v>#REF!</v>
      </c>
      <c r="P152" s="2" t="e">
        <f>IF(ISBLANK('Master Submitted DPDs'!#REF!),"",'Master Submitted DPDs'!#REF!)</f>
        <v>#REF!</v>
      </c>
      <c r="Q152" t="e">
        <f>IF(ISBLANK('Master Submitted DPDs'!#REF!),"",'Master Submitted DPDs'!#REF!)</f>
        <v>#REF!</v>
      </c>
      <c r="R152" t="e">
        <f t="shared" si="5"/>
        <v>#REF!</v>
      </c>
      <c r="S152" s="3"/>
      <c r="T152" t="e">
        <f>IF(ISBLANK('Master Submitted DPDs'!#REF!),"",'Master Submitted DPDs'!#REF!)</f>
        <v>#REF!</v>
      </c>
    </row>
    <row r="153" spans="1:20" ht="15" x14ac:dyDescent="0.2">
      <c r="A153" s="3" t="str">
        <f>IF(ISBLANK('Master Submitted DPDs'!#REF!),"","Local Plans")</f>
        <v>Local Plans</v>
      </c>
      <c r="B153" t="e">
        <f>IF(ISBLANK('Master Submitted DPDs'!#REF!),"",'Master Submitted DPDs'!#REF!)</f>
        <v>#REF!</v>
      </c>
      <c r="C153" s="3" t="str">
        <f>IF(ISBLANK('Master Submitted DPDs'!#REF!),"","IH")</f>
        <v>IH</v>
      </c>
      <c r="D153" s="3" t="e">
        <f>LOOKUP($F153,'fuzzy LPA lookup'!$E:$E,'fuzzy LPA lookup'!$A:$A)</f>
        <v>#REF!</v>
      </c>
      <c r="E153" s="3" t="e">
        <f>LOOKUP($F153,'fuzzy LPA lookup'!$E:$E,'fuzzy LPA lookup'!$D:$D)</f>
        <v>#REF!</v>
      </c>
      <c r="F153" s="8" t="e">
        <f>IF(ISBLANK('Master Submitted DPDs'!#REF!),"",'Master Submitted DPDs'!#REF!)</f>
        <v>#REF!</v>
      </c>
      <c r="G153" t="str">
        <f>IF(ISBLANK('Master Submitted DPDs'!#REF!),"","Withdrawn")</f>
        <v>Withdrawn</v>
      </c>
      <c r="H153" s="2" t="e">
        <f>IF(ISBLANK('Master Submitted DPDs'!#REF!),"",'Master Submitted DPDs'!#REF!)</f>
        <v>#REF!</v>
      </c>
      <c r="I153" s="3"/>
      <c r="J153" s="3"/>
      <c r="K153" s="3"/>
      <c r="L153" s="2" t="e">
        <f>IF(ISBLANK('Master Submitted DPDs'!#REF!),"",'Master Submitted DPDs'!#REF!)</f>
        <v>#REF!</v>
      </c>
      <c r="M153" s="2" t="e">
        <f t="shared" si="4"/>
        <v>#REF!</v>
      </c>
      <c r="N153" s="2" t="e">
        <f>IF(ISBLANK('Master Submitted DPDs'!#REF!),IF(ISBLANK('Master Submitted DPDs'!#REF!),"",'Master Submitted DPDs'!#REF!),'Master Submitted DPDs'!#REF!)</f>
        <v>#REF!</v>
      </c>
      <c r="O153" s="2" t="e">
        <f>IF(ISBLANK('Master Submitted DPDs'!#REF!),"",'Master Submitted DPDs'!#REF!)</f>
        <v>#REF!</v>
      </c>
      <c r="P153" s="2" t="e">
        <f>IF(ISBLANK('Master Submitted DPDs'!#REF!),"",'Master Submitted DPDs'!#REF!)</f>
        <v>#REF!</v>
      </c>
      <c r="Q153" t="e">
        <f>IF(ISBLANK('Master Submitted DPDs'!#REF!),"",'Master Submitted DPDs'!#REF!)</f>
        <v>#REF!</v>
      </c>
      <c r="R153" t="e">
        <f t="shared" si="5"/>
        <v>#REF!</v>
      </c>
      <c r="S153" s="3"/>
      <c r="T153" t="e">
        <f>IF(ISBLANK('Master Submitted DPDs'!#REF!),"",'Master Submitted DPDs'!#REF!)</f>
        <v>#REF!</v>
      </c>
    </row>
    <row r="154" spans="1:20" ht="15" x14ac:dyDescent="0.2">
      <c r="A154" s="3" t="str">
        <f>IF(ISBLANK('Master Submitted DPDs'!#REF!),"","Local Plans")</f>
        <v>Local Plans</v>
      </c>
      <c r="B154" t="e">
        <f>IF(ISBLANK('Master Submitted DPDs'!#REF!),"",'Master Submitted DPDs'!#REF!)</f>
        <v>#REF!</v>
      </c>
      <c r="C154" s="3" t="str">
        <f>IF(ISBLANK('Master Submitted DPDs'!#REF!),"","IH")</f>
        <v>IH</v>
      </c>
      <c r="D154" s="3" t="e">
        <f>LOOKUP($F154,'fuzzy LPA lookup'!$E:$E,'fuzzy LPA lookup'!$A:$A)</f>
        <v>#REF!</v>
      </c>
      <c r="E154" s="3" t="e">
        <f>LOOKUP($F154,'fuzzy LPA lookup'!$E:$E,'fuzzy LPA lookup'!$D:$D)</f>
        <v>#REF!</v>
      </c>
      <c r="F154" s="8" t="e">
        <f>IF(ISBLANK('Master Submitted DPDs'!#REF!),"",'Master Submitted DPDs'!#REF!)</f>
        <v>#REF!</v>
      </c>
      <c r="G154" t="str">
        <f>IF(ISBLANK('Master Submitted DPDs'!#REF!),"","Withdrawn")</f>
        <v>Withdrawn</v>
      </c>
      <c r="H154" s="2" t="e">
        <f>IF(ISBLANK('Master Submitted DPDs'!#REF!),"",'Master Submitted DPDs'!#REF!)</f>
        <v>#REF!</v>
      </c>
      <c r="I154" s="3"/>
      <c r="J154" s="3"/>
      <c r="K154" s="3"/>
      <c r="L154" s="2" t="e">
        <f>IF(ISBLANK('Master Submitted DPDs'!#REF!),"",'Master Submitted DPDs'!#REF!)</f>
        <v>#REF!</v>
      </c>
      <c r="M154" s="2" t="e">
        <f t="shared" si="4"/>
        <v>#REF!</v>
      </c>
      <c r="N154" s="2" t="e">
        <f>IF(ISBLANK('Master Submitted DPDs'!#REF!),IF(ISBLANK('Master Submitted DPDs'!#REF!),"",'Master Submitted DPDs'!#REF!),'Master Submitted DPDs'!#REF!)</f>
        <v>#REF!</v>
      </c>
      <c r="O154" s="2" t="e">
        <f>IF(ISBLANK('Master Submitted DPDs'!#REF!),"",'Master Submitted DPDs'!#REF!)</f>
        <v>#REF!</v>
      </c>
      <c r="P154" s="2" t="e">
        <f>IF(ISBLANK('Master Submitted DPDs'!#REF!),"",'Master Submitted DPDs'!#REF!)</f>
        <v>#REF!</v>
      </c>
      <c r="Q154" t="e">
        <f>IF(ISBLANK('Master Submitted DPDs'!#REF!),"",'Master Submitted DPDs'!#REF!)</f>
        <v>#REF!</v>
      </c>
      <c r="R154" t="e">
        <f t="shared" si="5"/>
        <v>#REF!</v>
      </c>
      <c r="S154" s="3"/>
      <c r="T154" t="e">
        <f>IF(ISBLANK('Master Submitted DPDs'!#REF!),"",'Master Submitted DPDs'!#REF!)</f>
        <v>#REF!</v>
      </c>
    </row>
    <row r="155" spans="1:20" ht="15" x14ac:dyDescent="0.2">
      <c r="A155" s="3" t="str">
        <f>IF(ISBLANK('Master Submitted DPDs'!#REF!),"","Local Plans")</f>
        <v>Local Plans</v>
      </c>
      <c r="B155" t="e">
        <f>IF(ISBLANK('Master Submitted DPDs'!#REF!),"",'Master Submitted DPDs'!#REF!)</f>
        <v>#REF!</v>
      </c>
      <c r="C155" s="3" t="str">
        <f>IF(ISBLANK('Master Submitted DPDs'!#REF!),"","IH")</f>
        <v>IH</v>
      </c>
      <c r="D155" s="3" t="e">
        <f>LOOKUP($F155,'fuzzy LPA lookup'!$E:$E,'fuzzy LPA lookup'!$A:$A)</f>
        <v>#REF!</v>
      </c>
      <c r="E155" s="3" t="e">
        <f>LOOKUP($F155,'fuzzy LPA lookup'!$E:$E,'fuzzy LPA lookup'!$D:$D)</f>
        <v>#REF!</v>
      </c>
      <c r="F155" s="8" t="e">
        <f>IF(ISBLANK('Master Submitted DPDs'!#REF!),"",'Master Submitted DPDs'!#REF!)</f>
        <v>#REF!</v>
      </c>
      <c r="G155" t="str">
        <f>IF(ISBLANK('Master Submitted DPDs'!#REF!),"","Withdrawn")</f>
        <v>Withdrawn</v>
      </c>
      <c r="H155" s="2" t="e">
        <f>IF(ISBLANK('Master Submitted DPDs'!#REF!),"",'Master Submitted DPDs'!#REF!)</f>
        <v>#REF!</v>
      </c>
      <c r="I155" s="3"/>
      <c r="J155" s="3"/>
      <c r="K155" s="3"/>
      <c r="L155" s="2" t="e">
        <f>IF(ISBLANK('Master Submitted DPDs'!#REF!),"",'Master Submitted DPDs'!#REF!)</f>
        <v>#REF!</v>
      </c>
      <c r="M155" s="2" t="e">
        <f t="shared" si="4"/>
        <v>#REF!</v>
      </c>
      <c r="N155" s="2" t="e">
        <f>IF(ISBLANK('Master Submitted DPDs'!#REF!),IF(ISBLANK('Master Submitted DPDs'!#REF!),"",'Master Submitted DPDs'!#REF!),'Master Submitted DPDs'!#REF!)</f>
        <v>#REF!</v>
      </c>
      <c r="O155" s="2" t="e">
        <f>IF(ISBLANK('Master Submitted DPDs'!#REF!),"",'Master Submitted DPDs'!#REF!)</f>
        <v>#REF!</v>
      </c>
      <c r="P155" s="2" t="e">
        <f>IF(ISBLANK('Master Submitted DPDs'!#REF!),"",'Master Submitted DPDs'!#REF!)</f>
        <v>#REF!</v>
      </c>
      <c r="Q155" t="e">
        <f>IF(ISBLANK('Master Submitted DPDs'!#REF!),"",'Master Submitted DPDs'!#REF!)</f>
        <v>#REF!</v>
      </c>
      <c r="R155" t="e">
        <f t="shared" si="5"/>
        <v>#REF!</v>
      </c>
      <c r="S155" s="3"/>
      <c r="T155" t="e">
        <f>IF(ISBLANK('Master Submitted DPDs'!#REF!),"",'Master Submitted DPDs'!#REF!)</f>
        <v>#REF!</v>
      </c>
    </row>
    <row r="156" spans="1:20" ht="15" x14ac:dyDescent="0.2">
      <c r="A156" s="3" t="str">
        <f>IF(ISBLANK('Master Submitted DPDs'!#REF!),"","Local Plans")</f>
        <v>Local Plans</v>
      </c>
      <c r="B156" t="e">
        <f>IF(ISBLANK('Master Submitted DPDs'!#REF!),"",'Master Submitted DPDs'!#REF!)</f>
        <v>#REF!</v>
      </c>
      <c r="C156" s="3" t="str">
        <f>IF(ISBLANK('Master Submitted DPDs'!#REF!),"","IH")</f>
        <v>IH</v>
      </c>
      <c r="D156" s="3" t="e">
        <f>LOOKUP($F156,'fuzzy LPA lookup'!$E:$E,'fuzzy LPA lookup'!$A:$A)</f>
        <v>#REF!</v>
      </c>
      <c r="E156" s="3" t="e">
        <f>LOOKUP($F156,'fuzzy LPA lookup'!$E:$E,'fuzzy LPA lookup'!$D:$D)</f>
        <v>#REF!</v>
      </c>
      <c r="F156" s="8" t="e">
        <f>IF(ISBLANK('Master Submitted DPDs'!#REF!),"",'Master Submitted DPDs'!#REF!)</f>
        <v>#REF!</v>
      </c>
      <c r="G156" t="str">
        <f>IF(ISBLANK('Master Submitted DPDs'!#REF!),"","Withdrawn")</f>
        <v>Withdrawn</v>
      </c>
      <c r="H156" s="2" t="e">
        <f>IF(ISBLANK('Master Submitted DPDs'!#REF!),"",'Master Submitted DPDs'!#REF!)</f>
        <v>#REF!</v>
      </c>
      <c r="I156" s="3"/>
      <c r="J156" s="3"/>
      <c r="K156" s="3"/>
      <c r="L156" s="2" t="e">
        <f>IF(ISBLANK('Master Submitted DPDs'!#REF!),"",'Master Submitted DPDs'!#REF!)</f>
        <v>#REF!</v>
      </c>
      <c r="M156" s="2" t="e">
        <f t="shared" si="4"/>
        <v>#REF!</v>
      </c>
      <c r="N156" s="2" t="e">
        <f>IF(ISBLANK('Master Submitted DPDs'!#REF!),IF(ISBLANK('Master Submitted DPDs'!#REF!),"",'Master Submitted DPDs'!#REF!),'Master Submitted DPDs'!#REF!)</f>
        <v>#REF!</v>
      </c>
      <c r="O156" s="2" t="e">
        <f>IF(ISBLANK('Master Submitted DPDs'!#REF!),"",'Master Submitted DPDs'!#REF!)</f>
        <v>#REF!</v>
      </c>
      <c r="P156" s="2" t="e">
        <f>IF(ISBLANK('Master Submitted DPDs'!#REF!),"",'Master Submitted DPDs'!#REF!)</f>
        <v>#REF!</v>
      </c>
      <c r="Q156" t="e">
        <f>IF(ISBLANK('Master Submitted DPDs'!#REF!),"",'Master Submitted DPDs'!#REF!)</f>
        <v>#REF!</v>
      </c>
      <c r="R156" t="e">
        <f t="shared" si="5"/>
        <v>#REF!</v>
      </c>
      <c r="S156" s="3"/>
      <c r="T156" t="e">
        <f>IF(ISBLANK('Master Submitted DPDs'!#REF!),"",'Master Submitted DPDs'!#REF!)</f>
        <v>#REF!</v>
      </c>
    </row>
    <row r="157" spans="1:20" ht="15" x14ac:dyDescent="0.2">
      <c r="A157" s="3" t="str">
        <f>IF(ISBLANK('Master Submitted DPDs'!#REF!),"","Local Plans")</f>
        <v>Local Plans</v>
      </c>
      <c r="B157" t="e">
        <f>IF(ISBLANK('Master Submitted DPDs'!#REF!),"",'Master Submitted DPDs'!#REF!)</f>
        <v>#REF!</v>
      </c>
      <c r="C157" s="3" t="str">
        <f>IF(ISBLANK('Master Submitted DPDs'!#REF!),"","IH")</f>
        <v>IH</v>
      </c>
      <c r="D157" s="3" t="e">
        <f>LOOKUP($F157,'fuzzy LPA lookup'!$E:$E,'fuzzy LPA lookup'!$A:$A)</f>
        <v>#REF!</v>
      </c>
      <c r="E157" s="3" t="e">
        <f>LOOKUP($F157,'fuzzy LPA lookup'!$E:$E,'fuzzy LPA lookup'!$D:$D)</f>
        <v>#REF!</v>
      </c>
      <c r="F157" s="8" t="e">
        <f>IF(ISBLANK('Master Submitted DPDs'!#REF!),"",'Master Submitted DPDs'!#REF!)</f>
        <v>#REF!</v>
      </c>
      <c r="G157" t="str">
        <f>IF(ISBLANK('Master Submitted DPDs'!#REF!),"","Withdrawn")</f>
        <v>Withdrawn</v>
      </c>
      <c r="H157" s="2" t="e">
        <f>IF(ISBLANK('Master Submitted DPDs'!#REF!),"",'Master Submitted DPDs'!#REF!)</f>
        <v>#REF!</v>
      </c>
      <c r="I157" s="3"/>
      <c r="J157" s="3"/>
      <c r="K157" s="3"/>
      <c r="L157" s="2" t="e">
        <f>IF(ISBLANK('Master Submitted DPDs'!#REF!),"",'Master Submitted DPDs'!#REF!)</f>
        <v>#REF!</v>
      </c>
      <c r="M157" s="2" t="e">
        <f t="shared" si="4"/>
        <v>#REF!</v>
      </c>
      <c r="N157" s="2" t="e">
        <f>IF(ISBLANK('Master Submitted DPDs'!#REF!),IF(ISBLANK('Master Submitted DPDs'!#REF!),"",'Master Submitted DPDs'!#REF!),'Master Submitted DPDs'!#REF!)</f>
        <v>#REF!</v>
      </c>
      <c r="O157" s="2" t="e">
        <f>IF(ISBLANK('Master Submitted DPDs'!#REF!),"",'Master Submitted DPDs'!#REF!)</f>
        <v>#REF!</v>
      </c>
      <c r="P157" s="2" t="e">
        <f>IF(ISBLANK('Master Submitted DPDs'!#REF!),"",'Master Submitted DPDs'!#REF!)</f>
        <v>#REF!</v>
      </c>
      <c r="Q157" t="e">
        <f>IF(ISBLANK('Master Submitted DPDs'!#REF!),"",'Master Submitted DPDs'!#REF!)</f>
        <v>#REF!</v>
      </c>
      <c r="R157" t="e">
        <f t="shared" si="5"/>
        <v>#REF!</v>
      </c>
      <c r="S157" s="3"/>
      <c r="T157" t="e">
        <f>IF(ISBLANK('Master Submitted DPDs'!#REF!),"",'Master Submitted DPDs'!#REF!)</f>
        <v>#REF!</v>
      </c>
    </row>
    <row r="158" spans="1:20" ht="15" x14ac:dyDescent="0.2">
      <c r="A158" s="3" t="str">
        <f>IF(ISBLANK('Master Submitted DPDs'!#REF!),"","Local Plans")</f>
        <v>Local Plans</v>
      </c>
      <c r="B158" t="e">
        <f>IF(ISBLANK('Master Submitted DPDs'!#REF!),"",'Master Submitted DPDs'!#REF!)</f>
        <v>#REF!</v>
      </c>
      <c r="C158" s="3" t="str">
        <f>IF(ISBLANK('Master Submitted DPDs'!#REF!),"","IH")</f>
        <v>IH</v>
      </c>
      <c r="D158" s="3" t="e">
        <f>LOOKUP($F158,'fuzzy LPA lookup'!$E:$E,'fuzzy LPA lookup'!$A:$A)</f>
        <v>#REF!</v>
      </c>
      <c r="E158" s="3" t="e">
        <f>LOOKUP($F158,'fuzzy LPA lookup'!$E:$E,'fuzzy LPA lookup'!$D:$D)</f>
        <v>#REF!</v>
      </c>
      <c r="F158" s="8" t="e">
        <f>IF(ISBLANK('Master Submitted DPDs'!#REF!),"",'Master Submitted DPDs'!#REF!)</f>
        <v>#REF!</v>
      </c>
      <c r="G158" t="str">
        <f>IF(ISBLANK('Master Submitted DPDs'!#REF!),"","Withdrawn")</f>
        <v>Withdrawn</v>
      </c>
      <c r="H158" s="2" t="e">
        <f>IF(ISBLANK('Master Submitted DPDs'!#REF!),"",'Master Submitted DPDs'!#REF!)</f>
        <v>#REF!</v>
      </c>
      <c r="I158" s="3"/>
      <c r="J158" s="3"/>
      <c r="K158" s="3"/>
      <c r="L158" s="2" t="e">
        <f>IF(ISBLANK('Master Submitted DPDs'!#REF!),"",'Master Submitted DPDs'!#REF!)</f>
        <v>#REF!</v>
      </c>
      <c r="M158" s="2" t="e">
        <f t="shared" si="4"/>
        <v>#REF!</v>
      </c>
      <c r="N158" s="2" t="e">
        <f>IF(ISBLANK('Master Submitted DPDs'!#REF!),IF(ISBLANK('Master Submitted DPDs'!#REF!),"",'Master Submitted DPDs'!#REF!),'Master Submitted DPDs'!#REF!)</f>
        <v>#REF!</v>
      </c>
      <c r="O158" s="2" t="e">
        <f>IF(ISBLANK('Master Submitted DPDs'!#REF!),"",'Master Submitted DPDs'!#REF!)</f>
        <v>#REF!</v>
      </c>
      <c r="P158" s="2" t="e">
        <f>IF(ISBLANK('Master Submitted DPDs'!#REF!),"",'Master Submitted DPDs'!#REF!)</f>
        <v>#REF!</v>
      </c>
      <c r="Q158" t="e">
        <f>IF(ISBLANK('Master Submitted DPDs'!#REF!),"",'Master Submitted DPDs'!#REF!)</f>
        <v>#REF!</v>
      </c>
      <c r="R158" t="e">
        <f t="shared" si="5"/>
        <v>#REF!</v>
      </c>
      <c r="S158" s="3"/>
      <c r="T158" t="e">
        <f>IF(ISBLANK('Master Submitted DPDs'!#REF!),"",'Master Submitted DPDs'!#REF!)</f>
        <v>#REF!</v>
      </c>
    </row>
    <row r="159" spans="1:20" ht="15" x14ac:dyDescent="0.2">
      <c r="A159" s="3" t="str">
        <f>IF(ISBLANK('Master Submitted DPDs'!#REF!),"","Local Plans")</f>
        <v>Local Plans</v>
      </c>
      <c r="B159" t="e">
        <f>IF(ISBLANK('Master Submitted DPDs'!#REF!),"",'Master Submitted DPDs'!#REF!)</f>
        <v>#REF!</v>
      </c>
      <c r="C159" s="3" t="str">
        <f>IF(ISBLANK('Master Submitted DPDs'!#REF!),"","IH")</f>
        <v>IH</v>
      </c>
      <c r="D159" s="3" t="e">
        <f>LOOKUP($F159,'fuzzy LPA lookup'!$E:$E,'fuzzy LPA lookup'!$A:$A)</f>
        <v>#REF!</v>
      </c>
      <c r="E159" s="3" t="e">
        <f>LOOKUP($F159,'fuzzy LPA lookup'!$E:$E,'fuzzy LPA lookup'!$D:$D)</f>
        <v>#REF!</v>
      </c>
      <c r="F159" s="8" t="e">
        <f>IF(ISBLANK('Master Submitted DPDs'!#REF!),"",'Master Submitted DPDs'!#REF!)</f>
        <v>#REF!</v>
      </c>
      <c r="G159" t="str">
        <f>IF(ISBLANK('Master Submitted DPDs'!#REF!),"","Withdrawn")</f>
        <v>Withdrawn</v>
      </c>
      <c r="H159" s="2" t="e">
        <f>IF(ISBLANK('Master Submitted DPDs'!#REF!),"",'Master Submitted DPDs'!#REF!)</f>
        <v>#REF!</v>
      </c>
      <c r="I159" s="3"/>
      <c r="J159" s="3"/>
      <c r="K159" s="3"/>
      <c r="L159" s="2" t="e">
        <f>IF(ISBLANK('Master Submitted DPDs'!#REF!),"",'Master Submitted DPDs'!#REF!)</f>
        <v>#REF!</v>
      </c>
      <c r="M159" s="2" t="e">
        <f t="shared" si="4"/>
        <v>#REF!</v>
      </c>
      <c r="N159" s="2" t="e">
        <f>IF(ISBLANK('Master Submitted DPDs'!#REF!),IF(ISBLANK('Master Submitted DPDs'!#REF!),"",'Master Submitted DPDs'!#REF!),'Master Submitted DPDs'!#REF!)</f>
        <v>#REF!</v>
      </c>
      <c r="O159" s="2" t="e">
        <f>IF(ISBLANK('Master Submitted DPDs'!#REF!),"",'Master Submitted DPDs'!#REF!)</f>
        <v>#REF!</v>
      </c>
      <c r="P159" s="2" t="e">
        <f>IF(ISBLANK('Master Submitted DPDs'!#REF!),"",'Master Submitted DPDs'!#REF!)</f>
        <v>#REF!</v>
      </c>
      <c r="Q159" t="e">
        <f>IF(ISBLANK('Master Submitted DPDs'!#REF!),"",'Master Submitted DPDs'!#REF!)</f>
        <v>#REF!</v>
      </c>
      <c r="R159" t="e">
        <f t="shared" si="5"/>
        <v>#REF!</v>
      </c>
      <c r="S159" s="3"/>
      <c r="T159" t="e">
        <f>IF(ISBLANK('Master Submitted DPDs'!#REF!),"",'Master Submitted DPDs'!#REF!)</f>
        <v>#REF!</v>
      </c>
    </row>
    <row r="160" spans="1:20" ht="15" x14ac:dyDescent="0.2">
      <c r="A160" s="3" t="str">
        <f>IF(ISBLANK('Master Submitted DPDs'!#REF!),"","Local Plans")</f>
        <v>Local Plans</v>
      </c>
      <c r="B160" t="e">
        <f>IF(ISBLANK('Master Submitted DPDs'!#REF!),"",'Master Submitted DPDs'!#REF!)</f>
        <v>#REF!</v>
      </c>
      <c r="C160" s="3" t="str">
        <f>IF(ISBLANK('Master Submitted DPDs'!#REF!),"","IH")</f>
        <v>IH</v>
      </c>
      <c r="D160" s="3" t="e">
        <f>LOOKUP($F160,'fuzzy LPA lookup'!$E:$E,'fuzzy LPA lookup'!$A:$A)</f>
        <v>#REF!</v>
      </c>
      <c r="E160" s="3" t="e">
        <f>LOOKUP($F160,'fuzzy LPA lookup'!$E:$E,'fuzzy LPA lookup'!$D:$D)</f>
        <v>#REF!</v>
      </c>
      <c r="F160" s="8" t="e">
        <f>IF(ISBLANK('Master Submitted DPDs'!#REF!),"",'Master Submitted DPDs'!#REF!)</f>
        <v>#REF!</v>
      </c>
      <c r="G160" t="str">
        <f>IF(ISBLANK('Master Submitted DPDs'!#REF!),"","Withdrawn")</f>
        <v>Withdrawn</v>
      </c>
      <c r="H160" s="2" t="e">
        <f>IF(ISBLANK('Master Submitted DPDs'!#REF!),"",'Master Submitted DPDs'!#REF!)</f>
        <v>#REF!</v>
      </c>
      <c r="I160" s="3"/>
      <c r="J160" s="3"/>
      <c r="K160" s="3"/>
      <c r="L160" s="2" t="e">
        <f>IF(ISBLANK('Master Submitted DPDs'!#REF!),"",'Master Submitted DPDs'!#REF!)</f>
        <v>#REF!</v>
      </c>
      <c r="M160" s="2" t="e">
        <f t="shared" si="4"/>
        <v>#REF!</v>
      </c>
      <c r="N160" s="2" t="e">
        <f>IF(ISBLANK('Master Submitted DPDs'!#REF!),IF(ISBLANK('Master Submitted DPDs'!#REF!),"",'Master Submitted DPDs'!#REF!),'Master Submitted DPDs'!#REF!)</f>
        <v>#REF!</v>
      </c>
      <c r="O160" s="2" t="e">
        <f>IF(ISBLANK('Master Submitted DPDs'!#REF!),"",'Master Submitted DPDs'!#REF!)</f>
        <v>#REF!</v>
      </c>
      <c r="P160" s="2" t="e">
        <f>IF(ISBLANK('Master Submitted DPDs'!#REF!),"",'Master Submitted DPDs'!#REF!)</f>
        <v>#REF!</v>
      </c>
      <c r="Q160" t="e">
        <f>IF(ISBLANK('Master Submitted DPDs'!#REF!),"",'Master Submitted DPDs'!#REF!)</f>
        <v>#REF!</v>
      </c>
      <c r="R160" t="e">
        <f t="shared" si="5"/>
        <v>#REF!</v>
      </c>
      <c r="S160" s="3"/>
      <c r="T160" t="e">
        <f>IF(ISBLANK('Master Submitted DPDs'!#REF!),"",'Master Submitted DPDs'!#REF!)</f>
        <v>#REF!</v>
      </c>
    </row>
    <row r="161" spans="1:20" ht="15" x14ac:dyDescent="0.2">
      <c r="A161" s="3" t="str">
        <f>IF(ISBLANK('Master Submitted DPDs'!#REF!),"","Local Plans")</f>
        <v>Local Plans</v>
      </c>
      <c r="B161" t="e">
        <f>IF(ISBLANK('Master Submitted DPDs'!#REF!),"",'Master Submitted DPDs'!#REF!)</f>
        <v>#REF!</v>
      </c>
      <c r="C161" s="3" t="str">
        <f>IF(ISBLANK('Master Submitted DPDs'!#REF!),"","IH")</f>
        <v>IH</v>
      </c>
      <c r="D161" s="3" t="e">
        <f>LOOKUP($F161,'fuzzy LPA lookup'!$E:$E,'fuzzy LPA lookup'!$A:$A)</f>
        <v>#REF!</v>
      </c>
      <c r="E161" s="3" t="e">
        <f>LOOKUP($F161,'fuzzy LPA lookup'!$E:$E,'fuzzy LPA lookup'!$D:$D)</f>
        <v>#REF!</v>
      </c>
      <c r="F161" s="8" t="e">
        <f>IF(ISBLANK('Master Submitted DPDs'!#REF!),"",'Master Submitted DPDs'!#REF!)</f>
        <v>#REF!</v>
      </c>
      <c r="G161" t="str">
        <f>IF(ISBLANK('Master Submitted DPDs'!#REF!),"","Withdrawn")</f>
        <v>Withdrawn</v>
      </c>
      <c r="H161" s="2" t="e">
        <f>IF(ISBLANK('Master Submitted DPDs'!#REF!),"",'Master Submitted DPDs'!#REF!)</f>
        <v>#REF!</v>
      </c>
      <c r="I161" s="3"/>
      <c r="J161" s="3"/>
      <c r="K161" s="3"/>
      <c r="L161" s="2" t="e">
        <f>IF(ISBLANK('Master Submitted DPDs'!#REF!),"",'Master Submitted DPDs'!#REF!)</f>
        <v>#REF!</v>
      </c>
      <c r="M161" s="2" t="e">
        <f t="shared" si="4"/>
        <v>#REF!</v>
      </c>
      <c r="N161" s="2" t="e">
        <f>IF(ISBLANK('Master Submitted DPDs'!#REF!),IF(ISBLANK('Master Submitted DPDs'!#REF!),"",'Master Submitted DPDs'!#REF!),'Master Submitted DPDs'!#REF!)</f>
        <v>#REF!</v>
      </c>
      <c r="O161" s="2" t="e">
        <f>IF(ISBLANK('Master Submitted DPDs'!#REF!),"",'Master Submitted DPDs'!#REF!)</f>
        <v>#REF!</v>
      </c>
      <c r="P161" s="2" t="e">
        <f>IF(ISBLANK('Master Submitted DPDs'!#REF!),"",'Master Submitted DPDs'!#REF!)</f>
        <v>#REF!</v>
      </c>
      <c r="Q161" t="e">
        <f>IF(ISBLANK('Master Submitted DPDs'!#REF!),"",'Master Submitted DPDs'!#REF!)</f>
        <v>#REF!</v>
      </c>
      <c r="R161" t="e">
        <f t="shared" si="5"/>
        <v>#REF!</v>
      </c>
      <c r="S161" s="3"/>
      <c r="T161" t="e">
        <f>IF(ISBLANK('Master Submitted DPDs'!#REF!),"",'Master Submitted DPDs'!#REF!)</f>
        <v>#REF!</v>
      </c>
    </row>
    <row r="162" spans="1:20" ht="15" x14ac:dyDescent="0.2">
      <c r="A162" s="3" t="str">
        <f>IF(ISBLANK('Master Submitted DPDs'!#REF!),"","Local Plans")</f>
        <v>Local Plans</v>
      </c>
      <c r="B162" t="e">
        <f>IF(ISBLANK('Master Submitted DPDs'!#REF!),"",'Master Submitted DPDs'!#REF!)</f>
        <v>#REF!</v>
      </c>
      <c r="C162" s="3" t="str">
        <f>IF(ISBLANK('Master Submitted DPDs'!#REF!),"","IH")</f>
        <v>IH</v>
      </c>
      <c r="D162" s="3" t="e">
        <f>LOOKUP($F162,'fuzzy LPA lookup'!$E:$E,'fuzzy LPA lookup'!$A:$A)</f>
        <v>#REF!</v>
      </c>
      <c r="E162" s="3" t="e">
        <f>LOOKUP($F162,'fuzzy LPA lookup'!$E:$E,'fuzzy LPA lookup'!$D:$D)</f>
        <v>#REF!</v>
      </c>
      <c r="F162" s="8" t="e">
        <f>IF(ISBLANK('Master Submitted DPDs'!#REF!),"",'Master Submitted DPDs'!#REF!)</f>
        <v>#REF!</v>
      </c>
      <c r="G162" t="str">
        <f>IF(ISBLANK('Master Submitted DPDs'!#REF!),"","Withdrawn")</f>
        <v>Withdrawn</v>
      </c>
      <c r="H162" s="2" t="e">
        <f>IF(ISBLANK('Master Submitted DPDs'!#REF!),"",'Master Submitted DPDs'!#REF!)</f>
        <v>#REF!</v>
      </c>
      <c r="I162" s="3"/>
      <c r="J162" s="3"/>
      <c r="K162" s="3"/>
      <c r="L162" s="2" t="e">
        <f>IF(ISBLANK('Master Submitted DPDs'!#REF!),"",'Master Submitted DPDs'!#REF!)</f>
        <v>#REF!</v>
      </c>
      <c r="M162" s="2" t="e">
        <f t="shared" si="4"/>
        <v>#REF!</v>
      </c>
      <c r="N162" s="2" t="e">
        <f>IF(ISBLANK('Master Submitted DPDs'!#REF!),IF(ISBLANK('Master Submitted DPDs'!#REF!),"",'Master Submitted DPDs'!#REF!),'Master Submitted DPDs'!#REF!)</f>
        <v>#REF!</v>
      </c>
      <c r="O162" s="2" t="e">
        <f>IF(ISBLANK('Master Submitted DPDs'!#REF!),"",'Master Submitted DPDs'!#REF!)</f>
        <v>#REF!</v>
      </c>
      <c r="P162" s="2" t="e">
        <f>IF(ISBLANK('Master Submitted DPDs'!#REF!),"",'Master Submitted DPDs'!#REF!)</f>
        <v>#REF!</v>
      </c>
      <c r="Q162" t="e">
        <f>IF(ISBLANK('Master Submitted DPDs'!#REF!),"",'Master Submitted DPDs'!#REF!)</f>
        <v>#REF!</v>
      </c>
      <c r="R162" t="e">
        <f t="shared" si="5"/>
        <v>#REF!</v>
      </c>
      <c r="S162" s="3"/>
      <c r="T162" t="e">
        <f>IF(ISBLANK('Master Submitted DPDs'!#REF!),"",'Master Submitted DPDs'!#REF!)</f>
        <v>#REF!</v>
      </c>
    </row>
    <row r="163" spans="1:20" ht="15" x14ac:dyDescent="0.2">
      <c r="A163" s="3" t="str">
        <f>IF(ISBLANK('Master Submitted DPDs'!#REF!),"","Local Plans")</f>
        <v>Local Plans</v>
      </c>
      <c r="B163" t="e">
        <f>IF(ISBLANK('Master Submitted DPDs'!#REF!),"",'Master Submitted DPDs'!#REF!)</f>
        <v>#REF!</v>
      </c>
      <c r="C163" s="3" t="str">
        <f>IF(ISBLANK('Master Submitted DPDs'!#REF!),"","IH")</f>
        <v>IH</v>
      </c>
      <c r="D163" s="3" t="e">
        <f>LOOKUP($F163,'fuzzy LPA lookup'!$E:$E,'fuzzy LPA lookup'!$A:$A)</f>
        <v>#REF!</v>
      </c>
      <c r="E163" s="3" t="e">
        <f>LOOKUP($F163,'fuzzy LPA lookup'!$E:$E,'fuzzy LPA lookup'!$D:$D)</f>
        <v>#REF!</v>
      </c>
      <c r="F163" s="8" t="e">
        <f>IF(ISBLANK('Master Submitted DPDs'!#REF!),"",'Master Submitted DPDs'!#REF!)</f>
        <v>#REF!</v>
      </c>
      <c r="G163" t="str">
        <f>IF(ISBLANK('Master Submitted DPDs'!#REF!),"","Withdrawn")</f>
        <v>Withdrawn</v>
      </c>
      <c r="H163" s="2" t="e">
        <f>IF(ISBLANK('Master Submitted DPDs'!#REF!),"",'Master Submitted DPDs'!#REF!)</f>
        <v>#REF!</v>
      </c>
      <c r="I163" s="3"/>
      <c r="J163" s="3"/>
      <c r="K163" s="3"/>
      <c r="L163" s="2" t="e">
        <f>IF(ISBLANK('Master Submitted DPDs'!#REF!),"",'Master Submitted DPDs'!#REF!)</f>
        <v>#REF!</v>
      </c>
      <c r="M163" s="2" t="e">
        <f t="shared" si="4"/>
        <v>#REF!</v>
      </c>
      <c r="N163" s="2" t="e">
        <f>IF(ISBLANK('Master Submitted DPDs'!#REF!),IF(ISBLANK('Master Submitted DPDs'!#REF!),"",'Master Submitted DPDs'!#REF!),'Master Submitted DPDs'!#REF!)</f>
        <v>#REF!</v>
      </c>
      <c r="O163" s="2" t="e">
        <f>IF(ISBLANK('Master Submitted DPDs'!#REF!),"",'Master Submitted DPDs'!#REF!)</f>
        <v>#REF!</v>
      </c>
      <c r="P163" s="2" t="e">
        <f>IF(ISBLANK('Master Submitted DPDs'!#REF!),"",'Master Submitted DPDs'!#REF!)</f>
        <v>#REF!</v>
      </c>
      <c r="Q163" t="e">
        <f>IF(ISBLANK('Master Submitted DPDs'!#REF!),"",'Master Submitted DPDs'!#REF!)</f>
        <v>#REF!</v>
      </c>
      <c r="R163" t="e">
        <f t="shared" si="5"/>
        <v>#REF!</v>
      </c>
      <c r="S163" s="3"/>
      <c r="T163" t="e">
        <f>IF(ISBLANK('Master Submitted DPDs'!#REF!),"",'Master Submitted DPDs'!#REF!)</f>
        <v>#REF!</v>
      </c>
    </row>
    <row r="164" spans="1:20" ht="15" x14ac:dyDescent="0.2">
      <c r="A164" s="3" t="str">
        <f>IF(ISBLANK('Master Submitted DPDs'!#REF!),"","Local Plans")</f>
        <v>Local Plans</v>
      </c>
      <c r="B164" t="e">
        <f>IF(ISBLANK('Master Submitted DPDs'!#REF!),"",'Master Submitted DPDs'!#REF!)</f>
        <v>#REF!</v>
      </c>
      <c r="C164" s="3" t="str">
        <f>IF(ISBLANK('Master Submitted DPDs'!#REF!),"","IH")</f>
        <v>IH</v>
      </c>
      <c r="D164" s="3" t="e">
        <f>LOOKUP($F164,'fuzzy LPA lookup'!$E:$E,'fuzzy LPA lookup'!$A:$A)</f>
        <v>#REF!</v>
      </c>
      <c r="E164" s="3" t="e">
        <f>LOOKUP($F164,'fuzzy LPA lookup'!$E:$E,'fuzzy LPA lookup'!$D:$D)</f>
        <v>#REF!</v>
      </c>
      <c r="F164" s="8" t="e">
        <f>IF(ISBLANK('Master Submitted DPDs'!#REF!),"",'Master Submitted DPDs'!#REF!)</f>
        <v>#REF!</v>
      </c>
      <c r="G164" t="str">
        <f>IF(ISBLANK('Master Submitted DPDs'!#REF!),"","Withdrawn")</f>
        <v>Withdrawn</v>
      </c>
      <c r="H164" s="2" t="e">
        <f>IF(ISBLANK('Master Submitted DPDs'!#REF!),"",'Master Submitted DPDs'!#REF!)</f>
        <v>#REF!</v>
      </c>
      <c r="I164" s="3"/>
      <c r="J164" s="3"/>
      <c r="K164" s="3"/>
      <c r="L164" s="2" t="e">
        <f>IF(ISBLANK('Master Submitted DPDs'!#REF!),"",'Master Submitted DPDs'!#REF!)</f>
        <v>#REF!</v>
      </c>
      <c r="M164" s="2" t="e">
        <f t="shared" si="4"/>
        <v>#REF!</v>
      </c>
      <c r="N164" s="2" t="e">
        <f>IF(ISBLANK('Master Submitted DPDs'!#REF!),IF(ISBLANK('Master Submitted DPDs'!#REF!),"",'Master Submitted DPDs'!#REF!),'Master Submitted DPDs'!#REF!)</f>
        <v>#REF!</v>
      </c>
      <c r="O164" s="2" t="e">
        <f>IF(ISBLANK('Master Submitted DPDs'!#REF!),"",'Master Submitted DPDs'!#REF!)</f>
        <v>#REF!</v>
      </c>
      <c r="P164" s="2" t="e">
        <f>IF(ISBLANK('Master Submitted DPDs'!#REF!),"",'Master Submitted DPDs'!#REF!)</f>
        <v>#REF!</v>
      </c>
      <c r="Q164" t="e">
        <f>IF(ISBLANK('Master Submitted DPDs'!#REF!),"",'Master Submitted DPDs'!#REF!)</f>
        <v>#REF!</v>
      </c>
      <c r="R164" t="e">
        <f t="shared" si="5"/>
        <v>#REF!</v>
      </c>
      <c r="S164" s="3"/>
      <c r="T164" t="e">
        <f>IF(ISBLANK('Master Submitted DPDs'!#REF!),"",'Master Submitted DPDs'!#REF!)</f>
        <v>#REF!</v>
      </c>
    </row>
    <row r="165" spans="1:20" ht="15" x14ac:dyDescent="0.2">
      <c r="A165" s="3" t="str">
        <f>IF(ISBLANK('Master Submitted DPDs'!#REF!),"","Local Plans")</f>
        <v>Local Plans</v>
      </c>
      <c r="B165" t="e">
        <f>IF(ISBLANK('Master Submitted DPDs'!#REF!),"",'Master Submitted DPDs'!#REF!)</f>
        <v>#REF!</v>
      </c>
      <c r="C165" s="3" t="str">
        <f>IF(ISBLANK('Master Submitted DPDs'!#REF!),"","IH")</f>
        <v>IH</v>
      </c>
      <c r="D165" s="3" t="e">
        <f>LOOKUP($F165,'fuzzy LPA lookup'!$E:$E,'fuzzy LPA lookup'!$A:$A)</f>
        <v>#REF!</v>
      </c>
      <c r="E165" s="3" t="e">
        <f>LOOKUP($F165,'fuzzy LPA lookup'!$E:$E,'fuzzy LPA lookup'!$D:$D)</f>
        <v>#REF!</v>
      </c>
      <c r="F165" s="8" t="e">
        <f>IF(ISBLANK('Master Submitted DPDs'!#REF!),"",'Master Submitted DPDs'!#REF!)</f>
        <v>#REF!</v>
      </c>
      <c r="G165" t="str">
        <f>IF(ISBLANK('Master Submitted DPDs'!#REF!),"","Withdrawn")</f>
        <v>Withdrawn</v>
      </c>
      <c r="H165" s="2" t="e">
        <f>IF(ISBLANK('Master Submitted DPDs'!#REF!),"",'Master Submitted DPDs'!#REF!)</f>
        <v>#REF!</v>
      </c>
      <c r="I165" s="3"/>
      <c r="J165" s="3"/>
      <c r="K165" s="3"/>
      <c r="L165" s="2" t="e">
        <f>IF(ISBLANK('Master Submitted DPDs'!#REF!),"",'Master Submitted DPDs'!#REF!)</f>
        <v>#REF!</v>
      </c>
      <c r="M165" s="2" t="e">
        <f t="shared" si="4"/>
        <v>#REF!</v>
      </c>
      <c r="N165" s="2" t="e">
        <f>IF(ISBLANK('Master Submitted DPDs'!#REF!),IF(ISBLANK('Master Submitted DPDs'!#REF!),"",'Master Submitted DPDs'!#REF!),'Master Submitted DPDs'!#REF!)</f>
        <v>#REF!</v>
      </c>
      <c r="O165" s="2" t="e">
        <f>IF(ISBLANK('Master Submitted DPDs'!#REF!),"",'Master Submitted DPDs'!#REF!)</f>
        <v>#REF!</v>
      </c>
      <c r="P165" s="2" t="e">
        <f>IF(ISBLANK('Master Submitted DPDs'!#REF!),"",'Master Submitted DPDs'!#REF!)</f>
        <v>#REF!</v>
      </c>
      <c r="Q165" t="e">
        <f>IF(ISBLANK('Master Submitted DPDs'!#REF!),"",'Master Submitted DPDs'!#REF!)</f>
        <v>#REF!</v>
      </c>
      <c r="R165" t="e">
        <f t="shared" si="5"/>
        <v>#REF!</v>
      </c>
      <c r="S165" s="3"/>
      <c r="T165" t="e">
        <f>IF(ISBLANK('Master Submitted DPDs'!#REF!),"",'Master Submitted DPDs'!#REF!)</f>
        <v>#REF!</v>
      </c>
    </row>
    <row r="166" spans="1:20" ht="15" x14ac:dyDescent="0.2">
      <c r="A166" s="3" t="str">
        <f>IF(ISBLANK('Master Submitted DPDs'!#REF!),"","Local Plans")</f>
        <v>Local Plans</v>
      </c>
      <c r="B166" t="e">
        <f>IF(ISBLANK('Master Submitted DPDs'!#REF!),"",'Master Submitted DPDs'!#REF!)</f>
        <v>#REF!</v>
      </c>
      <c r="C166" s="3" t="str">
        <f>IF(ISBLANK('Master Submitted DPDs'!#REF!),"","IH")</f>
        <v>IH</v>
      </c>
      <c r="D166" s="3" t="e">
        <f>LOOKUP($F166,'fuzzy LPA lookup'!$E:$E,'fuzzy LPA lookup'!$A:$A)</f>
        <v>#REF!</v>
      </c>
      <c r="E166" s="3" t="e">
        <f>LOOKUP($F166,'fuzzy LPA lookup'!$E:$E,'fuzzy LPA lookup'!$D:$D)</f>
        <v>#REF!</v>
      </c>
      <c r="F166" s="8" t="e">
        <f>IF(ISBLANK('Master Submitted DPDs'!#REF!),"",'Master Submitted DPDs'!#REF!)</f>
        <v>#REF!</v>
      </c>
      <c r="G166" t="str">
        <f>IF(ISBLANK('Master Submitted DPDs'!#REF!),"","Withdrawn")</f>
        <v>Withdrawn</v>
      </c>
      <c r="H166" s="2" t="e">
        <f>IF(ISBLANK('Master Submitted DPDs'!#REF!),"",'Master Submitted DPDs'!#REF!)</f>
        <v>#REF!</v>
      </c>
      <c r="I166" s="3"/>
      <c r="J166" s="3"/>
      <c r="K166" s="3"/>
      <c r="L166" s="2" t="e">
        <f>IF(ISBLANK('Master Submitted DPDs'!#REF!),"",'Master Submitted DPDs'!#REF!)</f>
        <v>#REF!</v>
      </c>
      <c r="M166" s="2" t="e">
        <f t="shared" si="4"/>
        <v>#REF!</v>
      </c>
      <c r="N166" s="2" t="e">
        <f>IF(ISBLANK('Master Submitted DPDs'!#REF!),IF(ISBLANK('Master Submitted DPDs'!#REF!),"",'Master Submitted DPDs'!#REF!),'Master Submitted DPDs'!#REF!)</f>
        <v>#REF!</v>
      </c>
      <c r="O166" s="2" t="e">
        <f>IF(ISBLANK('Master Submitted DPDs'!#REF!),"",'Master Submitted DPDs'!#REF!)</f>
        <v>#REF!</v>
      </c>
      <c r="P166" s="2" t="e">
        <f>IF(ISBLANK('Master Submitted DPDs'!#REF!),"",'Master Submitted DPDs'!#REF!)</f>
        <v>#REF!</v>
      </c>
      <c r="Q166" t="e">
        <f>IF(ISBLANK('Master Submitted DPDs'!#REF!),"",'Master Submitted DPDs'!#REF!)</f>
        <v>#REF!</v>
      </c>
      <c r="R166" t="e">
        <f t="shared" si="5"/>
        <v>#REF!</v>
      </c>
      <c r="S166" s="3"/>
      <c r="T166" t="e">
        <f>IF(ISBLANK('Master Submitted DPDs'!#REF!),"",'Master Submitted DPDs'!#REF!)</f>
        <v>#REF!</v>
      </c>
    </row>
    <row r="167" spans="1:20" ht="15" x14ac:dyDescent="0.2">
      <c r="A167" s="3" t="str">
        <f>IF(ISBLANK('Master Submitted DPDs'!#REF!),"","Local Plans")</f>
        <v>Local Plans</v>
      </c>
      <c r="B167" t="e">
        <f>IF(ISBLANK('Master Submitted DPDs'!#REF!),"",'Master Submitted DPDs'!#REF!)</f>
        <v>#REF!</v>
      </c>
      <c r="C167" s="3" t="str">
        <f>IF(ISBLANK('Master Submitted DPDs'!#REF!),"","IH")</f>
        <v>IH</v>
      </c>
      <c r="D167" s="3" t="e">
        <f>LOOKUP($F167,'fuzzy LPA lookup'!$E:$E,'fuzzy LPA lookup'!$A:$A)</f>
        <v>#REF!</v>
      </c>
      <c r="E167" s="3" t="e">
        <f>LOOKUP($F167,'fuzzy LPA lookup'!$E:$E,'fuzzy LPA lookup'!$D:$D)</f>
        <v>#REF!</v>
      </c>
      <c r="F167" s="8" t="e">
        <f>IF(ISBLANK('Master Submitted DPDs'!#REF!),"",'Master Submitted DPDs'!#REF!)</f>
        <v>#REF!</v>
      </c>
      <c r="G167" t="str">
        <f>IF(ISBLANK('Master Submitted DPDs'!#REF!),"","Withdrawn")</f>
        <v>Withdrawn</v>
      </c>
      <c r="H167" s="2" t="e">
        <f>IF(ISBLANK('Master Submitted DPDs'!#REF!),"",'Master Submitted DPDs'!#REF!)</f>
        <v>#REF!</v>
      </c>
      <c r="I167" s="3"/>
      <c r="J167" s="3"/>
      <c r="K167" s="3"/>
      <c r="L167" s="2" t="e">
        <f>IF(ISBLANK('Master Submitted DPDs'!#REF!),"",'Master Submitted DPDs'!#REF!)</f>
        <v>#REF!</v>
      </c>
      <c r="M167" s="2" t="e">
        <f t="shared" si="4"/>
        <v>#REF!</v>
      </c>
      <c r="N167" s="2" t="e">
        <f>IF(ISBLANK('Master Submitted DPDs'!#REF!),IF(ISBLANK('Master Submitted DPDs'!#REF!),"",'Master Submitted DPDs'!#REF!),'Master Submitted DPDs'!#REF!)</f>
        <v>#REF!</v>
      </c>
      <c r="O167" s="2" t="e">
        <f>IF(ISBLANK('Master Submitted DPDs'!#REF!),"",'Master Submitted DPDs'!#REF!)</f>
        <v>#REF!</v>
      </c>
      <c r="P167" s="2" t="e">
        <f>IF(ISBLANK('Master Submitted DPDs'!#REF!),"",'Master Submitted DPDs'!#REF!)</f>
        <v>#REF!</v>
      </c>
      <c r="Q167" t="e">
        <f>IF(ISBLANK('Master Submitted DPDs'!#REF!),"",'Master Submitted DPDs'!#REF!)</f>
        <v>#REF!</v>
      </c>
      <c r="R167" t="e">
        <f t="shared" si="5"/>
        <v>#REF!</v>
      </c>
      <c r="S167" s="3"/>
      <c r="T167" t="e">
        <f>IF(ISBLANK('Master Submitted DPDs'!#REF!),"",'Master Submitted DPDs'!#REF!)</f>
        <v>#REF!</v>
      </c>
    </row>
    <row r="168" spans="1:20" ht="15" x14ac:dyDescent="0.2">
      <c r="A168" s="3" t="str">
        <f>IF(ISBLANK('Master Submitted DPDs'!#REF!),"","Local Plans")</f>
        <v>Local Plans</v>
      </c>
      <c r="B168" t="e">
        <f>IF(ISBLANK('Master Submitted DPDs'!#REF!),"",'Master Submitted DPDs'!#REF!)</f>
        <v>#REF!</v>
      </c>
      <c r="C168" s="3" t="str">
        <f>IF(ISBLANK('Master Submitted DPDs'!#REF!),"","IH")</f>
        <v>IH</v>
      </c>
      <c r="D168" s="3" t="e">
        <f>LOOKUP($F168,'fuzzy LPA lookup'!$E:$E,'fuzzy LPA lookup'!$A:$A)</f>
        <v>#REF!</v>
      </c>
      <c r="E168" s="3" t="e">
        <f>LOOKUP($F168,'fuzzy LPA lookup'!$E:$E,'fuzzy LPA lookup'!$D:$D)</f>
        <v>#REF!</v>
      </c>
      <c r="F168" s="8" t="e">
        <f>IF(ISBLANK('Master Submitted DPDs'!#REF!),"",'Master Submitted DPDs'!#REF!)</f>
        <v>#REF!</v>
      </c>
      <c r="G168" t="str">
        <f>IF(ISBLANK('Master Submitted DPDs'!#REF!),"","Withdrawn")</f>
        <v>Withdrawn</v>
      </c>
      <c r="H168" s="2" t="e">
        <f>IF(ISBLANK('Master Submitted DPDs'!#REF!),"",'Master Submitted DPDs'!#REF!)</f>
        <v>#REF!</v>
      </c>
      <c r="I168" s="3"/>
      <c r="J168" s="3"/>
      <c r="K168" s="3"/>
      <c r="L168" s="2" t="e">
        <f>IF(ISBLANK('Master Submitted DPDs'!#REF!),"",'Master Submitted DPDs'!#REF!)</f>
        <v>#REF!</v>
      </c>
      <c r="M168" s="2" t="e">
        <f t="shared" si="4"/>
        <v>#REF!</v>
      </c>
      <c r="N168" s="2" t="e">
        <f>IF(ISBLANK('Master Submitted DPDs'!#REF!),IF(ISBLANK('Master Submitted DPDs'!#REF!),"",'Master Submitted DPDs'!#REF!),'Master Submitted DPDs'!#REF!)</f>
        <v>#REF!</v>
      </c>
      <c r="O168" s="2" t="e">
        <f>IF(ISBLANK('Master Submitted DPDs'!#REF!),"",'Master Submitted DPDs'!#REF!)</f>
        <v>#REF!</v>
      </c>
      <c r="P168" s="2" t="e">
        <f>IF(ISBLANK('Master Submitted DPDs'!#REF!),"",'Master Submitted DPDs'!#REF!)</f>
        <v>#REF!</v>
      </c>
      <c r="Q168" t="e">
        <f>IF(ISBLANK('Master Submitted DPDs'!#REF!),"",'Master Submitted DPDs'!#REF!)</f>
        <v>#REF!</v>
      </c>
      <c r="R168" t="e">
        <f t="shared" si="5"/>
        <v>#REF!</v>
      </c>
      <c r="S168" s="3"/>
      <c r="T168" t="e">
        <f>IF(ISBLANK('Master Submitted DPDs'!#REF!),"",'Master Submitted DPDs'!#REF!)</f>
        <v>#REF!</v>
      </c>
    </row>
    <row r="169" spans="1:20" ht="15" x14ac:dyDescent="0.2">
      <c r="A169" s="3" t="str">
        <f>IF(ISBLANK('Master Submitted DPDs'!#REF!),"","Local Plans")</f>
        <v>Local Plans</v>
      </c>
      <c r="B169" t="e">
        <f>IF(ISBLANK('Master Submitted DPDs'!#REF!),"",'Master Submitted DPDs'!#REF!)</f>
        <v>#REF!</v>
      </c>
      <c r="C169" s="3" t="str">
        <f>IF(ISBLANK('Master Submitted DPDs'!#REF!),"","IH")</f>
        <v>IH</v>
      </c>
      <c r="D169" s="3" t="e">
        <f>LOOKUP($F169,'fuzzy LPA lookup'!$E:$E,'fuzzy LPA lookup'!$A:$A)</f>
        <v>#REF!</v>
      </c>
      <c r="E169" s="3" t="e">
        <f>LOOKUP($F169,'fuzzy LPA lookup'!$E:$E,'fuzzy LPA lookup'!$D:$D)</f>
        <v>#REF!</v>
      </c>
      <c r="F169" s="8" t="e">
        <f>IF(ISBLANK('Master Submitted DPDs'!#REF!),"",'Master Submitted DPDs'!#REF!)</f>
        <v>#REF!</v>
      </c>
      <c r="G169" t="str">
        <f>IF(ISBLANK('Master Submitted DPDs'!#REF!),"","Withdrawn")</f>
        <v>Withdrawn</v>
      </c>
      <c r="H169" s="2" t="e">
        <f>IF(ISBLANK('Master Submitted DPDs'!#REF!),"",'Master Submitted DPDs'!#REF!)</f>
        <v>#REF!</v>
      </c>
      <c r="I169" s="3"/>
      <c r="J169" s="3"/>
      <c r="K169" s="3"/>
      <c r="L169" s="2" t="e">
        <f>IF(ISBLANK('Master Submitted DPDs'!#REF!),"",'Master Submitted DPDs'!#REF!)</f>
        <v>#REF!</v>
      </c>
      <c r="M169" s="2" t="e">
        <f t="shared" si="4"/>
        <v>#REF!</v>
      </c>
      <c r="N169" s="2" t="e">
        <f>IF(ISBLANK('Master Submitted DPDs'!#REF!),IF(ISBLANK('Master Submitted DPDs'!#REF!),"",'Master Submitted DPDs'!#REF!),'Master Submitted DPDs'!#REF!)</f>
        <v>#REF!</v>
      </c>
      <c r="O169" s="2" t="e">
        <f>IF(ISBLANK('Master Submitted DPDs'!#REF!),"",'Master Submitted DPDs'!#REF!)</f>
        <v>#REF!</v>
      </c>
      <c r="P169" s="2" t="e">
        <f>IF(ISBLANK('Master Submitted DPDs'!#REF!),"",'Master Submitted DPDs'!#REF!)</f>
        <v>#REF!</v>
      </c>
      <c r="Q169" t="e">
        <f>IF(ISBLANK('Master Submitted DPDs'!#REF!),"",'Master Submitted DPDs'!#REF!)</f>
        <v>#REF!</v>
      </c>
      <c r="R169" t="e">
        <f t="shared" si="5"/>
        <v>#REF!</v>
      </c>
      <c r="S169" s="3"/>
      <c r="T169" t="e">
        <f>IF(ISBLANK('Master Submitted DPDs'!#REF!),"",'Master Submitted DPDs'!#REF!)</f>
        <v>#REF!</v>
      </c>
    </row>
    <row r="170" spans="1:20" ht="15" x14ac:dyDescent="0.2">
      <c r="A170" s="3" t="str">
        <f>IF(ISBLANK('Master Submitted DPDs'!#REF!),"","Local Plans")</f>
        <v>Local Plans</v>
      </c>
      <c r="B170" t="e">
        <f>IF(ISBLANK('Master Submitted DPDs'!#REF!),"",'Master Submitted DPDs'!#REF!)</f>
        <v>#REF!</v>
      </c>
      <c r="C170" s="3" t="str">
        <f>IF(ISBLANK('Master Submitted DPDs'!#REF!),"","IH")</f>
        <v>IH</v>
      </c>
      <c r="D170" s="3" t="e">
        <f>LOOKUP($F170,'fuzzy LPA lookup'!$E:$E,'fuzzy LPA lookup'!$A:$A)</f>
        <v>#REF!</v>
      </c>
      <c r="E170" s="3" t="e">
        <f>LOOKUP($F170,'fuzzy LPA lookup'!$E:$E,'fuzzy LPA lookup'!$D:$D)</f>
        <v>#REF!</v>
      </c>
      <c r="F170" s="8" t="e">
        <f>IF(ISBLANK('Master Submitted DPDs'!#REF!),"",'Master Submitted DPDs'!#REF!)</f>
        <v>#REF!</v>
      </c>
      <c r="G170" t="str">
        <f>IF(ISBLANK('Master Submitted DPDs'!#REF!),"","Withdrawn")</f>
        <v>Withdrawn</v>
      </c>
      <c r="H170" s="2" t="e">
        <f>IF(ISBLANK('Master Submitted DPDs'!#REF!),"",'Master Submitted DPDs'!#REF!)</f>
        <v>#REF!</v>
      </c>
      <c r="I170" s="3"/>
      <c r="J170" s="3"/>
      <c r="K170" s="3"/>
      <c r="L170" s="2" t="e">
        <f>IF(ISBLANK('Master Submitted DPDs'!#REF!),"",'Master Submitted DPDs'!#REF!)</f>
        <v>#REF!</v>
      </c>
      <c r="M170" s="2" t="e">
        <f t="shared" si="4"/>
        <v>#REF!</v>
      </c>
      <c r="N170" s="2" t="e">
        <f>IF(ISBLANK('Master Submitted DPDs'!#REF!),IF(ISBLANK('Master Submitted DPDs'!#REF!),"",'Master Submitted DPDs'!#REF!),'Master Submitted DPDs'!#REF!)</f>
        <v>#REF!</v>
      </c>
      <c r="O170" s="2" t="e">
        <f>IF(ISBLANK('Master Submitted DPDs'!#REF!),"",'Master Submitted DPDs'!#REF!)</f>
        <v>#REF!</v>
      </c>
      <c r="P170" s="2" t="e">
        <f>IF(ISBLANK('Master Submitted DPDs'!#REF!),"",'Master Submitted DPDs'!#REF!)</f>
        <v>#REF!</v>
      </c>
      <c r="Q170" t="e">
        <f>IF(ISBLANK('Master Submitted DPDs'!#REF!),"",'Master Submitted DPDs'!#REF!)</f>
        <v>#REF!</v>
      </c>
      <c r="R170" t="e">
        <f t="shared" si="5"/>
        <v>#REF!</v>
      </c>
      <c r="S170" s="3"/>
      <c r="T170" t="e">
        <f>IF(ISBLANK('Master Submitted DPDs'!#REF!),"",'Master Submitted DPDs'!#REF!)</f>
        <v>#REF!</v>
      </c>
    </row>
    <row r="171" spans="1:20" ht="15" x14ac:dyDescent="0.2">
      <c r="A171" s="3" t="str">
        <f>IF(ISBLANK('Master Submitted DPDs'!#REF!),"","Local Plans")</f>
        <v>Local Plans</v>
      </c>
      <c r="B171" t="e">
        <f>IF(ISBLANK('Master Submitted DPDs'!#REF!),"",'Master Submitted DPDs'!#REF!)</f>
        <v>#REF!</v>
      </c>
      <c r="C171" s="3" t="str">
        <f>IF(ISBLANK('Master Submitted DPDs'!#REF!),"","IH")</f>
        <v>IH</v>
      </c>
      <c r="D171" s="3" t="e">
        <f>LOOKUP($F171,'fuzzy LPA lookup'!$E:$E,'fuzzy LPA lookup'!$A:$A)</f>
        <v>#REF!</v>
      </c>
      <c r="E171" s="3" t="e">
        <f>LOOKUP($F171,'fuzzy LPA lookup'!$E:$E,'fuzzy LPA lookup'!$D:$D)</f>
        <v>#REF!</v>
      </c>
      <c r="F171" s="8" t="e">
        <f>IF(ISBLANK('Master Submitted DPDs'!#REF!),"",'Master Submitted DPDs'!#REF!)</f>
        <v>#REF!</v>
      </c>
      <c r="G171" t="str">
        <f>IF(ISBLANK('Master Submitted DPDs'!#REF!),"","Withdrawn")</f>
        <v>Withdrawn</v>
      </c>
      <c r="H171" s="2" t="e">
        <f>IF(ISBLANK('Master Submitted DPDs'!#REF!),"",'Master Submitted DPDs'!#REF!)</f>
        <v>#REF!</v>
      </c>
      <c r="I171" s="3"/>
      <c r="J171" s="3"/>
      <c r="K171" s="3"/>
      <c r="L171" s="2" t="e">
        <f>IF(ISBLANK('Master Submitted DPDs'!#REF!),"",'Master Submitted DPDs'!#REF!)</f>
        <v>#REF!</v>
      </c>
      <c r="M171" s="2" t="e">
        <f t="shared" si="4"/>
        <v>#REF!</v>
      </c>
      <c r="N171" s="2" t="e">
        <f>IF(ISBLANK('Master Submitted DPDs'!#REF!),IF(ISBLANK('Master Submitted DPDs'!#REF!),"",'Master Submitted DPDs'!#REF!),'Master Submitted DPDs'!#REF!)</f>
        <v>#REF!</v>
      </c>
      <c r="O171" s="2" t="e">
        <f>IF(ISBLANK('Master Submitted DPDs'!#REF!),"",'Master Submitted DPDs'!#REF!)</f>
        <v>#REF!</v>
      </c>
      <c r="P171" s="2" t="e">
        <f>IF(ISBLANK('Master Submitted DPDs'!#REF!),"",'Master Submitted DPDs'!#REF!)</f>
        <v>#REF!</v>
      </c>
      <c r="Q171" t="e">
        <f>IF(ISBLANK('Master Submitted DPDs'!#REF!),"",'Master Submitted DPDs'!#REF!)</f>
        <v>#REF!</v>
      </c>
      <c r="R171" t="e">
        <f t="shared" si="5"/>
        <v>#REF!</v>
      </c>
      <c r="S171" s="3"/>
      <c r="T171" t="e">
        <f>IF(ISBLANK('Master Submitted DPDs'!#REF!),"",'Master Submitted DPDs'!#REF!)</f>
        <v>#REF!</v>
      </c>
    </row>
    <row r="172" spans="1:20" ht="15" x14ac:dyDescent="0.2">
      <c r="A172" s="3" t="str">
        <f>IF(ISBLANK('Master Submitted DPDs'!#REF!),"","Local Plans")</f>
        <v>Local Plans</v>
      </c>
      <c r="B172" t="e">
        <f>IF(ISBLANK('Master Submitted DPDs'!#REF!),"",'Master Submitted DPDs'!#REF!)</f>
        <v>#REF!</v>
      </c>
      <c r="C172" s="3" t="str">
        <f>IF(ISBLANK('Master Submitted DPDs'!#REF!),"","IH")</f>
        <v>IH</v>
      </c>
      <c r="D172" s="3" t="e">
        <f>LOOKUP($F172,'fuzzy LPA lookup'!$E:$E,'fuzzy LPA lookup'!$A:$A)</f>
        <v>#REF!</v>
      </c>
      <c r="E172" s="3" t="e">
        <f>LOOKUP($F172,'fuzzy LPA lookup'!$E:$E,'fuzzy LPA lookup'!$D:$D)</f>
        <v>#REF!</v>
      </c>
      <c r="F172" s="8" t="e">
        <f>IF(ISBLANK('Master Submitted DPDs'!#REF!),"",'Master Submitted DPDs'!#REF!)</f>
        <v>#REF!</v>
      </c>
      <c r="G172" t="str">
        <f>IF(ISBLANK('Master Submitted DPDs'!#REF!),"","Withdrawn")</f>
        <v>Withdrawn</v>
      </c>
      <c r="H172" s="2" t="e">
        <f>IF(ISBLANK('Master Submitted DPDs'!#REF!),"",'Master Submitted DPDs'!#REF!)</f>
        <v>#REF!</v>
      </c>
      <c r="I172" s="3"/>
      <c r="J172" s="3"/>
      <c r="K172" s="3"/>
      <c r="L172" s="2" t="e">
        <f>IF(ISBLANK('Master Submitted DPDs'!#REF!),"",'Master Submitted DPDs'!#REF!)</f>
        <v>#REF!</v>
      </c>
      <c r="M172" s="2" t="e">
        <f t="shared" si="4"/>
        <v>#REF!</v>
      </c>
      <c r="N172" s="2" t="e">
        <f>IF(ISBLANK('Master Submitted DPDs'!#REF!),IF(ISBLANK('Master Submitted DPDs'!#REF!),"",'Master Submitted DPDs'!#REF!),'Master Submitted DPDs'!#REF!)</f>
        <v>#REF!</v>
      </c>
      <c r="O172" s="2" t="e">
        <f>IF(ISBLANK('Master Submitted DPDs'!#REF!),"",'Master Submitted DPDs'!#REF!)</f>
        <v>#REF!</v>
      </c>
      <c r="P172" s="2" t="e">
        <f>IF(ISBLANK('Master Submitted DPDs'!#REF!),"",'Master Submitted DPDs'!#REF!)</f>
        <v>#REF!</v>
      </c>
      <c r="Q172" t="e">
        <f>IF(ISBLANK('Master Submitted DPDs'!#REF!),"",'Master Submitted DPDs'!#REF!)</f>
        <v>#REF!</v>
      </c>
      <c r="R172" t="e">
        <f t="shared" si="5"/>
        <v>#REF!</v>
      </c>
      <c r="S172" s="3"/>
      <c r="T172" t="e">
        <f>IF(ISBLANK('Master Submitted DPDs'!#REF!),"",'Master Submitted DPDs'!#REF!)</f>
        <v>#REF!</v>
      </c>
    </row>
    <row r="173" spans="1:20" ht="15" x14ac:dyDescent="0.2">
      <c r="A173" s="3" t="str">
        <f>IF(ISBLANK('Master Submitted DPDs'!#REF!),"","Local Plans")</f>
        <v>Local Plans</v>
      </c>
      <c r="B173" t="e">
        <f>IF(ISBLANK('Master Submitted DPDs'!#REF!),"",'Master Submitted DPDs'!#REF!)</f>
        <v>#REF!</v>
      </c>
      <c r="C173" s="3" t="str">
        <f>IF(ISBLANK('Master Submitted DPDs'!#REF!),"","IH")</f>
        <v>IH</v>
      </c>
      <c r="D173" s="3" t="e">
        <f>LOOKUP($F173,'fuzzy LPA lookup'!$E:$E,'fuzzy LPA lookup'!$A:$A)</f>
        <v>#REF!</v>
      </c>
      <c r="E173" s="3" t="e">
        <f>LOOKUP($F173,'fuzzy LPA lookup'!$E:$E,'fuzzy LPA lookup'!$D:$D)</f>
        <v>#REF!</v>
      </c>
      <c r="F173" s="8" t="e">
        <f>IF(ISBLANK('Master Submitted DPDs'!#REF!),"",'Master Submitted DPDs'!#REF!)</f>
        <v>#REF!</v>
      </c>
      <c r="G173" t="str">
        <f>IF(ISBLANK('Master Submitted DPDs'!#REF!),"","Withdrawn")</f>
        <v>Withdrawn</v>
      </c>
      <c r="H173" s="2" t="e">
        <f>IF(ISBLANK('Master Submitted DPDs'!#REF!),"",'Master Submitted DPDs'!#REF!)</f>
        <v>#REF!</v>
      </c>
      <c r="I173" s="3"/>
      <c r="J173" s="3"/>
      <c r="K173" s="3"/>
      <c r="L173" s="2" t="e">
        <f>IF(ISBLANK('Master Submitted DPDs'!#REF!),"",'Master Submitted DPDs'!#REF!)</f>
        <v>#REF!</v>
      </c>
      <c r="M173" s="2" t="e">
        <f t="shared" si="4"/>
        <v>#REF!</v>
      </c>
      <c r="N173" s="2" t="e">
        <f>IF(ISBLANK('Master Submitted DPDs'!#REF!),IF(ISBLANK('Master Submitted DPDs'!#REF!),"",'Master Submitted DPDs'!#REF!),'Master Submitted DPDs'!#REF!)</f>
        <v>#REF!</v>
      </c>
      <c r="O173" s="2" t="e">
        <f>IF(ISBLANK('Master Submitted DPDs'!#REF!),"",'Master Submitted DPDs'!#REF!)</f>
        <v>#REF!</v>
      </c>
      <c r="P173" s="2" t="e">
        <f>IF(ISBLANK('Master Submitted DPDs'!#REF!),"",'Master Submitted DPDs'!#REF!)</f>
        <v>#REF!</v>
      </c>
      <c r="Q173" t="e">
        <f>IF(ISBLANK('Master Submitted DPDs'!#REF!),"",'Master Submitted DPDs'!#REF!)</f>
        <v>#REF!</v>
      </c>
      <c r="R173" t="e">
        <f t="shared" si="5"/>
        <v>#REF!</v>
      </c>
      <c r="S173" s="3"/>
      <c r="T173" t="e">
        <f>IF(ISBLANK('Master Submitted DPDs'!#REF!),"",'Master Submitted DPDs'!#REF!)</f>
        <v>#REF!</v>
      </c>
    </row>
    <row r="174" spans="1:20" ht="15" x14ac:dyDescent="0.2">
      <c r="A174" s="3" t="str">
        <f>IF(ISBLANK('Master Submitted DPDs'!#REF!),"","Local Plans")</f>
        <v>Local Plans</v>
      </c>
      <c r="B174" t="e">
        <f>IF(ISBLANK('Master Submitted DPDs'!#REF!),"",'Master Submitted DPDs'!#REF!)</f>
        <v>#REF!</v>
      </c>
      <c r="C174" s="3" t="str">
        <f>IF(ISBLANK('Master Submitted DPDs'!#REF!),"","IH")</f>
        <v>IH</v>
      </c>
      <c r="D174" s="3" t="e">
        <f>LOOKUP($F174,'fuzzy LPA lookup'!$E:$E,'fuzzy LPA lookup'!$A:$A)</f>
        <v>#REF!</v>
      </c>
      <c r="E174" s="3" t="e">
        <f>LOOKUP($F174,'fuzzy LPA lookup'!$E:$E,'fuzzy LPA lookup'!$D:$D)</f>
        <v>#REF!</v>
      </c>
      <c r="F174" s="8" t="e">
        <f>IF(ISBLANK('Master Submitted DPDs'!#REF!),"",'Master Submitted DPDs'!#REF!)</f>
        <v>#REF!</v>
      </c>
      <c r="G174" t="str">
        <f>IF(ISBLANK('Master Submitted DPDs'!#REF!),"","Withdrawn")</f>
        <v>Withdrawn</v>
      </c>
      <c r="H174" s="2" t="e">
        <f>IF(ISBLANK('Master Submitted DPDs'!#REF!),"",'Master Submitted DPDs'!#REF!)</f>
        <v>#REF!</v>
      </c>
      <c r="I174" s="3"/>
      <c r="J174" s="3"/>
      <c r="K174" s="3"/>
      <c r="L174" s="2" t="e">
        <f>IF(ISBLANK('Master Submitted DPDs'!#REF!),"",'Master Submitted DPDs'!#REF!)</f>
        <v>#REF!</v>
      </c>
      <c r="M174" s="2" t="e">
        <f t="shared" si="4"/>
        <v>#REF!</v>
      </c>
      <c r="N174" s="2" t="e">
        <f>IF(ISBLANK('Master Submitted DPDs'!#REF!),IF(ISBLANK('Master Submitted DPDs'!#REF!),"",'Master Submitted DPDs'!#REF!),'Master Submitted DPDs'!#REF!)</f>
        <v>#REF!</v>
      </c>
      <c r="O174" s="2" t="e">
        <f>IF(ISBLANK('Master Submitted DPDs'!#REF!),"",'Master Submitted DPDs'!#REF!)</f>
        <v>#REF!</v>
      </c>
      <c r="P174" s="2" t="e">
        <f>IF(ISBLANK('Master Submitted DPDs'!#REF!),"",'Master Submitted DPDs'!#REF!)</f>
        <v>#REF!</v>
      </c>
      <c r="Q174" t="e">
        <f>IF(ISBLANK('Master Submitted DPDs'!#REF!),"",'Master Submitted DPDs'!#REF!)</f>
        <v>#REF!</v>
      </c>
      <c r="R174" t="e">
        <f t="shared" si="5"/>
        <v>#REF!</v>
      </c>
      <c r="S174" s="3"/>
      <c r="T174" t="e">
        <f>IF(ISBLANK('Master Submitted DPDs'!#REF!),"",'Master Submitted DPDs'!#REF!)</f>
        <v>#REF!</v>
      </c>
    </row>
    <row r="175" spans="1:20" ht="15" x14ac:dyDescent="0.2">
      <c r="A175" s="3" t="str">
        <f>IF(ISBLANK('Master Submitted DPDs'!#REF!),"","Local Plans")</f>
        <v>Local Plans</v>
      </c>
      <c r="B175" t="e">
        <f>IF(ISBLANK('Master Submitted DPDs'!#REF!),"",'Master Submitted DPDs'!#REF!)</f>
        <v>#REF!</v>
      </c>
      <c r="C175" s="3" t="str">
        <f>IF(ISBLANK('Master Submitted DPDs'!#REF!),"","IH")</f>
        <v>IH</v>
      </c>
      <c r="D175" s="3" t="e">
        <f>LOOKUP($F175,'fuzzy LPA lookup'!$E:$E,'fuzzy LPA lookup'!$A:$A)</f>
        <v>#REF!</v>
      </c>
      <c r="E175" s="3" t="e">
        <f>LOOKUP($F175,'fuzzy LPA lookup'!$E:$E,'fuzzy LPA lookup'!$D:$D)</f>
        <v>#REF!</v>
      </c>
      <c r="F175" s="8" t="e">
        <f>IF(ISBLANK('Master Submitted DPDs'!#REF!),"",'Master Submitted DPDs'!#REF!)</f>
        <v>#REF!</v>
      </c>
      <c r="G175" t="str">
        <f>IF(ISBLANK('Master Submitted DPDs'!#REF!),"","Withdrawn")</f>
        <v>Withdrawn</v>
      </c>
      <c r="H175" s="2" t="e">
        <f>IF(ISBLANK('Master Submitted DPDs'!#REF!),"",'Master Submitted DPDs'!#REF!)</f>
        <v>#REF!</v>
      </c>
      <c r="I175" s="3"/>
      <c r="J175" s="3"/>
      <c r="K175" s="3"/>
      <c r="L175" s="2" t="e">
        <f>IF(ISBLANK('Master Submitted DPDs'!#REF!),"",'Master Submitted DPDs'!#REF!)</f>
        <v>#REF!</v>
      </c>
      <c r="M175" s="2" t="e">
        <f t="shared" si="4"/>
        <v>#REF!</v>
      </c>
      <c r="N175" s="2" t="e">
        <f>IF(ISBLANK('Master Submitted DPDs'!#REF!),IF(ISBLANK('Master Submitted DPDs'!#REF!),"",'Master Submitted DPDs'!#REF!),'Master Submitted DPDs'!#REF!)</f>
        <v>#REF!</v>
      </c>
      <c r="O175" s="2" t="e">
        <f>IF(ISBLANK('Master Submitted DPDs'!#REF!),"",'Master Submitted DPDs'!#REF!)</f>
        <v>#REF!</v>
      </c>
      <c r="P175" s="2" t="e">
        <f>IF(ISBLANK('Master Submitted DPDs'!#REF!),"",'Master Submitted DPDs'!#REF!)</f>
        <v>#REF!</v>
      </c>
      <c r="Q175" t="e">
        <f>IF(ISBLANK('Master Submitted DPDs'!#REF!),"",'Master Submitted DPDs'!#REF!)</f>
        <v>#REF!</v>
      </c>
      <c r="R175" t="e">
        <f t="shared" si="5"/>
        <v>#REF!</v>
      </c>
      <c r="S175" s="3"/>
      <c r="T175" t="e">
        <f>IF(ISBLANK('Master Submitted DPDs'!#REF!),"",'Master Submitted DPDs'!#REF!)</f>
        <v>#REF!</v>
      </c>
    </row>
    <row r="176" spans="1:20" ht="15" x14ac:dyDescent="0.2">
      <c r="A176" s="3" t="str">
        <f>IF(ISBLANK('Master Submitted DPDs'!#REF!),"","Local Plans")</f>
        <v>Local Plans</v>
      </c>
      <c r="B176" t="e">
        <f>IF(ISBLANK('Master Submitted DPDs'!#REF!),"",'Master Submitted DPDs'!#REF!)</f>
        <v>#REF!</v>
      </c>
      <c r="C176" s="3" t="str">
        <f>IF(ISBLANK('Master Submitted DPDs'!#REF!),"","IH")</f>
        <v>IH</v>
      </c>
      <c r="D176" s="3" t="e">
        <f>LOOKUP($F176,'fuzzy LPA lookup'!$E:$E,'fuzzy LPA lookup'!$A:$A)</f>
        <v>#REF!</v>
      </c>
      <c r="E176" s="3" t="e">
        <f>LOOKUP($F176,'fuzzy LPA lookup'!$E:$E,'fuzzy LPA lookup'!$D:$D)</f>
        <v>#REF!</v>
      </c>
      <c r="F176" s="8" t="e">
        <f>IF(ISBLANK('Master Submitted DPDs'!#REF!),"",'Master Submitted DPDs'!#REF!)</f>
        <v>#REF!</v>
      </c>
      <c r="G176" t="str">
        <f>IF(ISBLANK('Master Submitted DPDs'!#REF!),"","Withdrawn")</f>
        <v>Withdrawn</v>
      </c>
      <c r="H176" s="2" t="e">
        <f>IF(ISBLANK('Master Submitted DPDs'!#REF!),"",'Master Submitted DPDs'!#REF!)</f>
        <v>#REF!</v>
      </c>
      <c r="I176" s="3"/>
      <c r="J176" s="3"/>
      <c r="K176" s="3"/>
      <c r="L176" s="2" t="e">
        <f>IF(ISBLANK('Master Submitted DPDs'!#REF!),"",'Master Submitted DPDs'!#REF!)</f>
        <v>#REF!</v>
      </c>
      <c r="M176" s="2" t="e">
        <f t="shared" si="4"/>
        <v>#REF!</v>
      </c>
      <c r="N176" s="2" t="e">
        <f>IF(ISBLANK('Master Submitted DPDs'!#REF!),IF(ISBLANK('Master Submitted DPDs'!#REF!),"",'Master Submitted DPDs'!#REF!),'Master Submitted DPDs'!#REF!)</f>
        <v>#REF!</v>
      </c>
      <c r="O176" s="2" t="e">
        <f>IF(ISBLANK('Master Submitted DPDs'!#REF!),"",'Master Submitted DPDs'!#REF!)</f>
        <v>#REF!</v>
      </c>
      <c r="P176" s="2" t="e">
        <f>IF(ISBLANK('Master Submitted DPDs'!#REF!),"",'Master Submitted DPDs'!#REF!)</f>
        <v>#REF!</v>
      </c>
      <c r="Q176" t="e">
        <f>IF(ISBLANK('Master Submitted DPDs'!#REF!),"",'Master Submitted DPDs'!#REF!)</f>
        <v>#REF!</v>
      </c>
      <c r="R176" t="e">
        <f t="shared" si="5"/>
        <v>#REF!</v>
      </c>
      <c r="S176" s="3"/>
      <c r="T176" t="e">
        <f>IF(ISBLANK('Master Submitted DPDs'!#REF!),"",'Master Submitted DPDs'!#REF!)</f>
        <v>#REF!</v>
      </c>
    </row>
    <row r="177" spans="1:20" ht="15" x14ac:dyDescent="0.2">
      <c r="A177" s="3" t="str">
        <f>IF(ISBLANK('Master Submitted DPDs'!#REF!),"","Local Plans")</f>
        <v>Local Plans</v>
      </c>
      <c r="B177" t="e">
        <f>IF(ISBLANK('Master Submitted DPDs'!#REF!),"",'Master Submitted DPDs'!#REF!)</f>
        <v>#REF!</v>
      </c>
      <c r="C177" s="3" t="str">
        <f>IF(ISBLANK('Master Submitted DPDs'!#REF!),"","IH")</f>
        <v>IH</v>
      </c>
      <c r="D177" s="3" t="e">
        <f>LOOKUP($F177,'fuzzy LPA lookup'!$E:$E,'fuzzy LPA lookup'!$A:$A)</f>
        <v>#REF!</v>
      </c>
      <c r="E177" s="3" t="e">
        <f>LOOKUP($F177,'fuzzy LPA lookup'!$E:$E,'fuzzy LPA lookup'!$D:$D)</f>
        <v>#REF!</v>
      </c>
      <c r="F177" s="8" t="e">
        <f>IF(ISBLANK('Master Submitted DPDs'!#REF!),"",'Master Submitted DPDs'!#REF!)</f>
        <v>#REF!</v>
      </c>
      <c r="G177" t="str">
        <f>IF(ISBLANK('Master Submitted DPDs'!#REF!),"","Withdrawn")</f>
        <v>Withdrawn</v>
      </c>
      <c r="H177" s="2" t="e">
        <f>IF(ISBLANK('Master Submitted DPDs'!#REF!),"",'Master Submitted DPDs'!#REF!)</f>
        <v>#REF!</v>
      </c>
      <c r="I177" s="3"/>
      <c r="J177" s="3"/>
      <c r="K177" s="3"/>
      <c r="L177" s="2" t="e">
        <f>IF(ISBLANK('Master Submitted DPDs'!#REF!),"",'Master Submitted DPDs'!#REF!)</f>
        <v>#REF!</v>
      </c>
      <c r="M177" s="2" t="e">
        <f t="shared" si="4"/>
        <v>#REF!</v>
      </c>
      <c r="N177" s="2" t="e">
        <f>IF(ISBLANK('Master Submitted DPDs'!#REF!),IF(ISBLANK('Master Submitted DPDs'!#REF!),"",'Master Submitted DPDs'!#REF!),'Master Submitted DPDs'!#REF!)</f>
        <v>#REF!</v>
      </c>
      <c r="O177" s="2" t="e">
        <f>IF(ISBLANK('Master Submitted DPDs'!#REF!),"",'Master Submitted DPDs'!#REF!)</f>
        <v>#REF!</v>
      </c>
      <c r="P177" s="2" t="e">
        <f>IF(ISBLANK('Master Submitted DPDs'!#REF!),"",'Master Submitted DPDs'!#REF!)</f>
        <v>#REF!</v>
      </c>
      <c r="Q177" t="e">
        <f>IF(ISBLANK('Master Submitted DPDs'!#REF!),"",'Master Submitted DPDs'!#REF!)</f>
        <v>#REF!</v>
      </c>
      <c r="R177" t="e">
        <f t="shared" si="5"/>
        <v>#REF!</v>
      </c>
      <c r="S177" s="3"/>
      <c r="T177" t="e">
        <f>IF(ISBLANK('Master Submitted DPDs'!#REF!),"",'Master Submitted DPDs'!#REF!)</f>
        <v>#REF!</v>
      </c>
    </row>
    <row r="178" spans="1:20" ht="15" x14ac:dyDescent="0.2">
      <c r="A178" s="3" t="str">
        <f>IF(ISBLANK('Master Submitted DPDs'!#REF!),"","Local Plans")</f>
        <v>Local Plans</v>
      </c>
      <c r="B178" t="e">
        <f>IF(ISBLANK('Master Submitted DPDs'!#REF!),"",'Master Submitted DPDs'!#REF!)</f>
        <v>#REF!</v>
      </c>
      <c r="C178" s="3" t="str">
        <f>IF(ISBLANK('Master Submitted DPDs'!#REF!),"","IH")</f>
        <v>IH</v>
      </c>
      <c r="D178" s="3" t="e">
        <f>LOOKUP($F178,'fuzzy LPA lookup'!$E:$E,'fuzzy LPA lookup'!$A:$A)</f>
        <v>#REF!</v>
      </c>
      <c r="E178" s="3" t="e">
        <f>LOOKUP($F178,'fuzzy LPA lookup'!$E:$E,'fuzzy LPA lookup'!$D:$D)</f>
        <v>#REF!</v>
      </c>
      <c r="F178" s="8" t="e">
        <f>IF(ISBLANK('Master Submitted DPDs'!#REF!),"",'Master Submitted DPDs'!#REF!)</f>
        <v>#REF!</v>
      </c>
      <c r="G178" t="str">
        <f>IF(ISBLANK('Master Submitted DPDs'!#REF!),"","Withdrawn")</f>
        <v>Withdrawn</v>
      </c>
      <c r="H178" s="2" t="e">
        <f>IF(ISBLANK('Master Submitted DPDs'!#REF!),"",'Master Submitted DPDs'!#REF!)</f>
        <v>#REF!</v>
      </c>
      <c r="I178" s="3"/>
      <c r="J178" s="3"/>
      <c r="K178" s="3"/>
      <c r="L178" s="2" t="e">
        <f>IF(ISBLANK('Master Submitted DPDs'!#REF!),"",'Master Submitted DPDs'!#REF!)</f>
        <v>#REF!</v>
      </c>
      <c r="M178" s="2" t="e">
        <f t="shared" si="4"/>
        <v>#REF!</v>
      </c>
      <c r="N178" s="2" t="e">
        <f>IF(ISBLANK('Master Submitted DPDs'!#REF!),IF(ISBLANK('Master Submitted DPDs'!#REF!),"",'Master Submitted DPDs'!#REF!),'Master Submitted DPDs'!#REF!)</f>
        <v>#REF!</v>
      </c>
      <c r="O178" s="2" t="e">
        <f>IF(ISBLANK('Master Submitted DPDs'!#REF!),"",'Master Submitted DPDs'!#REF!)</f>
        <v>#REF!</v>
      </c>
      <c r="P178" s="2" t="e">
        <f>IF(ISBLANK('Master Submitted DPDs'!#REF!),"",'Master Submitted DPDs'!#REF!)</f>
        <v>#REF!</v>
      </c>
      <c r="Q178" t="e">
        <f>IF(ISBLANK('Master Submitted DPDs'!#REF!),"",'Master Submitted DPDs'!#REF!)</f>
        <v>#REF!</v>
      </c>
      <c r="R178" t="e">
        <f t="shared" si="5"/>
        <v>#REF!</v>
      </c>
      <c r="S178" s="3"/>
      <c r="T178" t="e">
        <f>IF(ISBLANK('Master Submitted DPDs'!#REF!),"",'Master Submitted DPDs'!#REF!)</f>
        <v>#REF!</v>
      </c>
    </row>
    <row r="179" spans="1:20" ht="15" x14ac:dyDescent="0.2">
      <c r="A179" s="3" t="str">
        <f>IF(ISBLANK('Master Submitted DPDs'!#REF!),"","Local Plans")</f>
        <v>Local Plans</v>
      </c>
      <c r="B179" t="e">
        <f>IF(ISBLANK('Master Submitted DPDs'!#REF!),"",'Master Submitted DPDs'!#REF!)</f>
        <v>#REF!</v>
      </c>
      <c r="C179" s="3" t="str">
        <f>IF(ISBLANK('Master Submitted DPDs'!#REF!),"","IH")</f>
        <v>IH</v>
      </c>
      <c r="D179" s="3" t="e">
        <f>LOOKUP($F179,'fuzzy LPA lookup'!$E:$E,'fuzzy LPA lookup'!$A:$A)</f>
        <v>#REF!</v>
      </c>
      <c r="E179" s="3" t="e">
        <f>LOOKUP($F179,'fuzzy LPA lookup'!$E:$E,'fuzzy LPA lookup'!$D:$D)</f>
        <v>#REF!</v>
      </c>
      <c r="F179" s="8" t="e">
        <f>IF(ISBLANK('Master Submitted DPDs'!#REF!),"",'Master Submitted DPDs'!#REF!)</f>
        <v>#REF!</v>
      </c>
      <c r="G179" t="str">
        <f>IF(ISBLANK('Master Submitted DPDs'!#REF!),"","Withdrawn")</f>
        <v>Withdrawn</v>
      </c>
      <c r="H179" s="2" t="e">
        <f>IF(ISBLANK('Master Submitted DPDs'!#REF!),"",'Master Submitted DPDs'!#REF!)</f>
        <v>#REF!</v>
      </c>
      <c r="I179" s="3"/>
      <c r="J179" s="3"/>
      <c r="K179" s="3"/>
      <c r="L179" s="2" t="e">
        <f>IF(ISBLANK('Master Submitted DPDs'!#REF!),"",'Master Submitted DPDs'!#REF!)</f>
        <v>#REF!</v>
      </c>
      <c r="M179" s="2" t="e">
        <f t="shared" si="4"/>
        <v>#REF!</v>
      </c>
      <c r="N179" s="2" t="e">
        <f>IF(ISBLANK('Master Submitted DPDs'!#REF!),IF(ISBLANK('Master Submitted DPDs'!#REF!),"",'Master Submitted DPDs'!#REF!),'Master Submitted DPDs'!#REF!)</f>
        <v>#REF!</v>
      </c>
      <c r="O179" s="2" t="e">
        <f>IF(ISBLANK('Master Submitted DPDs'!#REF!),"",'Master Submitted DPDs'!#REF!)</f>
        <v>#REF!</v>
      </c>
      <c r="P179" s="2" t="e">
        <f>IF(ISBLANK('Master Submitted DPDs'!#REF!),"",'Master Submitted DPDs'!#REF!)</f>
        <v>#REF!</v>
      </c>
      <c r="Q179" t="e">
        <f>IF(ISBLANK('Master Submitted DPDs'!#REF!),"",'Master Submitted DPDs'!#REF!)</f>
        <v>#REF!</v>
      </c>
      <c r="R179" t="e">
        <f t="shared" si="5"/>
        <v>#REF!</v>
      </c>
      <c r="S179" s="3"/>
      <c r="T179" t="e">
        <f>IF(ISBLANK('Master Submitted DPDs'!#REF!),"",'Master Submitted DPDs'!#REF!)</f>
        <v>#REF!</v>
      </c>
    </row>
    <row r="180" spans="1:20" ht="15" x14ac:dyDescent="0.2">
      <c r="A180" s="3" t="str">
        <f>IF(ISBLANK('Master Submitted DPDs'!#REF!),"","Local Plans")</f>
        <v>Local Plans</v>
      </c>
      <c r="B180" t="e">
        <f>IF(ISBLANK('Master Submitted DPDs'!#REF!),"",'Master Submitted DPDs'!#REF!)</f>
        <v>#REF!</v>
      </c>
      <c r="C180" s="3" t="str">
        <f>IF(ISBLANK('Master Submitted DPDs'!#REF!),"","IH")</f>
        <v>IH</v>
      </c>
      <c r="D180" s="3" t="e">
        <f>LOOKUP($F180,'fuzzy LPA lookup'!$E:$E,'fuzzy LPA lookup'!$A:$A)</f>
        <v>#REF!</v>
      </c>
      <c r="E180" s="3" t="e">
        <f>LOOKUP($F180,'fuzzy LPA lookup'!$E:$E,'fuzzy LPA lookup'!$D:$D)</f>
        <v>#REF!</v>
      </c>
      <c r="F180" s="8" t="e">
        <f>IF(ISBLANK('Master Submitted DPDs'!#REF!),"",'Master Submitted DPDs'!#REF!)</f>
        <v>#REF!</v>
      </c>
      <c r="G180" t="str">
        <f>IF(ISBLANK('Master Submitted DPDs'!#REF!),"","Withdrawn")</f>
        <v>Withdrawn</v>
      </c>
      <c r="H180" s="2" t="e">
        <f>IF(ISBLANK('Master Submitted DPDs'!#REF!),"",'Master Submitted DPDs'!#REF!)</f>
        <v>#REF!</v>
      </c>
      <c r="I180" s="3"/>
      <c r="J180" s="3"/>
      <c r="K180" s="3"/>
      <c r="L180" s="2" t="e">
        <f>IF(ISBLANK('Master Submitted DPDs'!#REF!),"",'Master Submitted DPDs'!#REF!)</f>
        <v>#REF!</v>
      </c>
      <c r="M180" s="2" t="e">
        <f t="shared" si="4"/>
        <v>#REF!</v>
      </c>
      <c r="N180" s="2" t="e">
        <f>IF(ISBLANK('Master Submitted DPDs'!#REF!),IF(ISBLANK('Master Submitted DPDs'!#REF!),"",'Master Submitted DPDs'!#REF!),'Master Submitted DPDs'!#REF!)</f>
        <v>#REF!</v>
      </c>
      <c r="O180" s="2" t="e">
        <f>IF(ISBLANK('Master Submitted DPDs'!#REF!),"",'Master Submitted DPDs'!#REF!)</f>
        <v>#REF!</v>
      </c>
      <c r="P180" s="2" t="e">
        <f>IF(ISBLANK('Master Submitted DPDs'!#REF!),"",'Master Submitted DPDs'!#REF!)</f>
        <v>#REF!</v>
      </c>
      <c r="Q180" t="e">
        <f>IF(ISBLANK('Master Submitted DPDs'!#REF!),"",'Master Submitted DPDs'!#REF!)</f>
        <v>#REF!</v>
      </c>
      <c r="R180" t="e">
        <f t="shared" si="5"/>
        <v>#REF!</v>
      </c>
      <c r="S180" s="3"/>
      <c r="T180" t="e">
        <f>IF(ISBLANK('Master Submitted DPDs'!#REF!),"",'Master Submitted DPDs'!#REF!)</f>
        <v>#REF!</v>
      </c>
    </row>
    <row r="181" spans="1:20" ht="15" x14ac:dyDescent="0.2">
      <c r="A181" s="3" t="str">
        <f>IF(ISBLANK('Master Submitted DPDs'!#REF!),"","Local Plans")</f>
        <v>Local Plans</v>
      </c>
      <c r="B181" t="e">
        <f>IF(ISBLANK('Master Submitted DPDs'!#REF!),"",'Master Submitted DPDs'!#REF!)</f>
        <v>#REF!</v>
      </c>
      <c r="C181" s="3" t="str">
        <f>IF(ISBLANK('Master Submitted DPDs'!#REF!),"","IH")</f>
        <v>IH</v>
      </c>
      <c r="D181" s="3" t="e">
        <f>LOOKUP($F181,'fuzzy LPA lookup'!$E:$E,'fuzzy LPA lookup'!$A:$A)</f>
        <v>#REF!</v>
      </c>
      <c r="E181" s="3" t="e">
        <f>LOOKUP($F181,'fuzzy LPA lookup'!$E:$E,'fuzzy LPA lookup'!$D:$D)</f>
        <v>#REF!</v>
      </c>
      <c r="F181" s="8" t="e">
        <f>IF(ISBLANK('Master Submitted DPDs'!#REF!),"",'Master Submitted DPDs'!#REF!)</f>
        <v>#REF!</v>
      </c>
      <c r="G181" t="str">
        <f>IF(ISBLANK('Master Submitted DPDs'!#REF!),"","Withdrawn")</f>
        <v>Withdrawn</v>
      </c>
      <c r="H181" s="2" t="e">
        <f>IF(ISBLANK('Master Submitted DPDs'!#REF!),"",'Master Submitted DPDs'!#REF!)</f>
        <v>#REF!</v>
      </c>
      <c r="I181" s="3"/>
      <c r="J181" s="3"/>
      <c r="K181" s="3"/>
      <c r="L181" s="2" t="e">
        <f>IF(ISBLANK('Master Submitted DPDs'!#REF!),"",'Master Submitted DPDs'!#REF!)</f>
        <v>#REF!</v>
      </c>
      <c r="M181" s="2" t="e">
        <f t="shared" si="4"/>
        <v>#REF!</v>
      </c>
      <c r="N181" s="2" t="e">
        <f>IF(ISBLANK('Master Submitted DPDs'!#REF!),IF(ISBLANK('Master Submitted DPDs'!#REF!),"",'Master Submitted DPDs'!#REF!),'Master Submitted DPDs'!#REF!)</f>
        <v>#REF!</v>
      </c>
      <c r="O181" s="2" t="e">
        <f>IF(ISBLANK('Master Submitted DPDs'!#REF!),"",'Master Submitted DPDs'!#REF!)</f>
        <v>#REF!</v>
      </c>
      <c r="P181" s="2" t="e">
        <f>IF(ISBLANK('Master Submitted DPDs'!#REF!),"",'Master Submitted DPDs'!#REF!)</f>
        <v>#REF!</v>
      </c>
      <c r="Q181" t="e">
        <f>IF(ISBLANK('Master Submitted DPDs'!#REF!),"",'Master Submitted DPDs'!#REF!)</f>
        <v>#REF!</v>
      </c>
      <c r="R181" t="e">
        <f t="shared" si="5"/>
        <v>#REF!</v>
      </c>
      <c r="S181" s="3"/>
      <c r="T181" t="e">
        <f>IF(ISBLANK('Master Submitted DPDs'!#REF!),"",'Master Submitted DPDs'!#REF!)</f>
        <v>#REF!</v>
      </c>
    </row>
    <row r="182" spans="1:20" ht="15" x14ac:dyDescent="0.2">
      <c r="A182" s="3" t="str">
        <f>IF(ISBLANK('Master Submitted DPDs'!#REF!),"","Local Plans")</f>
        <v>Local Plans</v>
      </c>
      <c r="B182" t="e">
        <f>IF(ISBLANK('Master Submitted DPDs'!#REF!),"",'Master Submitted DPDs'!#REF!)</f>
        <v>#REF!</v>
      </c>
      <c r="C182" s="3" t="str">
        <f>IF(ISBLANK('Master Submitted DPDs'!#REF!),"","IH")</f>
        <v>IH</v>
      </c>
      <c r="D182" s="3" t="e">
        <f>LOOKUP($F182,'fuzzy LPA lookup'!$E:$E,'fuzzy LPA lookup'!$A:$A)</f>
        <v>#REF!</v>
      </c>
      <c r="E182" s="3" t="e">
        <f>LOOKUP($F182,'fuzzy LPA lookup'!$E:$E,'fuzzy LPA lookup'!$D:$D)</f>
        <v>#REF!</v>
      </c>
      <c r="F182" s="8" t="e">
        <f>IF(ISBLANK('Master Submitted DPDs'!#REF!),"",'Master Submitted DPDs'!#REF!)</f>
        <v>#REF!</v>
      </c>
      <c r="G182" t="str">
        <f>IF(ISBLANK('Master Submitted DPDs'!#REF!),"","Withdrawn")</f>
        <v>Withdrawn</v>
      </c>
      <c r="H182" s="2" t="e">
        <f>IF(ISBLANK('Master Submitted DPDs'!#REF!),"",'Master Submitted DPDs'!#REF!)</f>
        <v>#REF!</v>
      </c>
      <c r="I182" s="3"/>
      <c r="J182" s="3"/>
      <c r="K182" s="3"/>
      <c r="L182" s="2" t="e">
        <f>IF(ISBLANK('Master Submitted DPDs'!#REF!),"",'Master Submitted DPDs'!#REF!)</f>
        <v>#REF!</v>
      </c>
      <c r="M182" s="2" t="e">
        <f t="shared" si="4"/>
        <v>#REF!</v>
      </c>
      <c r="N182" s="2" t="e">
        <f>IF(ISBLANK('Master Submitted DPDs'!#REF!),IF(ISBLANK('Master Submitted DPDs'!#REF!),"",'Master Submitted DPDs'!#REF!),'Master Submitted DPDs'!#REF!)</f>
        <v>#REF!</v>
      </c>
      <c r="O182" s="2" t="e">
        <f>IF(ISBLANK('Master Submitted DPDs'!#REF!),"",'Master Submitted DPDs'!#REF!)</f>
        <v>#REF!</v>
      </c>
      <c r="P182" s="2" t="e">
        <f>IF(ISBLANK('Master Submitted DPDs'!#REF!),"",'Master Submitted DPDs'!#REF!)</f>
        <v>#REF!</v>
      </c>
      <c r="Q182" t="e">
        <f>IF(ISBLANK('Master Submitted DPDs'!#REF!),"",'Master Submitted DPDs'!#REF!)</f>
        <v>#REF!</v>
      </c>
      <c r="R182" t="e">
        <f t="shared" si="5"/>
        <v>#REF!</v>
      </c>
      <c r="S182" s="3"/>
      <c r="T182" t="e">
        <f>IF(ISBLANK('Master Submitted DPDs'!#REF!),"",'Master Submitted DPDs'!#REF!)</f>
        <v>#REF!</v>
      </c>
    </row>
    <row r="183" spans="1:20" ht="15" x14ac:dyDescent="0.2">
      <c r="A183" s="3" t="str">
        <f>IF(ISBLANK('Master Submitted DPDs'!#REF!),"","Local Plans")</f>
        <v>Local Plans</v>
      </c>
      <c r="B183" t="e">
        <f>IF(ISBLANK('Master Submitted DPDs'!#REF!),"",'Master Submitted DPDs'!#REF!)</f>
        <v>#REF!</v>
      </c>
      <c r="C183" s="3" t="str">
        <f>IF(ISBLANK('Master Submitted DPDs'!#REF!),"","IH")</f>
        <v>IH</v>
      </c>
      <c r="D183" s="3" t="e">
        <f>LOOKUP($F183,'fuzzy LPA lookup'!$E:$E,'fuzzy LPA lookup'!$A:$A)</f>
        <v>#REF!</v>
      </c>
      <c r="E183" s="3" t="e">
        <f>LOOKUP($F183,'fuzzy LPA lookup'!$E:$E,'fuzzy LPA lookup'!$D:$D)</f>
        <v>#REF!</v>
      </c>
      <c r="F183" s="8" t="e">
        <f>IF(ISBLANK('Master Submitted DPDs'!#REF!),"",'Master Submitted DPDs'!#REF!)</f>
        <v>#REF!</v>
      </c>
      <c r="G183" t="str">
        <f>IF(ISBLANK('Master Submitted DPDs'!#REF!),"","Withdrawn")</f>
        <v>Withdrawn</v>
      </c>
      <c r="H183" s="2" t="e">
        <f>IF(ISBLANK('Master Submitted DPDs'!#REF!),"",'Master Submitted DPDs'!#REF!)</f>
        <v>#REF!</v>
      </c>
      <c r="I183" s="3"/>
      <c r="J183" s="3"/>
      <c r="K183" s="3"/>
      <c r="L183" s="2" t="e">
        <f>IF(ISBLANK('Master Submitted DPDs'!#REF!),"",'Master Submitted DPDs'!#REF!)</f>
        <v>#REF!</v>
      </c>
      <c r="M183" s="2" t="e">
        <f t="shared" si="4"/>
        <v>#REF!</v>
      </c>
      <c r="N183" s="2" t="e">
        <f>IF(ISBLANK('Master Submitted DPDs'!#REF!),IF(ISBLANK('Master Submitted DPDs'!#REF!),"",'Master Submitted DPDs'!#REF!),'Master Submitted DPDs'!#REF!)</f>
        <v>#REF!</v>
      </c>
      <c r="O183" s="2" t="e">
        <f>IF(ISBLANK('Master Submitted DPDs'!#REF!),"",'Master Submitted DPDs'!#REF!)</f>
        <v>#REF!</v>
      </c>
      <c r="P183" s="2" t="e">
        <f>IF(ISBLANK('Master Submitted DPDs'!#REF!),"",'Master Submitted DPDs'!#REF!)</f>
        <v>#REF!</v>
      </c>
      <c r="Q183" t="e">
        <f>IF(ISBLANK('Master Submitted DPDs'!#REF!),"",'Master Submitted DPDs'!#REF!)</f>
        <v>#REF!</v>
      </c>
      <c r="R183" t="e">
        <f t="shared" si="5"/>
        <v>#REF!</v>
      </c>
      <c r="S183" s="3"/>
      <c r="T183" t="e">
        <f>IF(ISBLANK('Master Submitted DPDs'!#REF!),"",'Master Submitted DPDs'!#REF!)</f>
        <v>#REF!</v>
      </c>
    </row>
    <row r="184" spans="1:20" ht="15" x14ac:dyDescent="0.2">
      <c r="A184" s="3" t="str">
        <f>IF(ISBLANK('Master Submitted DPDs'!#REF!),"","Local Plans")</f>
        <v>Local Plans</v>
      </c>
      <c r="B184" t="e">
        <f>IF(ISBLANK('Master Submitted DPDs'!#REF!),"",'Master Submitted DPDs'!#REF!)</f>
        <v>#REF!</v>
      </c>
      <c r="C184" s="3" t="str">
        <f>IF(ISBLANK('Master Submitted DPDs'!#REF!),"","IH")</f>
        <v>IH</v>
      </c>
      <c r="D184" s="3" t="e">
        <f>LOOKUP($F184,'fuzzy LPA lookup'!$E:$E,'fuzzy LPA lookup'!$A:$A)</f>
        <v>#REF!</v>
      </c>
      <c r="E184" s="3" t="e">
        <f>LOOKUP($F184,'fuzzy LPA lookup'!$E:$E,'fuzzy LPA lookup'!$D:$D)</f>
        <v>#REF!</v>
      </c>
      <c r="F184" s="8" t="e">
        <f>IF(ISBLANK('Master Submitted DPDs'!#REF!),"",'Master Submitted DPDs'!#REF!)</f>
        <v>#REF!</v>
      </c>
      <c r="G184" t="str">
        <f>IF(ISBLANK('Master Submitted DPDs'!#REF!),"","Withdrawn")</f>
        <v>Withdrawn</v>
      </c>
      <c r="H184" s="2" t="e">
        <f>IF(ISBLANK('Master Submitted DPDs'!#REF!),"",'Master Submitted DPDs'!#REF!)</f>
        <v>#REF!</v>
      </c>
      <c r="I184" s="3"/>
      <c r="J184" s="3"/>
      <c r="K184" s="3"/>
      <c r="L184" s="2" t="e">
        <f>IF(ISBLANK('Master Submitted DPDs'!#REF!),"",'Master Submitted DPDs'!#REF!)</f>
        <v>#REF!</v>
      </c>
      <c r="M184" s="2" t="e">
        <f t="shared" si="4"/>
        <v>#REF!</v>
      </c>
      <c r="N184" s="2" t="e">
        <f>IF(ISBLANK('Master Submitted DPDs'!#REF!),IF(ISBLANK('Master Submitted DPDs'!#REF!),"",'Master Submitted DPDs'!#REF!),'Master Submitted DPDs'!#REF!)</f>
        <v>#REF!</v>
      </c>
      <c r="O184" s="2" t="e">
        <f>IF(ISBLANK('Master Submitted DPDs'!#REF!),"",'Master Submitted DPDs'!#REF!)</f>
        <v>#REF!</v>
      </c>
      <c r="P184" s="2" t="e">
        <f>IF(ISBLANK('Master Submitted DPDs'!#REF!),"",'Master Submitted DPDs'!#REF!)</f>
        <v>#REF!</v>
      </c>
      <c r="Q184" t="e">
        <f>IF(ISBLANK('Master Submitted DPDs'!#REF!),"",'Master Submitted DPDs'!#REF!)</f>
        <v>#REF!</v>
      </c>
      <c r="R184" t="e">
        <f t="shared" si="5"/>
        <v>#REF!</v>
      </c>
      <c r="S184" s="3"/>
      <c r="T184" t="e">
        <f>IF(ISBLANK('Master Submitted DPDs'!#REF!),"",'Master Submitted DPDs'!#REF!)</f>
        <v>#REF!</v>
      </c>
    </row>
    <row r="185" spans="1:20" ht="15" x14ac:dyDescent="0.2">
      <c r="A185" s="3" t="str">
        <f>IF(ISBLANK('Master Submitted DPDs'!#REF!),"","Local Plans")</f>
        <v>Local Plans</v>
      </c>
      <c r="B185" t="e">
        <f>IF(ISBLANK('Master Submitted DPDs'!#REF!),"",'Master Submitted DPDs'!#REF!)</f>
        <v>#REF!</v>
      </c>
      <c r="C185" s="3" t="str">
        <f>IF(ISBLANK('Master Submitted DPDs'!#REF!),"","IH")</f>
        <v>IH</v>
      </c>
      <c r="D185" s="3" t="e">
        <f>LOOKUP($F185,'fuzzy LPA lookup'!$E:$E,'fuzzy LPA lookup'!$A:$A)</f>
        <v>#REF!</v>
      </c>
      <c r="E185" s="3" t="e">
        <f>LOOKUP($F185,'fuzzy LPA lookup'!$E:$E,'fuzzy LPA lookup'!$D:$D)</f>
        <v>#REF!</v>
      </c>
      <c r="F185" s="8" t="e">
        <f>IF(ISBLANK('Master Submitted DPDs'!#REF!),"",'Master Submitted DPDs'!#REF!)</f>
        <v>#REF!</v>
      </c>
      <c r="G185" t="str">
        <f>IF(ISBLANK('Master Submitted DPDs'!#REF!),"","Withdrawn")</f>
        <v>Withdrawn</v>
      </c>
      <c r="H185" s="2" t="e">
        <f>IF(ISBLANK('Master Submitted DPDs'!#REF!),"",'Master Submitted DPDs'!#REF!)</f>
        <v>#REF!</v>
      </c>
      <c r="I185" s="3"/>
      <c r="J185" s="3"/>
      <c r="K185" s="3"/>
      <c r="L185" s="2" t="e">
        <f>IF(ISBLANK('Master Submitted DPDs'!#REF!),"",'Master Submitted DPDs'!#REF!)</f>
        <v>#REF!</v>
      </c>
      <c r="M185" s="2" t="e">
        <f t="shared" si="4"/>
        <v>#REF!</v>
      </c>
      <c r="N185" s="2" t="e">
        <f>IF(ISBLANK('Master Submitted DPDs'!#REF!),IF(ISBLANK('Master Submitted DPDs'!#REF!),"",'Master Submitted DPDs'!#REF!),'Master Submitted DPDs'!#REF!)</f>
        <v>#REF!</v>
      </c>
      <c r="O185" s="2" t="e">
        <f>IF(ISBLANK('Master Submitted DPDs'!#REF!),"",'Master Submitted DPDs'!#REF!)</f>
        <v>#REF!</v>
      </c>
      <c r="P185" s="2" t="e">
        <f>IF(ISBLANK('Master Submitted DPDs'!#REF!),"",'Master Submitted DPDs'!#REF!)</f>
        <v>#REF!</v>
      </c>
      <c r="Q185" t="e">
        <f>IF(ISBLANK('Master Submitted DPDs'!#REF!),"",'Master Submitted DPDs'!#REF!)</f>
        <v>#REF!</v>
      </c>
      <c r="R185" t="e">
        <f t="shared" si="5"/>
        <v>#REF!</v>
      </c>
      <c r="S185" s="3"/>
      <c r="T185" t="e">
        <f>IF(ISBLANK('Master Submitted DPDs'!#REF!),"",'Master Submitted DPDs'!#REF!)</f>
        <v>#REF!</v>
      </c>
    </row>
    <row r="186" spans="1:20" ht="15" x14ac:dyDescent="0.2">
      <c r="A186" s="3" t="str">
        <f>IF(ISBLANK('Master Submitted DPDs'!#REF!),"","Local Plans")</f>
        <v>Local Plans</v>
      </c>
      <c r="B186" t="e">
        <f>IF(ISBLANK('Master Submitted DPDs'!#REF!),"",'Master Submitted DPDs'!#REF!)</f>
        <v>#REF!</v>
      </c>
      <c r="C186" s="3" t="str">
        <f>IF(ISBLANK('Master Submitted DPDs'!#REF!),"","IH")</f>
        <v>IH</v>
      </c>
      <c r="D186" s="3" t="e">
        <f>LOOKUP($F186,'fuzzy LPA lookup'!$E:$E,'fuzzy LPA lookup'!$A:$A)</f>
        <v>#REF!</v>
      </c>
      <c r="E186" s="3" t="e">
        <f>LOOKUP($F186,'fuzzy LPA lookup'!$E:$E,'fuzzy LPA lookup'!$D:$D)</f>
        <v>#REF!</v>
      </c>
      <c r="F186" s="8" t="e">
        <f>IF(ISBLANK('Master Submitted DPDs'!#REF!),"",'Master Submitted DPDs'!#REF!)</f>
        <v>#REF!</v>
      </c>
      <c r="G186" t="str">
        <f>IF(ISBLANK('Master Submitted DPDs'!#REF!),"","Withdrawn")</f>
        <v>Withdrawn</v>
      </c>
      <c r="H186" s="2" t="e">
        <f>IF(ISBLANK('Master Submitted DPDs'!#REF!),"",'Master Submitted DPDs'!#REF!)</f>
        <v>#REF!</v>
      </c>
      <c r="I186" s="3"/>
      <c r="J186" s="3"/>
      <c r="K186" s="3"/>
      <c r="L186" s="2" t="e">
        <f>IF(ISBLANK('Master Submitted DPDs'!#REF!),"",'Master Submitted DPDs'!#REF!)</f>
        <v>#REF!</v>
      </c>
      <c r="M186" s="2" t="e">
        <f t="shared" si="4"/>
        <v>#REF!</v>
      </c>
      <c r="N186" s="2" t="e">
        <f>IF(ISBLANK('Master Submitted DPDs'!#REF!),IF(ISBLANK('Master Submitted DPDs'!#REF!),"",'Master Submitted DPDs'!#REF!),'Master Submitted DPDs'!#REF!)</f>
        <v>#REF!</v>
      </c>
      <c r="O186" s="2" t="e">
        <f>IF(ISBLANK('Master Submitted DPDs'!#REF!),"",'Master Submitted DPDs'!#REF!)</f>
        <v>#REF!</v>
      </c>
      <c r="P186" s="2" t="e">
        <f>IF(ISBLANK('Master Submitted DPDs'!#REF!),"",'Master Submitted DPDs'!#REF!)</f>
        <v>#REF!</v>
      </c>
      <c r="Q186" t="e">
        <f>IF(ISBLANK('Master Submitted DPDs'!#REF!),"",'Master Submitted DPDs'!#REF!)</f>
        <v>#REF!</v>
      </c>
      <c r="R186" t="e">
        <f t="shared" si="5"/>
        <v>#REF!</v>
      </c>
      <c r="S186" s="3"/>
      <c r="T186" t="e">
        <f>IF(ISBLANK('Master Submitted DPDs'!#REF!),"",'Master Submitted DPDs'!#REF!)</f>
        <v>#REF!</v>
      </c>
    </row>
    <row r="187" spans="1:20" ht="15" x14ac:dyDescent="0.2">
      <c r="A187" s="3" t="str">
        <f>IF(ISBLANK('Master Submitted DPDs'!#REF!),"","Local Plans")</f>
        <v>Local Plans</v>
      </c>
      <c r="B187" t="e">
        <f>IF(ISBLANK('Master Submitted DPDs'!#REF!),"",'Master Submitted DPDs'!#REF!)</f>
        <v>#REF!</v>
      </c>
      <c r="C187" s="3" t="str">
        <f>IF(ISBLANK('Master Submitted DPDs'!#REF!),"","IH")</f>
        <v>IH</v>
      </c>
      <c r="D187" s="3" t="e">
        <f>LOOKUP($F187,'fuzzy LPA lookup'!$E:$E,'fuzzy LPA lookup'!$A:$A)</f>
        <v>#REF!</v>
      </c>
      <c r="E187" s="3" t="e">
        <f>LOOKUP($F187,'fuzzy LPA lookup'!$E:$E,'fuzzy LPA lookup'!$D:$D)</f>
        <v>#REF!</v>
      </c>
      <c r="F187" s="8" t="e">
        <f>IF(ISBLANK('Master Submitted DPDs'!#REF!),"",'Master Submitted DPDs'!#REF!)</f>
        <v>#REF!</v>
      </c>
      <c r="G187" t="str">
        <f>IF(ISBLANK('Master Submitted DPDs'!#REF!),"","Withdrawn")</f>
        <v>Withdrawn</v>
      </c>
      <c r="H187" s="2" t="e">
        <f>IF(ISBLANK('Master Submitted DPDs'!#REF!),"",'Master Submitted DPDs'!#REF!)</f>
        <v>#REF!</v>
      </c>
      <c r="I187" s="3"/>
      <c r="J187" s="3"/>
      <c r="K187" s="3"/>
      <c r="L187" s="2" t="e">
        <f>IF(ISBLANK('Master Submitted DPDs'!#REF!),"",'Master Submitted DPDs'!#REF!)</f>
        <v>#REF!</v>
      </c>
      <c r="M187" s="2" t="e">
        <f t="shared" si="4"/>
        <v>#REF!</v>
      </c>
      <c r="N187" s="2" t="e">
        <f>IF(ISBLANK('Master Submitted DPDs'!#REF!),IF(ISBLANK('Master Submitted DPDs'!#REF!),"",'Master Submitted DPDs'!#REF!),'Master Submitted DPDs'!#REF!)</f>
        <v>#REF!</v>
      </c>
      <c r="O187" s="2" t="e">
        <f>IF(ISBLANK('Master Submitted DPDs'!#REF!),"",'Master Submitted DPDs'!#REF!)</f>
        <v>#REF!</v>
      </c>
      <c r="P187" s="2" t="e">
        <f>IF(ISBLANK('Master Submitted DPDs'!#REF!),"",'Master Submitted DPDs'!#REF!)</f>
        <v>#REF!</v>
      </c>
      <c r="Q187" t="e">
        <f>IF(ISBLANK('Master Submitted DPDs'!#REF!),"",'Master Submitted DPDs'!#REF!)</f>
        <v>#REF!</v>
      </c>
      <c r="R187" t="e">
        <f t="shared" si="5"/>
        <v>#REF!</v>
      </c>
      <c r="S187" s="3"/>
      <c r="T187" t="e">
        <f>IF(ISBLANK('Master Submitted DPDs'!#REF!),"",'Master Submitted DPDs'!#REF!)</f>
        <v>#REF!</v>
      </c>
    </row>
    <row r="188" spans="1:20" ht="15" x14ac:dyDescent="0.2">
      <c r="A188" s="3" t="str">
        <f>IF(ISBLANK('Master Submitted DPDs'!#REF!),"","Local Plans")</f>
        <v>Local Plans</v>
      </c>
      <c r="B188" t="e">
        <f>IF(ISBLANK('Master Submitted DPDs'!#REF!),"",'Master Submitted DPDs'!#REF!)</f>
        <v>#REF!</v>
      </c>
      <c r="C188" s="3" t="str">
        <f>IF(ISBLANK('Master Submitted DPDs'!#REF!),"","IH")</f>
        <v>IH</v>
      </c>
      <c r="D188" s="3" t="e">
        <f>LOOKUP($F188,'fuzzy LPA lookup'!$E:$E,'fuzzy LPA lookup'!$A:$A)</f>
        <v>#REF!</v>
      </c>
      <c r="E188" s="3" t="e">
        <f>LOOKUP($F188,'fuzzy LPA lookup'!$E:$E,'fuzzy LPA lookup'!$D:$D)</f>
        <v>#REF!</v>
      </c>
      <c r="F188" s="8" t="e">
        <f>IF(ISBLANK('Master Submitted DPDs'!#REF!),"",'Master Submitted DPDs'!#REF!)</f>
        <v>#REF!</v>
      </c>
      <c r="G188" t="str">
        <f>IF(ISBLANK('Master Submitted DPDs'!#REF!),"","Withdrawn")</f>
        <v>Withdrawn</v>
      </c>
      <c r="H188" s="2" t="e">
        <f>IF(ISBLANK('Master Submitted DPDs'!#REF!),"",'Master Submitted DPDs'!#REF!)</f>
        <v>#REF!</v>
      </c>
      <c r="I188" s="3"/>
      <c r="J188" s="3"/>
      <c r="K188" s="3"/>
      <c r="L188" s="2" t="e">
        <f>IF(ISBLANK('Master Submitted DPDs'!#REF!),"",'Master Submitted DPDs'!#REF!)</f>
        <v>#REF!</v>
      </c>
      <c r="M188" s="2" t="e">
        <f t="shared" si="4"/>
        <v>#REF!</v>
      </c>
      <c r="N188" s="2" t="e">
        <f>IF(ISBLANK('Master Submitted DPDs'!#REF!),IF(ISBLANK('Master Submitted DPDs'!#REF!),"",'Master Submitted DPDs'!#REF!),'Master Submitted DPDs'!#REF!)</f>
        <v>#REF!</v>
      </c>
      <c r="O188" s="2" t="e">
        <f>IF(ISBLANK('Master Submitted DPDs'!#REF!),"",'Master Submitted DPDs'!#REF!)</f>
        <v>#REF!</v>
      </c>
      <c r="P188" s="2" t="e">
        <f>IF(ISBLANK('Master Submitted DPDs'!#REF!),"",'Master Submitted DPDs'!#REF!)</f>
        <v>#REF!</v>
      </c>
      <c r="Q188" t="e">
        <f>IF(ISBLANK('Master Submitted DPDs'!#REF!),"",'Master Submitted DPDs'!#REF!)</f>
        <v>#REF!</v>
      </c>
      <c r="R188" t="e">
        <f t="shared" si="5"/>
        <v>#REF!</v>
      </c>
      <c r="S188" s="3"/>
      <c r="T188" t="e">
        <f>IF(ISBLANK('Master Submitted DPDs'!#REF!),"",'Master Submitted DPDs'!#REF!)</f>
        <v>#REF!</v>
      </c>
    </row>
    <row r="189" spans="1:20" ht="15" x14ac:dyDescent="0.2">
      <c r="A189" s="3" t="str">
        <f>IF(ISBLANK('Master Submitted DPDs'!#REF!),"","Local Plans")</f>
        <v>Local Plans</v>
      </c>
      <c r="B189" t="e">
        <f>IF(ISBLANK('Master Submitted DPDs'!#REF!),"",'Master Submitted DPDs'!#REF!)</f>
        <v>#REF!</v>
      </c>
      <c r="C189" s="3" t="str">
        <f>IF(ISBLANK('Master Submitted DPDs'!#REF!),"","IH")</f>
        <v>IH</v>
      </c>
      <c r="D189" s="3" t="e">
        <f>LOOKUP($F189,'fuzzy LPA lookup'!$E:$E,'fuzzy LPA lookup'!$A:$A)</f>
        <v>#REF!</v>
      </c>
      <c r="E189" s="3" t="e">
        <f>LOOKUP($F189,'fuzzy LPA lookup'!$E:$E,'fuzzy LPA lookup'!$D:$D)</f>
        <v>#REF!</v>
      </c>
      <c r="F189" s="8" t="e">
        <f>IF(ISBLANK('Master Submitted DPDs'!#REF!),"",'Master Submitted DPDs'!#REF!)</f>
        <v>#REF!</v>
      </c>
      <c r="G189" t="str">
        <f>IF(ISBLANK('Master Submitted DPDs'!#REF!),"","Withdrawn")</f>
        <v>Withdrawn</v>
      </c>
      <c r="H189" s="2" t="e">
        <f>IF(ISBLANK('Master Submitted DPDs'!#REF!),"",'Master Submitted DPDs'!#REF!)</f>
        <v>#REF!</v>
      </c>
      <c r="I189" s="3"/>
      <c r="J189" s="3"/>
      <c r="K189" s="3"/>
      <c r="L189" s="2" t="e">
        <f>IF(ISBLANK('Master Submitted DPDs'!#REF!),"",'Master Submitted DPDs'!#REF!)</f>
        <v>#REF!</v>
      </c>
      <c r="M189" s="2" t="e">
        <f t="shared" si="4"/>
        <v>#REF!</v>
      </c>
      <c r="N189" s="2" t="e">
        <f>IF(ISBLANK('Master Submitted DPDs'!#REF!),IF(ISBLANK('Master Submitted DPDs'!#REF!),"",'Master Submitted DPDs'!#REF!),'Master Submitted DPDs'!#REF!)</f>
        <v>#REF!</v>
      </c>
      <c r="O189" s="2" t="e">
        <f>IF(ISBLANK('Master Submitted DPDs'!#REF!),"",'Master Submitted DPDs'!#REF!)</f>
        <v>#REF!</v>
      </c>
      <c r="P189" s="2" t="e">
        <f>IF(ISBLANK('Master Submitted DPDs'!#REF!),"",'Master Submitted DPDs'!#REF!)</f>
        <v>#REF!</v>
      </c>
      <c r="Q189" t="e">
        <f>IF(ISBLANK('Master Submitted DPDs'!#REF!),"",'Master Submitted DPDs'!#REF!)</f>
        <v>#REF!</v>
      </c>
      <c r="R189" t="e">
        <f t="shared" si="5"/>
        <v>#REF!</v>
      </c>
      <c r="S189" s="3"/>
      <c r="T189" t="e">
        <f>IF(ISBLANK('Master Submitted DPDs'!#REF!),"",'Master Submitted DPDs'!#REF!)</f>
        <v>#REF!</v>
      </c>
    </row>
    <row r="190" spans="1:20" ht="15" x14ac:dyDescent="0.2">
      <c r="A190" s="3" t="str">
        <f>IF(ISBLANK('Master Submitted DPDs'!#REF!),"","Local Plans")</f>
        <v>Local Plans</v>
      </c>
      <c r="B190" t="e">
        <f>IF(ISBLANK('Master Submitted DPDs'!#REF!),"",'Master Submitted DPDs'!#REF!)</f>
        <v>#REF!</v>
      </c>
      <c r="C190" s="3" t="str">
        <f>IF(ISBLANK('Master Submitted DPDs'!#REF!),"","IH")</f>
        <v>IH</v>
      </c>
      <c r="D190" s="3" t="e">
        <f>LOOKUP($F190,'fuzzy LPA lookup'!$E:$E,'fuzzy LPA lookup'!$A:$A)</f>
        <v>#REF!</v>
      </c>
      <c r="E190" s="3" t="e">
        <f>LOOKUP($F190,'fuzzy LPA lookup'!$E:$E,'fuzzy LPA lookup'!$D:$D)</f>
        <v>#REF!</v>
      </c>
      <c r="F190" s="8" t="e">
        <f>IF(ISBLANK('Master Submitted DPDs'!#REF!),"",'Master Submitted DPDs'!#REF!)</f>
        <v>#REF!</v>
      </c>
      <c r="G190" t="str">
        <f>IF(ISBLANK('Master Submitted DPDs'!#REF!),"","Withdrawn")</f>
        <v>Withdrawn</v>
      </c>
      <c r="H190" s="2" t="e">
        <f>IF(ISBLANK('Master Submitted DPDs'!#REF!),"",'Master Submitted DPDs'!#REF!)</f>
        <v>#REF!</v>
      </c>
      <c r="I190" s="3"/>
      <c r="J190" s="3"/>
      <c r="K190" s="3"/>
      <c r="L190" s="2" t="e">
        <f>IF(ISBLANK('Master Submitted DPDs'!#REF!),"",'Master Submitted DPDs'!#REF!)</f>
        <v>#REF!</v>
      </c>
      <c r="M190" s="2" t="e">
        <f t="shared" si="4"/>
        <v>#REF!</v>
      </c>
      <c r="N190" s="2" t="e">
        <f>IF(ISBLANK('Master Submitted DPDs'!#REF!),IF(ISBLANK('Master Submitted DPDs'!#REF!),"",'Master Submitted DPDs'!#REF!),'Master Submitted DPDs'!#REF!)</f>
        <v>#REF!</v>
      </c>
      <c r="O190" s="2" t="e">
        <f>IF(ISBLANK('Master Submitted DPDs'!#REF!),"",'Master Submitted DPDs'!#REF!)</f>
        <v>#REF!</v>
      </c>
      <c r="P190" s="2" t="e">
        <f>IF(ISBLANK('Master Submitted DPDs'!#REF!),"",'Master Submitted DPDs'!#REF!)</f>
        <v>#REF!</v>
      </c>
      <c r="Q190" t="e">
        <f>IF(ISBLANK('Master Submitted DPDs'!#REF!),"",'Master Submitted DPDs'!#REF!)</f>
        <v>#REF!</v>
      </c>
      <c r="R190" t="e">
        <f t="shared" si="5"/>
        <v>#REF!</v>
      </c>
      <c r="S190" s="3"/>
      <c r="T190" t="e">
        <f>IF(ISBLANK('Master Submitted DPDs'!#REF!),"",'Master Submitted DPDs'!#REF!)</f>
        <v>#REF!</v>
      </c>
    </row>
    <row r="191" spans="1:20" ht="15" x14ac:dyDescent="0.2">
      <c r="A191" s="3" t="str">
        <f>IF(ISBLANK('Master Submitted DPDs'!#REF!),"","Local Plans")</f>
        <v>Local Plans</v>
      </c>
      <c r="B191" t="e">
        <f>IF(ISBLANK('Master Submitted DPDs'!#REF!),"",'Master Submitted DPDs'!#REF!)</f>
        <v>#REF!</v>
      </c>
      <c r="C191" s="3" t="str">
        <f>IF(ISBLANK('Master Submitted DPDs'!#REF!),"","IH")</f>
        <v>IH</v>
      </c>
      <c r="D191" s="3" t="e">
        <f>LOOKUP($F191,'fuzzy LPA lookup'!$E:$E,'fuzzy LPA lookup'!$A:$A)</f>
        <v>#REF!</v>
      </c>
      <c r="E191" s="3" t="e">
        <f>LOOKUP($F191,'fuzzy LPA lookup'!$E:$E,'fuzzy LPA lookup'!$D:$D)</f>
        <v>#REF!</v>
      </c>
      <c r="F191" s="8" t="e">
        <f>IF(ISBLANK('Master Submitted DPDs'!#REF!),"",'Master Submitted DPDs'!#REF!)</f>
        <v>#REF!</v>
      </c>
      <c r="G191" t="str">
        <f>IF(ISBLANK('Master Submitted DPDs'!#REF!),"","Withdrawn")</f>
        <v>Withdrawn</v>
      </c>
      <c r="H191" s="2" t="e">
        <f>IF(ISBLANK('Master Submitted DPDs'!#REF!),"",'Master Submitted DPDs'!#REF!)</f>
        <v>#REF!</v>
      </c>
      <c r="I191" s="3"/>
      <c r="J191" s="3"/>
      <c r="K191" s="3"/>
      <c r="L191" s="2" t="e">
        <f>IF(ISBLANK('Master Submitted DPDs'!#REF!),"",'Master Submitted DPDs'!#REF!)</f>
        <v>#REF!</v>
      </c>
      <c r="M191" s="2" t="e">
        <f t="shared" si="4"/>
        <v>#REF!</v>
      </c>
      <c r="N191" s="2" t="e">
        <f>IF(ISBLANK('Master Submitted DPDs'!#REF!),IF(ISBLANK('Master Submitted DPDs'!#REF!),"",'Master Submitted DPDs'!#REF!),'Master Submitted DPDs'!#REF!)</f>
        <v>#REF!</v>
      </c>
      <c r="O191" s="2" t="e">
        <f>IF(ISBLANK('Master Submitted DPDs'!#REF!),"",'Master Submitted DPDs'!#REF!)</f>
        <v>#REF!</v>
      </c>
      <c r="P191" s="2" t="e">
        <f>IF(ISBLANK('Master Submitted DPDs'!#REF!),"",'Master Submitted DPDs'!#REF!)</f>
        <v>#REF!</v>
      </c>
      <c r="Q191" t="e">
        <f>IF(ISBLANK('Master Submitted DPDs'!#REF!),"",'Master Submitted DPDs'!#REF!)</f>
        <v>#REF!</v>
      </c>
      <c r="R191" t="e">
        <f t="shared" si="5"/>
        <v>#REF!</v>
      </c>
      <c r="S191" s="3"/>
      <c r="T191" t="e">
        <f>IF(ISBLANK('Master Submitted DPDs'!#REF!),"",'Master Submitted DPDs'!#REF!)</f>
        <v>#REF!</v>
      </c>
    </row>
    <row r="192" spans="1:20" ht="15" x14ac:dyDescent="0.2">
      <c r="A192" s="3" t="str">
        <f>IF(ISBLANK('Master Submitted DPDs'!#REF!),"","Local Plans")</f>
        <v>Local Plans</v>
      </c>
      <c r="B192" t="e">
        <f>IF(ISBLANK('Master Submitted DPDs'!#REF!),"",'Master Submitted DPDs'!#REF!)</f>
        <v>#REF!</v>
      </c>
      <c r="C192" s="3" t="str">
        <f>IF(ISBLANK('Master Submitted DPDs'!#REF!),"","IH")</f>
        <v>IH</v>
      </c>
      <c r="D192" s="3" t="e">
        <f>LOOKUP($F192,'fuzzy LPA lookup'!$E:$E,'fuzzy LPA lookup'!$A:$A)</f>
        <v>#REF!</v>
      </c>
      <c r="E192" s="3" t="e">
        <f>LOOKUP($F192,'fuzzy LPA lookup'!$E:$E,'fuzzy LPA lookup'!$D:$D)</f>
        <v>#REF!</v>
      </c>
      <c r="F192" s="8" t="e">
        <f>IF(ISBLANK('Master Submitted DPDs'!#REF!),"",'Master Submitted DPDs'!#REF!)</f>
        <v>#REF!</v>
      </c>
      <c r="G192" t="str">
        <f>IF(ISBLANK('Master Submitted DPDs'!#REF!),"","Withdrawn")</f>
        <v>Withdrawn</v>
      </c>
      <c r="H192" s="2" t="e">
        <f>IF(ISBLANK('Master Submitted DPDs'!#REF!),"",'Master Submitted DPDs'!#REF!)</f>
        <v>#REF!</v>
      </c>
      <c r="I192" s="3"/>
      <c r="J192" s="3"/>
      <c r="K192" s="3"/>
      <c r="L192" s="2" t="e">
        <f>IF(ISBLANK('Master Submitted DPDs'!#REF!),"",'Master Submitted DPDs'!#REF!)</f>
        <v>#REF!</v>
      </c>
      <c r="M192" s="2" t="e">
        <f t="shared" si="4"/>
        <v>#REF!</v>
      </c>
      <c r="N192" s="2" t="e">
        <f>IF(ISBLANK('Master Submitted DPDs'!#REF!),IF(ISBLANK('Master Submitted DPDs'!#REF!),"",'Master Submitted DPDs'!#REF!),'Master Submitted DPDs'!#REF!)</f>
        <v>#REF!</v>
      </c>
      <c r="O192" s="2" t="e">
        <f>IF(ISBLANK('Master Submitted DPDs'!#REF!),"",'Master Submitted DPDs'!#REF!)</f>
        <v>#REF!</v>
      </c>
      <c r="P192" s="2" t="e">
        <f>IF(ISBLANK('Master Submitted DPDs'!#REF!),"",'Master Submitted DPDs'!#REF!)</f>
        <v>#REF!</v>
      </c>
      <c r="Q192" t="e">
        <f>IF(ISBLANK('Master Submitted DPDs'!#REF!),"",'Master Submitted DPDs'!#REF!)</f>
        <v>#REF!</v>
      </c>
      <c r="R192" t="e">
        <f t="shared" si="5"/>
        <v>#REF!</v>
      </c>
      <c r="S192" s="3"/>
      <c r="T192" t="e">
        <f>IF(ISBLANK('Master Submitted DPDs'!#REF!),"",'Master Submitted DPDs'!#REF!)</f>
        <v>#REF!</v>
      </c>
    </row>
    <row r="193" spans="1:20" ht="15" x14ac:dyDescent="0.2">
      <c r="A193" s="3" t="str">
        <f>IF(ISBLANK('Master Submitted DPDs'!#REF!),"","Local Plans")</f>
        <v>Local Plans</v>
      </c>
      <c r="B193" t="e">
        <f>IF(ISBLANK('Master Submitted DPDs'!#REF!),"",'Master Submitted DPDs'!#REF!)</f>
        <v>#REF!</v>
      </c>
      <c r="C193" s="3" t="str">
        <f>IF(ISBLANK('Master Submitted DPDs'!#REF!),"","IH")</f>
        <v>IH</v>
      </c>
      <c r="D193" s="3" t="e">
        <f>LOOKUP($F193,'fuzzy LPA lookup'!$E:$E,'fuzzy LPA lookup'!$A:$A)</f>
        <v>#REF!</v>
      </c>
      <c r="E193" s="3" t="e">
        <f>LOOKUP($F193,'fuzzy LPA lookup'!$E:$E,'fuzzy LPA lookup'!$D:$D)</f>
        <v>#REF!</v>
      </c>
      <c r="F193" s="8" t="e">
        <f>IF(ISBLANK('Master Submitted DPDs'!#REF!),"",'Master Submitted DPDs'!#REF!)</f>
        <v>#REF!</v>
      </c>
      <c r="G193" t="str">
        <f>IF(ISBLANK('Master Submitted DPDs'!#REF!),"","Withdrawn")</f>
        <v>Withdrawn</v>
      </c>
      <c r="H193" s="2" t="e">
        <f>IF(ISBLANK('Master Submitted DPDs'!#REF!),"",'Master Submitted DPDs'!#REF!)</f>
        <v>#REF!</v>
      </c>
      <c r="I193" s="3"/>
      <c r="J193" s="3"/>
      <c r="K193" s="3"/>
      <c r="L193" s="2" t="e">
        <f>IF(ISBLANK('Master Submitted DPDs'!#REF!),"",'Master Submitted DPDs'!#REF!)</f>
        <v>#REF!</v>
      </c>
      <c r="M193" s="2" t="e">
        <f t="shared" si="4"/>
        <v>#REF!</v>
      </c>
      <c r="N193" s="2" t="e">
        <f>IF(ISBLANK('Master Submitted DPDs'!#REF!),IF(ISBLANK('Master Submitted DPDs'!#REF!),"",'Master Submitted DPDs'!#REF!),'Master Submitted DPDs'!#REF!)</f>
        <v>#REF!</v>
      </c>
      <c r="O193" s="2" t="e">
        <f>IF(ISBLANK('Master Submitted DPDs'!#REF!),"",'Master Submitted DPDs'!#REF!)</f>
        <v>#REF!</v>
      </c>
      <c r="P193" s="2" t="e">
        <f>IF(ISBLANK('Master Submitted DPDs'!#REF!),"",'Master Submitted DPDs'!#REF!)</f>
        <v>#REF!</v>
      </c>
      <c r="Q193" t="e">
        <f>IF(ISBLANK('Master Submitted DPDs'!#REF!),"",'Master Submitted DPDs'!#REF!)</f>
        <v>#REF!</v>
      </c>
      <c r="R193" t="e">
        <f t="shared" si="5"/>
        <v>#REF!</v>
      </c>
      <c r="S193" s="3"/>
      <c r="T193" t="e">
        <f>IF(ISBLANK('Master Submitted DPDs'!#REF!),"",'Master Submitted DPDs'!#REF!)</f>
        <v>#REF!</v>
      </c>
    </row>
    <row r="194" spans="1:20" ht="15" x14ac:dyDescent="0.2">
      <c r="A194" s="3" t="str">
        <f>IF(ISBLANK('Master Submitted DPDs'!#REF!),"","Local Plans")</f>
        <v>Local Plans</v>
      </c>
      <c r="B194" t="e">
        <f>IF(ISBLANK('Master Submitted DPDs'!#REF!),"",'Master Submitted DPDs'!#REF!)</f>
        <v>#REF!</v>
      </c>
      <c r="C194" s="3" t="str">
        <f>IF(ISBLANK('Master Submitted DPDs'!#REF!),"","IH")</f>
        <v>IH</v>
      </c>
      <c r="D194" s="3" t="e">
        <f>LOOKUP($F194,'fuzzy LPA lookup'!$E:$E,'fuzzy LPA lookup'!$A:$A)</f>
        <v>#REF!</v>
      </c>
      <c r="E194" s="3" t="e">
        <f>LOOKUP($F194,'fuzzy LPA lookup'!$E:$E,'fuzzy LPA lookup'!$D:$D)</f>
        <v>#REF!</v>
      </c>
      <c r="F194" s="8" t="e">
        <f>IF(ISBLANK('Master Submitted DPDs'!#REF!),"",'Master Submitted DPDs'!#REF!)</f>
        <v>#REF!</v>
      </c>
      <c r="G194" t="str">
        <f>IF(ISBLANK('Master Submitted DPDs'!#REF!),"","Withdrawn")</f>
        <v>Withdrawn</v>
      </c>
      <c r="H194" s="2" t="e">
        <f>IF(ISBLANK('Master Submitted DPDs'!#REF!),"",'Master Submitted DPDs'!#REF!)</f>
        <v>#REF!</v>
      </c>
      <c r="I194" s="3"/>
      <c r="J194" s="3"/>
      <c r="K194" s="3"/>
      <c r="L194" s="2" t="e">
        <f>IF(ISBLANK('Master Submitted DPDs'!#REF!),"",'Master Submitted DPDs'!#REF!)</f>
        <v>#REF!</v>
      </c>
      <c r="M194" s="2" t="e">
        <f t="shared" ref="M194:M257" si="6">L194</f>
        <v>#REF!</v>
      </c>
      <c r="N194" s="2" t="e">
        <f>IF(ISBLANK('Master Submitted DPDs'!#REF!),IF(ISBLANK('Master Submitted DPDs'!#REF!),"",'Master Submitted DPDs'!#REF!),'Master Submitted DPDs'!#REF!)</f>
        <v>#REF!</v>
      </c>
      <c r="O194" s="2" t="e">
        <f>IF(ISBLANK('Master Submitted DPDs'!#REF!),"",'Master Submitted DPDs'!#REF!)</f>
        <v>#REF!</v>
      </c>
      <c r="P194" s="2" t="e">
        <f>IF(ISBLANK('Master Submitted DPDs'!#REF!),"",'Master Submitted DPDs'!#REF!)</f>
        <v>#REF!</v>
      </c>
      <c r="Q194" t="e">
        <f>IF(ISBLANK('Master Submitted DPDs'!#REF!),"",'Master Submitted DPDs'!#REF!)</f>
        <v>#REF!</v>
      </c>
      <c r="R194" t="e">
        <f t="shared" ref="R194:R257" si="7">IF(F194="","",IF(AND(H194="",Q194&lt;&gt;"UNS",P194=""),"Open","Closed"))</f>
        <v>#REF!</v>
      </c>
      <c r="S194" s="3"/>
      <c r="T194" t="e">
        <f>IF(ISBLANK('Master Submitted DPDs'!#REF!),"",'Master Submitted DPDs'!#REF!)</f>
        <v>#REF!</v>
      </c>
    </row>
    <row r="195" spans="1:20" ht="15" x14ac:dyDescent="0.2">
      <c r="A195" s="3" t="str">
        <f>IF(ISBLANK('Master Submitted DPDs'!#REF!),"","Local Plans")</f>
        <v>Local Plans</v>
      </c>
      <c r="B195" t="e">
        <f>IF(ISBLANK('Master Submitted DPDs'!#REF!),"",'Master Submitted DPDs'!#REF!)</f>
        <v>#REF!</v>
      </c>
      <c r="C195" s="3" t="str">
        <f>IF(ISBLANK('Master Submitted DPDs'!#REF!),"","IH")</f>
        <v>IH</v>
      </c>
      <c r="D195" s="3" t="e">
        <f>LOOKUP($F195,'fuzzy LPA lookup'!$E:$E,'fuzzy LPA lookup'!$A:$A)</f>
        <v>#REF!</v>
      </c>
      <c r="E195" s="3" t="e">
        <f>LOOKUP($F195,'fuzzy LPA lookup'!$E:$E,'fuzzy LPA lookup'!$D:$D)</f>
        <v>#REF!</v>
      </c>
      <c r="F195" s="8" t="e">
        <f>IF(ISBLANK('Master Submitted DPDs'!#REF!),"",'Master Submitted DPDs'!#REF!)</f>
        <v>#REF!</v>
      </c>
      <c r="G195" t="str">
        <f>IF(ISBLANK('Master Submitted DPDs'!#REF!),"","Withdrawn")</f>
        <v>Withdrawn</v>
      </c>
      <c r="H195" s="2" t="e">
        <f>IF(ISBLANK('Master Submitted DPDs'!#REF!),"",'Master Submitted DPDs'!#REF!)</f>
        <v>#REF!</v>
      </c>
      <c r="I195" s="3"/>
      <c r="J195" s="3"/>
      <c r="K195" s="3"/>
      <c r="L195" s="2" t="e">
        <f>IF(ISBLANK('Master Submitted DPDs'!#REF!),"",'Master Submitted DPDs'!#REF!)</f>
        <v>#REF!</v>
      </c>
      <c r="M195" s="2" t="e">
        <f t="shared" si="6"/>
        <v>#REF!</v>
      </c>
      <c r="N195" s="2" t="e">
        <f>IF(ISBLANK('Master Submitted DPDs'!#REF!),IF(ISBLANK('Master Submitted DPDs'!#REF!),"",'Master Submitted DPDs'!#REF!),'Master Submitted DPDs'!#REF!)</f>
        <v>#REF!</v>
      </c>
      <c r="O195" s="2" t="e">
        <f>IF(ISBLANK('Master Submitted DPDs'!#REF!),"",'Master Submitted DPDs'!#REF!)</f>
        <v>#REF!</v>
      </c>
      <c r="P195" s="2" t="e">
        <f>IF(ISBLANK('Master Submitted DPDs'!#REF!),"",'Master Submitted DPDs'!#REF!)</f>
        <v>#REF!</v>
      </c>
      <c r="Q195" t="e">
        <f>IF(ISBLANK('Master Submitted DPDs'!#REF!),"",'Master Submitted DPDs'!#REF!)</f>
        <v>#REF!</v>
      </c>
      <c r="R195" t="e">
        <f t="shared" si="7"/>
        <v>#REF!</v>
      </c>
      <c r="S195" s="3"/>
      <c r="T195" t="e">
        <f>IF(ISBLANK('Master Submitted DPDs'!#REF!),"",'Master Submitted DPDs'!#REF!)</f>
        <v>#REF!</v>
      </c>
    </row>
    <row r="196" spans="1:20" ht="15" x14ac:dyDescent="0.2">
      <c r="A196" s="3" t="str">
        <f>IF(ISBLANK('Master Submitted DPDs'!#REF!),"","Local Plans")</f>
        <v>Local Plans</v>
      </c>
      <c r="B196" t="e">
        <f>IF(ISBLANK('Master Submitted DPDs'!#REF!),"",'Master Submitted DPDs'!#REF!)</f>
        <v>#REF!</v>
      </c>
      <c r="C196" s="3" t="str">
        <f>IF(ISBLANK('Master Submitted DPDs'!#REF!),"","IH")</f>
        <v>IH</v>
      </c>
      <c r="D196" s="3" t="e">
        <f>LOOKUP($F196,'fuzzy LPA lookup'!$E:$E,'fuzzy LPA lookup'!$A:$A)</f>
        <v>#REF!</v>
      </c>
      <c r="E196" s="3" t="e">
        <f>LOOKUP($F196,'fuzzy LPA lookup'!$E:$E,'fuzzy LPA lookup'!$D:$D)</f>
        <v>#REF!</v>
      </c>
      <c r="F196" s="8" t="e">
        <f>IF(ISBLANK('Master Submitted DPDs'!#REF!),"",'Master Submitted DPDs'!#REF!)</f>
        <v>#REF!</v>
      </c>
      <c r="G196" t="str">
        <f>IF(ISBLANK('Master Submitted DPDs'!#REF!),"","Withdrawn")</f>
        <v>Withdrawn</v>
      </c>
      <c r="H196" s="2" t="e">
        <f>IF(ISBLANK('Master Submitted DPDs'!#REF!),"",'Master Submitted DPDs'!#REF!)</f>
        <v>#REF!</v>
      </c>
      <c r="I196" s="3"/>
      <c r="J196" s="3"/>
      <c r="K196" s="3"/>
      <c r="L196" s="2" t="e">
        <f>IF(ISBLANK('Master Submitted DPDs'!#REF!),"",'Master Submitted DPDs'!#REF!)</f>
        <v>#REF!</v>
      </c>
      <c r="M196" s="2" t="e">
        <f t="shared" si="6"/>
        <v>#REF!</v>
      </c>
      <c r="N196" s="2" t="e">
        <f>IF(ISBLANK('Master Submitted DPDs'!#REF!),IF(ISBLANK('Master Submitted DPDs'!#REF!),"",'Master Submitted DPDs'!#REF!),'Master Submitted DPDs'!#REF!)</f>
        <v>#REF!</v>
      </c>
      <c r="O196" s="2" t="e">
        <f>IF(ISBLANK('Master Submitted DPDs'!#REF!),"",'Master Submitted DPDs'!#REF!)</f>
        <v>#REF!</v>
      </c>
      <c r="P196" s="2" t="e">
        <f>IF(ISBLANK('Master Submitted DPDs'!#REF!),"",'Master Submitted DPDs'!#REF!)</f>
        <v>#REF!</v>
      </c>
      <c r="Q196" t="e">
        <f>IF(ISBLANK('Master Submitted DPDs'!#REF!),"",'Master Submitted DPDs'!#REF!)</f>
        <v>#REF!</v>
      </c>
      <c r="R196" t="e">
        <f t="shared" si="7"/>
        <v>#REF!</v>
      </c>
      <c r="S196" s="3"/>
      <c r="T196" t="e">
        <f>IF(ISBLANK('Master Submitted DPDs'!#REF!),"",'Master Submitted DPDs'!#REF!)</f>
        <v>#REF!</v>
      </c>
    </row>
    <row r="197" spans="1:20" ht="15" x14ac:dyDescent="0.2">
      <c r="A197" s="3" t="str">
        <f>IF(ISBLANK('Master Submitted DPDs'!#REF!),"","Local Plans")</f>
        <v>Local Plans</v>
      </c>
      <c r="B197" t="e">
        <f>IF(ISBLANK('Master Submitted DPDs'!#REF!),"",'Master Submitted DPDs'!#REF!)</f>
        <v>#REF!</v>
      </c>
      <c r="C197" s="3" t="str">
        <f>IF(ISBLANK('Master Submitted DPDs'!#REF!),"","IH")</f>
        <v>IH</v>
      </c>
      <c r="D197" s="3" t="e">
        <f>LOOKUP($F197,'fuzzy LPA lookup'!$E:$E,'fuzzy LPA lookup'!$A:$A)</f>
        <v>#REF!</v>
      </c>
      <c r="E197" s="3" t="e">
        <f>LOOKUP($F197,'fuzzy LPA lookup'!$E:$E,'fuzzy LPA lookup'!$D:$D)</f>
        <v>#REF!</v>
      </c>
      <c r="F197" s="8" t="e">
        <f>IF(ISBLANK('Master Submitted DPDs'!#REF!),"",'Master Submitted DPDs'!#REF!)</f>
        <v>#REF!</v>
      </c>
      <c r="G197" t="str">
        <f>IF(ISBLANK('Master Submitted DPDs'!#REF!),"","Withdrawn")</f>
        <v>Withdrawn</v>
      </c>
      <c r="H197" s="2" t="e">
        <f>IF(ISBLANK('Master Submitted DPDs'!#REF!),"",'Master Submitted DPDs'!#REF!)</f>
        <v>#REF!</v>
      </c>
      <c r="I197" s="3"/>
      <c r="J197" s="3"/>
      <c r="K197" s="3"/>
      <c r="L197" s="2" t="e">
        <f>IF(ISBLANK('Master Submitted DPDs'!#REF!),"",'Master Submitted DPDs'!#REF!)</f>
        <v>#REF!</v>
      </c>
      <c r="M197" s="2" t="e">
        <f t="shared" si="6"/>
        <v>#REF!</v>
      </c>
      <c r="N197" s="2" t="e">
        <f>IF(ISBLANK('Master Submitted DPDs'!#REF!),IF(ISBLANK('Master Submitted DPDs'!#REF!),"",'Master Submitted DPDs'!#REF!),'Master Submitted DPDs'!#REF!)</f>
        <v>#REF!</v>
      </c>
      <c r="O197" s="2" t="e">
        <f>IF(ISBLANK('Master Submitted DPDs'!#REF!),"",'Master Submitted DPDs'!#REF!)</f>
        <v>#REF!</v>
      </c>
      <c r="P197" s="2" t="e">
        <f>IF(ISBLANK('Master Submitted DPDs'!#REF!),"",'Master Submitted DPDs'!#REF!)</f>
        <v>#REF!</v>
      </c>
      <c r="Q197" t="e">
        <f>IF(ISBLANK('Master Submitted DPDs'!#REF!),"",'Master Submitted DPDs'!#REF!)</f>
        <v>#REF!</v>
      </c>
      <c r="R197" t="e">
        <f t="shared" si="7"/>
        <v>#REF!</v>
      </c>
      <c r="S197" s="3"/>
      <c r="T197" t="e">
        <f>IF(ISBLANK('Master Submitted DPDs'!#REF!),"",'Master Submitted DPDs'!#REF!)</f>
        <v>#REF!</v>
      </c>
    </row>
    <row r="198" spans="1:20" ht="15" x14ac:dyDescent="0.2">
      <c r="A198" s="3" t="str">
        <f>IF(ISBLANK('Master Submitted DPDs'!#REF!),"","Local Plans")</f>
        <v>Local Plans</v>
      </c>
      <c r="B198" t="e">
        <f>IF(ISBLANK('Master Submitted DPDs'!#REF!),"",'Master Submitted DPDs'!#REF!)</f>
        <v>#REF!</v>
      </c>
      <c r="C198" s="3" t="str">
        <f>IF(ISBLANK('Master Submitted DPDs'!#REF!),"","IH")</f>
        <v>IH</v>
      </c>
      <c r="D198" s="3" t="e">
        <f>LOOKUP($F198,'fuzzy LPA lookup'!$E:$E,'fuzzy LPA lookup'!$A:$A)</f>
        <v>#REF!</v>
      </c>
      <c r="E198" s="3" t="e">
        <f>LOOKUP($F198,'fuzzy LPA lookup'!$E:$E,'fuzzy LPA lookup'!$D:$D)</f>
        <v>#REF!</v>
      </c>
      <c r="F198" s="8" t="e">
        <f>IF(ISBLANK('Master Submitted DPDs'!#REF!),"",'Master Submitted DPDs'!#REF!)</f>
        <v>#REF!</v>
      </c>
      <c r="G198" t="str">
        <f>IF(ISBLANK('Master Submitted DPDs'!#REF!),"","Withdrawn")</f>
        <v>Withdrawn</v>
      </c>
      <c r="H198" s="2" t="e">
        <f>IF(ISBLANK('Master Submitted DPDs'!#REF!),"",'Master Submitted DPDs'!#REF!)</f>
        <v>#REF!</v>
      </c>
      <c r="I198" s="3"/>
      <c r="J198" s="3"/>
      <c r="K198" s="3"/>
      <c r="L198" s="2" t="e">
        <f>IF(ISBLANK('Master Submitted DPDs'!#REF!),"",'Master Submitted DPDs'!#REF!)</f>
        <v>#REF!</v>
      </c>
      <c r="M198" s="2" t="e">
        <f t="shared" si="6"/>
        <v>#REF!</v>
      </c>
      <c r="N198" s="2" t="e">
        <f>IF(ISBLANK('Master Submitted DPDs'!#REF!),IF(ISBLANK('Master Submitted DPDs'!#REF!),"",'Master Submitted DPDs'!#REF!),'Master Submitted DPDs'!#REF!)</f>
        <v>#REF!</v>
      </c>
      <c r="O198" s="2" t="e">
        <f>IF(ISBLANK('Master Submitted DPDs'!#REF!),"",'Master Submitted DPDs'!#REF!)</f>
        <v>#REF!</v>
      </c>
      <c r="P198" s="2" t="e">
        <f>IF(ISBLANK('Master Submitted DPDs'!#REF!),"",'Master Submitted DPDs'!#REF!)</f>
        <v>#REF!</v>
      </c>
      <c r="Q198" t="e">
        <f>IF(ISBLANK('Master Submitted DPDs'!#REF!),"",'Master Submitted DPDs'!#REF!)</f>
        <v>#REF!</v>
      </c>
      <c r="R198" t="e">
        <f t="shared" si="7"/>
        <v>#REF!</v>
      </c>
      <c r="S198" s="3"/>
      <c r="T198" t="e">
        <f>IF(ISBLANK('Master Submitted DPDs'!#REF!),"",'Master Submitted DPDs'!#REF!)</f>
        <v>#REF!</v>
      </c>
    </row>
    <row r="199" spans="1:20" ht="15" x14ac:dyDescent="0.2">
      <c r="A199" s="3" t="str">
        <f>IF(ISBLANK('Master Submitted DPDs'!#REF!),"","Local Plans")</f>
        <v>Local Plans</v>
      </c>
      <c r="B199" t="e">
        <f>IF(ISBLANK('Master Submitted DPDs'!#REF!),"",'Master Submitted DPDs'!#REF!)</f>
        <v>#REF!</v>
      </c>
      <c r="C199" s="3" t="str">
        <f>IF(ISBLANK('Master Submitted DPDs'!#REF!),"","IH")</f>
        <v>IH</v>
      </c>
      <c r="D199" s="3" t="e">
        <f>LOOKUP($F199,'fuzzy LPA lookup'!$E:$E,'fuzzy LPA lookup'!$A:$A)</f>
        <v>#REF!</v>
      </c>
      <c r="E199" s="3" t="e">
        <f>LOOKUP($F199,'fuzzy LPA lookup'!$E:$E,'fuzzy LPA lookup'!$D:$D)</f>
        <v>#REF!</v>
      </c>
      <c r="F199" s="8" t="e">
        <f>IF(ISBLANK('Master Submitted DPDs'!#REF!),"",'Master Submitted DPDs'!#REF!)</f>
        <v>#REF!</v>
      </c>
      <c r="G199" t="str">
        <f>IF(ISBLANK('Master Submitted DPDs'!#REF!),"","Withdrawn")</f>
        <v>Withdrawn</v>
      </c>
      <c r="H199" s="2" t="e">
        <f>IF(ISBLANK('Master Submitted DPDs'!#REF!),"",'Master Submitted DPDs'!#REF!)</f>
        <v>#REF!</v>
      </c>
      <c r="I199" s="3"/>
      <c r="J199" s="3"/>
      <c r="K199" s="3"/>
      <c r="L199" s="2" t="e">
        <f>IF(ISBLANK('Master Submitted DPDs'!#REF!),"",'Master Submitted DPDs'!#REF!)</f>
        <v>#REF!</v>
      </c>
      <c r="M199" s="2" t="e">
        <f t="shared" si="6"/>
        <v>#REF!</v>
      </c>
      <c r="N199" s="2" t="e">
        <f>IF(ISBLANK('Master Submitted DPDs'!#REF!),IF(ISBLANK('Master Submitted DPDs'!#REF!),"",'Master Submitted DPDs'!#REF!),'Master Submitted DPDs'!#REF!)</f>
        <v>#REF!</v>
      </c>
      <c r="O199" s="2" t="e">
        <f>IF(ISBLANK('Master Submitted DPDs'!#REF!),"",'Master Submitted DPDs'!#REF!)</f>
        <v>#REF!</v>
      </c>
      <c r="P199" s="2" t="e">
        <f>IF(ISBLANK('Master Submitted DPDs'!#REF!),"",'Master Submitted DPDs'!#REF!)</f>
        <v>#REF!</v>
      </c>
      <c r="Q199" t="e">
        <f>IF(ISBLANK('Master Submitted DPDs'!#REF!),"",'Master Submitted DPDs'!#REF!)</f>
        <v>#REF!</v>
      </c>
      <c r="R199" t="e">
        <f t="shared" si="7"/>
        <v>#REF!</v>
      </c>
      <c r="S199" s="3"/>
      <c r="T199" t="e">
        <f>IF(ISBLANK('Master Submitted DPDs'!#REF!),"",'Master Submitted DPDs'!#REF!)</f>
        <v>#REF!</v>
      </c>
    </row>
    <row r="200" spans="1:20" ht="15" x14ac:dyDescent="0.2">
      <c r="A200" s="3" t="str">
        <f>IF(ISBLANK('Master Submitted DPDs'!#REF!),"","Local Plans")</f>
        <v>Local Plans</v>
      </c>
      <c r="B200" t="e">
        <f>IF(ISBLANK('Master Submitted DPDs'!#REF!),"",'Master Submitted DPDs'!#REF!)</f>
        <v>#REF!</v>
      </c>
      <c r="C200" s="3" t="str">
        <f>IF(ISBLANK('Master Submitted DPDs'!#REF!),"","IH")</f>
        <v>IH</v>
      </c>
      <c r="D200" s="3" t="e">
        <f>LOOKUP($F200,'fuzzy LPA lookup'!$E:$E,'fuzzy LPA lookup'!$A:$A)</f>
        <v>#REF!</v>
      </c>
      <c r="E200" s="3" t="e">
        <f>LOOKUP($F200,'fuzzy LPA lookup'!$E:$E,'fuzzy LPA lookup'!$D:$D)</f>
        <v>#REF!</v>
      </c>
      <c r="F200" s="8" t="e">
        <f>IF(ISBLANK('Master Submitted DPDs'!#REF!),"",'Master Submitted DPDs'!#REF!)</f>
        <v>#REF!</v>
      </c>
      <c r="G200" t="str">
        <f>IF(ISBLANK('Master Submitted DPDs'!#REF!),"","Withdrawn")</f>
        <v>Withdrawn</v>
      </c>
      <c r="H200" s="2" t="e">
        <f>IF(ISBLANK('Master Submitted DPDs'!#REF!),"",'Master Submitted DPDs'!#REF!)</f>
        <v>#REF!</v>
      </c>
      <c r="I200" s="3"/>
      <c r="J200" s="3"/>
      <c r="K200" s="3"/>
      <c r="L200" s="2" t="e">
        <f>IF(ISBLANK('Master Submitted DPDs'!#REF!),"",'Master Submitted DPDs'!#REF!)</f>
        <v>#REF!</v>
      </c>
      <c r="M200" s="2" t="e">
        <f t="shared" si="6"/>
        <v>#REF!</v>
      </c>
      <c r="N200" s="2" t="e">
        <f>IF(ISBLANK('Master Submitted DPDs'!#REF!),IF(ISBLANK('Master Submitted DPDs'!#REF!),"",'Master Submitted DPDs'!#REF!),'Master Submitted DPDs'!#REF!)</f>
        <v>#REF!</v>
      </c>
      <c r="O200" s="2" t="e">
        <f>IF(ISBLANK('Master Submitted DPDs'!#REF!),"",'Master Submitted DPDs'!#REF!)</f>
        <v>#REF!</v>
      </c>
      <c r="P200" s="2" t="e">
        <f>IF(ISBLANK('Master Submitted DPDs'!#REF!),"",'Master Submitted DPDs'!#REF!)</f>
        <v>#REF!</v>
      </c>
      <c r="Q200" t="e">
        <f>IF(ISBLANK('Master Submitted DPDs'!#REF!),"",'Master Submitted DPDs'!#REF!)</f>
        <v>#REF!</v>
      </c>
      <c r="R200" t="e">
        <f t="shared" si="7"/>
        <v>#REF!</v>
      </c>
      <c r="S200" s="3"/>
      <c r="T200" t="e">
        <f>IF(ISBLANK('Master Submitted DPDs'!#REF!),"",'Master Submitted DPDs'!#REF!)</f>
        <v>#REF!</v>
      </c>
    </row>
    <row r="201" spans="1:20" ht="15" x14ac:dyDescent="0.2">
      <c r="A201" s="3" t="str">
        <f>IF(ISBLANK('Master Submitted DPDs'!#REF!),"","Local Plans")</f>
        <v>Local Plans</v>
      </c>
      <c r="B201" t="e">
        <f>IF(ISBLANK('Master Submitted DPDs'!#REF!),"",'Master Submitted DPDs'!#REF!)</f>
        <v>#REF!</v>
      </c>
      <c r="C201" s="3" t="str">
        <f>IF(ISBLANK('Master Submitted DPDs'!#REF!),"","IH")</f>
        <v>IH</v>
      </c>
      <c r="D201" s="3" t="e">
        <f>LOOKUP($F201,'fuzzy LPA lookup'!$E:$E,'fuzzy LPA lookup'!$A:$A)</f>
        <v>#REF!</v>
      </c>
      <c r="E201" s="3" t="e">
        <f>LOOKUP($F201,'fuzzy LPA lookup'!$E:$E,'fuzzy LPA lookup'!$D:$D)</f>
        <v>#REF!</v>
      </c>
      <c r="F201" s="8" t="e">
        <f>IF(ISBLANK('Master Submitted DPDs'!#REF!),"",'Master Submitted DPDs'!#REF!)</f>
        <v>#REF!</v>
      </c>
      <c r="G201" t="str">
        <f>IF(ISBLANK('Master Submitted DPDs'!#REF!),"","Withdrawn")</f>
        <v>Withdrawn</v>
      </c>
      <c r="H201" s="2" t="e">
        <f>IF(ISBLANK('Master Submitted DPDs'!#REF!),"",'Master Submitted DPDs'!#REF!)</f>
        <v>#REF!</v>
      </c>
      <c r="I201" s="3"/>
      <c r="J201" s="3"/>
      <c r="K201" s="3"/>
      <c r="L201" s="2" t="e">
        <f>IF(ISBLANK('Master Submitted DPDs'!#REF!),"",'Master Submitted DPDs'!#REF!)</f>
        <v>#REF!</v>
      </c>
      <c r="M201" s="2" t="e">
        <f t="shared" si="6"/>
        <v>#REF!</v>
      </c>
      <c r="N201" s="2" t="e">
        <f>IF(ISBLANK('Master Submitted DPDs'!#REF!),IF(ISBLANK('Master Submitted DPDs'!#REF!),"",'Master Submitted DPDs'!#REF!),'Master Submitted DPDs'!#REF!)</f>
        <v>#REF!</v>
      </c>
      <c r="O201" s="2" t="e">
        <f>IF(ISBLANK('Master Submitted DPDs'!#REF!),"",'Master Submitted DPDs'!#REF!)</f>
        <v>#REF!</v>
      </c>
      <c r="P201" s="2" t="e">
        <f>IF(ISBLANK('Master Submitted DPDs'!#REF!),"",'Master Submitted DPDs'!#REF!)</f>
        <v>#REF!</v>
      </c>
      <c r="Q201" t="e">
        <f>IF(ISBLANK('Master Submitted DPDs'!#REF!),"",'Master Submitted DPDs'!#REF!)</f>
        <v>#REF!</v>
      </c>
      <c r="R201" t="e">
        <f t="shared" si="7"/>
        <v>#REF!</v>
      </c>
      <c r="S201" s="3"/>
      <c r="T201" t="e">
        <f>IF(ISBLANK('Master Submitted DPDs'!#REF!),"",'Master Submitted DPDs'!#REF!)</f>
        <v>#REF!</v>
      </c>
    </row>
    <row r="202" spans="1:20" ht="15" x14ac:dyDescent="0.2">
      <c r="A202" s="3" t="str">
        <f>IF(ISBLANK('Master Submitted DPDs'!#REF!),"","Local Plans")</f>
        <v>Local Plans</v>
      </c>
      <c r="B202" t="e">
        <f>IF(ISBLANK('Master Submitted DPDs'!#REF!),"",'Master Submitted DPDs'!#REF!)</f>
        <v>#REF!</v>
      </c>
      <c r="C202" s="3" t="str">
        <f>IF(ISBLANK('Master Submitted DPDs'!#REF!),"","IH")</f>
        <v>IH</v>
      </c>
      <c r="D202" s="3" t="e">
        <f>LOOKUP($F202,'fuzzy LPA lookup'!$E:$E,'fuzzy LPA lookup'!$A:$A)</f>
        <v>#REF!</v>
      </c>
      <c r="E202" s="3" t="e">
        <f>LOOKUP($F202,'fuzzy LPA lookup'!$E:$E,'fuzzy LPA lookup'!$D:$D)</f>
        <v>#REF!</v>
      </c>
      <c r="F202" s="8" t="e">
        <f>IF(ISBLANK('Master Submitted DPDs'!#REF!),"",'Master Submitted DPDs'!#REF!)</f>
        <v>#REF!</v>
      </c>
      <c r="G202" t="str">
        <f>IF(ISBLANK('Master Submitted DPDs'!#REF!),"","Withdrawn")</f>
        <v>Withdrawn</v>
      </c>
      <c r="H202" s="2" t="e">
        <f>IF(ISBLANK('Master Submitted DPDs'!#REF!),"",'Master Submitted DPDs'!#REF!)</f>
        <v>#REF!</v>
      </c>
      <c r="I202" s="3"/>
      <c r="J202" s="3"/>
      <c r="K202" s="3"/>
      <c r="L202" s="2" t="e">
        <f>IF(ISBLANK('Master Submitted DPDs'!#REF!),"",'Master Submitted DPDs'!#REF!)</f>
        <v>#REF!</v>
      </c>
      <c r="M202" s="2" t="e">
        <f t="shared" si="6"/>
        <v>#REF!</v>
      </c>
      <c r="N202" s="2" t="e">
        <f>IF(ISBLANK('Master Submitted DPDs'!#REF!),IF(ISBLANK('Master Submitted DPDs'!#REF!),"",'Master Submitted DPDs'!#REF!),'Master Submitted DPDs'!#REF!)</f>
        <v>#REF!</v>
      </c>
      <c r="O202" s="2" t="e">
        <f>IF(ISBLANK('Master Submitted DPDs'!#REF!),"",'Master Submitted DPDs'!#REF!)</f>
        <v>#REF!</v>
      </c>
      <c r="P202" s="2" t="e">
        <f>IF(ISBLANK('Master Submitted DPDs'!#REF!),"",'Master Submitted DPDs'!#REF!)</f>
        <v>#REF!</v>
      </c>
      <c r="Q202" t="e">
        <f>IF(ISBLANK('Master Submitted DPDs'!#REF!),"",'Master Submitted DPDs'!#REF!)</f>
        <v>#REF!</v>
      </c>
      <c r="R202" t="e">
        <f t="shared" si="7"/>
        <v>#REF!</v>
      </c>
      <c r="S202" s="3"/>
      <c r="T202" t="e">
        <f>IF(ISBLANK('Master Submitted DPDs'!#REF!),"",'Master Submitted DPDs'!#REF!)</f>
        <v>#REF!</v>
      </c>
    </row>
    <row r="203" spans="1:20" ht="15" x14ac:dyDescent="0.2">
      <c r="A203" s="3" t="str">
        <f>IF(ISBLANK('Master Submitted DPDs'!#REF!),"","Local Plans")</f>
        <v>Local Plans</v>
      </c>
      <c r="B203" t="e">
        <f>IF(ISBLANK('Master Submitted DPDs'!#REF!),"",'Master Submitted DPDs'!#REF!)</f>
        <v>#REF!</v>
      </c>
      <c r="C203" s="3" t="str">
        <f>IF(ISBLANK('Master Submitted DPDs'!#REF!),"","IH")</f>
        <v>IH</v>
      </c>
      <c r="D203" s="3" t="e">
        <f>LOOKUP($F203,'fuzzy LPA lookup'!$E:$E,'fuzzy LPA lookup'!$A:$A)</f>
        <v>#REF!</v>
      </c>
      <c r="E203" s="3" t="e">
        <f>LOOKUP($F203,'fuzzy LPA lookup'!$E:$E,'fuzzy LPA lookup'!$D:$D)</f>
        <v>#REF!</v>
      </c>
      <c r="F203" s="8" t="e">
        <f>IF(ISBLANK('Master Submitted DPDs'!#REF!),"",'Master Submitted DPDs'!#REF!)</f>
        <v>#REF!</v>
      </c>
      <c r="G203" t="str">
        <f>IF(ISBLANK('Master Submitted DPDs'!#REF!),"","Withdrawn")</f>
        <v>Withdrawn</v>
      </c>
      <c r="H203" s="2" t="e">
        <f>IF(ISBLANK('Master Submitted DPDs'!#REF!),"",'Master Submitted DPDs'!#REF!)</f>
        <v>#REF!</v>
      </c>
      <c r="I203" s="3"/>
      <c r="J203" s="3"/>
      <c r="K203" s="3"/>
      <c r="L203" s="2" t="e">
        <f>IF(ISBLANK('Master Submitted DPDs'!#REF!),"",'Master Submitted DPDs'!#REF!)</f>
        <v>#REF!</v>
      </c>
      <c r="M203" s="2" t="e">
        <f t="shared" si="6"/>
        <v>#REF!</v>
      </c>
      <c r="N203" s="2" t="e">
        <f>IF(ISBLANK('Master Submitted DPDs'!#REF!),IF(ISBLANK('Master Submitted DPDs'!#REF!),"",'Master Submitted DPDs'!#REF!),'Master Submitted DPDs'!#REF!)</f>
        <v>#REF!</v>
      </c>
      <c r="O203" s="2" t="e">
        <f>IF(ISBLANK('Master Submitted DPDs'!#REF!),"",'Master Submitted DPDs'!#REF!)</f>
        <v>#REF!</v>
      </c>
      <c r="P203" s="2" t="e">
        <f>IF(ISBLANK('Master Submitted DPDs'!#REF!),"",'Master Submitted DPDs'!#REF!)</f>
        <v>#REF!</v>
      </c>
      <c r="Q203" t="e">
        <f>IF(ISBLANK('Master Submitted DPDs'!#REF!),"",'Master Submitted DPDs'!#REF!)</f>
        <v>#REF!</v>
      </c>
      <c r="R203" t="e">
        <f t="shared" si="7"/>
        <v>#REF!</v>
      </c>
      <c r="S203" s="3"/>
      <c r="T203" t="e">
        <f>IF(ISBLANK('Master Submitted DPDs'!#REF!),"",'Master Submitted DPDs'!#REF!)</f>
        <v>#REF!</v>
      </c>
    </row>
    <row r="204" spans="1:20" ht="15" x14ac:dyDescent="0.2">
      <c r="A204" s="3" t="str">
        <f>IF(ISBLANK('Master Submitted DPDs'!#REF!),"","Local Plans")</f>
        <v>Local Plans</v>
      </c>
      <c r="B204" t="e">
        <f>IF(ISBLANK('Master Submitted DPDs'!#REF!),"",'Master Submitted DPDs'!#REF!)</f>
        <v>#REF!</v>
      </c>
      <c r="C204" s="3" t="str">
        <f>IF(ISBLANK('Master Submitted DPDs'!#REF!),"","IH")</f>
        <v>IH</v>
      </c>
      <c r="D204" s="3" t="e">
        <f>LOOKUP($F204,'fuzzy LPA lookup'!$E:$E,'fuzzy LPA lookup'!$A:$A)</f>
        <v>#REF!</v>
      </c>
      <c r="E204" s="3" t="e">
        <f>LOOKUP($F204,'fuzzy LPA lookup'!$E:$E,'fuzzy LPA lookup'!$D:$D)</f>
        <v>#REF!</v>
      </c>
      <c r="F204" s="8" t="e">
        <f>IF(ISBLANK('Master Submitted DPDs'!#REF!),"",'Master Submitted DPDs'!#REF!)</f>
        <v>#REF!</v>
      </c>
      <c r="G204" t="str">
        <f>IF(ISBLANK('Master Submitted DPDs'!#REF!),"","Withdrawn")</f>
        <v>Withdrawn</v>
      </c>
      <c r="H204" s="2" t="e">
        <f>IF(ISBLANK('Master Submitted DPDs'!#REF!),"",'Master Submitted DPDs'!#REF!)</f>
        <v>#REF!</v>
      </c>
      <c r="I204" s="3"/>
      <c r="J204" s="3"/>
      <c r="K204" s="3"/>
      <c r="L204" s="2" t="e">
        <f>IF(ISBLANK('Master Submitted DPDs'!#REF!),"",'Master Submitted DPDs'!#REF!)</f>
        <v>#REF!</v>
      </c>
      <c r="M204" s="2" t="e">
        <f t="shared" si="6"/>
        <v>#REF!</v>
      </c>
      <c r="N204" s="2" t="e">
        <f>IF(ISBLANK('Master Submitted DPDs'!#REF!),IF(ISBLANK('Master Submitted DPDs'!#REF!),"",'Master Submitted DPDs'!#REF!),'Master Submitted DPDs'!#REF!)</f>
        <v>#REF!</v>
      </c>
      <c r="O204" s="2" t="e">
        <f>IF(ISBLANK('Master Submitted DPDs'!#REF!),"",'Master Submitted DPDs'!#REF!)</f>
        <v>#REF!</v>
      </c>
      <c r="P204" s="2" t="e">
        <f>IF(ISBLANK('Master Submitted DPDs'!#REF!),"",'Master Submitted DPDs'!#REF!)</f>
        <v>#REF!</v>
      </c>
      <c r="Q204" t="e">
        <f>IF(ISBLANK('Master Submitted DPDs'!#REF!),"",'Master Submitted DPDs'!#REF!)</f>
        <v>#REF!</v>
      </c>
      <c r="R204" t="e">
        <f t="shared" si="7"/>
        <v>#REF!</v>
      </c>
      <c r="S204" s="3"/>
      <c r="T204" t="e">
        <f>IF(ISBLANK('Master Submitted DPDs'!#REF!),"",'Master Submitted DPDs'!#REF!)</f>
        <v>#REF!</v>
      </c>
    </row>
    <row r="205" spans="1:20" ht="15" x14ac:dyDescent="0.2">
      <c r="A205" s="3" t="str">
        <f>IF(ISBLANK('Master Submitted DPDs'!#REF!),"","Local Plans")</f>
        <v>Local Plans</v>
      </c>
      <c r="B205" t="e">
        <f>IF(ISBLANK('Master Submitted DPDs'!#REF!),"",'Master Submitted DPDs'!#REF!)</f>
        <v>#REF!</v>
      </c>
      <c r="C205" s="3" t="str">
        <f>IF(ISBLANK('Master Submitted DPDs'!#REF!),"","IH")</f>
        <v>IH</v>
      </c>
      <c r="D205" s="3" t="e">
        <f>LOOKUP($F205,'fuzzy LPA lookup'!$E:$E,'fuzzy LPA lookup'!$A:$A)</f>
        <v>#REF!</v>
      </c>
      <c r="E205" s="3" t="e">
        <f>LOOKUP($F205,'fuzzy LPA lookup'!$E:$E,'fuzzy LPA lookup'!$D:$D)</f>
        <v>#REF!</v>
      </c>
      <c r="F205" s="8" t="e">
        <f>IF(ISBLANK('Master Submitted DPDs'!#REF!),"",'Master Submitted DPDs'!#REF!)</f>
        <v>#REF!</v>
      </c>
      <c r="G205" t="str">
        <f>IF(ISBLANK('Master Submitted DPDs'!#REF!),"","Withdrawn")</f>
        <v>Withdrawn</v>
      </c>
      <c r="H205" s="2" t="e">
        <f>IF(ISBLANK('Master Submitted DPDs'!#REF!),"",'Master Submitted DPDs'!#REF!)</f>
        <v>#REF!</v>
      </c>
      <c r="I205" s="3"/>
      <c r="J205" s="3"/>
      <c r="K205" s="3"/>
      <c r="L205" s="2" t="e">
        <f>IF(ISBLANK('Master Submitted DPDs'!#REF!),"",'Master Submitted DPDs'!#REF!)</f>
        <v>#REF!</v>
      </c>
      <c r="M205" s="2" t="e">
        <f t="shared" si="6"/>
        <v>#REF!</v>
      </c>
      <c r="N205" s="2" t="e">
        <f>IF(ISBLANK('Master Submitted DPDs'!#REF!),IF(ISBLANK('Master Submitted DPDs'!#REF!),"",'Master Submitted DPDs'!#REF!),'Master Submitted DPDs'!#REF!)</f>
        <v>#REF!</v>
      </c>
      <c r="O205" s="2" t="e">
        <f>IF(ISBLANK('Master Submitted DPDs'!#REF!),"",'Master Submitted DPDs'!#REF!)</f>
        <v>#REF!</v>
      </c>
      <c r="P205" s="2" t="e">
        <f>IF(ISBLANK('Master Submitted DPDs'!#REF!),"",'Master Submitted DPDs'!#REF!)</f>
        <v>#REF!</v>
      </c>
      <c r="Q205" t="e">
        <f>IF(ISBLANK('Master Submitted DPDs'!#REF!),"",'Master Submitted DPDs'!#REF!)</f>
        <v>#REF!</v>
      </c>
      <c r="R205" t="e">
        <f t="shared" si="7"/>
        <v>#REF!</v>
      </c>
      <c r="S205" s="3"/>
      <c r="T205" t="e">
        <f>IF(ISBLANK('Master Submitted DPDs'!#REF!),"",'Master Submitted DPDs'!#REF!)</f>
        <v>#REF!</v>
      </c>
    </row>
    <row r="206" spans="1:20" ht="15" x14ac:dyDescent="0.2">
      <c r="A206" s="3" t="str">
        <f>IF(ISBLANK('Master Submitted DPDs'!#REF!),"","Local Plans")</f>
        <v>Local Plans</v>
      </c>
      <c r="B206" t="e">
        <f>IF(ISBLANK('Master Submitted DPDs'!#REF!),"",'Master Submitted DPDs'!#REF!)</f>
        <v>#REF!</v>
      </c>
      <c r="C206" s="3" t="str">
        <f>IF(ISBLANK('Master Submitted DPDs'!#REF!),"","IH")</f>
        <v>IH</v>
      </c>
      <c r="D206" s="3" t="e">
        <f>LOOKUP($F206,'fuzzy LPA lookup'!$E:$E,'fuzzy LPA lookup'!$A:$A)</f>
        <v>#REF!</v>
      </c>
      <c r="E206" s="3" t="e">
        <f>LOOKUP($F206,'fuzzy LPA lookup'!$E:$E,'fuzzy LPA lookup'!$D:$D)</f>
        <v>#REF!</v>
      </c>
      <c r="F206" s="8" t="e">
        <f>IF(ISBLANK('Master Submitted DPDs'!#REF!),"",'Master Submitted DPDs'!#REF!)</f>
        <v>#REF!</v>
      </c>
      <c r="G206" t="str">
        <f>IF(ISBLANK('Master Submitted DPDs'!#REF!),"","Withdrawn")</f>
        <v>Withdrawn</v>
      </c>
      <c r="H206" s="2" t="e">
        <f>IF(ISBLANK('Master Submitted DPDs'!#REF!),"",'Master Submitted DPDs'!#REF!)</f>
        <v>#REF!</v>
      </c>
      <c r="I206" s="3"/>
      <c r="J206" s="3"/>
      <c r="K206" s="3"/>
      <c r="L206" s="2" t="e">
        <f>IF(ISBLANK('Master Submitted DPDs'!#REF!),"",'Master Submitted DPDs'!#REF!)</f>
        <v>#REF!</v>
      </c>
      <c r="M206" s="2" t="e">
        <f t="shared" si="6"/>
        <v>#REF!</v>
      </c>
      <c r="N206" s="2" t="e">
        <f>IF(ISBLANK('Master Submitted DPDs'!#REF!),IF(ISBLANK('Master Submitted DPDs'!#REF!),"",'Master Submitted DPDs'!#REF!),'Master Submitted DPDs'!#REF!)</f>
        <v>#REF!</v>
      </c>
      <c r="O206" s="2" t="e">
        <f>IF(ISBLANK('Master Submitted DPDs'!#REF!),"",'Master Submitted DPDs'!#REF!)</f>
        <v>#REF!</v>
      </c>
      <c r="P206" s="2" t="e">
        <f>IF(ISBLANK('Master Submitted DPDs'!#REF!),"",'Master Submitted DPDs'!#REF!)</f>
        <v>#REF!</v>
      </c>
      <c r="Q206" t="e">
        <f>IF(ISBLANK('Master Submitted DPDs'!#REF!),"",'Master Submitted DPDs'!#REF!)</f>
        <v>#REF!</v>
      </c>
      <c r="R206" t="e">
        <f t="shared" si="7"/>
        <v>#REF!</v>
      </c>
      <c r="S206" s="3"/>
      <c r="T206" t="e">
        <f>IF(ISBLANK('Master Submitted DPDs'!#REF!),"",'Master Submitted DPDs'!#REF!)</f>
        <v>#REF!</v>
      </c>
    </row>
    <row r="207" spans="1:20" ht="15" x14ac:dyDescent="0.2">
      <c r="A207" s="3" t="str">
        <f>IF(ISBLANK('Master Submitted DPDs'!#REF!),"","Local Plans")</f>
        <v>Local Plans</v>
      </c>
      <c r="B207" t="e">
        <f>IF(ISBLANK('Master Submitted DPDs'!#REF!),"",'Master Submitted DPDs'!#REF!)</f>
        <v>#REF!</v>
      </c>
      <c r="C207" s="3" t="str">
        <f>IF(ISBLANK('Master Submitted DPDs'!#REF!),"","IH")</f>
        <v>IH</v>
      </c>
      <c r="D207" s="3" t="e">
        <f>LOOKUP($F207,'fuzzy LPA lookup'!$E:$E,'fuzzy LPA lookup'!$A:$A)</f>
        <v>#REF!</v>
      </c>
      <c r="E207" s="3" t="e">
        <f>LOOKUP($F207,'fuzzy LPA lookup'!$E:$E,'fuzzy LPA lookup'!$D:$D)</f>
        <v>#REF!</v>
      </c>
      <c r="F207" s="8" t="e">
        <f>IF(ISBLANK('Master Submitted DPDs'!#REF!),"",'Master Submitted DPDs'!#REF!)</f>
        <v>#REF!</v>
      </c>
      <c r="G207" t="str">
        <f>IF(ISBLANK('Master Submitted DPDs'!#REF!),"","Withdrawn")</f>
        <v>Withdrawn</v>
      </c>
      <c r="H207" s="2" t="e">
        <f>IF(ISBLANK('Master Submitted DPDs'!#REF!),"",'Master Submitted DPDs'!#REF!)</f>
        <v>#REF!</v>
      </c>
      <c r="I207" s="3"/>
      <c r="J207" s="3"/>
      <c r="K207" s="3"/>
      <c r="L207" s="2" t="e">
        <f>IF(ISBLANK('Master Submitted DPDs'!#REF!),"",'Master Submitted DPDs'!#REF!)</f>
        <v>#REF!</v>
      </c>
      <c r="M207" s="2" t="e">
        <f t="shared" si="6"/>
        <v>#REF!</v>
      </c>
      <c r="N207" s="2" t="e">
        <f>IF(ISBLANK('Master Submitted DPDs'!#REF!),IF(ISBLANK('Master Submitted DPDs'!#REF!),"",'Master Submitted DPDs'!#REF!),'Master Submitted DPDs'!#REF!)</f>
        <v>#REF!</v>
      </c>
      <c r="O207" s="2" t="e">
        <f>IF(ISBLANK('Master Submitted DPDs'!#REF!),"",'Master Submitted DPDs'!#REF!)</f>
        <v>#REF!</v>
      </c>
      <c r="P207" s="2" t="e">
        <f>IF(ISBLANK('Master Submitted DPDs'!#REF!),"",'Master Submitted DPDs'!#REF!)</f>
        <v>#REF!</v>
      </c>
      <c r="Q207" t="e">
        <f>IF(ISBLANK('Master Submitted DPDs'!#REF!),"",'Master Submitted DPDs'!#REF!)</f>
        <v>#REF!</v>
      </c>
      <c r="R207" t="e">
        <f t="shared" si="7"/>
        <v>#REF!</v>
      </c>
      <c r="S207" s="3"/>
      <c r="T207" t="e">
        <f>IF(ISBLANK('Master Submitted DPDs'!#REF!),"",'Master Submitted DPDs'!#REF!)</f>
        <v>#REF!</v>
      </c>
    </row>
    <row r="208" spans="1:20" ht="15" x14ac:dyDescent="0.2">
      <c r="A208" s="3" t="str">
        <f>IF(ISBLANK('Master Submitted DPDs'!#REF!),"","Local Plans")</f>
        <v>Local Plans</v>
      </c>
      <c r="B208" t="e">
        <f>IF(ISBLANK('Master Submitted DPDs'!#REF!),"",'Master Submitted DPDs'!#REF!)</f>
        <v>#REF!</v>
      </c>
      <c r="C208" s="3" t="str">
        <f>IF(ISBLANK('Master Submitted DPDs'!#REF!),"","IH")</f>
        <v>IH</v>
      </c>
      <c r="D208" s="3" t="e">
        <f>LOOKUP($F208,'fuzzy LPA lookup'!$E:$E,'fuzzy LPA lookup'!$A:$A)</f>
        <v>#REF!</v>
      </c>
      <c r="E208" s="3" t="e">
        <f>LOOKUP($F208,'fuzzy LPA lookup'!$E:$E,'fuzzy LPA lookup'!$D:$D)</f>
        <v>#REF!</v>
      </c>
      <c r="F208" s="8" t="e">
        <f>IF(ISBLANK('Master Submitted DPDs'!#REF!),"",'Master Submitted DPDs'!#REF!)</f>
        <v>#REF!</v>
      </c>
      <c r="G208" t="str">
        <f>IF(ISBLANK('Master Submitted DPDs'!#REF!),"","Withdrawn")</f>
        <v>Withdrawn</v>
      </c>
      <c r="H208" s="2" t="e">
        <f>IF(ISBLANK('Master Submitted DPDs'!#REF!),"",'Master Submitted DPDs'!#REF!)</f>
        <v>#REF!</v>
      </c>
      <c r="I208" s="3"/>
      <c r="J208" s="3"/>
      <c r="K208" s="3"/>
      <c r="L208" s="2" t="e">
        <f>IF(ISBLANK('Master Submitted DPDs'!#REF!),"",'Master Submitted DPDs'!#REF!)</f>
        <v>#REF!</v>
      </c>
      <c r="M208" s="2" t="e">
        <f t="shared" si="6"/>
        <v>#REF!</v>
      </c>
      <c r="N208" s="2" t="e">
        <f>IF(ISBLANK('Master Submitted DPDs'!#REF!),IF(ISBLANK('Master Submitted DPDs'!#REF!),"",'Master Submitted DPDs'!#REF!),'Master Submitted DPDs'!#REF!)</f>
        <v>#REF!</v>
      </c>
      <c r="O208" s="2" t="e">
        <f>IF(ISBLANK('Master Submitted DPDs'!#REF!),"",'Master Submitted DPDs'!#REF!)</f>
        <v>#REF!</v>
      </c>
      <c r="P208" s="2" t="e">
        <f>IF(ISBLANK('Master Submitted DPDs'!#REF!),"",'Master Submitted DPDs'!#REF!)</f>
        <v>#REF!</v>
      </c>
      <c r="Q208" t="e">
        <f>IF(ISBLANK('Master Submitted DPDs'!#REF!),"",'Master Submitted DPDs'!#REF!)</f>
        <v>#REF!</v>
      </c>
      <c r="R208" t="e">
        <f t="shared" si="7"/>
        <v>#REF!</v>
      </c>
      <c r="S208" s="3"/>
      <c r="T208" t="e">
        <f>IF(ISBLANK('Master Submitted DPDs'!#REF!),"",'Master Submitted DPDs'!#REF!)</f>
        <v>#REF!</v>
      </c>
    </row>
    <row r="209" spans="1:20" ht="15" x14ac:dyDescent="0.2">
      <c r="A209" s="3" t="str">
        <f>IF(ISBLANK('Master Submitted DPDs'!#REF!),"","Local Plans")</f>
        <v>Local Plans</v>
      </c>
      <c r="B209" t="e">
        <f>IF(ISBLANK('Master Submitted DPDs'!#REF!),"",'Master Submitted DPDs'!#REF!)</f>
        <v>#REF!</v>
      </c>
      <c r="C209" s="3" t="str">
        <f>IF(ISBLANK('Master Submitted DPDs'!#REF!),"","IH")</f>
        <v>IH</v>
      </c>
      <c r="D209" s="3" t="e">
        <f>LOOKUP($F209,'fuzzy LPA lookup'!$E:$E,'fuzzy LPA lookup'!$A:$A)</f>
        <v>#REF!</v>
      </c>
      <c r="E209" s="3" t="e">
        <f>LOOKUP($F209,'fuzzy LPA lookup'!$E:$E,'fuzzy LPA lookup'!$D:$D)</f>
        <v>#REF!</v>
      </c>
      <c r="F209" s="8" t="e">
        <f>IF(ISBLANK('Master Submitted DPDs'!#REF!),"",'Master Submitted DPDs'!#REF!)</f>
        <v>#REF!</v>
      </c>
      <c r="G209" t="str">
        <f>IF(ISBLANK('Master Submitted DPDs'!#REF!),"","Withdrawn")</f>
        <v>Withdrawn</v>
      </c>
      <c r="H209" s="2" t="e">
        <f>IF(ISBLANK('Master Submitted DPDs'!#REF!),"",'Master Submitted DPDs'!#REF!)</f>
        <v>#REF!</v>
      </c>
      <c r="I209" s="3"/>
      <c r="J209" s="3"/>
      <c r="K209" s="3"/>
      <c r="L209" s="2" t="e">
        <f>IF(ISBLANK('Master Submitted DPDs'!#REF!),"",'Master Submitted DPDs'!#REF!)</f>
        <v>#REF!</v>
      </c>
      <c r="M209" s="2" t="e">
        <f t="shared" si="6"/>
        <v>#REF!</v>
      </c>
      <c r="N209" s="2" t="e">
        <f>IF(ISBLANK('Master Submitted DPDs'!#REF!),IF(ISBLANK('Master Submitted DPDs'!#REF!),"",'Master Submitted DPDs'!#REF!),'Master Submitted DPDs'!#REF!)</f>
        <v>#REF!</v>
      </c>
      <c r="O209" s="2" t="e">
        <f>IF(ISBLANK('Master Submitted DPDs'!#REF!),"",'Master Submitted DPDs'!#REF!)</f>
        <v>#REF!</v>
      </c>
      <c r="P209" s="2" t="e">
        <f>IF(ISBLANK('Master Submitted DPDs'!#REF!),"",'Master Submitted DPDs'!#REF!)</f>
        <v>#REF!</v>
      </c>
      <c r="Q209" t="e">
        <f>IF(ISBLANK('Master Submitted DPDs'!#REF!),"",'Master Submitted DPDs'!#REF!)</f>
        <v>#REF!</v>
      </c>
      <c r="R209" t="e">
        <f t="shared" si="7"/>
        <v>#REF!</v>
      </c>
      <c r="S209" s="3"/>
      <c r="T209" t="e">
        <f>IF(ISBLANK('Master Submitted DPDs'!#REF!),"",'Master Submitted DPDs'!#REF!)</f>
        <v>#REF!</v>
      </c>
    </row>
    <row r="210" spans="1:20" ht="15" x14ac:dyDescent="0.2">
      <c r="A210" s="3" t="str">
        <f>IF(ISBLANK('Master Submitted DPDs'!#REF!),"","Local Plans")</f>
        <v>Local Plans</v>
      </c>
      <c r="B210" t="e">
        <f>IF(ISBLANK('Master Submitted DPDs'!#REF!),"",'Master Submitted DPDs'!#REF!)</f>
        <v>#REF!</v>
      </c>
      <c r="C210" s="3" t="str">
        <f>IF(ISBLANK('Master Submitted DPDs'!#REF!),"","IH")</f>
        <v>IH</v>
      </c>
      <c r="D210" s="3" t="e">
        <f>LOOKUP($F210,'fuzzy LPA lookup'!$E:$E,'fuzzy LPA lookup'!$A:$A)</f>
        <v>#REF!</v>
      </c>
      <c r="E210" s="3" t="e">
        <f>LOOKUP($F210,'fuzzy LPA lookup'!$E:$E,'fuzzy LPA lookup'!$D:$D)</f>
        <v>#REF!</v>
      </c>
      <c r="F210" s="8" t="e">
        <f>IF(ISBLANK('Master Submitted DPDs'!#REF!),"",'Master Submitted DPDs'!#REF!)</f>
        <v>#REF!</v>
      </c>
      <c r="G210" t="str">
        <f>IF(ISBLANK('Master Submitted DPDs'!#REF!),"","Withdrawn")</f>
        <v>Withdrawn</v>
      </c>
      <c r="H210" s="2" t="e">
        <f>IF(ISBLANK('Master Submitted DPDs'!#REF!),"",'Master Submitted DPDs'!#REF!)</f>
        <v>#REF!</v>
      </c>
      <c r="I210" s="3"/>
      <c r="J210" s="3"/>
      <c r="K210" s="3"/>
      <c r="L210" s="2" t="e">
        <f>IF(ISBLANK('Master Submitted DPDs'!#REF!),"",'Master Submitted DPDs'!#REF!)</f>
        <v>#REF!</v>
      </c>
      <c r="M210" s="2" t="e">
        <f t="shared" si="6"/>
        <v>#REF!</v>
      </c>
      <c r="N210" s="2" t="e">
        <f>IF(ISBLANK('Master Submitted DPDs'!#REF!),IF(ISBLANK('Master Submitted DPDs'!#REF!),"",'Master Submitted DPDs'!#REF!),'Master Submitted DPDs'!#REF!)</f>
        <v>#REF!</v>
      </c>
      <c r="O210" s="2" t="e">
        <f>IF(ISBLANK('Master Submitted DPDs'!#REF!),"",'Master Submitted DPDs'!#REF!)</f>
        <v>#REF!</v>
      </c>
      <c r="P210" s="2" t="e">
        <f>IF(ISBLANK('Master Submitted DPDs'!#REF!),"",'Master Submitted DPDs'!#REF!)</f>
        <v>#REF!</v>
      </c>
      <c r="Q210" t="e">
        <f>IF(ISBLANK('Master Submitted DPDs'!#REF!),"",'Master Submitted DPDs'!#REF!)</f>
        <v>#REF!</v>
      </c>
      <c r="R210" t="e">
        <f t="shared" si="7"/>
        <v>#REF!</v>
      </c>
      <c r="S210" s="3"/>
      <c r="T210" t="e">
        <f>IF(ISBLANK('Master Submitted DPDs'!#REF!),"",'Master Submitted DPDs'!#REF!)</f>
        <v>#REF!</v>
      </c>
    </row>
    <row r="211" spans="1:20" ht="15" x14ac:dyDescent="0.2">
      <c r="A211" s="3" t="str">
        <f>IF(ISBLANK('Master Submitted DPDs'!#REF!),"","Local Plans")</f>
        <v>Local Plans</v>
      </c>
      <c r="B211" t="e">
        <f>IF(ISBLANK('Master Submitted DPDs'!#REF!),"",'Master Submitted DPDs'!#REF!)</f>
        <v>#REF!</v>
      </c>
      <c r="C211" s="3" t="str">
        <f>IF(ISBLANK('Master Submitted DPDs'!#REF!),"","IH")</f>
        <v>IH</v>
      </c>
      <c r="D211" s="3" t="e">
        <f>LOOKUP($F211,'fuzzy LPA lookup'!$E:$E,'fuzzy LPA lookup'!$A:$A)</f>
        <v>#REF!</v>
      </c>
      <c r="E211" s="3" t="e">
        <f>LOOKUP($F211,'fuzzy LPA lookup'!$E:$E,'fuzzy LPA lookup'!$D:$D)</f>
        <v>#REF!</v>
      </c>
      <c r="F211" s="8" t="e">
        <f>IF(ISBLANK('Master Submitted DPDs'!#REF!),"",'Master Submitted DPDs'!#REF!)</f>
        <v>#REF!</v>
      </c>
      <c r="G211" t="str">
        <f>IF(ISBLANK('Master Submitted DPDs'!#REF!),"","Withdrawn")</f>
        <v>Withdrawn</v>
      </c>
      <c r="H211" s="2" t="e">
        <f>IF(ISBLANK('Master Submitted DPDs'!#REF!),"",'Master Submitted DPDs'!#REF!)</f>
        <v>#REF!</v>
      </c>
      <c r="I211" s="3"/>
      <c r="J211" s="3"/>
      <c r="K211" s="3"/>
      <c r="L211" s="2" t="e">
        <f>IF(ISBLANK('Master Submitted DPDs'!#REF!),"",'Master Submitted DPDs'!#REF!)</f>
        <v>#REF!</v>
      </c>
      <c r="M211" s="2" t="e">
        <f t="shared" si="6"/>
        <v>#REF!</v>
      </c>
      <c r="N211" s="2" t="e">
        <f>IF(ISBLANK('Master Submitted DPDs'!#REF!),IF(ISBLANK('Master Submitted DPDs'!#REF!),"",'Master Submitted DPDs'!#REF!),'Master Submitted DPDs'!#REF!)</f>
        <v>#REF!</v>
      </c>
      <c r="O211" s="2" t="e">
        <f>IF(ISBLANK('Master Submitted DPDs'!#REF!),"",'Master Submitted DPDs'!#REF!)</f>
        <v>#REF!</v>
      </c>
      <c r="P211" s="2" t="e">
        <f>IF(ISBLANK('Master Submitted DPDs'!#REF!),"",'Master Submitted DPDs'!#REF!)</f>
        <v>#REF!</v>
      </c>
      <c r="Q211" t="e">
        <f>IF(ISBLANK('Master Submitted DPDs'!#REF!),"",'Master Submitted DPDs'!#REF!)</f>
        <v>#REF!</v>
      </c>
      <c r="R211" t="e">
        <f t="shared" si="7"/>
        <v>#REF!</v>
      </c>
      <c r="S211" s="3"/>
      <c r="T211" t="e">
        <f>IF(ISBLANK('Master Submitted DPDs'!#REF!),"",'Master Submitted DPDs'!#REF!)</f>
        <v>#REF!</v>
      </c>
    </row>
    <row r="212" spans="1:20" ht="15" x14ac:dyDescent="0.2">
      <c r="A212" s="3" t="str">
        <f>IF(ISBLANK('Master Submitted DPDs'!#REF!),"","Local Plans")</f>
        <v>Local Plans</v>
      </c>
      <c r="B212" t="e">
        <f>IF(ISBLANK('Master Submitted DPDs'!#REF!),"",'Master Submitted DPDs'!#REF!)</f>
        <v>#REF!</v>
      </c>
      <c r="C212" s="3" t="str">
        <f>IF(ISBLANK('Master Submitted DPDs'!#REF!),"","IH")</f>
        <v>IH</v>
      </c>
      <c r="D212" s="3" t="e">
        <f>LOOKUP($F212,'fuzzy LPA lookup'!$E:$E,'fuzzy LPA lookup'!$A:$A)</f>
        <v>#REF!</v>
      </c>
      <c r="E212" s="3" t="e">
        <f>LOOKUP($F212,'fuzzy LPA lookup'!$E:$E,'fuzzy LPA lookup'!$D:$D)</f>
        <v>#REF!</v>
      </c>
      <c r="F212" s="8" t="e">
        <f>IF(ISBLANK('Master Submitted DPDs'!#REF!),"",'Master Submitted DPDs'!#REF!)</f>
        <v>#REF!</v>
      </c>
      <c r="G212" t="str">
        <f>IF(ISBLANK('Master Submitted DPDs'!#REF!),"","Withdrawn")</f>
        <v>Withdrawn</v>
      </c>
      <c r="H212" s="2" t="e">
        <f>IF(ISBLANK('Master Submitted DPDs'!#REF!),"",'Master Submitted DPDs'!#REF!)</f>
        <v>#REF!</v>
      </c>
      <c r="I212" s="3"/>
      <c r="J212" s="3"/>
      <c r="K212" s="3"/>
      <c r="L212" s="2" t="e">
        <f>IF(ISBLANK('Master Submitted DPDs'!#REF!),"",'Master Submitted DPDs'!#REF!)</f>
        <v>#REF!</v>
      </c>
      <c r="M212" s="2" t="e">
        <f t="shared" si="6"/>
        <v>#REF!</v>
      </c>
      <c r="N212" s="2" t="e">
        <f>IF(ISBLANK('Master Submitted DPDs'!#REF!),IF(ISBLANK('Master Submitted DPDs'!#REF!),"",'Master Submitted DPDs'!#REF!),'Master Submitted DPDs'!#REF!)</f>
        <v>#REF!</v>
      </c>
      <c r="O212" s="2" t="e">
        <f>IF(ISBLANK('Master Submitted DPDs'!#REF!),"",'Master Submitted DPDs'!#REF!)</f>
        <v>#REF!</v>
      </c>
      <c r="P212" s="2" t="e">
        <f>IF(ISBLANK('Master Submitted DPDs'!#REF!),"",'Master Submitted DPDs'!#REF!)</f>
        <v>#REF!</v>
      </c>
      <c r="Q212" t="e">
        <f>IF(ISBLANK('Master Submitted DPDs'!#REF!),"",'Master Submitted DPDs'!#REF!)</f>
        <v>#REF!</v>
      </c>
      <c r="R212" t="e">
        <f t="shared" si="7"/>
        <v>#REF!</v>
      </c>
      <c r="S212" s="3"/>
      <c r="T212" t="e">
        <f>IF(ISBLANK('Master Submitted DPDs'!#REF!),"",'Master Submitted DPDs'!#REF!)</f>
        <v>#REF!</v>
      </c>
    </row>
    <row r="213" spans="1:20" ht="15" x14ac:dyDescent="0.2">
      <c r="A213" s="3" t="str">
        <f>IF(ISBLANK('Master Submitted DPDs'!#REF!),"","Local Plans")</f>
        <v>Local Plans</v>
      </c>
      <c r="B213" t="e">
        <f>IF(ISBLANK('Master Submitted DPDs'!#REF!),"",'Master Submitted DPDs'!#REF!)</f>
        <v>#REF!</v>
      </c>
      <c r="C213" s="3" t="str">
        <f>IF(ISBLANK('Master Submitted DPDs'!#REF!),"","IH")</f>
        <v>IH</v>
      </c>
      <c r="D213" s="3" t="e">
        <f>LOOKUP($F213,'fuzzy LPA lookup'!$E:$E,'fuzzy LPA lookup'!$A:$A)</f>
        <v>#REF!</v>
      </c>
      <c r="E213" s="3" t="e">
        <f>LOOKUP($F213,'fuzzy LPA lookup'!$E:$E,'fuzzy LPA lookup'!$D:$D)</f>
        <v>#REF!</v>
      </c>
      <c r="F213" s="8" t="e">
        <f>IF(ISBLANK('Master Submitted DPDs'!#REF!),"",'Master Submitted DPDs'!#REF!)</f>
        <v>#REF!</v>
      </c>
      <c r="G213" t="str">
        <f>IF(ISBLANK('Master Submitted DPDs'!#REF!),"","Withdrawn")</f>
        <v>Withdrawn</v>
      </c>
      <c r="H213" s="2" t="e">
        <f>IF(ISBLANK('Master Submitted DPDs'!#REF!),"",'Master Submitted DPDs'!#REF!)</f>
        <v>#REF!</v>
      </c>
      <c r="I213" s="3"/>
      <c r="J213" s="3"/>
      <c r="K213" s="3"/>
      <c r="L213" s="2" t="e">
        <f>IF(ISBLANK('Master Submitted DPDs'!#REF!),"",'Master Submitted DPDs'!#REF!)</f>
        <v>#REF!</v>
      </c>
      <c r="M213" s="2" t="e">
        <f t="shared" si="6"/>
        <v>#REF!</v>
      </c>
      <c r="N213" s="2" t="e">
        <f>IF(ISBLANK('Master Submitted DPDs'!#REF!),IF(ISBLANK('Master Submitted DPDs'!#REF!),"",'Master Submitted DPDs'!#REF!),'Master Submitted DPDs'!#REF!)</f>
        <v>#REF!</v>
      </c>
      <c r="O213" s="2" t="e">
        <f>IF(ISBLANK('Master Submitted DPDs'!#REF!),"",'Master Submitted DPDs'!#REF!)</f>
        <v>#REF!</v>
      </c>
      <c r="P213" s="2" t="e">
        <f>IF(ISBLANK('Master Submitted DPDs'!#REF!),"",'Master Submitted DPDs'!#REF!)</f>
        <v>#REF!</v>
      </c>
      <c r="Q213" t="e">
        <f>IF(ISBLANK('Master Submitted DPDs'!#REF!),"",'Master Submitted DPDs'!#REF!)</f>
        <v>#REF!</v>
      </c>
      <c r="R213" t="e">
        <f t="shared" si="7"/>
        <v>#REF!</v>
      </c>
      <c r="S213" s="3"/>
      <c r="T213" t="e">
        <f>IF(ISBLANK('Master Submitted DPDs'!#REF!),"",'Master Submitted DPDs'!#REF!)</f>
        <v>#REF!</v>
      </c>
    </row>
    <row r="214" spans="1:20" ht="15" x14ac:dyDescent="0.2">
      <c r="A214" s="3" t="str">
        <f>IF(ISBLANK('Master Submitted DPDs'!#REF!),"","Local Plans")</f>
        <v>Local Plans</v>
      </c>
      <c r="B214" t="e">
        <f>IF(ISBLANK('Master Submitted DPDs'!#REF!),"",'Master Submitted DPDs'!#REF!)</f>
        <v>#REF!</v>
      </c>
      <c r="C214" s="3" t="str">
        <f>IF(ISBLANK('Master Submitted DPDs'!#REF!),"","IH")</f>
        <v>IH</v>
      </c>
      <c r="D214" s="3" t="e">
        <f>LOOKUP($F214,'fuzzy LPA lookup'!$E:$E,'fuzzy LPA lookup'!$A:$A)</f>
        <v>#REF!</v>
      </c>
      <c r="E214" s="3" t="e">
        <f>LOOKUP($F214,'fuzzy LPA lookup'!$E:$E,'fuzzy LPA lookup'!$D:$D)</f>
        <v>#REF!</v>
      </c>
      <c r="F214" s="8" t="e">
        <f>IF(ISBLANK('Master Submitted DPDs'!#REF!),"",'Master Submitted DPDs'!#REF!)</f>
        <v>#REF!</v>
      </c>
      <c r="G214" t="str">
        <f>IF(ISBLANK('Master Submitted DPDs'!#REF!),"","Withdrawn")</f>
        <v>Withdrawn</v>
      </c>
      <c r="H214" s="2" t="e">
        <f>IF(ISBLANK('Master Submitted DPDs'!#REF!),"",'Master Submitted DPDs'!#REF!)</f>
        <v>#REF!</v>
      </c>
      <c r="I214" s="3"/>
      <c r="J214" s="3"/>
      <c r="K214" s="3"/>
      <c r="L214" s="2" t="e">
        <f>IF(ISBLANK('Master Submitted DPDs'!#REF!),"",'Master Submitted DPDs'!#REF!)</f>
        <v>#REF!</v>
      </c>
      <c r="M214" s="2" t="e">
        <f t="shared" si="6"/>
        <v>#REF!</v>
      </c>
      <c r="N214" s="2" t="e">
        <f>IF(ISBLANK('Master Submitted DPDs'!#REF!),IF(ISBLANK('Master Submitted DPDs'!#REF!),"",'Master Submitted DPDs'!#REF!),'Master Submitted DPDs'!#REF!)</f>
        <v>#REF!</v>
      </c>
      <c r="O214" s="2" t="e">
        <f>IF(ISBLANK('Master Submitted DPDs'!#REF!),"",'Master Submitted DPDs'!#REF!)</f>
        <v>#REF!</v>
      </c>
      <c r="P214" s="2" t="e">
        <f>IF(ISBLANK('Master Submitted DPDs'!#REF!),"",'Master Submitted DPDs'!#REF!)</f>
        <v>#REF!</v>
      </c>
      <c r="Q214" t="e">
        <f>IF(ISBLANK('Master Submitted DPDs'!#REF!),"",'Master Submitted DPDs'!#REF!)</f>
        <v>#REF!</v>
      </c>
      <c r="R214" t="e">
        <f t="shared" si="7"/>
        <v>#REF!</v>
      </c>
      <c r="S214" s="3"/>
      <c r="T214" t="e">
        <f>IF(ISBLANK('Master Submitted DPDs'!#REF!),"",'Master Submitted DPDs'!#REF!)</f>
        <v>#REF!</v>
      </c>
    </row>
    <row r="215" spans="1:20" ht="15" x14ac:dyDescent="0.2">
      <c r="A215" s="3" t="str">
        <f>IF(ISBLANK('Master Submitted DPDs'!#REF!),"","Local Plans")</f>
        <v>Local Plans</v>
      </c>
      <c r="B215" t="e">
        <f>IF(ISBLANK('Master Submitted DPDs'!#REF!),"",'Master Submitted DPDs'!#REF!)</f>
        <v>#REF!</v>
      </c>
      <c r="C215" s="3" t="str">
        <f>IF(ISBLANK('Master Submitted DPDs'!#REF!),"","IH")</f>
        <v>IH</v>
      </c>
      <c r="D215" s="3" t="e">
        <f>LOOKUP($F215,'fuzzy LPA lookup'!$E:$E,'fuzzy LPA lookup'!$A:$A)</f>
        <v>#REF!</v>
      </c>
      <c r="E215" s="3" t="e">
        <f>LOOKUP($F215,'fuzzy LPA lookup'!$E:$E,'fuzzy LPA lookup'!$D:$D)</f>
        <v>#REF!</v>
      </c>
      <c r="F215" s="8" t="e">
        <f>IF(ISBLANK('Master Submitted DPDs'!#REF!),"",'Master Submitted DPDs'!#REF!)</f>
        <v>#REF!</v>
      </c>
      <c r="G215" t="str">
        <f>IF(ISBLANK('Master Submitted DPDs'!#REF!),"","Withdrawn")</f>
        <v>Withdrawn</v>
      </c>
      <c r="H215" s="2" t="e">
        <f>IF(ISBLANK('Master Submitted DPDs'!#REF!),"",'Master Submitted DPDs'!#REF!)</f>
        <v>#REF!</v>
      </c>
      <c r="I215" s="3"/>
      <c r="J215" s="3"/>
      <c r="K215" s="3"/>
      <c r="L215" s="2" t="e">
        <f>IF(ISBLANK('Master Submitted DPDs'!#REF!),"",'Master Submitted DPDs'!#REF!)</f>
        <v>#REF!</v>
      </c>
      <c r="M215" s="2" t="e">
        <f t="shared" si="6"/>
        <v>#REF!</v>
      </c>
      <c r="N215" s="2" t="e">
        <f>IF(ISBLANK('Master Submitted DPDs'!#REF!),IF(ISBLANK('Master Submitted DPDs'!#REF!),"",'Master Submitted DPDs'!#REF!),'Master Submitted DPDs'!#REF!)</f>
        <v>#REF!</v>
      </c>
      <c r="O215" s="2" t="e">
        <f>IF(ISBLANK('Master Submitted DPDs'!#REF!),"",'Master Submitted DPDs'!#REF!)</f>
        <v>#REF!</v>
      </c>
      <c r="P215" s="2" t="e">
        <f>IF(ISBLANK('Master Submitted DPDs'!#REF!),"",'Master Submitted DPDs'!#REF!)</f>
        <v>#REF!</v>
      </c>
      <c r="Q215" t="e">
        <f>IF(ISBLANK('Master Submitted DPDs'!#REF!),"",'Master Submitted DPDs'!#REF!)</f>
        <v>#REF!</v>
      </c>
      <c r="R215" t="e">
        <f t="shared" si="7"/>
        <v>#REF!</v>
      </c>
      <c r="S215" s="3"/>
      <c r="T215" t="e">
        <f>IF(ISBLANK('Master Submitted DPDs'!#REF!),"",'Master Submitted DPDs'!#REF!)</f>
        <v>#REF!</v>
      </c>
    </row>
    <row r="216" spans="1:20" ht="15" x14ac:dyDescent="0.2">
      <c r="A216" s="3" t="str">
        <f>IF(ISBLANK('Master Submitted DPDs'!#REF!),"","Local Plans")</f>
        <v>Local Plans</v>
      </c>
      <c r="B216" t="e">
        <f>IF(ISBLANK('Master Submitted DPDs'!#REF!),"",'Master Submitted DPDs'!#REF!)</f>
        <v>#REF!</v>
      </c>
      <c r="C216" s="3" t="str">
        <f>IF(ISBLANK('Master Submitted DPDs'!#REF!),"","IH")</f>
        <v>IH</v>
      </c>
      <c r="D216" s="3" t="e">
        <f>LOOKUP($F216,'fuzzy LPA lookup'!$E:$E,'fuzzy LPA lookup'!$A:$A)</f>
        <v>#REF!</v>
      </c>
      <c r="E216" s="3" t="e">
        <f>LOOKUP($F216,'fuzzy LPA lookup'!$E:$E,'fuzzy LPA lookup'!$D:$D)</f>
        <v>#REF!</v>
      </c>
      <c r="F216" s="8" t="e">
        <f>IF(ISBLANK('Master Submitted DPDs'!#REF!),"",'Master Submitted DPDs'!#REF!)</f>
        <v>#REF!</v>
      </c>
      <c r="G216" t="str">
        <f>IF(ISBLANK('Master Submitted DPDs'!#REF!),"","Withdrawn")</f>
        <v>Withdrawn</v>
      </c>
      <c r="H216" s="2" t="e">
        <f>IF(ISBLANK('Master Submitted DPDs'!#REF!),"",'Master Submitted DPDs'!#REF!)</f>
        <v>#REF!</v>
      </c>
      <c r="I216" s="3"/>
      <c r="J216" s="3"/>
      <c r="K216" s="3"/>
      <c r="L216" s="2" t="e">
        <f>IF(ISBLANK('Master Submitted DPDs'!#REF!),"",'Master Submitted DPDs'!#REF!)</f>
        <v>#REF!</v>
      </c>
      <c r="M216" s="2" t="e">
        <f t="shared" si="6"/>
        <v>#REF!</v>
      </c>
      <c r="N216" s="2" t="e">
        <f>IF(ISBLANK('Master Submitted DPDs'!#REF!),IF(ISBLANK('Master Submitted DPDs'!#REF!),"",'Master Submitted DPDs'!#REF!),'Master Submitted DPDs'!#REF!)</f>
        <v>#REF!</v>
      </c>
      <c r="O216" s="2" t="e">
        <f>IF(ISBLANK('Master Submitted DPDs'!#REF!),"",'Master Submitted DPDs'!#REF!)</f>
        <v>#REF!</v>
      </c>
      <c r="P216" s="2" t="e">
        <f>IF(ISBLANK('Master Submitted DPDs'!#REF!),"",'Master Submitted DPDs'!#REF!)</f>
        <v>#REF!</v>
      </c>
      <c r="Q216" t="e">
        <f>IF(ISBLANK('Master Submitted DPDs'!#REF!),"",'Master Submitted DPDs'!#REF!)</f>
        <v>#REF!</v>
      </c>
      <c r="R216" t="e">
        <f t="shared" si="7"/>
        <v>#REF!</v>
      </c>
      <c r="S216" s="3"/>
      <c r="T216" t="e">
        <f>IF(ISBLANK('Master Submitted DPDs'!#REF!),"",'Master Submitted DPDs'!#REF!)</f>
        <v>#REF!</v>
      </c>
    </row>
    <row r="217" spans="1:20" ht="15" x14ac:dyDescent="0.2">
      <c r="A217" s="3" t="str">
        <f>IF(ISBLANK('Master Submitted DPDs'!#REF!),"","Local Plans")</f>
        <v>Local Plans</v>
      </c>
      <c r="B217" t="e">
        <f>IF(ISBLANK('Master Submitted DPDs'!#REF!),"",'Master Submitted DPDs'!#REF!)</f>
        <v>#REF!</v>
      </c>
      <c r="C217" s="3" t="str">
        <f>IF(ISBLANK('Master Submitted DPDs'!#REF!),"","IH")</f>
        <v>IH</v>
      </c>
      <c r="D217" s="3" t="e">
        <f>LOOKUP($F217,'fuzzy LPA lookup'!$E:$E,'fuzzy LPA lookup'!$A:$A)</f>
        <v>#REF!</v>
      </c>
      <c r="E217" s="3" t="e">
        <f>LOOKUP($F217,'fuzzy LPA lookup'!$E:$E,'fuzzy LPA lookup'!$D:$D)</f>
        <v>#REF!</v>
      </c>
      <c r="F217" s="8" t="e">
        <f>IF(ISBLANK('Master Submitted DPDs'!#REF!),"",'Master Submitted DPDs'!#REF!)</f>
        <v>#REF!</v>
      </c>
      <c r="G217" t="str">
        <f>IF(ISBLANK('Master Submitted DPDs'!#REF!),"","Withdrawn")</f>
        <v>Withdrawn</v>
      </c>
      <c r="H217" s="2" t="e">
        <f>IF(ISBLANK('Master Submitted DPDs'!#REF!),"",'Master Submitted DPDs'!#REF!)</f>
        <v>#REF!</v>
      </c>
      <c r="I217" s="3"/>
      <c r="J217" s="3"/>
      <c r="K217" s="3"/>
      <c r="L217" s="2" t="e">
        <f>IF(ISBLANK('Master Submitted DPDs'!#REF!),"",'Master Submitted DPDs'!#REF!)</f>
        <v>#REF!</v>
      </c>
      <c r="M217" s="2" t="e">
        <f t="shared" si="6"/>
        <v>#REF!</v>
      </c>
      <c r="N217" s="2" t="e">
        <f>IF(ISBLANK('Master Submitted DPDs'!#REF!),IF(ISBLANK('Master Submitted DPDs'!#REF!),"",'Master Submitted DPDs'!#REF!),'Master Submitted DPDs'!#REF!)</f>
        <v>#REF!</v>
      </c>
      <c r="O217" s="2" t="e">
        <f>IF(ISBLANK('Master Submitted DPDs'!#REF!),"",'Master Submitted DPDs'!#REF!)</f>
        <v>#REF!</v>
      </c>
      <c r="P217" s="2" t="e">
        <f>IF(ISBLANK('Master Submitted DPDs'!#REF!),"",'Master Submitted DPDs'!#REF!)</f>
        <v>#REF!</v>
      </c>
      <c r="Q217" t="e">
        <f>IF(ISBLANK('Master Submitted DPDs'!#REF!),"",'Master Submitted DPDs'!#REF!)</f>
        <v>#REF!</v>
      </c>
      <c r="R217" t="e">
        <f t="shared" si="7"/>
        <v>#REF!</v>
      </c>
      <c r="S217" s="3"/>
      <c r="T217" t="e">
        <f>IF(ISBLANK('Master Submitted DPDs'!#REF!),"",'Master Submitted DPDs'!#REF!)</f>
        <v>#REF!</v>
      </c>
    </row>
    <row r="218" spans="1:20" ht="15" x14ac:dyDescent="0.2">
      <c r="A218" s="3" t="str">
        <f>IF(ISBLANK('Master Submitted DPDs'!#REF!),"","Local Plans")</f>
        <v>Local Plans</v>
      </c>
      <c r="B218" t="e">
        <f>IF(ISBLANK('Master Submitted DPDs'!#REF!),"",'Master Submitted DPDs'!#REF!)</f>
        <v>#REF!</v>
      </c>
      <c r="C218" s="3" t="str">
        <f>IF(ISBLANK('Master Submitted DPDs'!#REF!),"","IH")</f>
        <v>IH</v>
      </c>
      <c r="D218" s="3" t="e">
        <f>LOOKUP($F218,'fuzzy LPA lookup'!$E:$E,'fuzzy LPA lookup'!$A:$A)</f>
        <v>#REF!</v>
      </c>
      <c r="E218" s="3" t="e">
        <f>LOOKUP($F218,'fuzzy LPA lookup'!$E:$E,'fuzzy LPA lookup'!$D:$D)</f>
        <v>#REF!</v>
      </c>
      <c r="F218" s="8" t="e">
        <f>IF(ISBLANK('Master Submitted DPDs'!#REF!),"",'Master Submitted DPDs'!#REF!)</f>
        <v>#REF!</v>
      </c>
      <c r="G218" t="str">
        <f>IF(ISBLANK('Master Submitted DPDs'!#REF!),"","Withdrawn")</f>
        <v>Withdrawn</v>
      </c>
      <c r="H218" s="2" t="e">
        <f>IF(ISBLANK('Master Submitted DPDs'!#REF!),"",'Master Submitted DPDs'!#REF!)</f>
        <v>#REF!</v>
      </c>
      <c r="I218" s="3"/>
      <c r="J218" s="3"/>
      <c r="K218" s="3"/>
      <c r="L218" s="2" t="e">
        <f>IF(ISBLANK('Master Submitted DPDs'!#REF!),"",'Master Submitted DPDs'!#REF!)</f>
        <v>#REF!</v>
      </c>
      <c r="M218" s="2" t="e">
        <f t="shared" si="6"/>
        <v>#REF!</v>
      </c>
      <c r="N218" s="2" t="e">
        <f>IF(ISBLANK('Master Submitted DPDs'!#REF!),IF(ISBLANK('Master Submitted DPDs'!#REF!),"",'Master Submitted DPDs'!#REF!),'Master Submitted DPDs'!#REF!)</f>
        <v>#REF!</v>
      </c>
      <c r="O218" s="2" t="e">
        <f>IF(ISBLANK('Master Submitted DPDs'!#REF!),"",'Master Submitted DPDs'!#REF!)</f>
        <v>#REF!</v>
      </c>
      <c r="P218" s="2" t="e">
        <f>IF(ISBLANK('Master Submitted DPDs'!#REF!),"",'Master Submitted DPDs'!#REF!)</f>
        <v>#REF!</v>
      </c>
      <c r="Q218" t="e">
        <f>IF(ISBLANK('Master Submitted DPDs'!#REF!),"",'Master Submitted DPDs'!#REF!)</f>
        <v>#REF!</v>
      </c>
      <c r="R218" t="e">
        <f t="shared" si="7"/>
        <v>#REF!</v>
      </c>
      <c r="S218" s="3"/>
      <c r="T218" t="e">
        <f>IF(ISBLANK('Master Submitted DPDs'!#REF!),"",'Master Submitted DPDs'!#REF!)</f>
        <v>#REF!</v>
      </c>
    </row>
    <row r="219" spans="1:20" ht="15" x14ac:dyDescent="0.2">
      <c r="A219" s="3" t="str">
        <f>IF(ISBLANK('Master Submitted DPDs'!#REF!),"","Local Plans")</f>
        <v>Local Plans</v>
      </c>
      <c r="B219" t="e">
        <f>IF(ISBLANK('Master Submitted DPDs'!#REF!),"",'Master Submitted DPDs'!#REF!)</f>
        <v>#REF!</v>
      </c>
      <c r="C219" s="3" t="str">
        <f>IF(ISBLANK('Master Submitted DPDs'!#REF!),"","IH")</f>
        <v>IH</v>
      </c>
      <c r="D219" s="3" t="e">
        <f>LOOKUP($F219,'fuzzy LPA lookup'!$E:$E,'fuzzy LPA lookup'!$A:$A)</f>
        <v>#REF!</v>
      </c>
      <c r="E219" s="3" t="e">
        <f>LOOKUP($F219,'fuzzy LPA lookup'!$E:$E,'fuzzy LPA lookup'!$D:$D)</f>
        <v>#REF!</v>
      </c>
      <c r="F219" s="8" t="e">
        <f>IF(ISBLANK('Master Submitted DPDs'!#REF!),"",'Master Submitted DPDs'!#REF!)</f>
        <v>#REF!</v>
      </c>
      <c r="G219" t="str">
        <f>IF(ISBLANK('Master Submitted DPDs'!#REF!),"","Withdrawn")</f>
        <v>Withdrawn</v>
      </c>
      <c r="H219" s="2" t="e">
        <f>IF(ISBLANK('Master Submitted DPDs'!#REF!),"",'Master Submitted DPDs'!#REF!)</f>
        <v>#REF!</v>
      </c>
      <c r="I219" s="3"/>
      <c r="J219" s="3"/>
      <c r="K219" s="3"/>
      <c r="L219" s="2" t="e">
        <f>IF(ISBLANK('Master Submitted DPDs'!#REF!),"",'Master Submitted DPDs'!#REF!)</f>
        <v>#REF!</v>
      </c>
      <c r="M219" s="2" t="e">
        <f t="shared" si="6"/>
        <v>#REF!</v>
      </c>
      <c r="N219" s="2" t="e">
        <f>IF(ISBLANK('Master Submitted DPDs'!#REF!),IF(ISBLANK('Master Submitted DPDs'!#REF!),"",'Master Submitted DPDs'!#REF!),'Master Submitted DPDs'!#REF!)</f>
        <v>#REF!</v>
      </c>
      <c r="O219" s="2" t="e">
        <f>IF(ISBLANK('Master Submitted DPDs'!#REF!),"",'Master Submitted DPDs'!#REF!)</f>
        <v>#REF!</v>
      </c>
      <c r="P219" s="2" t="e">
        <f>IF(ISBLANK('Master Submitted DPDs'!#REF!),"",'Master Submitted DPDs'!#REF!)</f>
        <v>#REF!</v>
      </c>
      <c r="Q219" t="e">
        <f>IF(ISBLANK('Master Submitted DPDs'!#REF!),"",'Master Submitted DPDs'!#REF!)</f>
        <v>#REF!</v>
      </c>
      <c r="R219" t="e">
        <f t="shared" si="7"/>
        <v>#REF!</v>
      </c>
      <c r="S219" s="3"/>
      <c r="T219" t="e">
        <f>IF(ISBLANK('Master Submitted DPDs'!#REF!),"",'Master Submitted DPDs'!#REF!)</f>
        <v>#REF!</v>
      </c>
    </row>
    <row r="220" spans="1:20" ht="15" x14ac:dyDescent="0.2">
      <c r="A220" s="3" t="str">
        <f>IF(ISBLANK('Master Submitted DPDs'!#REF!),"","Local Plans")</f>
        <v>Local Plans</v>
      </c>
      <c r="B220" t="e">
        <f>IF(ISBLANK('Master Submitted DPDs'!#REF!),"",'Master Submitted DPDs'!#REF!)</f>
        <v>#REF!</v>
      </c>
      <c r="C220" s="3" t="str">
        <f>IF(ISBLANK('Master Submitted DPDs'!#REF!),"","IH")</f>
        <v>IH</v>
      </c>
      <c r="D220" s="3" t="e">
        <f>LOOKUP($F220,'fuzzy LPA lookup'!$E:$E,'fuzzy LPA lookup'!$A:$A)</f>
        <v>#REF!</v>
      </c>
      <c r="E220" s="3" t="e">
        <f>LOOKUP($F220,'fuzzy LPA lookup'!$E:$E,'fuzzy LPA lookup'!$D:$D)</f>
        <v>#REF!</v>
      </c>
      <c r="F220" s="8" t="e">
        <f>IF(ISBLANK('Master Submitted DPDs'!#REF!),"",'Master Submitted DPDs'!#REF!)</f>
        <v>#REF!</v>
      </c>
      <c r="G220" t="str">
        <f>IF(ISBLANK('Master Submitted DPDs'!#REF!),"","Withdrawn")</f>
        <v>Withdrawn</v>
      </c>
      <c r="H220" s="2" t="e">
        <f>IF(ISBLANK('Master Submitted DPDs'!#REF!),"",'Master Submitted DPDs'!#REF!)</f>
        <v>#REF!</v>
      </c>
      <c r="I220" s="3"/>
      <c r="J220" s="3"/>
      <c r="K220" s="3"/>
      <c r="L220" s="2" t="e">
        <f>IF(ISBLANK('Master Submitted DPDs'!#REF!),"",'Master Submitted DPDs'!#REF!)</f>
        <v>#REF!</v>
      </c>
      <c r="M220" s="2" t="e">
        <f t="shared" si="6"/>
        <v>#REF!</v>
      </c>
      <c r="N220" s="2" t="e">
        <f>IF(ISBLANK('Master Submitted DPDs'!#REF!),IF(ISBLANK('Master Submitted DPDs'!#REF!),"",'Master Submitted DPDs'!#REF!),'Master Submitted DPDs'!#REF!)</f>
        <v>#REF!</v>
      </c>
      <c r="O220" s="2" t="e">
        <f>IF(ISBLANK('Master Submitted DPDs'!#REF!),"",'Master Submitted DPDs'!#REF!)</f>
        <v>#REF!</v>
      </c>
      <c r="P220" s="2" t="e">
        <f>IF(ISBLANK('Master Submitted DPDs'!#REF!),"",'Master Submitted DPDs'!#REF!)</f>
        <v>#REF!</v>
      </c>
      <c r="Q220" t="e">
        <f>IF(ISBLANK('Master Submitted DPDs'!#REF!),"",'Master Submitted DPDs'!#REF!)</f>
        <v>#REF!</v>
      </c>
      <c r="R220" t="e">
        <f t="shared" si="7"/>
        <v>#REF!</v>
      </c>
      <c r="S220" s="3"/>
      <c r="T220" t="e">
        <f>IF(ISBLANK('Master Submitted DPDs'!#REF!),"",'Master Submitted DPDs'!#REF!)</f>
        <v>#REF!</v>
      </c>
    </row>
    <row r="221" spans="1:20" ht="15" x14ac:dyDescent="0.2">
      <c r="A221" s="3" t="str">
        <f>IF(ISBLANK('Master Submitted DPDs'!#REF!),"","Local Plans")</f>
        <v>Local Plans</v>
      </c>
      <c r="B221" t="e">
        <f>IF(ISBLANK('Master Submitted DPDs'!#REF!),"",'Master Submitted DPDs'!#REF!)</f>
        <v>#REF!</v>
      </c>
      <c r="C221" s="3" t="str">
        <f>IF(ISBLANK('Master Submitted DPDs'!#REF!),"","IH")</f>
        <v>IH</v>
      </c>
      <c r="D221" s="3" t="e">
        <f>LOOKUP($F221,'fuzzy LPA lookup'!$E:$E,'fuzzy LPA lookup'!$A:$A)</f>
        <v>#REF!</v>
      </c>
      <c r="E221" s="3" t="e">
        <f>LOOKUP($F221,'fuzzy LPA lookup'!$E:$E,'fuzzy LPA lookup'!$D:$D)</f>
        <v>#REF!</v>
      </c>
      <c r="F221" s="8" t="e">
        <f>IF(ISBLANK('Master Submitted DPDs'!#REF!),"",'Master Submitted DPDs'!#REF!)</f>
        <v>#REF!</v>
      </c>
      <c r="G221" t="str">
        <f>IF(ISBLANK('Master Submitted DPDs'!#REF!),"","Withdrawn")</f>
        <v>Withdrawn</v>
      </c>
      <c r="H221" s="2" t="e">
        <f>IF(ISBLANK('Master Submitted DPDs'!#REF!),"",'Master Submitted DPDs'!#REF!)</f>
        <v>#REF!</v>
      </c>
      <c r="I221" s="3"/>
      <c r="J221" s="3"/>
      <c r="K221" s="3"/>
      <c r="L221" s="2" t="e">
        <f>IF(ISBLANK('Master Submitted DPDs'!#REF!),"",'Master Submitted DPDs'!#REF!)</f>
        <v>#REF!</v>
      </c>
      <c r="M221" s="2" t="e">
        <f t="shared" si="6"/>
        <v>#REF!</v>
      </c>
      <c r="N221" s="2" t="e">
        <f>IF(ISBLANK('Master Submitted DPDs'!#REF!),IF(ISBLANK('Master Submitted DPDs'!#REF!),"",'Master Submitted DPDs'!#REF!),'Master Submitted DPDs'!#REF!)</f>
        <v>#REF!</v>
      </c>
      <c r="O221" s="2" t="e">
        <f>IF(ISBLANK('Master Submitted DPDs'!#REF!),"",'Master Submitted DPDs'!#REF!)</f>
        <v>#REF!</v>
      </c>
      <c r="P221" s="2" t="e">
        <f>IF(ISBLANK('Master Submitted DPDs'!#REF!),"",'Master Submitted DPDs'!#REF!)</f>
        <v>#REF!</v>
      </c>
      <c r="Q221" t="e">
        <f>IF(ISBLANK('Master Submitted DPDs'!#REF!),"",'Master Submitted DPDs'!#REF!)</f>
        <v>#REF!</v>
      </c>
      <c r="R221" t="e">
        <f t="shared" si="7"/>
        <v>#REF!</v>
      </c>
      <c r="S221" s="3"/>
      <c r="T221" t="e">
        <f>IF(ISBLANK('Master Submitted DPDs'!#REF!),"",'Master Submitted DPDs'!#REF!)</f>
        <v>#REF!</v>
      </c>
    </row>
    <row r="222" spans="1:20" ht="15" x14ac:dyDescent="0.2">
      <c r="A222" s="3" t="str">
        <f>IF(ISBLANK('Master Submitted DPDs'!#REF!),"","Local Plans")</f>
        <v>Local Plans</v>
      </c>
      <c r="B222" t="e">
        <f>IF(ISBLANK('Master Submitted DPDs'!#REF!),"",'Master Submitted DPDs'!#REF!)</f>
        <v>#REF!</v>
      </c>
      <c r="C222" s="3" t="str">
        <f>IF(ISBLANK('Master Submitted DPDs'!#REF!),"","IH")</f>
        <v>IH</v>
      </c>
      <c r="D222" s="3" t="e">
        <f>LOOKUP($F222,'fuzzy LPA lookup'!$E:$E,'fuzzy LPA lookup'!$A:$A)</f>
        <v>#REF!</v>
      </c>
      <c r="E222" s="3" t="e">
        <f>LOOKUP($F222,'fuzzy LPA lookup'!$E:$E,'fuzzy LPA lookup'!$D:$D)</f>
        <v>#REF!</v>
      </c>
      <c r="F222" s="8" t="e">
        <f>IF(ISBLANK('Master Submitted DPDs'!#REF!),"",'Master Submitted DPDs'!#REF!)</f>
        <v>#REF!</v>
      </c>
      <c r="G222" t="str">
        <f>IF(ISBLANK('Master Submitted DPDs'!#REF!),"","Withdrawn")</f>
        <v>Withdrawn</v>
      </c>
      <c r="H222" s="2" t="e">
        <f>IF(ISBLANK('Master Submitted DPDs'!#REF!),"",'Master Submitted DPDs'!#REF!)</f>
        <v>#REF!</v>
      </c>
      <c r="I222" s="3"/>
      <c r="J222" s="3"/>
      <c r="K222" s="3"/>
      <c r="L222" s="2" t="e">
        <f>IF(ISBLANK('Master Submitted DPDs'!#REF!),"",'Master Submitted DPDs'!#REF!)</f>
        <v>#REF!</v>
      </c>
      <c r="M222" s="2" t="e">
        <f t="shared" si="6"/>
        <v>#REF!</v>
      </c>
      <c r="N222" s="2" t="e">
        <f>IF(ISBLANK('Master Submitted DPDs'!#REF!),IF(ISBLANK('Master Submitted DPDs'!#REF!),"",'Master Submitted DPDs'!#REF!),'Master Submitted DPDs'!#REF!)</f>
        <v>#REF!</v>
      </c>
      <c r="O222" s="2" t="e">
        <f>IF(ISBLANK('Master Submitted DPDs'!#REF!),"",'Master Submitted DPDs'!#REF!)</f>
        <v>#REF!</v>
      </c>
      <c r="P222" s="2" t="e">
        <f>IF(ISBLANK('Master Submitted DPDs'!#REF!),"",'Master Submitted DPDs'!#REF!)</f>
        <v>#REF!</v>
      </c>
      <c r="Q222" t="e">
        <f>IF(ISBLANK('Master Submitted DPDs'!#REF!),"",'Master Submitted DPDs'!#REF!)</f>
        <v>#REF!</v>
      </c>
      <c r="R222" t="e">
        <f t="shared" si="7"/>
        <v>#REF!</v>
      </c>
      <c r="S222" s="3"/>
      <c r="T222" t="e">
        <f>IF(ISBLANK('Master Submitted DPDs'!#REF!),"",'Master Submitted DPDs'!#REF!)</f>
        <v>#REF!</v>
      </c>
    </row>
    <row r="223" spans="1:20" ht="15" x14ac:dyDescent="0.2">
      <c r="A223" s="3" t="str">
        <f>IF(ISBLANK('Master Submitted DPDs'!#REF!),"","Local Plans")</f>
        <v>Local Plans</v>
      </c>
      <c r="B223" t="e">
        <f>IF(ISBLANK('Master Submitted DPDs'!#REF!),"",'Master Submitted DPDs'!#REF!)</f>
        <v>#REF!</v>
      </c>
      <c r="C223" s="3" t="str">
        <f>IF(ISBLANK('Master Submitted DPDs'!#REF!),"","IH")</f>
        <v>IH</v>
      </c>
      <c r="D223" s="3" t="e">
        <f>LOOKUP($F223,'fuzzy LPA lookup'!$E:$E,'fuzzy LPA lookup'!$A:$A)</f>
        <v>#REF!</v>
      </c>
      <c r="E223" s="3" t="e">
        <f>LOOKUP($F223,'fuzzy LPA lookup'!$E:$E,'fuzzy LPA lookup'!$D:$D)</f>
        <v>#REF!</v>
      </c>
      <c r="F223" s="8" t="e">
        <f>IF(ISBLANK('Master Submitted DPDs'!#REF!),"",'Master Submitted DPDs'!#REF!)</f>
        <v>#REF!</v>
      </c>
      <c r="G223" t="str">
        <f>IF(ISBLANK('Master Submitted DPDs'!#REF!),"","Withdrawn")</f>
        <v>Withdrawn</v>
      </c>
      <c r="H223" s="2" t="e">
        <f>IF(ISBLANK('Master Submitted DPDs'!#REF!),"",'Master Submitted DPDs'!#REF!)</f>
        <v>#REF!</v>
      </c>
      <c r="I223" s="3"/>
      <c r="J223" s="3"/>
      <c r="K223" s="3"/>
      <c r="L223" s="2" t="e">
        <f>IF(ISBLANK('Master Submitted DPDs'!#REF!),"",'Master Submitted DPDs'!#REF!)</f>
        <v>#REF!</v>
      </c>
      <c r="M223" s="2" t="e">
        <f t="shared" si="6"/>
        <v>#REF!</v>
      </c>
      <c r="N223" s="2" t="e">
        <f>IF(ISBLANK('Master Submitted DPDs'!#REF!),IF(ISBLANK('Master Submitted DPDs'!#REF!),"",'Master Submitted DPDs'!#REF!),'Master Submitted DPDs'!#REF!)</f>
        <v>#REF!</v>
      </c>
      <c r="O223" s="2" t="e">
        <f>IF(ISBLANK('Master Submitted DPDs'!#REF!),"",'Master Submitted DPDs'!#REF!)</f>
        <v>#REF!</v>
      </c>
      <c r="P223" s="2" t="e">
        <f>IF(ISBLANK('Master Submitted DPDs'!#REF!),"",'Master Submitted DPDs'!#REF!)</f>
        <v>#REF!</v>
      </c>
      <c r="Q223" t="e">
        <f>IF(ISBLANK('Master Submitted DPDs'!#REF!),"",'Master Submitted DPDs'!#REF!)</f>
        <v>#REF!</v>
      </c>
      <c r="R223" t="e">
        <f t="shared" si="7"/>
        <v>#REF!</v>
      </c>
      <c r="S223" s="3"/>
      <c r="T223" t="e">
        <f>IF(ISBLANK('Master Submitted DPDs'!#REF!),"",'Master Submitted DPDs'!#REF!)</f>
        <v>#REF!</v>
      </c>
    </row>
    <row r="224" spans="1:20" ht="15" x14ac:dyDescent="0.2">
      <c r="A224" s="3" t="str">
        <f>IF(ISBLANK('Master Submitted DPDs'!#REF!),"","Local Plans")</f>
        <v>Local Plans</v>
      </c>
      <c r="B224" t="e">
        <f>IF(ISBLANK('Master Submitted DPDs'!#REF!),"",'Master Submitted DPDs'!#REF!)</f>
        <v>#REF!</v>
      </c>
      <c r="C224" s="3" t="str">
        <f>IF(ISBLANK('Master Submitted DPDs'!#REF!),"","IH")</f>
        <v>IH</v>
      </c>
      <c r="D224" s="3" t="e">
        <f>LOOKUP($F224,'fuzzy LPA lookup'!$E:$E,'fuzzy LPA lookup'!$A:$A)</f>
        <v>#REF!</v>
      </c>
      <c r="E224" s="3" t="e">
        <f>LOOKUP($F224,'fuzzy LPA lookup'!$E:$E,'fuzzy LPA lookup'!$D:$D)</f>
        <v>#REF!</v>
      </c>
      <c r="F224" s="8" t="e">
        <f>IF(ISBLANK('Master Submitted DPDs'!#REF!),"",'Master Submitted DPDs'!#REF!)</f>
        <v>#REF!</v>
      </c>
      <c r="G224" t="str">
        <f>IF(ISBLANK('Master Submitted DPDs'!#REF!),"","Withdrawn")</f>
        <v>Withdrawn</v>
      </c>
      <c r="H224" s="2" t="e">
        <f>IF(ISBLANK('Master Submitted DPDs'!#REF!),"",'Master Submitted DPDs'!#REF!)</f>
        <v>#REF!</v>
      </c>
      <c r="I224" s="3"/>
      <c r="J224" s="3"/>
      <c r="K224" s="3"/>
      <c r="L224" s="2" t="e">
        <f>IF(ISBLANK('Master Submitted DPDs'!#REF!),"",'Master Submitted DPDs'!#REF!)</f>
        <v>#REF!</v>
      </c>
      <c r="M224" s="2" t="e">
        <f t="shared" si="6"/>
        <v>#REF!</v>
      </c>
      <c r="N224" s="2" t="e">
        <f>IF(ISBLANK('Master Submitted DPDs'!#REF!),IF(ISBLANK('Master Submitted DPDs'!#REF!),"",'Master Submitted DPDs'!#REF!),'Master Submitted DPDs'!#REF!)</f>
        <v>#REF!</v>
      </c>
      <c r="O224" s="2" t="e">
        <f>IF(ISBLANK('Master Submitted DPDs'!#REF!),"",'Master Submitted DPDs'!#REF!)</f>
        <v>#REF!</v>
      </c>
      <c r="P224" s="2" t="e">
        <f>IF(ISBLANK('Master Submitted DPDs'!#REF!),"",'Master Submitted DPDs'!#REF!)</f>
        <v>#REF!</v>
      </c>
      <c r="Q224" t="e">
        <f>IF(ISBLANK('Master Submitted DPDs'!#REF!),"",'Master Submitted DPDs'!#REF!)</f>
        <v>#REF!</v>
      </c>
      <c r="R224" t="e">
        <f t="shared" si="7"/>
        <v>#REF!</v>
      </c>
      <c r="S224" s="3"/>
      <c r="T224" t="e">
        <f>IF(ISBLANK('Master Submitted DPDs'!#REF!),"",'Master Submitted DPDs'!#REF!)</f>
        <v>#REF!</v>
      </c>
    </row>
    <row r="225" spans="1:20" ht="15" x14ac:dyDescent="0.2">
      <c r="A225" s="3" t="str">
        <f>IF(ISBLANK('Master Submitted DPDs'!#REF!),"","Local Plans")</f>
        <v>Local Plans</v>
      </c>
      <c r="B225" t="e">
        <f>IF(ISBLANK('Master Submitted DPDs'!#REF!),"",'Master Submitted DPDs'!#REF!)</f>
        <v>#REF!</v>
      </c>
      <c r="C225" s="3" t="str">
        <f>IF(ISBLANK('Master Submitted DPDs'!#REF!),"","IH")</f>
        <v>IH</v>
      </c>
      <c r="D225" s="3" t="e">
        <f>LOOKUP($F225,'fuzzy LPA lookup'!$E:$E,'fuzzy LPA lookup'!$A:$A)</f>
        <v>#REF!</v>
      </c>
      <c r="E225" s="3" t="e">
        <f>LOOKUP($F225,'fuzzy LPA lookup'!$E:$E,'fuzzy LPA lookup'!$D:$D)</f>
        <v>#REF!</v>
      </c>
      <c r="F225" s="8" t="e">
        <f>IF(ISBLANK('Master Submitted DPDs'!#REF!),"",'Master Submitted DPDs'!#REF!)</f>
        <v>#REF!</v>
      </c>
      <c r="G225" t="str">
        <f>IF(ISBLANK('Master Submitted DPDs'!#REF!),"","Withdrawn")</f>
        <v>Withdrawn</v>
      </c>
      <c r="H225" s="2" t="e">
        <f>IF(ISBLANK('Master Submitted DPDs'!#REF!),"",'Master Submitted DPDs'!#REF!)</f>
        <v>#REF!</v>
      </c>
      <c r="I225" s="3"/>
      <c r="J225" s="3"/>
      <c r="K225" s="3"/>
      <c r="L225" s="2" t="e">
        <f>IF(ISBLANK('Master Submitted DPDs'!#REF!),"",'Master Submitted DPDs'!#REF!)</f>
        <v>#REF!</v>
      </c>
      <c r="M225" s="2" t="e">
        <f t="shared" si="6"/>
        <v>#REF!</v>
      </c>
      <c r="N225" s="2" t="e">
        <f>IF(ISBLANK('Master Submitted DPDs'!#REF!),IF(ISBLANK('Master Submitted DPDs'!#REF!),"",'Master Submitted DPDs'!#REF!),'Master Submitted DPDs'!#REF!)</f>
        <v>#REF!</v>
      </c>
      <c r="O225" s="2" t="e">
        <f>IF(ISBLANK('Master Submitted DPDs'!#REF!),"",'Master Submitted DPDs'!#REF!)</f>
        <v>#REF!</v>
      </c>
      <c r="P225" s="2" t="e">
        <f>IF(ISBLANK('Master Submitted DPDs'!#REF!),"",'Master Submitted DPDs'!#REF!)</f>
        <v>#REF!</v>
      </c>
      <c r="Q225" t="e">
        <f>IF(ISBLANK('Master Submitted DPDs'!#REF!),"",'Master Submitted DPDs'!#REF!)</f>
        <v>#REF!</v>
      </c>
      <c r="R225" t="e">
        <f t="shared" si="7"/>
        <v>#REF!</v>
      </c>
      <c r="S225" s="3"/>
      <c r="T225" t="e">
        <f>IF(ISBLANK('Master Submitted DPDs'!#REF!),"",'Master Submitted DPDs'!#REF!)</f>
        <v>#REF!</v>
      </c>
    </row>
    <row r="226" spans="1:20" ht="15" x14ac:dyDescent="0.2">
      <c r="A226" s="3" t="str">
        <f>IF(ISBLANK('Master Submitted DPDs'!#REF!),"","Local Plans")</f>
        <v>Local Plans</v>
      </c>
      <c r="B226" t="e">
        <f>IF(ISBLANK('Master Submitted DPDs'!#REF!),"",'Master Submitted DPDs'!#REF!)</f>
        <v>#REF!</v>
      </c>
      <c r="C226" s="3" t="str">
        <f>IF(ISBLANK('Master Submitted DPDs'!#REF!),"","IH")</f>
        <v>IH</v>
      </c>
      <c r="D226" s="3" t="e">
        <f>LOOKUP($F226,'fuzzy LPA lookup'!$E:$E,'fuzzy LPA lookup'!$A:$A)</f>
        <v>#REF!</v>
      </c>
      <c r="E226" s="3" t="e">
        <f>LOOKUP($F226,'fuzzy LPA lookup'!$E:$E,'fuzzy LPA lookup'!$D:$D)</f>
        <v>#REF!</v>
      </c>
      <c r="F226" s="8" t="e">
        <f>IF(ISBLANK('Master Submitted DPDs'!#REF!),"",'Master Submitted DPDs'!#REF!)</f>
        <v>#REF!</v>
      </c>
      <c r="G226" t="str">
        <f>IF(ISBLANK('Master Submitted DPDs'!#REF!),"","Withdrawn")</f>
        <v>Withdrawn</v>
      </c>
      <c r="H226" s="2" t="e">
        <f>IF(ISBLANK('Master Submitted DPDs'!#REF!),"",'Master Submitted DPDs'!#REF!)</f>
        <v>#REF!</v>
      </c>
      <c r="I226" s="3"/>
      <c r="J226" s="3"/>
      <c r="K226" s="3"/>
      <c r="L226" s="2" t="e">
        <f>IF(ISBLANK('Master Submitted DPDs'!#REF!),"",'Master Submitted DPDs'!#REF!)</f>
        <v>#REF!</v>
      </c>
      <c r="M226" s="2" t="e">
        <f t="shared" si="6"/>
        <v>#REF!</v>
      </c>
      <c r="N226" s="2" t="e">
        <f>IF(ISBLANK('Master Submitted DPDs'!#REF!),IF(ISBLANK('Master Submitted DPDs'!#REF!),"",'Master Submitted DPDs'!#REF!),'Master Submitted DPDs'!#REF!)</f>
        <v>#REF!</v>
      </c>
      <c r="O226" s="2" t="e">
        <f>IF(ISBLANK('Master Submitted DPDs'!#REF!),"",'Master Submitted DPDs'!#REF!)</f>
        <v>#REF!</v>
      </c>
      <c r="P226" s="2" t="e">
        <f>IF(ISBLANK('Master Submitted DPDs'!#REF!),"",'Master Submitted DPDs'!#REF!)</f>
        <v>#REF!</v>
      </c>
      <c r="Q226" t="e">
        <f>IF(ISBLANK('Master Submitted DPDs'!#REF!),"",'Master Submitted DPDs'!#REF!)</f>
        <v>#REF!</v>
      </c>
      <c r="R226" t="e">
        <f t="shared" si="7"/>
        <v>#REF!</v>
      </c>
      <c r="S226" s="3"/>
      <c r="T226" t="e">
        <f>IF(ISBLANK('Master Submitted DPDs'!#REF!),"",'Master Submitted DPDs'!#REF!)</f>
        <v>#REF!</v>
      </c>
    </row>
    <row r="227" spans="1:20" ht="15" x14ac:dyDescent="0.2">
      <c r="A227" s="3" t="str">
        <f>IF(ISBLANK('Master Submitted DPDs'!#REF!),"","Local Plans")</f>
        <v>Local Plans</v>
      </c>
      <c r="B227" t="e">
        <f>IF(ISBLANK('Master Submitted DPDs'!#REF!),"",'Master Submitted DPDs'!#REF!)</f>
        <v>#REF!</v>
      </c>
      <c r="C227" s="3" t="str">
        <f>IF(ISBLANK('Master Submitted DPDs'!#REF!),"","IH")</f>
        <v>IH</v>
      </c>
      <c r="D227" s="3" t="e">
        <f>LOOKUP($F227,'fuzzy LPA lookup'!$E:$E,'fuzzy LPA lookup'!$A:$A)</f>
        <v>#REF!</v>
      </c>
      <c r="E227" s="3" t="e">
        <f>LOOKUP($F227,'fuzzy LPA lookup'!$E:$E,'fuzzy LPA lookup'!$D:$D)</f>
        <v>#REF!</v>
      </c>
      <c r="F227" s="8" t="e">
        <f>IF(ISBLANK('Master Submitted DPDs'!#REF!),"",'Master Submitted DPDs'!#REF!)</f>
        <v>#REF!</v>
      </c>
      <c r="G227" t="str">
        <f>IF(ISBLANK('Master Submitted DPDs'!#REF!),"","Withdrawn")</f>
        <v>Withdrawn</v>
      </c>
      <c r="H227" s="2" t="e">
        <f>IF(ISBLANK('Master Submitted DPDs'!#REF!),"",'Master Submitted DPDs'!#REF!)</f>
        <v>#REF!</v>
      </c>
      <c r="I227" s="3"/>
      <c r="J227" s="3"/>
      <c r="K227" s="3"/>
      <c r="L227" s="2" t="e">
        <f>IF(ISBLANK('Master Submitted DPDs'!#REF!),"",'Master Submitted DPDs'!#REF!)</f>
        <v>#REF!</v>
      </c>
      <c r="M227" s="2" t="e">
        <f t="shared" si="6"/>
        <v>#REF!</v>
      </c>
      <c r="N227" s="2" t="e">
        <f>IF(ISBLANK('Master Submitted DPDs'!#REF!),IF(ISBLANK('Master Submitted DPDs'!#REF!),"",'Master Submitted DPDs'!#REF!),'Master Submitted DPDs'!#REF!)</f>
        <v>#REF!</v>
      </c>
      <c r="O227" s="2" t="e">
        <f>IF(ISBLANK('Master Submitted DPDs'!#REF!),"",'Master Submitted DPDs'!#REF!)</f>
        <v>#REF!</v>
      </c>
      <c r="P227" s="2" t="e">
        <f>IF(ISBLANK('Master Submitted DPDs'!#REF!),"",'Master Submitted DPDs'!#REF!)</f>
        <v>#REF!</v>
      </c>
      <c r="Q227" t="e">
        <f>IF(ISBLANK('Master Submitted DPDs'!#REF!),"",'Master Submitted DPDs'!#REF!)</f>
        <v>#REF!</v>
      </c>
      <c r="R227" t="e">
        <f t="shared" si="7"/>
        <v>#REF!</v>
      </c>
      <c r="S227" s="3"/>
      <c r="T227" t="e">
        <f>IF(ISBLANK('Master Submitted DPDs'!#REF!),"",'Master Submitted DPDs'!#REF!)</f>
        <v>#REF!</v>
      </c>
    </row>
    <row r="228" spans="1:20" ht="15" x14ac:dyDescent="0.2">
      <c r="A228" s="3" t="str">
        <f>IF(ISBLANK('Master Submitted DPDs'!#REF!),"","Local Plans")</f>
        <v>Local Plans</v>
      </c>
      <c r="B228" t="e">
        <f>IF(ISBLANK('Master Submitted DPDs'!#REF!),"",'Master Submitted DPDs'!#REF!)</f>
        <v>#REF!</v>
      </c>
      <c r="C228" s="3" t="str">
        <f>IF(ISBLANK('Master Submitted DPDs'!#REF!),"","IH")</f>
        <v>IH</v>
      </c>
      <c r="D228" s="3" t="e">
        <f>LOOKUP($F228,'fuzzy LPA lookup'!$E:$E,'fuzzy LPA lookup'!$A:$A)</f>
        <v>#REF!</v>
      </c>
      <c r="E228" s="3" t="e">
        <f>LOOKUP($F228,'fuzzy LPA lookup'!$E:$E,'fuzzy LPA lookup'!$D:$D)</f>
        <v>#REF!</v>
      </c>
      <c r="F228" s="8" t="e">
        <f>IF(ISBLANK('Master Submitted DPDs'!#REF!),"",'Master Submitted DPDs'!#REF!)</f>
        <v>#REF!</v>
      </c>
      <c r="G228" t="str">
        <f>IF(ISBLANK('Master Submitted DPDs'!#REF!),"","Withdrawn")</f>
        <v>Withdrawn</v>
      </c>
      <c r="H228" s="2" t="e">
        <f>IF(ISBLANK('Master Submitted DPDs'!#REF!),"",'Master Submitted DPDs'!#REF!)</f>
        <v>#REF!</v>
      </c>
      <c r="I228" s="3"/>
      <c r="J228" s="3"/>
      <c r="K228" s="3"/>
      <c r="L228" s="2" t="e">
        <f>IF(ISBLANK('Master Submitted DPDs'!#REF!),"",'Master Submitted DPDs'!#REF!)</f>
        <v>#REF!</v>
      </c>
      <c r="M228" s="2" t="e">
        <f t="shared" si="6"/>
        <v>#REF!</v>
      </c>
      <c r="N228" s="2" t="e">
        <f>IF(ISBLANK('Master Submitted DPDs'!#REF!),IF(ISBLANK('Master Submitted DPDs'!#REF!),"",'Master Submitted DPDs'!#REF!),'Master Submitted DPDs'!#REF!)</f>
        <v>#REF!</v>
      </c>
      <c r="O228" s="2" t="e">
        <f>IF(ISBLANK('Master Submitted DPDs'!#REF!),"",'Master Submitted DPDs'!#REF!)</f>
        <v>#REF!</v>
      </c>
      <c r="P228" s="2" t="e">
        <f>IF(ISBLANK('Master Submitted DPDs'!#REF!),"",'Master Submitted DPDs'!#REF!)</f>
        <v>#REF!</v>
      </c>
      <c r="Q228" t="e">
        <f>IF(ISBLANK('Master Submitted DPDs'!#REF!),"",'Master Submitted DPDs'!#REF!)</f>
        <v>#REF!</v>
      </c>
      <c r="R228" t="e">
        <f t="shared" si="7"/>
        <v>#REF!</v>
      </c>
      <c r="S228" s="3"/>
      <c r="T228" t="e">
        <f>IF(ISBLANK('Master Submitted DPDs'!#REF!),"",'Master Submitted DPDs'!#REF!)</f>
        <v>#REF!</v>
      </c>
    </row>
    <row r="229" spans="1:20" ht="15" x14ac:dyDescent="0.2">
      <c r="A229" s="3" t="str">
        <f>IF(ISBLANK('Master Submitted DPDs'!#REF!),"","Local Plans")</f>
        <v>Local Plans</v>
      </c>
      <c r="B229" t="e">
        <f>IF(ISBLANK('Master Submitted DPDs'!#REF!),"",'Master Submitted DPDs'!#REF!)</f>
        <v>#REF!</v>
      </c>
      <c r="C229" s="3" t="str">
        <f>IF(ISBLANK('Master Submitted DPDs'!#REF!),"","IH")</f>
        <v>IH</v>
      </c>
      <c r="D229" s="3" t="e">
        <f>LOOKUP($F229,'fuzzy LPA lookup'!$E:$E,'fuzzy LPA lookup'!$A:$A)</f>
        <v>#REF!</v>
      </c>
      <c r="E229" s="3" t="e">
        <f>LOOKUP($F229,'fuzzy LPA lookup'!$E:$E,'fuzzy LPA lookup'!$D:$D)</f>
        <v>#REF!</v>
      </c>
      <c r="F229" s="8" t="e">
        <f>IF(ISBLANK('Master Submitted DPDs'!#REF!),"",'Master Submitted DPDs'!#REF!)</f>
        <v>#REF!</v>
      </c>
      <c r="G229" t="str">
        <f>IF(ISBLANK('Master Submitted DPDs'!#REF!),"","Withdrawn")</f>
        <v>Withdrawn</v>
      </c>
      <c r="H229" s="2" t="e">
        <f>IF(ISBLANK('Master Submitted DPDs'!#REF!),"",'Master Submitted DPDs'!#REF!)</f>
        <v>#REF!</v>
      </c>
      <c r="I229" s="3"/>
      <c r="J229" s="3"/>
      <c r="K229" s="3"/>
      <c r="L229" s="2" t="e">
        <f>IF(ISBLANK('Master Submitted DPDs'!#REF!),"",'Master Submitted DPDs'!#REF!)</f>
        <v>#REF!</v>
      </c>
      <c r="M229" s="2" t="e">
        <f t="shared" si="6"/>
        <v>#REF!</v>
      </c>
      <c r="N229" s="2" t="e">
        <f>IF(ISBLANK('Master Submitted DPDs'!#REF!),IF(ISBLANK('Master Submitted DPDs'!#REF!),"",'Master Submitted DPDs'!#REF!),'Master Submitted DPDs'!#REF!)</f>
        <v>#REF!</v>
      </c>
      <c r="O229" s="2" t="e">
        <f>IF(ISBLANK('Master Submitted DPDs'!#REF!),"",'Master Submitted DPDs'!#REF!)</f>
        <v>#REF!</v>
      </c>
      <c r="P229" s="2" t="e">
        <f>IF(ISBLANK('Master Submitted DPDs'!#REF!),"",'Master Submitted DPDs'!#REF!)</f>
        <v>#REF!</v>
      </c>
      <c r="Q229" t="e">
        <f>IF(ISBLANK('Master Submitted DPDs'!#REF!),"",'Master Submitted DPDs'!#REF!)</f>
        <v>#REF!</v>
      </c>
      <c r="R229" t="e">
        <f t="shared" si="7"/>
        <v>#REF!</v>
      </c>
      <c r="S229" s="3"/>
      <c r="T229" t="e">
        <f>IF(ISBLANK('Master Submitted DPDs'!#REF!),"",'Master Submitted DPDs'!#REF!)</f>
        <v>#REF!</v>
      </c>
    </row>
    <row r="230" spans="1:20" ht="15" x14ac:dyDescent="0.2">
      <c r="A230" s="3" t="str">
        <f>IF(ISBLANK('Master Submitted DPDs'!#REF!),"","Local Plans")</f>
        <v>Local Plans</v>
      </c>
      <c r="B230" t="e">
        <f>IF(ISBLANK('Master Submitted DPDs'!#REF!),"",'Master Submitted DPDs'!#REF!)</f>
        <v>#REF!</v>
      </c>
      <c r="C230" s="3" t="str">
        <f>IF(ISBLANK('Master Submitted DPDs'!#REF!),"","IH")</f>
        <v>IH</v>
      </c>
      <c r="D230" s="3" t="e">
        <f>LOOKUP($F230,'fuzzy LPA lookup'!$E:$E,'fuzzy LPA lookup'!$A:$A)</f>
        <v>#REF!</v>
      </c>
      <c r="E230" s="3" t="e">
        <f>LOOKUP($F230,'fuzzy LPA lookup'!$E:$E,'fuzzy LPA lookup'!$D:$D)</f>
        <v>#REF!</v>
      </c>
      <c r="F230" s="8" t="e">
        <f>IF(ISBLANK('Master Submitted DPDs'!#REF!),"",'Master Submitted DPDs'!#REF!)</f>
        <v>#REF!</v>
      </c>
      <c r="G230" t="str">
        <f>IF(ISBLANK('Master Submitted DPDs'!#REF!),"","Withdrawn")</f>
        <v>Withdrawn</v>
      </c>
      <c r="H230" s="2" t="e">
        <f>IF(ISBLANK('Master Submitted DPDs'!#REF!),"",'Master Submitted DPDs'!#REF!)</f>
        <v>#REF!</v>
      </c>
      <c r="I230" s="3"/>
      <c r="J230" s="3"/>
      <c r="K230" s="3"/>
      <c r="L230" s="2" t="e">
        <f>IF(ISBLANK('Master Submitted DPDs'!#REF!),"",'Master Submitted DPDs'!#REF!)</f>
        <v>#REF!</v>
      </c>
      <c r="M230" s="2" t="e">
        <f t="shared" si="6"/>
        <v>#REF!</v>
      </c>
      <c r="N230" s="2" t="e">
        <f>IF(ISBLANK('Master Submitted DPDs'!#REF!),IF(ISBLANK('Master Submitted DPDs'!#REF!),"",'Master Submitted DPDs'!#REF!),'Master Submitted DPDs'!#REF!)</f>
        <v>#REF!</v>
      </c>
      <c r="O230" s="2" t="e">
        <f>IF(ISBLANK('Master Submitted DPDs'!#REF!),"",'Master Submitted DPDs'!#REF!)</f>
        <v>#REF!</v>
      </c>
      <c r="P230" s="2" t="e">
        <f>IF(ISBLANK('Master Submitted DPDs'!#REF!),"",'Master Submitted DPDs'!#REF!)</f>
        <v>#REF!</v>
      </c>
      <c r="Q230" t="e">
        <f>IF(ISBLANK('Master Submitted DPDs'!#REF!),"",'Master Submitted DPDs'!#REF!)</f>
        <v>#REF!</v>
      </c>
      <c r="R230" t="e">
        <f t="shared" si="7"/>
        <v>#REF!</v>
      </c>
      <c r="S230" s="3"/>
      <c r="T230" t="e">
        <f>IF(ISBLANK('Master Submitted DPDs'!#REF!),"",'Master Submitted DPDs'!#REF!)</f>
        <v>#REF!</v>
      </c>
    </row>
    <row r="231" spans="1:20" ht="15" x14ac:dyDescent="0.2">
      <c r="A231" s="3" t="str">
        <f>IF(ISBLANK('Master Submitted DPDs'!#REF!),"","Local Plans")</f>
        <v>Local Plans</v>
      </c>
      <c r="B231" t="e">
        <f>IF(ISBLANK('Master Submitted DPDs'!#REF!),"",'Master Submitted DPDs'!#REF!)</f>
        <v>#REF!</v>
      </c>
      <c r="C231" s="3" t="str">
        <f>IF(ISBLANK('Master Submitted DPDs'!#REF!),"","IH")</f>
        <v>IH</v>
      </c>
      <c r="D231" s="3" t="e">
        <f>LOOKUP($F231,'fuzzy LPA lookup'!$E:$E,'fuzzy LPA lookup'!$A:$A)</f>
        <v>#REF!</v>
      </c>
      <c r="E231" s="3" t="e">
        <f>LOOKUP($F231,'fuzzy LPA lookup'!$E:$E,'fuzzy LPA lookup'!$D:$D)</f>
        <v>#REF!</v>
      </c>
      <c r="F231" s="8" t="e">
        <f>IF(ISBLANK('Master Submitted DPDs'!#REF!),"",'Master Submitted DPDs'!#REF!)</f>
        <v>#REF!</v>
      </c>
      <c r="G231" t="str">
        <f>IF(ISBLANK('Master Submitted DPDs'!#REF!),"","Withdrawn")</f>
        <v>Withdrawn</v>
      </c>
      <c r="H231" s="2" t="e">
        <f>IF(ISBLANK('Master Submitted DPDs'!#REF!),"",'Master Submitted DPDs'!#REF!)</f>
        <v>#REF!</v>
      </c>
      <c r="I231" s="3"/>
      <c r="J231" s="3"/>
      <c r="K231" s="3"/>
      <c r="L231" s="2" t="e">
        <f>IF(ISBLANK('Master Submitted DPDs'!#REF!),"",'Master Submitted DPDs'!#REF!)</f>
        <v>#REF!</v>
      </c>
      <c r="M231" s="2" t="e">
        <f t="shared" si="6"/>
        <v>#REF!</v>
      </c>
      <c r="N231" s="2" t="e">
        <f>IF(ISBLANK('Master Submitted DPDs'!#REF!),IF(ISBLANK('Master Submitted DPDs'!#REF!),"",'Master Submitted DPDs'!#REF!),'Master Submitted DPDs'!#REF!)</f>
        <v>#REF!</v>
      </c>
      <c r="O231" s="2" t="e">
        <f>IF(ISBLANK('Master Submitted DPDs'!#REF!),"",'Master Submitted DPDs'!#REF!)</f>
        <v>#REF!</v>
      </c>
      <c r="P231" s="2" t="e">
        <f>IF(ISBLANK('Master Submitted DPDs'!#REF!),"",'Master Submitted DPDs'!#REF!)</f>
        <v>#REF!</v>
      </c>
      <c r="Q231" t="e">
        <f>IF(ISBLANK('Master Submitted DPDs'!#REF!),"",'Master Submitted DPDs'!#REF!)</f>
        <v>#REF!</v>
      </c>
      <c r="R231" t="e">
        <f t="shared" si="7"/>
        <v>#REF!</v>
      </c>
      <c r="S231" s="3"/>
      <c r="T231" t="e">
        <f>IF(ISBLANK('Master Submitted DPDs'!#REF!),"",'Master Submitted DPDs'!#REF!)</f>
        <v>#REF!</v>
      </c>
    </row>
    <row r="232" spans="1:20" ht="15" x14ac:dyDescent="0.2">
      <c r="A232" s="3" t="str">
        <f>IF(ISBLANK('Master Submitted DPDs'!#REF!),"","Local Plans")</f>
        <v>Local Plans</v>
      </c>
      <c r="B232" t="e">
        <f>IF(ISBLANK('Master Submitted DPDs'!#REF!),"",'Master Submitted DPDs'!#REF!)</f>
        <v>#REF!</v>
      </c>
      <c r="C232" s="3" t="str">
        <f>IF(ISBLANK('Master Submitted DPDs'!#REF!),"","IH")</f>
        <v>IH</v>
      </c>
      <c r="D232" s="3" t="e">
        <f>LOOKUP($F232,'fuzzy LPA lookup'!$E:$E,'fuzzy LPA lookup'!$A:$A)</f>
        <v>#REF!</v>
      </c>
      <c r="E232" s="3" t="e">
        <f>LOOKUP($F232,'fuzzy LPA lookup'!$E:$E,'fuzzy LPA lookup'!$D:$D)</f>
        <v>#REF!</v>
      </c>
      <c r="F232" s="8" t="e">
        <f>IF(ISBLANK('Master Submitted DPDs'!#REF!),"",'Master Submitted DPDs'!#REF!)</f>
        <v>#REF!</v>
      </c>
      <c r="G232" t="str">
        <f>IF(ISBLANK('Master Submitted DPDs'!#REF!),"","Withdrawn")</f>
        <v>Withdrawn</v>
      </c>
      <c r="H232" s="2" t="e">
        <f>IF(ISBLANK('Master Submitted DPDs'!#REF!),"",'Master Submitted DPDs'!#REF!)</f>
        <v>#REF!</v>
      </c>
      <c r="I232" s="3"/>
      <c r="J232" s="3"/>
      <c r="K232" s="3"/>
      <c r="L232" s="2" t="e">
        <f>IF(ISBLANK('Master Submitted DPDs'!#REF!),"",'Master Submitted DPDs'!#REF!)</f>
        <v>#REF!</v>
      </c>
      <c r="M232" s="2" t="e">
        <f t="shared" si="6"/>
        <v>#REF!</v>
      </c>
      <c r="N232" s="2" t="e">
        <f>IF(ISBLANK('Master Submitted DPDs'!#REF!),IF(ISBLANK('Master Submitted DPDs'!#REF!),"",'Master Submitted DPDs'!#REF!),'Master Submitted DPDs'!#REF!)</f>
        <v>#REF!</v>
      </c>
      <c r="O232" s="2" t="e">
        <f>IF(ISBLANK('Master Submitted DPDs'!#REF!),"",'Master Submitted DPDs'!#REF!)</f>
        <v>#REF!</v>
      </c>
      <c r="P232" s="2" t="e">
        <f>IF(ISBLANK('Master Submitted DPDs'!#REF!),"",'Master Submitted DPDs'!#REF!)</f>
        <v>#REF!</v>
      </c>
      <c r="Q232" t="e">
        <f>IF(ISBLANK('Master Submitted DPDs'!#REF!),"",'Master Submitted DPDs'!#REF!)</f>
        <v>#REF!</v>
      </c>
      <c r="R232" t="e">
        <f t="shared" si="7"/>
        <v>#REF!</v>
      </c>
      <c r="S232" s="3"/>
      <c r="T232" t="e">
        <f>IF(ISBLANK('Master Submitted DPDs'!#REF!),"",'Master Submitted DPDs'!#REF!)</f>
        <v>#REF!</v>
      </c>
    </row>
    <row r="233" spans="1:20" ht="15" x14ac:dyDescent="0.2">
      <c r="A233" s="3" t="str">
        <f>IF(ISBLANK('Master Submitted DPDs'!#REF!),"","Local Plans")</f>
        <v>Local Plans</v>
      </c>
      <c r="B233" t="e">
        <f>IF(ISBLANK('Master Submitted DPDs'!#REF!),"",'Master Submitted DPDs'!#REF!)</f>
        <v>#REF!</v>
      </c>
      <c r="C233" s="3" t="str">
        <f>IF(ISBLANK('Master Submitted DPDs'!#REF!),"","IH")</f>
        <v>IH</v>
      </c>
      <c r="D233" s="3" t="e">
        <f>LOOKUP($F233,'fuzzy LPA lookup'!$E:$E,'fuzzy LPA lookup'!$A:$A)</f>
        <v>#REF!</v>
      </c>
      <c r="E233" s="3" t="e">
        <f>LOOKUP($F233,'fuzzy LPA lookup'!$E:$E,'fuzzy LPA lookup'!$D:$D)</f>
        <v>#REF!</v>
      </c>
      <c r="F233" s="8" t="e">
        <f>IF(ISBLANK('Master Submitted DPDs'!#REF!),"",'Master Submitted DPDs'!#REF!)</f>
        <v>#REF!</v>
      </c>
      <c r="G233" t="str">
        <f>IF(ISBLANK('Master Submitted DPDs'!#REF!),"","Withdrawn")</f>
        <v>Withdrawn</v>
      </c>
      <c r="H233" s="2" t="e">
        <f>IF(ISBLANK('Master Submitted DPDs'!#REF!),"",'Master Submitted DPDs'!#REF!)</f>
        <v>#REF!</v>
      </c>
      <c r="I233" s="3"/>
      <c r="J233" s="3"/>
      <c r="K233" s="3"/>
      <c r="L233" s="2" t="e">
        <f>IF(ISBLANK('Master Submitted DPDs'!#REF!),"",'Master Submitted DPDs'!#REF!)</f>
        <v>#REF!</v>
      </c>
      <c r="M233" s="2" t="e">
        <f t="shared" si="6"/>
        <v>#REF!</v>
      </c>
      <c r="N233" s="2" t="e">
        <f>IF(ISBLANK('Master Submitted DPDs'!#REF!),IF(ISBLANK('Master Submitted DPDs'!#REF!),"",'Master Submitted DPDs'!#REF!),'Master Submitted DPDs'!#REF!)</f>
        <v>#REF!</v>
      </c>
      <c r="O233" s="2" t="e">
        <f>IF(ISBLANK('Master Submitted DPDs'!#REF!),"",'Master Submitted DPDs'!#REF!)</f>
        <v>#REF!</v>
      </c>
      <c r="P233" s="2" t="e">
        <f>IF(ISBLANK('Master Submitted DPDs'!#REF!),"",'Master Submitted DPDs'!#REF!)</f>
        <v>#REF!</v>
      </c>
      <c r="Q233" t="e">
        <f>IF(ISBLANK('Master Submitted DPDs'!#REF!),"",'Master Submitted DPDs'!#REF!)</f>
        <v>#REF!</v>
      </c>
      <c r="R233" t="e">
        <f t="shared" si="7"/>
        <v>#REF!</v>
      </c>
      <c r="S233" s="3"/>
      <c r="T233" t="e">
        <f>IF(ISBLANK('Master Submitted DPDs'!#REF!),"",'Master Submitted DPDs'!#REF!)</f>
        <v>#REF!</v>
      </c>
    </row>
    <row r="234" spans="1:20" ht="15" x14ac:dyDescent="0.2">
      <c r="A234" s="3" t="str">
        <f>IF(ISBLANK('Master Submitted DPDs'!#REF!),"","Local Plans")</f>
        <v>Local Plans</v>
      </c>
      <c r="B234" t="e">
        <f>IF(ISBLANK('Master Submitted DPDs'!#REF!),"",'Master Submitted DPDs'!#REF!)</f>
        <v>#REF!</v>
      </c>
      <c r="C234" s="3" t="str">
        <f>IF(ISBLANK('Master Submitted DPDs'!#REF!),"","IH")</f>
        <v>IH</v>
      </c>
      <c r="D234" s="3" t="e">
        <f>LOOKUP($F234,'fuzzy LPA lookup'!$E:$E,'fuzzy LPA lookup'!$A:$A)</f>
        <v>#REF!</v>
      </c>
      <c r="E234" s="3" t="e">
        <f>LOOKUP($F234,'fuzzy LPA lookup'!$E:$E,'fuzzy LPA lookup'!$D:$D)</f>
        <v>#REF!</v>
      </c>
      <c r="F234" s="8" t="e">
        <f>IF(ISBLANK('Master Submitted DPDs'!#REF!),"",'Master Submitted DPDs'!#REF!)</f>
        <v>#REF!</v>
      </c>
      <c r="G234" t="str">
        <f>IF(ISBLANK('Master Submitted DPDs'!#REF!),"","Withdrawn")</f>
        <v>Withdrawn</v>
      </c>
      <c r="H234" s="2" t="e">
        <f>IF(ISBLANK('Master Submitted DPDs'!#REF!),"",'Master Submitted DPDs'!#REF!)</f>
        <v>#REF!</v>
      </c>
      <c r="I234" s="3"/>
      <c r="J234" s="3"/>
      <c r="K234" s="3"/>
      <c r="L234" s="2" t="e">
        <f>IF(ISBLANK('Master Submitted DPDs'!#REF!),"",'Master Submitted DPDs'!#REF!)</f>
        <v>#REF!</v>
      </c>
      <c r="M234" s="2" t="e">
        <f t="shared" si="6"/>
        <v>#REF!</v>
      </c>
      <c r="N234" s="2" t="e">
        <f>IF(ISBLANK('Master Submitted DPDs'!#REF!),IF(ISBLANK('Master Submitted DPDs'!#REF!),"",'Master Submitted DPDs'!#REF!),'Master Submitted DPDs'!#REF!)</f>
        <v>#REF!</v>
      </c>
      <c r="O234" s="2" t="e">
        <f>IF(ISBLANK('Master Submitted DPDs'!#REF!),"",'Master Submitted DPDs'!#REF!)</f>
        <v>#REF!</v>
      </c>
      <c r="P234" s="2" t="e">
        <f>IF(ISBLANK('Master Submitted DPDs'!#REF!),"",'Master Submitted DPDs'!#REF!)</f>
        <v>#REF!</v>
      </c>
      <c r="Q234" t="e">
        <f>IF(ISBLANK('Master Submitted DPDs'!#REF!),"",'Master Submitted DPDs'!#REF!)</f>
        <v>#REF!</v>
      </c>
      <c r="R234" t="e">
        <f t="shared" si="7"/>
        <v>#REF!</v>
      </c>
      <c r="S234" s="3"/>
      <c r="T234" t="e">
        <f>IF(ISBLANK('Master Submitted DPDs'!#REF!),"",'Master Submitted DPDs'!#REF!)</f>
        <v>#REF!</v>
      </c>
    </row>
    <row r="235" spans="1:20" ht="15" x14ac:dyDescent="0.2">
      <c r="A235" s="3" t="str">
        <f>IF(ISBLANK('Master Submitted DPDs'!#REF!),"","Local Plans")</f>
        <v>Local Plans</v>
      </c>
      <c r="B235" t="e">
        <f>IF(ISBLANK('Master Submitted DPDs'!#REF!),"",'Master Submitted DPDs'!#REF!)</f>
        <v>#REF!</v>
      </c>
      <c r="C235" s="3" t="str">
        <f>IF(ISBLANK('Master Submitted DPDs'!#REF!),"","IH")</f>
        <v>IH</v>
      </c>
      <c r="D235" s="3" t="e">
        <f>LOOKUP($F235,'fuzzy LPA lookup'!$E:$E,'fuzzy LPA lookup'!$A:$A)</f>
        <v>#REF!</v>
      </c>
      <c r="E235" s="3" t="e">
        <f>LOOKUP($F235,'fuzzy LPA lookup'!$E:$E,'fuzzy LPA lookup'!$D:$D)</f>
        <v>#REF!</v>
      </c>
      <c r="F235" s="8" t="e">
        <f>IF(ISBLANK('Master Submitted DPDs'!#REF!),"",'Master Submitted DPDs'!#REF!)</f>
        <v>#REF!</v>
      </c>
      <c r="G235" t="str">
        <f>IF(ISBLANK('Master Submitted DPDs'!#REF!),"","Withdrawn")</f>
        <v>Withdrawn</v>
      </c>
      <c r="H235" s="2" t="e">
        <f>IF(ISBLANK('Master Submitted DPDs'!#REF!),"",'Master Submitted DPDs'!#REF!)</f>
        <v>#REF!</v>
      </c>
      <c r="I235" s="3"/>
      <c r="J235" s="3"/>
      <c r="K235" s="3"/>
      <c r="L235" s="2" t="e">
        <f>IF(ISBLANK('Master Submitted DPDs'!#REF!),"",'Master Submitted DPDs'!#REF!)</f>
        <v>#REF!</v>
      </c>
      <c r="M235" s="2" t="e">
        <f t="shared" si="6"/>
        <v>#REF!</v>
      </c>
      <c r="N235" s="2" t="e">
        <f>IF(ISBLANK('Master Submitted DPDs'!#REF!),IF(ISBLANK('Master Submitted DPDs'!#REF!),"",'Master Submitted DPDs'!#REF!),'Master Submitted DPDs'!#REF!)</f>
        <v>#REF!</v>
      </c>
      <c r="O235" s="2" t="e">
        <f>IF(ISBLANK('Master Submitted DPDs'!#REF!),"",'Master Submitted DPDs'!#REF!)</f>
        <v>#REF!</v>
      </c>
      <c r="P235" s="2" t="e">
        <f>IF(ISBLANK('Master Submitted DPDs'!#REF!),"",'Master Submitted DPDs'!#REF!)</f>
        <v>#REF!</v>
      </c>
      <c r="Q235" t="e">
        <f>IF(ISBLANK('Master Submitted DPDs'!#REF!),"",'Master Submitted DPDs'!#REF!)</f>
        <v>#REF!</v>
      </c>
      <c r="R235" t="e">
        <f t="shared" si="7"/>
        <v>#REF!</v>
      </c>
      <c r="S235" s="3"/>
      <c r="T235" t="e">
        <f>IF(ISBLANK('Master Submitted DPDs'!#REF!),"",'Master Submitted DPDs'!#REF!)</f>
        <v>#REF!</v>
      </c>
    </row>
    <row r="236" spans="1:20" ht="15" x14ac:dyDescent="0.2">
      <c r="A236" s="3" t="str">
        <f>IF(ISBLANK('Master Submitted DPDs'!#REF!),"","Local Plans")</f>
        <v>Local Plans</v>
      </c>
      <c r="B236" t="e">
        <f>IF(ISBLANK('Master Submitted DPDs'!#REF!),"",'Master Submitted DPDs'!#REF!)</f>
        <v>#REF!</v>
      </c>
      <c r="C236" s="3" t="str">
        <f>IF(ISBLANK('Master Submitted DPDs'!#REF!),"","IH")</f>
        <v>IH</v>
      </c>
      <c r="D236" s="3" t="e">
        <f>LOOKUP($F236,'fuzzy LPA lookup'!$E:$E,'fuzzy LPA lookup'!$A:$A)</f>
        <v>#REF!</v>
      </c>
      <c r="E236" s="3" t="e">
        <f>LOOKUP($F236,'fuzzy LPA lookup'!$E:$E,'fuzzy LPA lookup'!$D:$D)</f>
        <v>#REF!</v>
      </c>
      <c r="F236" s="8" t="e">
        <f>IF(ISBLANK('Master Submitted DPDs'!#REF!),"",'Master Submitted DPDs'!#REF!)</f>
        <v>#REF!</v>
      </c>
      <c r="G236" t="str">
        <f>IF(ISBLANK('Master Submitted DPDs'!#REF!),"","Withdrawn")</f>
        <v>Withdrawn</v>
      </c>
      <c r="H236" s="2" t="e">
        <f>IF(ISBLANK('Master Submitted DPDs'!#REF!),"",'Master Submitted DPDs'!#REF!)</f>
        <v>#REF!</v>
      </c>
      <c r="I236" s="3"/>
      <c r="J236" s="3"/>
      <c r="K236" s="3"/>
      <c r="L236" s="2" t="e">
        <f>IF(ISBLANK('Master Submitted DPDs'!#REF!),"",'Master Submitted DPDs'!#REF!)</f>
        <v>#REF!</v>
      </c>
      <c r="M236" s="2" t="e">
        <f t="shared" si="6"/>
        <v>#REF!</v>
      </c>
      <c r="N236" s="2" t="e">
        <f>IF(ISBLANK('Master Submitted DPDs'!#REF!),IF(ISBLANK('Master Submitted DPDs'!#REF!),"",'Master Submitted DPDs'!#REF!),'Master Submitted DPDs'!#REF!)</f>
        <v>#REF!</v>
      </c>
      <c r="O236" s="2" t="e">
        <f>IF(ISBLANK('Master Submitted DPDs'!#REF!),"",'Master Submitted DPDs'!#REF!)</f>
        <v>#REF!</v>
      </c>
      <c r="P236" s="2" t="e">
        <f>IF(ISBLANK('Master Submitted DPDs'!#REF!),"",'Master Submitted DPDs'!#REF!)</f>
        <v>#REF!</v>
      </c>
      <c r="Q236" t="e">
        <f>IF(ISBLANK('Master Submitted DPDs'!#REF!),"",'Master Submitted DPDs'!#REF!)</f>
        <v>#REF!</v>
      </c>
      <c r="R236" t="e">
        <f t="shared" si="7"/>
        <v>#REF!</v>
      </c>
      <c r="S236" s="3"/>
      <c r="T236" t="e">
        <f>IF(ISBLANK('Master Submitted DPDs'!#REF!),"",'Master Submitted DPDs'!#REF!)</f>
        <v>#REF!</v>
      </c>
    </row>
    <row r="237" spans="1:20" ht="15" x14ac:dyDescent="0.2">
      <c r="A237" s="3" t="str">
        <f>IF(ISBLANK('Master Submitted DPDs'!#REF!),"","Local Plans")</f>
        <v>Local Plans</v>
      </c>
      <c r="B237" t="e">
        <f>IF(ISBLANK('Master Submitted DPDs'!#REF!),"",'Master Submitted DPDs'!#REF!)</f>
        <v>#REF!</v>
      </c>
      <c r="C237" s="3" t="str">
        <f>IF(ISBLANK('Master Submitted DPDs'!#REF!),"","IH")</f>
        <v>IH</v>
      </c>
      <c r="D237" s="3" t="e">
        <f>LOOKUP($F237,'fuzzy LPA lookup'!$E:$E,'fuzzy LPA lookup'!$A:$A)</f>
        <v>#REF!</v>
      </c>
      <c r="E237" s="3" t="e">
        <f>LOOKUP($F237,'fuzzy LPA lookup'!$E:$E,'fuzzy LPA lookup'!$D:$D)</f>
        <v>#REF!</v>
      </c>
      <c r="F237" s="8" t="e">
        <f>IF(ISBLANK('Master Submitted DPDs'!#REF!),"",'Master Submitted DPDs'!#REF!)</f>
        <v>#REF!</v>
      </c>
      <c r="G237" t="str">
        <f>IF(ISBLANK('Master Submitted DPDs'!#REF!),"","Withdrawn")</f>
        <v>Withdrawn</v>
      </c>
      <c r="H237" s="2" t="e">
        <f>IF(ISBLANK('Master Submitted DPDs'!#REF!),"",'Master Submitted DPDs'!#REF!)</f>
        <v>#REF!</v>
      </c>
      <c r="I237" s="3"/>
      <c r="J237" s="3"/>
      <c r="K237" s="3"/>
      <c r="L237" s="2" t="e">
        <f>IF(ISBLANK('Master Submitted DPDs'!#REF!),"",'Master Submitted DPDs'!#REF!)</f>
        <v>#REF!</v>
      </c>
      <c r="M237" s="2" t="e">
        <f t="shared" si="6"/>
        <v>#REF!</v>
      </c>
      <c r="N237" s="2" t="e">
        <f>IF(ISBLANK('Master Submitted DPDs'!#REF!),IF(ISBLANK('Master Submitted DPDs'!#REF!),"",'Master Submitted DPDs'!#REF!),'Master Submitted DPDs'!#REF!)</f>
        <v>#REF!</v>
      </c>
      <c r="O237" s="2" t="e">
        <f>IF(ISBLANK('Master Submitted DPDs'!#REF!),"",'Master Submitted DPDs'!#REF!)</f>
        <v>#REF!</v>
      </c>
      <c r="P237" s="2" t="e">
        <f>IF(ISBLANK('Master Submitted DPDs'!#REF!),"",'Master Submitted DPDs'!#REF!)</f>
        <v>#REF!</v>
      </c>
      <c r="Q237" t="e">
        <f>IF(ISBLANK('Master Submitted DPDs'!#REF!),"",'Master Submitted DPDs'!#REF!)</f>
        <v>#REF!</v>
      </c>
      <c r="R237" t="e">
        <f t="shared" si="7"/>
        <v>#REF!</v>
      </c>
      <c r="S237" s="3"/>
      <c r="T237" t="e">
        <f>IF(ISBLANK('Master Submitted DPDs'!#REF!),"",'Master Submitted DPDs'!#REF!)</f>
        <v>#REF!</v>
      </c>
    </row>
    <row r="238" spans="1:20" ht="15" x14ac:dyDescent="0.2">
      <c r="A238" s="3" t="str">
        <f>IF(ISBLANK('Master Submitted DPDs'!#REF!),"","Local Plans")</f>
        <v>Local Plans</v>
      </c>
      <c r="B238" t="e">
        <f>IF(ISBLANK('Master Submitted DPDs'!#REF!),"",'Master Submitted DPDs'!#REF!)</f>
        <v>#REF!</v>
      </c>
      <c r="C238" s="3" t="str">
        <f>IF(ISBLANK('Master Submitted DPDs'!#REF!),"","IH")</f>
        <v>IH</v>
      </c>
      <c r="D238" s="3" t="e">
        <f>LOOKUP($F238,'fuzzy LPA lookup'!$E:$E,'fuzzy LPA lookup'!$A:$A)</f>
        <v>#REF!</v>
      </c>
      <c r="E238" s="3" t="e">
        <f>LOOKUP($F238,'fuzzy LPA lookup'!$E:$E,'fuzzy LPA lookup'!$D:$D)</f>
        <v>#REF!</v>
      </c>
      <c r="F238" s="8" t="e">
        <f>IF(ISBLANK('Master Submitted DPDs'!#REF!),"",'Master Submitted DPDs'!#REF!)</f>
        <v>#REF!</v>
      </c>
      <c r="G238" t="str">
        <f>IF(ISBLANK('Master Submitted DPDs'!#REF!),"","Withdrawn")</f>
        <v>Withdrawn</v>
      </c>
      <c r="H238" s="2" t="e">
        <f>IF(ISBLANK('Master Submitted DPDs'!#REF!),"",'Master Submitted DPDs'!#REF!)</f>
        <v>#REF!</v>
      </c>
      <c r="I238" s="3"/>
      <c r="J238" s="3"/>
      <c r="K238" s="3"/>
      <c r="L238" s="2" t="e">
        <f>IF(ISBLANK('Master Submitted DPDs'!#REF!),"",'Master Submitted DPDs'!#REF!)</f>
        <v>#REF!</v>
      </c>
      <c r="M238" s="2" t="e">
        <f t="shared" si="6"/>
        <v>#REF!</v>
      </c>
      <c r="N238" s="2" t="e">
        <f>IF(ISBLANK('Master Submitted DPDs'!#REF!),IF(ISBLANK('Master Submitted DPDs'!#REF!),"",'Master Submitted DPDs'!#REF!),'Master Submitted DPDs'!#REF!)</f>
        <v>#REF!</v>
      </c>
      <c r="O238" s="2" t="e">
        <f>IF(ISBLANK('Master Submitted DPDs'!#REF!),"",'Master Submitted DPDs'!#REF!)</f>
        <v>#REF!</v>
      </c>
      <c r="P238" s="2" t="e">
        <f>IF(ISBLANK('Master Submitted DPDs'!#REF!),"",'Master Submitted DPDs'!#REF!)</f>
        <v>#REF!</v>
      </c>
      <c r="Q238" t="e">
        <f>IF(ISBLANK('Master Submitted DPDs'!#REF!),"",'Master Submitted DPDs'!#REF!)</f>
        <v>#REF!</v>
      </c>
      <c r="R238" t="e">
        <f t="shared" si="7"/>
        <v>#REF!</v>
      </c>
      <c r="S238" s="3"/>
      <c r="T238" t="e">
        <f>IF(ISBLANK('Master Submitted DPDs'!#REF!),"",'Master Submitted DPDs'!#REF!)</f>
        <v>#REF!</v>
      </c>
    </row>
    <row r="239" spans="1:20" ht="15" x14ac:dyDescent="0.2">
      <c r="A239" s="3" t="str">
        <f>IF(ISBLANK('Master Submitted DPDs'!#REF!),"","Local Plans")</f>
        <v>Local Plans</v>
      </c>
      <c r="B239" t="e">
        <f>IF(ISBLANK('Master Submitted DPDs'!#REF!),"",'Master Submitted DPDs'!#REF!)</f>
        <v>#REF!</v>
      </c>
      <c r="C239" s="3" t="str">
        <f>IF(ISBLANK('Master Submitted DPDs'!#REF!),"","IH")</f>
        <v>IH</v>
      </c>
      <c r="D239" s="3" t="e">
        <f>LOOKUP($F239,'fuzzy LPA lookup'!$E:$E,'fuzzy LPA lookup'!$A:$A)</f>
        <v>#REF!</v>
      </c>
      <c r="E239" s="3" t="e">
        <f>LOOKUP($F239,'fuzzy LPA lookup'!$E:$E,'fuzzy LPA lookup'!$D:$D)</f>
        <v>#REF!</v>
      </c>
      <c r="F239" s="8" t="e">
        <f>IF(ISBLANK('Master Submitted DPDs'!#REF!),"",'Master Submitted DPDs'!#REF!)</f>
        <v>#REF!</v>
      </c>
      <c r="G239" t="str">
        <f>IF(ISBLANK('Master Submitted DPDs'!#REF!),"","Withdrawn")</f>
        <v>Withdrawn</v>
      </c>
      <c r="H239" s="2" t="e">
        <f>IF(ISBLANK('Master Submitted DPDs'!#REF!),"",'Master Submitted DPDs'!#REF!)</f>
        <v>#REF!</v>
      </c>
      <c r="I239" s="3"/>
      <c r="J239" s="3"/>
      <c r="K239" s="3"/>
      <c r="L239" s="2" t="e">
        <f>IF(ISBLANK('Master Submitted DPDs'!#REF!),"",'Master Submitted DPDs'!#REF!)</f>
        <v>#REF!</v>
      </c>
      <c r="M239" s="2" t="e">
        <f t="shared" si="6"/>
        <v>#REF!</v>
      </c>
      <c r="N239" s="2" t="e">
        <f>IF(ISBLANK('Master Submitted DPDs'!#REF!),IF(ISBLANK('Master Submitted DPDs'!#REF!),"",'Master Submitted DPDs'!#REF!),'Master Submitted DPDs'!#REF!)</f>
        <v>#REF!</v>
      </c>
      <c r="O239" s="2" t="e">
        <f>IF(ISBLANK('Master Submitted DPDs'!#REF!),"",'Master Submitted DPDs'!#REF!)</f>
        <v>#REF!</v>
      </c>
      <c r="P239" s="2" t="e">
        <f>IF(ISBLANK('Master Submitted DPDs'!#REF!),"",'Master Submitted DPDs'!#REF!)</f>
        <v>#REF!</v>
      </c>
      <c r="Q239" t="e">
        <f>IF(ISBLANK('Master Submitted DPDs'!#REF!),"",'Master Submitted DPDs'!#REF!)</f>
        <v>#REF!</v>
      </c>
      <c r="R239" t="e">
        <f t="shared" si="7"/>
        <v>#REF!</v>
      </c>
      <c r="S239" s="3"/>
      <c r="T239" t="e">
        <f>IF(ISBLANK('Master Submitted DPDs'!#REF!),"",'Master Submitted DPDs'!#REF!)</f>
        <v>#REF!</v>
      </c>
    </row>
    <row r="240" spans="1:20" ht="15" x14ac:dyDescent="0.2">
      <c r="A240" s="3" t="str">
        <f>IF(ISBLANK('Master Submitted DPDs'!#REF!),"","Local Plans")</f>
        <v>Local Plans</v>
      </c>
      <c r="B240" t="e">
        <f>IF(ISBLANK('Master Submitted DPDs'!#REF!),"",'Master Submitted DPDs'!#REF!)</f>
        <v>#REF!</v>
      </c>
      <c r="C240" s="3" t="str">
        <f>IF(ISBLANK('Master Submitted DPDs'!#REF!),"","IH")</f>
        <v>IH</v>
      </c>
      <c r="D240" s="3" t="e">
        <f>LOOKUP($F240,'fuzzy LPA lookup'!$E:$E,'fuzzy LPA lookup'!$A:$A)</f>
        <v>#REF!</v>
      </c>
      <c r="E240" s="3" t="e">
        <f>LOOKUP($F240,'fuzzy LPA lookup'!$E:$E,'fuzzy LPA lookup'!$D:$D)</f>
        <v>#REF!</v>
      </c>
      <c r="F240" s="8" t="e">
        <f>IF(ISBLANK('Master Submitted DPDs'!#REF!),"",'Master Submitted DPDs'!#REF!)</f>
        <v>#REF!</v>
      </c>
      <c r="G240" t="str">
        <f>IF(ISBLANK('Master Submitted DPDs'!#REF!),"","Withdrawn")</f>
        <v>Withdrawn</v>
      </c>
      <c r="H240" s="2" t="e">
        <f>IF(ISBLANK('Master Submitted DPDs'!#REF!),"",'Master Submitted DPDs'!#REF!)</f>
        <v>#REF!</v>
      </c>
      <c r="I240" s="3"/>
      <c r="J240" s="3"/>
      <c r="K240" s="3"/>
      <c r="L240" s="2" t="e">
        <f>IF(ISBLANK('Master Submitted DPDs'!#REF!),"",'Master Submitted DPDs'!#REF!)</f>
        <v>#REF!</v>
      </c>
      <c r="M240" s="2" t="e">
        <f t="shared" si="6"/>
        <v>#REF!</v>
      </c>
      <c r="N240" s="2" t="e">
        <f>IF(ISBLANK('Master Submitted DPDs'!#REF!),IF(ISBLANK('Master Submitted DPDs'!#REF!),"",'Master Submitted DPDs'!#REF!),'Master Submitted DPDs'!#REF!)</f>
        <v>#REF!</v>
      </c>
      <c r="O240" s="2" t="e">
        <f>IF(ISBLANK('Master Submitted DPDs'!#REF!),"",'Master Submitted DPDs'!#REF!)</f>
        <v>#REF!</v>
      </c>
      <c r="P240" s="2" t="e">
        <f>IF(ISBLANK('Master Submitted DPDs'!#REF!),"",'Master Submitted DPDs'!#REF!)</f>
        <v>#REF!</v>
      </c>
      <c r="Q240" t="e">
        <f>IF(ISBLANK('Master Submitted DPDs'!#REF!),"",'Master Submitted DPDs'!#REF!)</f>
        <v>#REF!</v>
      </c>
      <c r="R240" t="e">
        <f t="shared" si="7"/>
        <v>#REF!</v>
      </c>
      <c r="S240" s="3"/>
      <c r="T240" t="e">
        <f>IF(ISBLANK('Master Submitted DPDs'!#REF!),"",'Master Submitted DPDs'!#REF!)</f>
        <v>#REF!</v>
      </c>
    </row>
    <row r="241" spans="1:20" ht="15" x14ac:dyDescent="0.2">
      <c r="A241" s="3" t="str">
        <f>IF(ISBLANK('Master Submitted DPDs'!#REF!),"","Local Plans")</f>
        <v>Local Plans</v>
      </c>
      <c r="B241" t="e">
        <f>IF(ISBLANK('Master Submitted DPDs'!#REF!),"",'Master Submitted DPDs'!#REF!)</f>
        <v>#REF!</v>
      </c>
      <c r="C241" s="3" t="str">
        <f>IF(ISBLANK('Master Submitted DPDs'!#REF!),"","IH")</f>
        <v>IH</v>
      </c>
      <c r="D241" s="3" t="e">
        <f>LOOKUP($F241,'fuzzy LPA lookup'!$E:$E,'fuzzy LPA lookup'!$A:$A)</f>
        <v>#REF!</v>
      </c>
      <c r="E241" s="3" t="e">
        <f>LOOKUP($F241,'fuzzy LPA lookup'!$E:$E,'fuzzy LPA lookup'!$D:$D)</f>
        <v>#REF!</v>
      </c>
      <c r="F241" s="8" t="e">
        <f>IF(ISBLANK('Master Submitted DPDs'!#REF!),"",'Master Submitted DPDs'!#REF!)</f>
        <v>#REF!</v>
      </c>
      <c r="G241" t="str">
        <f>IF(ISBLANK('Master Submitted DPDs'!#REF!),"","Withdrawn")</f>
        <v>Withdrawn</v>
      </c>
      <c r="H241" s="2" t="e">
        <f>IF(ISBLANK('Master Submitted DPDs'!#REF!),"",'Master Submitted DPDs'!#REF!)</f>
        <v>#REF!</v>
      </c>
      <c r="I241" s="3"/>
      <c r="J241" s="3"/>
      <c r="K241" s="3"/>
      <c r="L241" s="2" t="e">
        <f>IF(ISBLANK('Master Submitted DPDs'!#REF!),"",'Master Submitted DPDs'!#REF!)</f>
        <v>#REF!</v>
      </c>
      <c r="M241" s="2" t="e">
        <f t="shared" si="6"/>
        <v>#REF!</v>
      </c>
      <c r="N241" s="2" t="e">
        <f>IF(ISBLANK('Master Submitted DPDs'!#REF!),IF(ISBLANK('Master Submitted DPDs'!#REF!),"",'Master Submitted DPDs'!#REF!),'Master Submitted DPDs'!#REF!)</f>
        <v>#REF!</v>
      </c>
      <c r="O241" s="2" t="e">
        <f>IF(ISBLANK('Master Submitted DPDs'!#REF!),"",'Master Submitted DPDs'!#REF!)</f>
        <v>#REF!</v>
      </c>
      <c r="P241" s="2" t="e">
        <f>IF(ISBLANK('Master Submitted DPDs'!#REF!),"",'Master Submitted DPDs'!#REF!)</f>
        <v>#REF!</v>
      </c>
      <c r="Q241" t="e">
        <f>IF(ISBLANK('Master Submitted DPDs'!#REF!),"",'Master Submitted DPDs'!#REF!)</f>
        <v>#REF!</v>
      </c>
      <c r="R241" t="e">
        <f t="shared" si="7"/>
        <v>#REF!</v>
      </c>
      <c r="S241" s="3"/>
      <c r="T241" t="e">
        <f>IF(ISBLANK('Master Submitted DPDs'!#REF!),"",'Master Submitted DPDs'!#REF!)</f>
        <v>#REF!</v>
      </c>
    </row>
    <row r="242" spans="1:20" ht="15" x14ac:dyDescent="0.2">
      <c r="A242" s="3" t="str">
        <f>IF(ISBLANK('Master Submitted DPDs'!#REF!),"","Local Plans")</f>
        <v>Local Plans</v>
      </c>
      <c r="B242" t="e">
        <f>IF(ISBLANK('Master Submitted DPDs'!#REF!),"",'Master Submitted DPDs'!#REF!)</f>
        <v>#REF!</v>
      </c>
      <c r="C242" s="3" t="str">
        <f>IF(ISBLANK('Master Submitted DPDs'!#REF!),"","IH")</f>
        <v>IH</v>
      </c>
      <c r="D242" s="3" t="e">
        <f>LOOKUP($F242,'fuzzy LPA lookup'!$E:$E,'fuzzy LPA lookup'!$A:$A)</f>
        <v>#REF!</v>
      </c>
      <c r="E242" s="3" t="e">
        <f>LOOKUP($F242,'fuzzy LPA lookup'!$E:$E,'fuzzy LPA lookup'!$D:$D)</f>
        <v>#REF!</v>
      </c>
      <c r="F242" s="8" t="e">
        <f>IF(ISBLANK('Master Submitted DPDs'!#REF!),"",'Master Submitted DPDs'!#REF!)</f>
        <v>#REF!</v>
      </c>
      <c r="G242" t="str">
        <f>IF(ISBLANK('Master Submitted DPDs'!#REF!),"","Withdrawn")</f>
        <v>Withdrawn</v>
      </c>
      <c r="H242" s="2" t="e">
        <f>IF(ISBLANK('Master Submitted DPDs'!#REF!),"",'Master Submitted DPDs'!#REF!)</f>
        <v>#REF!</v>
      </c>
      <c r="I242" s="3"/>
      <c r="J242" s="3"/>
      <c r="K242" s="3"/>
      <c r="L242" s="2" t="e">
        <f>IF(ISBLANK('Master Submitted DPDs'!#REF!),"",'Master Submitted DPDs'!#REF!)</f>
        <v>#REF!</v>
      </c>
      <c r="M242" s="2" t="e">
        <f t="shared" si="6"/>
        <v>#REF!</v>
      </c>
      <c r="N242" s="2" t="e">
        <f>IF(ISBLANK('Master Submitted DPDs'!#REF!),IF(ISBLANK('Master Submitted DPDs'!#REF!),"",'Master Submitted DPDs'!#REF!),'Master Submitted DPDs'!#REF!)</f>
        <v>#REF!</v>
      </c>
      <c r="O242" s="2" t="e">
        <f>IF(ISBLANK('Master Submitted DPDs'!#REF!),"",'Master Submitted DPDs'!#REF!)</f>
        <v>#REF!</v>
      </c>
      <c r="P242" s="2" t="e">
        <f>IF(ISBLANK('Master Submitted DPDs'!#REF!),"",'Master Submitted DPDs'!#REF!)</f>
        <v>#REF!</v>
      </c>
      <c r="Q242" t="e">
        <f>IF(ISBLANK('Master Submitted DPDs'!#REF!),"",'Master Submitted DPDs'!#REF!)</f>
        <v>#REF!</v>
      </c>
      <c r="R242" t="e">
        <f t="shared" si="7"/>
        <v>#REF!</v>
      </c>
      <c r="S242" s="3"/>
      <c r="T242" t="e">
        <f>IF(ISBLANK('Master Submitted DPDs'!#REF!),"",'Master Submitted DPDs'!#REF!)</f>
        <v>#REF!</v>
      </c>
    </row>
    <row r="243" spans="1:20" ht="15" x14ac:dyDescent="0.2">
      <c r="A243" s="3" t="str">
        <f>IF(ISBLANK('Master Submitted DPDs'!#REF!),"","Local Plans")</f>
        <v>Local Plans</v>
      </c>
      <c r="B243" t="e">
        <f>IF(ISBLANK('Master Submitted DPDs'!#REF!),"",'Master Submitted DPDs'!#REF!)</f>
        <v>#REF!</v>
      </c>
      <c r="C243" s="3" t="str">
        <f>IF(ISBLANK('Master Submitted DPDs'!#REF!),"","IH")</f>
        <v>IH</v>
      </c>
      <c r="D243" s="3" t="e">
        <f>LOOKUP($F243,'fuzzy LPA lookup'!$E:$E,'fuzzy LPA lookup'!$A:$A)</f>
        <v>#REF!</v>
      </c>
      <c r="E243" s="3" t="e">
        <f>LOOKUP($F243,'fuzzy LPA lookup'!$E:$E,'fuzzy LPA lookup'!$D:$D)</f>
        <v>#REF!</v>
      </c>
      <c r="F243" s="8" t="e">
        <f>IF(ISBLANK('Master Submitted DPDs'!#REF!),"",'Master Submitted DPDs'!#REF!)</f>
        <v>#REF!</v>
      </c>
      <c r="G243" t="str">
        <f>IF(ISBLANK('Master Submitted DPDs'!#REF!),"","Withdrawn")</f>
        <v>Withdrawn</v>
      </c>
      <c r="H243" s="2" t="e">
        <f>IF(ISBLANK('Master Submitted DPDs'!#REF!),"",'Master Submitted DPDs'!#REF!)</f>
        <v>#REF!</v>
      </c>
      <c r="I243" s="3"/>
      <c r="J243" s="3"/>
      <c r="K243" s="3"/>
      <c r="L243" s="2" t="e">
        <f>IF(ISBLANK('Master Submitted DPDs'!#REF!),"",'Master Submitted DPDs'!#REF!)</f>
        <v>#REF!</v>
      </c>
      <c r="M243" s="2" t="e">
        <f t="shared" si="6"/>
        <v>#REF!</v>
      </c>
      <c r="N243" s="2" t="e">
        <f>IF(ISBLANK('Master Submitted DPDs'!#REF!),IF(ISBLANK('Master Submitted DPDs'!#REF!),"",'Master Submitted DPDs'!#REF!),'Master Submitted DPDs'!#REF!)</f>
        <v>#REF!</v>
      </c>
      <c r="O243" s="2" t="e">
        <f>IF(ISBLANK('Master Submitted DPDs'!#REF!),"",'Master Submitted DPDs'!#REF!)</f>
        <v>#REF!</v>
      </c>
      <c r="P243" s="2" t="e">
        <f>IF(ISBLANK('Master Submitted DPDs'!#REF!),"",'Master Submitted DPDs'!#REF!)</f>
        <v>#REF!</v>
      </c>
      <c r="Q243" t="e">
        <f>IF(ISBLANK('Master Submitted DPDs'!#REF!),"",'Master Submitted DPDs'!#REF!)</f>
        <v>#REF!</v>
      </c>
      <c r="R243" t="e">
        <f t="shared" si="7"/>
        <v>#REF!</v>
      </c>
      <c r="S243" s="3"/>
      <c r="T243" t="e">
        <f>IF(ISBLANK('Master Submitted DPDs'!#REF!),"",'Master Submitted DPDs'!#REF!)</f>
        <v>#REF!</v>
      </c>
    </row>
    <row r="244" spans="1:20" ht="15" x14ac:dyDescent="0.2">
      <c r="A244" s="3" t="str">
        <f>IF(ISBLANK('Master Submitted DPDs'!#REF!),"","Local Plans")</f>
        <v>Local Plans</v>
      </c>
      <c r="B244" t="e">
        <f>IF(ISBLANK('Master Submitted DPDs'!#REF!),"",'Master Submitted DPDs'!#REF!)</f>
        <v>#REF!</v>
      </c>
      <c r="C244" s="3" t="str">
        <f>IF(ISBLANK('Master Submitted DPDs'!#REF!),"","IH")</f>
        <v>IH</v>
      </c>
      <c r="D244" s="3" t="e">
        <f>LOOKUP($F244,'fuzzy LPA lookup'!$E:$E,'fuzzy LPA lookup'!$A:$A)</f>
        <v>#REF!</v>
      </c>
      <c r="E244" s="3" t="e">
        <f>LOOKUP($F244,'fuzzy LPA lookup'!$E:$E,'fuzzy LPA lookup'!$D:$D)</f>
        <v>#REF!</v>
      </c>
      <c r="F244" s="8" t="e">
        <f>IF(ISBLANK('Master Submitted DPDs'!#REF!),"",'Master Submitted DPDs'!#REF!)</f>
        <v>#REF!</v>
      </c>
      <c r="G244" t="str">
        <f>IF(ISBLANK('Master Submitted DPDs'!#REF!),"","Withdrawn")</f>
        <v>Withdrawn</v>
      </c>
      <c r="H244" s="2" t="e">
        <f>IF(ISBLANK('Master Submitted DPDs'!#REF!),"",'Master Submitted DPDs'!#REF!)</f>
        <v>#REF!</v>
      </c>
      <c r="I244" s="3"/>
      <c r="J244" s="3"/>
      <c r="K244" s="3"/>
      <c r="L244" s="2" t="e">
        <f>IF(ISBLANK('Master Submitted DPDs'!#REF!),"",'Master Submitted DPDs'!#REF!)</f>
        <v>#REF!</v>
      </c>
      <c r="M244" s="2" t="e">
        <f t="shared" si="6"/>
        <v>#REF!</v>
      </c>
      <c r="N244" s="2" t="e">
        <f>IF(ISBLANK('Master Submitted DPDs'!#REF!),IF(ISBLANK('Master Submitted DPDs'!#REF!),"",'Master Submitted DPDs'!#REF!),'Master Submitted DPDs'!#REF!)</f>
        <v>#REF!</v>
      </c>
      <c r="O244" s="2" t="e">
        <f>IF(ISBLANK('Master Submitted DPDs'!#REF!),"",'Master Submitted DPDs'!#REF!)</f>
        <v>#REF!</v>
      </c>
      <c r="P244" s="2" t="e">
        <f>IF(ISBLANK('Master Submitted DPDs'!#REF!),"",'Master Submitted DPDs'!#REF!)</f>
        <v>#REF!</v>
      </c>
      <c r="Q244" t="e">
        <f>IF(ISBLANK('Master Submitted DPDs'!#REF!),"",'Master Submitted DPDs'!#REF!)</f>
        <v>#REF!</v>
      </c>
      <c r="R244" t="e">
        <f t="shared" si="7"/>
        <v>#REF!</v>
      </c>
      <c r="S244" s="3"/>
      <c r="T244" t="e">
        <f>IF(ISBLANK('Master Submitted DPDs'!#REF!),"",'Master Submitted DPDs'!#REF!)</f>
        <v>#REF!</v>
      </c>
    </row>
    <row r="245" spans="1:20" ht="15" x14ac:dyDescent="0.2">
      <c r="A245" s="3" t="str">
        <f>IF(ISBLANK('Master Submitted DPDs'!#REF!),"","Local Plans")</f>
        <v>Local Plans</v>
      </c>
      <c r="B245" t="e">
        <f>IF(ISBLANK('Master Submitted DPDs'!#REF!),"",'Master Submitted DPDs'!#REF!)</f>
        <v>#REF!</v>
      </c>
      <c r="C245" s="3" t="str">
        <f>IF(ISBLANK('Master Submitted DPDs'!#REF!),"","IH")</f>
        <v>IH</v>
      </c>
      <c r="D245" s="3" t="e">
        <f>LOOKUP($F245,'fuzzy LPA lookup'!$E:$E,'fuzzy LPA lookup'!$A:$A)</f>
        <v>#REF!</v>
      </c>
      <c r="E245" s="3" t="e">
        <f>LOOKUP($F245,'fuzzy LPA lookup'!$E:$E,'fuzzy LPA lookup'!$D:$D)</f>
        <v>#REF!</v>
      </c>
      <c r="F245" s="8" t="e">
        <f>IF(ISBLANK('Master Submitted DPDs'!#REF!),"",'Master Submitted DPDs'!#REF!)</f>
        <v>#REF!</v>
      </c>
      <c r="G245" t="str">
        <f>IF(ISBLANK('Master Submitted DPDs'!#REF!),"","Withdrawn")</f>
        <v>Withdrawn</v>
      </c>
      <c r="H245" s="2" t="e">
        <f>IF(ISBLANK('Master Submitted DPDs'!#REF!),"",'Master Submitted DPDs'!#REF!)</f>
        <v>#REF!</v>
      </c>
      <c r="I245" s="3"/>
      <c r="J245" s="3"/>
      <c r="K245" s="3"/>
      <c r="L245" s="2" t="e">
        <f>IF(ISBLANK('Master Submitted DPDs'!#REF!),"",'Master Submitted DPDs'!#REF!)</f>
        <v>#REF!</v>
      </c>
      <c r="M245" s="2" t="e">
        <f t="shared" si="6"/>
        <v>#REF!</v>
      </c>
      <c r="N245" s="2" t="e">
        <f>IF(ISBLANK('Master Submitted DPDs'!#REF!),IF(ISBLANK('Master Submitted DPDs'!#REF!),"",'Master Submitted DPDs'!#REF!),'Master Submitted DPDs'!#REF!)</f>
        <v>#REF!</v>
      </c>
      <c r="O245" s="2" t="e">
        <f>IF(ISBLANK('Master Submitted DPDs'!#REF!),"",'Master Submitted DPDs'!#REF!)</f>
        <v>#REF!</v>
      </c>
      <c r="P245" s="2" t="e">
        <f>IF(ISBLANK('Master Submitted DPDs'!#REF!),"",'Master Submitted DPDs'!#REF!)</f>
        <v>#REF!</v>
      </c>
      <c r="Q245" t="e">
        <f>IF(ISBLANK('Master Submitted DPDs'!#REF!),"",'Master Submitted DPDs'!#REF!)</f>
        <v>#REF!</v>
      </c>
      <c r="R245" t="e">
        <f t="shared" si="7"/>
        <v>#REF!</v>
      </c>
      <c r="S245" s="3"/>
      <c r="T245" t="e">
        <f>IF(ISBLANK('Master Submitted DPDs'!#REF!),"",'Master Submitted DPDs'!#REF!)</f>
        <v>#REF!</v>
      </c>
    </row>
    <row r="246" spans="1:20" ht="15" x14ac:dyDescent="0.2">
      <c r="A246" s="3" t="str">
        <f>IF(ISBLANK('Master Submitted DPDs'!#REF!),"","Local Plans")</f>
        <v>Local Plans</v>
      </c>
      <c r="B246" t="e">
        <f>IF(ISBLANK('Master Submitted DPDs'!#REF!),"",'Master Submitted DPDs'!#REF!)</f>
        <v>#REF!</v>
      </c>
      <c r="C246" s="3" t="str">
        <f>IF(ISBLANK('Master Submitted DPDs'!#REF!),"","IH")</f>
        <v>IH</v>
      </c>
      <c r="D246" s="3" t="e">
        <f>LOOKUP($F246,'fuzzy LPA lookup'!$E:$E,'fuzzy LPA lookup'!$A:$A)</f>
        <v>#REF!</v>
      </c>
      <c r="E246" s="3" t="e">
        <f>LOOKUP($F246,'fuzzy LPA lookup'!$E:$E,'fuzzy LPA lookup'!$D:$D)</f>
        <v>#REF!</v>
      </c>
      <c r="F246" s="8" t="e">
        <f>IF(ISBLANK('Master Submitted DPDs'!#REF!),"",'Master Submitted DPDs'!#REF!)</f>
        <v>#REF!</v>
      </c>
      <c r="G246" t="str">
        <f>IF(ISBLANK('Master Submitted DPDs'!#REF!),"","Withdrawn")</f>
        <v>Withdrawn</v>
      </c>
      <c r="H246" s="2" t="e">
        <f>IF(ISBLANK('Master Submitted DPDs'!#REF!),"",'Master Submitted DPDs'!#REF!)</f>
        <v>#REF!</v>
      </c>
      <c r="I246" s="3"/>
      <c r="J246" s="3"/>
      <c r="K246" s="3"/>
      <c r="L246" s="2" t="e">
        <f>IF(ISBLANK('Master Submitted DPDs'!#REF!),"",'Master Submitted DPDs'!#REF!)</f>
        <v>#REF!</v>
      </c>
      <c r="M246" s="2" t="e">
        <f t="shared" si="6"/>
        <v>#REF!</v>
      </c>
      <c r="N246" s="2" t="e">
        <f>IF(ISBLANK('Master Submitted DPDs'!#REF!),IF(ISBLANK('Master Submitted DPDs'!#REF!),"",'Master Submitted DPDs'!#REF!),'Master Submitted DPDs'!#REF!)</f>
        <v>#REF!</v>
      </c>
      <c r="O246" s="2" t="e">
        <f>IF(ISBLANK('Master Submitted DPDs'!#REF!),"",'Master Submitted DPDs'!#REF!)</f>
        <v>#REF!</v>
      </c>
      <c r="P246" s="2" t="e">
        <f>IF(ISBLANK('Master Submitted DPDs'!#REF!),"",'Master Submitted DPDs'!#REF!)</f>
        <v>#REF!</v>
      </c>
      <c r="Q246" t="e">
        <f>IF(ISBLANK('Master Submitted DPDs'!#REF!),"",'Master Submitted DPDs'!#REF!)</f>
        <v>#REF!</v>
      </c>
      <c r="R246" t="e">
        <f t="shared" si="7"/>
        <v>#REF!</v>
      </c>
      <c r="S246" s="3"/>
      <c r="T246" t="e">
        <f>IF(ISBLANK('Master Submitted DPDs'!#REF!),"",'Master Submitted DPDs'!#REF!)</f>
        <v>#REF!</v>
      </c>
    </row>
    <row r="247" spans="1:20" ht="15" x14ac:dyDescent="0.2">
      <c r="A247" s="3" t="str">
        <f>IF(ISBLANK('Master Submitted DPDs'!#REF!),"","Local Plans")</f>
        <v>Local Plans</v>
      </c>
      <c r="B247" t="e">
        <f>IF(ISBLANK('Master Submitted DPDs'!#REF!),"",'Master Submitted DPDs'!#REF!)</f>
        <v>#REF!</v>
      </c>
      <c r="C247" s="3" t="str">
        <f>IF(ISBLANK('Master Submitted DPDs'!#REF!),"","IH")</f>
        <v>IH</v>
      </c>
      <c r="D247" s="3" t="e">
        <f>LOOKUP($F247,'fuzzy LPA lookup'!$E:$E,'fuzzy LPA lookup'!$A:$A)</f>
        <v>#REF!</v>
      </c>
      <c r="E247" s="3" t="e">
        <f>LOOKUP($F247,'fuzzy LPA lookup'!$E:$E,'fuzzy LPA lookup'!$D:$D)</f>
        <v>#REF!</v>
      </c>
      <c r="F247" s="8" t="e">
        <f>IF(ISBLANK('Master Submitted DPDs'!#REF!),"",'Master Submitted DPDs'!#REF!)</f>
        <v>#REF!</v>
      </c>
      <c r="G247" t="str">
        <f>IF(ISBLANK('Master Submitted DPDs'!#REF!),"","Withdrawn")</f>
        <v>Withdrawn</v>
      </c>
      <c r="H247" s="2" t="e">
        <f>IF(ISBLANK('Master Submitted DPDs'!#REF!),"",'Master Submitted DPDs'!#REF!)</f>
        <v>#REF!</v>
      </c>
      <c r="I247" s="3"/>
      <c r="J247" s="3"/>
      <c r="K247" s="3"/>
      <c r="L247" s="2" t="e">
        <f>IF(ISBLANK('Master Submitted DPDs'!#REF!),"",'Master Submitted DPDs'!#REF!)</f>
        <v>#REF!</v>
      </c>
      <c r="M247" s="2" t="e">
        <f t="shared" si="6"/>
        <v>#REF!</v>
      </c>
      <c r="N247" s="2" t="e">
        <f>IF(ISBLANK('Master Submitted DPDs'!#REF!),IF(ISBLANK('Master Submitted DPDs'!#REF!),"",'Master Submitted DPDs'!#REF!),'Master Submitted DPDs'!#REF!)</f>
        <v>#REF!</v>
      </c>
      <c r="O247" s="2" t="e">
        <f>IF(ISBLANK('Master Submitted DPDs'!#REF!),"",'Master Submitted DPDs'!#REF!)</f>
        <v>#REF!</v>
      </c>
      <c r="P247" s="2" t="e">
        <f>IF(ISBLANK('Master Submitted DPDs'!#REF!),"",'Master Submitted DPDs'!#REF!)</f>
        <v>#REF!</v>
      </c>
      <c r="Q247" t="e">
        <f>IF(ISBLANK('Master Submitted DPDs'!#REF!),"",'Master Submitted DPDs'!#REF!)</f>
        <v>#REF!</v>
      </c>
      <c r="R247" t="e">
        <f t="shared" si="7"/>
        <v>#REF!</v>
      </c>
      <c r="S247" s="3"/>
      <c r="T247" t="e">
        <f>IF(ISBLANK('Master Submitted DPDs'!#REF!),"",'Master Submitted DPDs'!#REF!)</f>
        <v>#REF!</v>
      </c>
    </row>
    <row r="248" spans="1:20" ht="15" x14ac:dyDescent="0.2">
      <c r="A248" s="3" t="str">
        <f>IF(ISBLANK('Master Submitted DPDs'!#REF!),"","Local Plans")</f>
        <v>Local Plans</v>
      </c>
      <c r="B248" t="e">
        <f>IF(ISBLANK('Master Submitted DPDs'!#REF!),"",'Master Submitted DPDs'!#REF!)</f>
        <v>#REF!</v>
      </c>
      <c r="C248" s="3" t="str">
        <f>IF(ISBLANK('Master Submitted DPDs'!#REF!),"","IH")</f>
        <v>IH</v>
      </c>
      <c r="D248" s="3" t="e">
        <f>LOOKUP($F248,'fuzzy LPA lookup'!$E:$E,'fuzzy LPA lookup'!$A:$A)</f>
        <v>#REF!</v>
      </c>
      <c r="E248" s="3" t="e">
        <f>LOOKUP($F248,'fuzzy LPA lookup'!$E:$E,'fuzzy LPA lookup'!$D:$D)</f>
        <v>#REF!</v>
      </c>
      <c r="F248" s="8" t="e">
        <f>IF(ISBLANK('Master Submitted DPDs'!#REF!),"",'Master Submitted DPDs'!#REF!)</f>
        <v>#REF!</v>
      </c>
      <c r="G248" t="str">
        <f>IF(ISBLANK('Master Submitted DPDs'!#REF!),"","Withdrawn")</f>
        <v>Withdrawn</v>
      </c>
      <c r="H248" s="2" t="e">
        <f>IF(ISBLANK('Master Submitted DPDs'!#REF!),"",'Master Submitted DPDs'!#REF!)</f>
        <v>#REF!</v>
      </c>
      <c r="I248" s="3"/>
      <c r="J248" s="3"/>
      <c r="K248" s="3"/>
      <c r="L248" s="2" t="e">
        <f>IF(ISBLANK('Master Submitted DPDs'!#REF!),"",'Master Submitted DPDs'!#REF!)</f>
        <v>#REF!</v>
      </c>
      <c r="M248" s="2" t="e">
        <f t="shared" si="6"/>
        <v>#REF!</v>
      </c>
      <c r="N248" s="2" t="e">
        <f>IF(ISBLANK('Master Submitted DPDs'!#REF!),IF(ISBLANK('Master Submitted DPDs'!#REF!),"",'Master Submitted DPDs'!#REF!),'Master Submitted DPDs'!#REF!)</f>
        <v>#REF!</v>
      </c>
      <c r="O248" s="2" t="e">
        <f>IF(ISBLANK('Master Submitted DPDs'!#REF!),"",'Master Submitted DPDs'!#REF!)</f>
        <v>#REF!</v>
      </c>
      <c r="P248" s="2" t="e">
        <f>IF(ISBLANK('Master Submitted DPDs'!#REF!),"",'Master Submitted DPDs'!#REF!)</f>
        <v>#REF!</v>
      </c>
      <c r="Q248" t="e">
        <f>IF(ISBLANK('Master Submitted DPDs'!#REF!),"",'Master Submitted DPDs'!#REF!)</f>
        <v>#REF!</v>
      </c>
      <c r="R248" t="e">
        <f t="shared" si="7"/>
        <v>#REF!</v>
      </c>
      <c r="S248" s="3"/>
      <c r="T248" t="e">
        <f>IF(ISBLANK('Master Submitted DPDs'!#REF!),"",'Master Submitted DPDs'!#REF!)</f>
        <v>#REF!</v>
      </c>
    </row>
    <row r="249" spans="1:20" ht="15" x14ac:dyDescent="0.2">
      <c r="A249" s="3" t="str">
        <f>IF(ISBLANK('Master Submitted DPDs'!#REF!),"","Local Plans")</f>
        <v>Local Plans</v>
      </c>
      <c r="B249" t="e">
        <f>IF(ISBLANK('Master Submitted DPDs'!#REF!),"",'Master Submitted DPDs'!#REF!)</f>
        <v>#REF!</v>
      </c>
      <c r="C249" s="3" t="str">
        <f>IF(ISBLANK('Master Submitted DPDs'!#REF!),"","IH")</f>
        <v>IH</v>
      </c>
      <c r="D249" s="3" t="e">
        <f>LOOKUP($F249,'fuzzy LPA lookup'!$E:$E,'fuzzy LPA lookup'!$A:$A)</f>
        <v>#REF!</v>
      </c>
      <c r="E249" s="3" t="e">
        <f>LOOKUP($F249,'fuzzy LPA lookup'!$E:$E,'fuzzy LPA lookup'!$D:$D)</f>
        <v>#REF!</v>
      </c>
      <c r="F249" s="8" t="e">
        <f>IF(ISBLANK('Master Submitted DPDs'!#REF!),"",'Master Submitted DPDs'!#REF!)</f>
        <v>#REF!</v>
      </c>
      <c r="G249" t="str">
        <f>IF(ISBLANK('Master Submitted DPDs'!#REF!),"","Withdrawn")</f>
        <v>Withdrawn</v>
      </c>
      <c r="H249" s="2" t="e">
        <f>IF(ISBLANK('Master Submitted DPDs'!#REF!),"",'Master Submitted DPDs'!#REF!)</f>
        <v>#REF!</v>
      </c>
      <c r="I249" s="3"/>
      <c r="J249" s="3"/>
      <c r="K249" s="3"/>
      <c r="L249" s="2" t="e">
        <f>IF(ISBLANK('Master Submitted DPDs'!#REF!),"",'Master Submitted DPDs'!#REF!)</f>
        <v>#REF!</v>
      </c>
      <c r="M249" s="2" t="e">
        <f t="shared" si="6"/>
        <v>#REF!</v>
      </c>
      <c r="N249" s="2" t="e">
        <f>IF(ISBLANK('Master Submitted DPDs'!#REF!),IF(ISBLANK('Master Submitted DPDs'!#REF!),"",'Master Submitted DPDs'!#REF!),'Master Submitted DPDs'!#REF!)</f>
        <v>#REF!</v>
      </c>
      <c r="O249" s="2" t="e">
        <f>IF(ISBLANK('Master Submitted DPDs'!#REF!),"",'Master Submitted DPDs'!#REF!)</f>
        <v>#REF!</v>
      </c>
      <c r="P249" s="2" t="e">
        <f>IF(ISBLANK('Master Submitted DPDs'!#REF!),"",'Master Submitted DPDs'!#REF!)</f>
        <v>#REF!</v>
      </c>
      <c r="Q249" t="e">
        <f>IF(ISBLANK('Master Submitted DPDs'!#REF!),"",'Master Submitted DPDs'!#REF!)</f>
        <v>#REF!</v>
      </c>
      <c r="R249" t="e">
        <f t="shared" si="7"/>
        <v>#REF!</v>
      </c>
      <c r="S249" s="3"/>
      <c r="T249" t="e">
        <f>IF(ISBLANK('Master Submitted DPDs'!#REF!),"",'Master Submitted DPDs'!#REF!)</f>
        <v>#REF!</v>
      </c>
    </row>
    <row r="250" spans="1:20" ht="15" x14ac:dyDescent="0.2">
      <c r="A250" s="3" t="str">
        <f>IF(ISBLANK('Master Submitted DPDs'!#REF!),"","Local Plans")</f>
        <v>Local Plans</v>
      </c>
      <c r="B250" t="e">
        <f>IF(ISBLANK('Master Submitted DPDs'!#REF!),"",'Master Submitted DPDs'!#REF!)</f>
        <v>#REF!</v>
      </c>
      <c r="C250" s="3" t="str">
        <f>IF(ISBLANK('Master Submitted DPDs'!#REF!),"","IH")</f>
        <v>IH</v>
      </c>
      <c r="D250" s="3" t="e">
        <f>LOOKUP($F250,'fuzzy LPA lookup'!$E:$E,'fuzzy LPA lookup'!$A:$A)</f>
        <v>#REF!</v>
      </c>
      <c r="E250" s="3" t="e">
        <f>LOOKUP($F250,'fuzzy LPA lookup'!$E:$E,'fuzzy LPA lookup'!$D:$D)</f>
        <v>#REF!</v>
      </c>
      <c r="F250" s="8" t="e">
        <f>IF(ISBLANK('Master Submitted DPDs'!#REF!),"",'Master Submitted DPDs'!#REF!)</f>
        <v>#REF!</v>
      </c>
      <c r="G250" t="str">
        <f>IF(ISBLANK('Master Submitted DPDs'!#REF!),"","Withdrawn")</f>
        <v>Withdrawn</v>
      </c>
      <c r="H250" s="2" t="e">
        <f>IF(ISBLANK('Master Submitted DPDs'!#REF!),"",'Master Submitted DPDs'!#REF!)</f>
        <v>#REF!</v>
      </c>
      <c r="I250" s="3"/>
      <c r="J250" s="3"/>
      <c r="K250" s="3"/>
      <c r="L250" s="2" t="e">
        <f>IF(ISBLANK('Master Submitted DPDs'!#REF!),"",'Master Submitted DPDs'!#REF!)</f>
        <v>#REF!</v>
      </c>
      <c r="M250" s="2" t="e">
        <f t="shared" si="6"/>
        <v>#REF!</v>
      </c>
      <c r="N250" s="2" t="e">
        <f>IF(ISBLANK('Master Submitted DPDs'!#REF!),IF(ISBLANK('Master Submitted DPDs'!#REF!),"",'Master Submitted DPDs'!#REF!),'Master Submitted DPDs'!#REF!)</f>
        <v>#REF!</v>
      </c>
      <c r="O250" s="2" t="e">
        <f>IF(ISBLANK('Master Submitted DPDs'!#REF!),"",'Master Submitted DPDs'!#REF!)</f>
        <v>#REF!</v>
      </c>
      <c r="P250" s="2" t="e">
        <f>IF(ISBLANK('Master Submitted DPDs'!#REF!),"",'Master Submitted DPDs'!#REF!)</f>
        <v>#REF!</v>
      </c>
      <c r="Q250" t="e">
        <f>IF(ISBLANK('Master Submitted DPDs'!#REF!),"",'Master Submitted DPDs'!#REF!)</f>
        <v>#REF!</v>
      </c>
      <c r="R250" t="e">
        <f t="shared" si="7"/>
        <v>#REF!</v>
      </c>
      <c r="S250" s="3"/>
      <c r="T250" t="e">
        <f>IF(ISBLANK('Master Submitted DPDs'!#REF!),"",'Master Submitted DPDs'!#REF!)</f>
        <v>#REF!</v>
      </c>
    </row>
    <row r="251" spans="1:20" ht="15" x14ac:dyDescent="0.2">
      <c r="A251" s="3" t="str">
        <f>IF(ISBLANK('Master Submitted DPDs'!#REF!),"","Local Plans")</f>
        <v>Local Plans</v>
      </c>
      <c r="B251" t="e">
        <f>IF(ISBLANK('Master Submitted DPDs'!#REF!),"",'Master Submitted DPDs'!#REF!)</f>
        <v>#REF!</v>
      </c>
      <c r="C251" s="3" t="str">
        <f>IF(ISBLANK('Master Submitted DPDs'!#REF!),"","IH")</f>
        <v>IH</v>
      </c>
      <c r="D251" s="3" t="e">
        <f>LOOKUP($F251,'fuzzy LPA lookup'!$E:$E,'fuzzy LPA lookup'!$A:$A)</f>
        <v>#REF!</v>
      </c>
      <c r="E251" s="3" t="e">
        <f>LOOKUP($F251,'fuzzy LPA lookup'!$E:$E,'fuzzy LPA lookup'!$D:$D)</f>
        <v>#REF!</v>
      </c>
      <c r="F251" s="8" t="e">
        <f>IF(ISBLANK('Master Submitted DPDs'!#REF!),"",'Master Submitted DPDs'!#REF!)</f>
        <v>#REF!</v>
      </c>
      <c r="G251" t="str">
        <f>IF(ISBLANK('Master Submitted DPDs'!#REF!),"","Withdrawn")</f>
        <v>Withdrawn</v>
      </c>
      <c r="H251" s="2" t="e">
        <f>IF(ISBLANK('Master Submitted DPDs'!#REF!),"",'Master Submitted DPDs'!#REF!)</f>
        <v>#REF!</v>
      </c>
      <c r="I251" s="3"/>
      <c r="J251" s="3"/>
      <c r="K251" s="3"/>
      <c r="L251" s="2" t="e">
        <f>IF(ISBLANK('Master Submitted DPDs'!#REF!),"",'Master Submitted DPDs'!#REF!)</f>
        <v>#REF!</v>
      </c>
      <c r="M251" s="2" t="e">
        <f t="shared" si="6"/>
        <v>#REF!</v>
      </c>
      <c r="N251" s="2" t="e">
        <f>IF(ISBLANK('Master Submitted DPDs'!#REF!),IF(ISBLANK('Master Submitted DPDs'!#REF!),"",'Master Submitted DPDs'!#REF!),'Master Submitted DPDs'!#REF!)</f>
        <v>#REF!</v>
      </c>
      <c r="O251" s="2" t="e">
        <f>IF(ISBLANK('Master Submitted DPDs'!#REF!),"",'Master Submitted DPDs'!#REF!)</f>
        <v>#REF!</v>
      </c>
      <c r="P251" s="2" t="e">
        <f>IF(ISBLANK('Master Submitted DPDs'!#REF!),"",'Master Submitted DPDs'!#REF!)</f>
        <v>#REF!</v>
      </c>
      <c r="Q251" t="e">
        <f>IF(ISBLANK('Master Submitted DPDs'!#REF!),"",'Master Submitted DPDs'!#REF!)</f>
        <v>#REF!</v>
      </c>
      <c r="R251" t="e">
        <f t="shared" si="7"/>
        <v>#REF!</v>
      </c>
      <c r="S251" s="3"/>
      <c r="T251" t="e">
        <f>IF(ISBLANK('Master Submitted DPDs'!#REF!),"",'Master Submitted DPDs'!#REF!)</f>
        <v>#REF!</v>
      </c>
    </row>
    <row r="252" spans="1:20" ht="15" x14ac:dyDescent="0.2">
      <c r="A252" s="3" t="str">
        <f>IF(ISBLANK('Master Submitted DPDs'!#REF!),"","Local Plans")</f>
        <v>Local Plans</v>
      </c>
      <c r="B252" t="e">
        <f>IF(ISBLANK('Master Submitted DPDs'!#REF!),"",'Master Submitted DPDs'!#REF!)</f>
        <v>#REF!</v>
      </c>
      <c r="C252" s="3" t="str">
        <f>IF(ISBLANK('Master Submitted DPDs'!#REF!),"","IH")</f>
        <v>IH</v>
      </c>
      <c r="D252" s="3" t="e">
        <f>LOOKUP($F252,'fuzzy LPA lookup'!$E:$E,'fuzzy LPA lookup'!$A:$A)</f>
        <v>#REF!</v>
      </c>
      <c r="E252" s="3" t="e">
        <f>LOOKUP($F252,'fuzzy LPA lookup'!$E:$E,'fuzzy LPA lookup'!$D:$D)</f>
        <v>#REF!</v>
      </c>
      <c r="F252" s="8" t="e">
        <f>IF(ISBLANK('Master Submitted DPDs'!#REF!),"",'Master Submitted DPDs'!#REF!)</f>
        <v>#REF!</v>
      </c>
      <c r="G252" t="str">
        <f>IF(ISBLANK('Master Submitted DPDs'!#REF!),"","Withdrawn")</f>
        <v>Withdrawn</v>
      </c>
      <c r="H252" s="2" t="e">
        <f>IF(ISBLANK('Master Submitted DPDs'!#REF!),"",'Master Submitted DPDs'!#REF!)</f>
        <v>#REF!</v>
      </c>
      <c r="I252" s="3"/>
      <c r="J252" s="3"/>
      <c r="K252" s="3"/>
      <c r="L252" s="2" t="e">
        <f>IF(ISBLANK('Master Submitted DPDs'!#REF!),"",'Master Submitted DPDs'!#REF!)</f>
        <v>#REF!</v>
      </c>
      <c r="M252" s="2" t="e">
        <f t="shared" si="6"/>
        <v>#REF!</v>
      </c>
      <c r="N252" s="2" t="e">
        <f>IF(ISBLANK('Master Submitted DPDs'!#REF!),IF(ISBLANK('Master Submitted DPDs'!#REF!),"",'Master Submitted DPDs'!#REF!),'Master Submitted DPDs'!#REF!)</f>
        <v>#REF!</v>
      </c>
      <c r="O252" s="2" t="e">
        <f>IF(ISBLANK('Master Submitted DPDs'!#REF!),"",'Master Submitted DPDs'!#REF!)</f>
        <v>#REF!</v>
      </c>
      <c r="P252" s="2" t="e">
        <f>IF(ISBLANK('Master Submitted DPDs'!#REF!),"",'Master Submitted DPDs'!#REF!)</f>
        <v>#REF!</v>
      </c>
      <c r="Q252" t="e">
        <f>IF(ISBLANK('Master Submitted DPDs'!#REF!),"",'Master Submitted DPDs'!#REF!)</f>
        <v>#REF!</v>
      </c>
      <c r="R252" t="e">
        <f t="shared" si="7"/>
        <v>#REF!</v>
      </c>
      <c r="S252" s="3"/>
      <c r="T252" t="e">
        <f>IF(ISBLANK('Master Submitted DPDs'!#REF!),"",'Master Submitted DPDs'!#REF!)</f>
        <v>#REF!</v>
      </c>
    </row>
    <row r="253" spans="1:20" ht="15" x14ac:dyDescent="0.2">
      <c r="A253" s="3" t="str">
        <f>IF(ISBLANK('Master Submitted DPDs'!#REF!),"","Local Plans")</f>
        <v>Local Plans</v>
      </c>
      <c r="B253" t="e">
        <f>IF(ISBLANK('Master Submitted DPDs'!#REF!),"",'Master Submitted DPDs'!#REF!)</f>
        <v>#REF!</v>
      </c>
      <c r="C253" s="3" t="str">
        <f>IF(ISBLANK('Master Submitted DPDs'!#REF!),"","IH")</f>
        <v>IH</v>
      </c>
      <c r="D253" s="3" t="e">
        <f>LOOKUP($F253,'fuzzy LPA lookup'!$E:$E,'fuzzy LPA lookup'!$A:$A)</f>
        <v>#REF!</v>
      </c>
      <c r="E253" s="3" t="e">
        <f>LOOKUP($F253,'fuzzy LPA lookup'!$E:$E,'fuzzy LPA lookup'!$D:$D)</f>
        <v>#REF!</v>
      </c>
      <c r="F253" s="8" t="e">
        <f>IF(ISBLANK('Master Submitted DPDs'!#REF!),"",'Master Submitted DPDs'!#REF!)</f>
        <v>#REF!</v>
      </c>
      <c r="G253" t="str">
        <f>IF(ISBLANK('Master Submitted DPDs'!#REF!),"","Withdrawn")</f>
        <v>Withdrawn</v>
      </c>
      <c r="H253" s="2" t="e">
        <f>IF(ISBLANK('Master Submitted DPDs'!#REF!),"",'Master Submitted DPDs'!#REF!)</f>
        <v>#REF!</v>
      </c>
      <c r="I253" s="3"/>
      <c r="J253" s="3"/>
      <c r="K253" s="3"/>
      <c r="L253" s="2" t="e">
        <f>IF(ISBLANK('Master Submitted DPDs'!#REF!),"",'Master Submitted DPDs'!#REF!)</f>
        <v>#REF!</v>
      </c>
      <c r="M253" s="2" t="e">
        <f t="shared" si="6"/>
        <v>#REF!</v>
      </c>
      <c r="N253" s="2" t="e">
        <f>IF(ISBLANK('Master Submitted DPDs'!#REF!),IF(ISBLANK('Master Submitted DPDs'!#REF!),"",'Master Submitted DPDs'!#REF!),'Master Submitted DPDs'!#REF!)</f>
        <v>#REF!</v>
      </c>
      <c r="O253" s="2" t="e">
        <f>IF(ISBLANK('Master Submitted DPDs'!#REF!),"",'Master Submitted DPDs'!#REF!)</f>
        <v>#REF!</v>
      </c>
      <c r="P253" s="2" t="e">
        <f>IF(ISBLANK('Master Submitted DPDs'!#REF!),"",'Master Submitted DPDs'!#REF!)</f>
        <v>#REF!</v>
      </c>
      <c r="Q253" t="e">
        <f>IF(ISBLANK('Master Submitted DPDs'!#REF!),"",'Master Submitted DPDs'!#REF!)</f>
        <v>#REF!</v>
      </c>
      <c r="R253" t="e">
        <f t="shared" si="7"/>
        <v>#REF!</v>
      </c>
      <c r="S253" s="3"/>
      <c r="T253" t="e">
        <f>IF(ISBLANK('Master Submitted DPDs'!#REF!),"",'Master Submitted DPDs'!#REF!)</f>
        <v>#REF!</v>
      </c>
    </row>
    <row r="254" spans="1:20" ht="15" x14ac:dyDescent="0.2">
      <c r="A254" s="3" t="str">
        <f>IF(ISBLANK('Master Submitted DPDs'!#REF!),"","Local Plans")</f>
        <v>Local Plans</v>
      </c>
      <c r="B254" t="e">
        <f>IF(ISBLANK('Master Submitted DPDs'!#REF!),"",'Master Submitted DPDs'!#REF!)</f>
        <v>#REF!</v>
      </c>
      <c r="C254" s="3" t="str">
        <f>IF(ISBLANK('Master Submitted DPDs'!#REF!),"","IH")</f>
        <v>IH</v>
      </c>
      <c r="D254" s="3" t="e">
        <f>LOOKUP($F254,'fuzzy LPA lookup'!$E:$E,'fuzzy LPA lookup'!$A:$A)</f>
        <v>#REF!</v>
      </c>
      <c r="E254" s="3" t="e">
        <f>LOOKUP($F254,'fuzzy LPA lookup'!$E:$E,'fuzzy LPA lookup'!$D:$D)</f>
        <v>#REF!</v>
      </c>
      <c r="F254" s="8" t="e">
        <f>IF(ISBLANK('Master Submitted DPDs'!#REF!),"",'Master Submitted DPDs'!#REF!)</f>
        <v>#REF!</v>
      </c>
      <c r="G254" t="str">
        <f>IF(ISBLANK('Master Submitted DPDs'!#REF!),"","Withdrawn")</f>
        <v>Withdrawn</v>
      </c>
      <c r="H254" s="2" t="e">
        <f>IF(ISBLANK('Master Submitted DPDs'!#REF!),"",'Master Submitted DPDs'!#REF!)</f>
        <v>#REF!</v>
      </c>
      <c r="I254" s="3"/>
      <c r="J254" s="3"/>
      <c r="K254" s="3"/>
      <c r="L254" s="2" t="e">
        <f>IF(ISBLANK('Master Submitted DPDs'!#REF!),"",'Master Submitted DPDs'!#REF!)</f>
        <v>#REF!</v>
      </c>
      <c r="M254" s="2" t="e">
        <f t="shared" si="6"/>
        <v>#REF!</v>
      </c>
      <c r="N254" s="2" t="e">
        <f>IF(ISBLANK('Master Submitted DPDs'!#REF!),IF(ISBLANK('Master Submitted DPDs'!#REF!),"",'Master Submitted DPDs'!#REF!),'Master Submitted DPDs'!#REF!)</f>
        <v>#REF!</v>
      </c>
      <c r="O254" s="2" t="e">
        <f>IF(ISBLANK('Master Submitted DPDs'!#REF!),"",'Master Submitted DPDs'!#REF!)</f>
        <v>#REF!</v>
      </c>
      <c r="P254" s="2" t="e">
        <f>IF(ISBLANK('Master Submitted DPDs'!#REF!),"",'Master Submitted DPDs'!#REF!)</f>
        <v>#REF!</v>
      </c>
      <c r="Q254" t="e">
        <f>IF(ISBLANK('Master Submitted DPDs'!#REF!),"",'Master Submitted DPDs'!#REF!)</f>
        <v>#REF!</v>
      </c>
      <c r="R254" t="e">
        <f t="shared" si="7"/>
        <v>#REF!</v>
      </c>
      <c r="S254" s="3"/>
      <c r="T254" t="e">
        <f>IF(ISBLANK('Master Submitted DPDs'!#REF!),"",'Master Submitted DPDs'!#REF!)</f>
        <v>#REF!</v>
      </c>
    </row>
    <row r="255" spans="1:20" ht="15" x14ac:dyDescent="0.2">
      <c r="A255" s="3" t="str">
        <f>IF(ISBLANK('Master Submitted DPDs'!#REF!),"","Local Plans")</f>
        <v>Local Plans</v>
      </c>
      <c r="B255" t="e">
        <f>IF(ISBLANK('Master Submitted DPDs'!#REF!),"",'Master Submitted DPDs'!#REF!)</f>
        <v>#REF!</v>
      </c>
      <c r="C255" s="3" t="str">
        <f>IF(ISBLANK('Master Submitted DPDs'!#REF!),"","IH")</f>
        <v>IH</v>
      </c>
      <c r="D255" s="3" t="e">
        <f>LOOKUP($F255,'fuzzy LPA lookup'!$E:$E,'fuzzy LPA lookup'!$A:$A)</f>
        <v>#REF!</v>
      </c>
      <c r="E255" s="3" t="e">
        <f>LOOKUP($F255,'fuzzy LPA lookup'!$E:$E,'fuzzy LPA lookup'!$D:$D)</f>
        <v>#REF!</v>
      </c>
      <c r="F255" s="8" t="e">
        <f>IF(ISBLANK('Master Submitted DPDs'!#REF!),"",'Master Submitted DPDs'!#REF!)</f>
        <v>#REF!</v>
      </c>
      <c r="G255" t="str">
        <f>IF(ISBLANK('Master Submitted DPDs'!#REF!),"","Withdrawn")</f>
        <v>Withdrawn</v>
      </c>
      <c r="H255" s="2" t="e">
        <f>IF(ISBLANK('Master Submitted DPDs'!#REF!),"",'Master Submitted DPDs'!#REF!)</f>
        <v>#REF!</v>
      </c>
      <c r="I255" s="3"/>
      <c r="J255" s="3"/>
      <c r="K255" s="3"/>
      <c r="L255" s="2" t="e">
        <f>IF(ISBLANK('Master Submitted DPDs'!#REF!),"",'Master Submitted DPDs'!#REF!)</f>
        <v>#REF!</v>
      </c>
      <c r="M255" s="2" t="e">
        <f t="shared" si="6"/>
        <v>#REF!</v>
      </c>
      <c r="N255" s="2" t="e">
        <f>IF(ISBLANK('Master Submitted DPDs'!#REF!),IF(ISBLANK('Master Submitted DPDs'!#REF!),"",'Master Submitted DPDs'!#REF!),'Master Submitted DPDs'!#REF!)</f>
        <v>#REF!</v>
      </c>
      <c r="O255" s="2" t="e">
        <f>IF(ISBLANK('Master Submitted DPDs'!#REF!),"",'Master Submitted DPDs'!#REF!)</f>
        <v>#REF!</v>
      </c>
      <c r="P255" s="2" t="e">
        <f>IF(ISBLANK('Master Submitted DPDs'!#REF!),"",'Master Submitted DPDs'!#REF!)</f>
        <v>#REF!</v>
      </c>
      <c r="Q255" t="e">
        <f>IF(ISBLANK('Master Submitted DPDs'!#REF!),"",'Master Submitted DPDs'!#REF!)</f>
        <v>#REF!</v>
      </c>
      <c r="R255" t="e">
        <f t="shared" si="7"/>
        <v>#REF!</v>
      </c>
      <c r="S255" s="3"/>
      <c r="T255" t="e">
        <f>IF(ISBLANK('Master Submitted DPDs'!#REF!),"",'Master Submitted DPDs'!#REF!)</f>
        <v>#REF!</v>
      </c>
    </row>
    <row r="256" spans="1:20" ht="15" x14ac:dyDescent="0.2">
      <c r="A256" s="3" t="str">
        <f>IF(ISBLANK('Master Submitted DPDs'!#REF!),"","Local Plans")</f>
        <v>Local Plans</v>
      </c>
      <c r="B256" t="e">
        <f>IF(ISBLANK('Master Submitted DPDs'!#REF!),"",'Master Submitted DPDs'!#REF!)</f>
        <v>#REF!</v>
      </c>
      <c r="C256" s="3" t="str">
        <f>IF(ISBLANK('Master Submitted DPDs'!#REF!),"","IH")</f>
        <v>IH</v>
      </c>
      <c r="D256" s="3" t="e">
        <f>LOOKUP($F256,'fuzzy LPA lookup'!$E:$E,'fuzzy LPA lookup'!$A:$A)</f>
        <v>#REF!</v>
      </c>
      <c r="E256" s="3" t="e">
        <f>LOOKUP($F256,'fuzzy LPA lookup'!$E:$E,'fuzzy LPA lookup'!$D:$D)</f>
        <v>#REF!</v>
      </c>
      <c r="F256" s="8" t="e">
        <f>IF(ISBLANK('Master Submitted DPDs'!#REF!),"",'Master Submitted DPDs'!#REF!)</f>
        <v>#REF!</v>
      </c>
      <c r="G256" t="str">
        <f>IF(ISBLANK('Master Submitted DPDs'!#REF!),"","Withdrawn")</f>
        <v>Withdrawn</v>
      </c>
      <c r="H256" s="2" t="e">
        <f>IF(ISBLANK('Master Submitted DPDs'!#REF!),"",'Master Submitted DPDs'!#REF!)</f>
        <v>#REF!</v>
      </c>
      <c r="I256" s="3"/>
      <c r="J256" s="3"/>
      <c r="K256" s="3"/>
      <c r="L256" s="2" t="e">
        <f>IF(ISBLANK('Master Submitted DPDs'!#REF!),"",'Master Submitted DPDs'!#REF!)</f>
        <v>#REF!</v>
      </c>
      <c r="M256" s="2" t="e">
        <f t="shared" si="6"/>
        <v>#REF!</v>
      </c>
      <c r="N256" s="2" t="e">
        <f>IF(ISBLANK('Master Submitted DPDs'!#REF!),IF(ISBLANK('Master Submitted DPDs'!#REF!),"",'Master Submitted DPDs'!#REF!),'Master Submitted DPDs'!#REF!)</f>
        <v>#REF!</v>
      </c>
      <c r="O256" s="2" t="e">
        <f>IF(ISBLANK('Master Submitted DPDs'!#REF!),"",'Master Submitted DPDs'!#REF!)</f>
        <v>#REF!</v>
      </c>
      <c r="P256" s="2" t="e">
        <f>IF(ISBLANK('Master Submitted DPDs'!#REF!),"",'Master Submitted DPDs'!#REF!)</f>
        <v>#REF!</v>
      </c>
      <c r="Q256" t="e">
        <f>IF(ISBLANK('Master Submitted DPDs'!#REF!),"",'Master Submitted DPDs'!#REF!)</f>
        <v>#REF!</v>
      </c>
      <c r="R256" t="e">
        <f t="shared" si="7"/>
        <v>#REF!</v>
      </c>
      <c r="S256" s="3"/>
      <c r="T256" t="e">
        <f>IF(ISBLANK('Master Submitted DPDs'!#REF!),"",'Master Submitted DPDs'!#REF!)</f>
        <v>#REF!</v>
      </c>
    </row>
    <row r="257" spans="1:20" ht="15" x14ac:dyDescent="0.2">
      <c r="A257" s="3" t="str">
        <f>IF(ISBLANK('Master Submitted DPDs'!#REF!),"","Local Plans")</f>
        <v>Local Plans</v>
      </c>
      <c r="B257" t="e">
        <f>IF(ISBLANK('Master Submitted DPDs'!#REF!),"",'Master Submitted DPDs'!#REF!)</f>
        <v>#REF!</v>
      </c>
      <c r="C257" s="3" t="str">
        <f>IF(ISBLANK('Master Submitted DPDs'!#REF!),"","IH")</f>
        <v>IH</v>
      </c>
      <c r="D257" s="3" t="e">
        <f>LOOKUP($F257,'fuzzy LPA lookup'!$E:$E,'fuzzy LPA lookup'!$A:$A)</f>
        <v>#REF!</v>
      </c>
      <c r="E257" s="3" t="e">
        <f>LOOKUP($F257,'fuzzy LPA lookup'!$E:$E,'fuzzy LPA lookup'!$D:$D)</f>
        <v>#REF!</v>
      </c>
      <c r="F257" s="8" t="e">
        <f>IF(ISBLANK('Master Submitted DPDs'!#REF!),"",'Master Submitted DPDs'!#REF!)</f>
        <v>#REF!</v>
      </c>
      <c r="G257" t="str">
        <f>IF(ISBLANK('Master Submitted DPDs'!#REF!),"","Withdrawn")</f>
        <v>Withdrawn</v>
      </c>
      <c r="H257" s="2" t="e">
        <f>IF(ISBLANK('Master Submitted DPDs'!#REF!),"",'Master Submitted DPDs'!#REF!)</f>
        <v>#REF!</v>
      </c>
      <c r="I257" s="3"/>
      <c r="J257" s="3"/>
      <c r="K257" s="3"/>
      <c r="L257" s="2" t="e">
        <f>IF(ISBLANK('Master Submitted DPDs'!#REF!),"",'Master Submitted DPDs'!#REF!)</f>
        <v>#REF!</v>
      </c>
      <c r="M257" s="2" t="e">
        <f t="shared" si="6"/>
        <v>#REF!</v>
      </c>
      <c r="N257" s="2" t="e">
        <f>IF(ISBLANK('Master Submitted DPDs'!#REF!),IF(ISBLANK('Master Submitted DPDs'!#REF!),"",'Master Submitted DPDs'!#REF!),'Master Submitted DPDs'!#REF!)</f>
        <v>#REF!</v>
      </c>
      <c r="O257" s="2" t="e">
        <f>IF(ISBLANK('Master Submitted DPDs'!#REF!),"",'Master Submitted DPDs'!#REF!)</f>
        <v>#REF!</v>
      </c>
      <c r="P257" s="2" t="e">
        <f>IF(ISBLANK('Master Submitted DPDs'!#REF!),"",'Master Submitted DPDs'!#REF!)</f>
        <v>#REF!</v>
      </c>
      <c r="Q257" t="e">
        <f>IF(ISBLANK('Master Submitted DPDs'!#REF!),"",'Master Submitted DPDs'!#REF!)</f>
        <v>#REF!</v>
      </c>
      <c r="R257" t="e">
        <f t="shared" si="7"/>
        <v>#REF!</v>
      </c>
      <c r="S257" s="3"/>
      <c r="T257" t="e">
        <f>IF(ISBLANK('Master Submitted DPDs'!#REF!),"",'Master Submitted DPDs'!#REF!)</f>
        <v>#REF!</v>
      </c>
    </row>
    <row r="258" spans="1:20" ht="15" x14ac:dyDescent="0.2">
      <c r="A258" s="3" t="str">
        <f>IF(ISBLANK('Master Submitted DPDs'!#REF!),"","Local Plans")</f>
        <v>Local Plans</v>
      </c>
      <c r="B258" t="e">
        <f>IF(ISBLANK('Master Submitted DPDs'!#REF!),"",'Master Submitted DPDs'!#REF!)</f>
        <v>#REF!</v>
      </c>
      <c r="C258" s="3" t="str">
        <f>IF(ISBLANK('Master Submitted DPDs'!#REF!),"","IH")</f>
        <v>IH</v>
      </c>
      <c r="D258" s="3" t="e">
        <f>LOOKUP($F258,'fuzzy LPA lookup'!$E:$E,'fuzzy LPA lookup'!$A:$A)</f>
        <v>#REF!</v>
      </c>
      <c r="E258" s="3" t="e">
        <f>LOOKUP($F258,'fuzzy LPA lookup'!$E:$E,'fuzzy LPA lookup'!$D:$D)</f>
        <v>#REF!</v>
      </c>
      <c r="F258" s="8" t="e">
        <f>IF(ISBLANK('Master Submitted DPDs'!#REF!),"",'Master Submitted DPDs'!#REF!)</f>
        <v>#REF!</v>
      </c>
      <c r="G258" t="str">
        <f>IF(ISBLANK('Master Submitted DPDs'!#REF!),"","Withdrawn")</f>
        <v>Withdrawn</v>
      </c>
      <c r="H258" s="2" t="e">
        <f>IF(ISBLANK('Master Submitted DPDs'!#REF!),"",'Master Submitted DPDs'!#REF!)</f>
        <v>#REF!</v>
      </c>
      <c r="I258" s="3"/>
      <c r="J258" s="3"/>
      <c r="K258" s="3"/>
      <c r="L258" s="2" t="e">
        <f>IF(ISBLANK('Master Submitted DPDs'!#REF!),"",'Master Submitted DPDs'!#REF!)</f>
        <v>#REF!</v>
      </c>
      <c r="M258" s="2" t="e">
        <f t="shared" ref="M258:M321" si="8">L258</f>
        <v>#REF!</v>
      </c>
      <c r="N258" s="2" t="e">
        <f>IF(ISBLANK('Master Submitted DPDs'!#REF!),IF(ISBLANK('Master Submitted DPDs'!#REF!),"",'Master Submitted DPDs'!#REF!),'Master Submitted DPDs'!#REF!)</f>
        <v>#REF!</v>
      </c>
      <c r="O258" s="2" t="e">
        <f>IF(ISBLANK('Master Submitted DPDs'!#REF!),"",'Master Submitted DPDs'!#REF!)</f>
        <v>#REF!</v>
      </c>
      <c r="P258" s="2" t="e">
        <f>IF(ISBLANK('Master Submitted DPDs'!#REF!),"",'Master Submitted DPDs'!#REF!)</f>
        <v>#REF!</v>
      </c>
      <c r="Q258" t="e">
        <f>IF(ISBLANK('Master Submitted DPDs'!#REF!),"",'Master Submitted DPDs'!#REF!)</f>
        <v>#REF!</v>
      </c>
      <c r="R258" t="e">
        <f t="shared" ref="R258:R321" si="9">IF(F258="","",IF(AND(H258="",Q258&lt;&gt;"UNS",P258=""),"Open","Closed"))</f>
        <v>#REF!</v>
      </c>
      <c r="S258" s="3"/>
      <c r="T258" t="e">
        <f>IF(ISBLANK('Master Submitted DPDs'!#REF!),"",'Master Submitted DPDs'!#REF!)</f>
        <v>#REF!</v>
      </c>
    </row>
    <row r="259" spans="1:20" ht="15" x14ac:dyDescent="0.2">
      <c r="A259" s="3" t="str">
        <f>IF(ISBLANK('Master Submitted DPDs'!#REF!),"","Local Plans")</f>
        <v>Local Plans</v>
      </c>
      <c r="B259" t="e">
        <f>IF(ISBLANK('Master Submitted DPDs'!#REF!),"",'Master Submitted DPDs'!#REF!)</f>
        <v>#REF!</v>
      </c>
      <c r="C259" s="3" t="str">
        <f>IF(ISBLANK('Master Submitted DPDs'!#REF!),"","IH")</f>
        <v>IH</v>
      </c>
      <c r="D259" s="3" t="e">
        <f>LOOKUP($F259,'fuzzy LPA lookup'!$E:$E,'fuzzy LPA lookup'!$A:$A)</f>
        <v>#REF!</v>
      </c>
      <c r="E259" s="3" t="e">
        <f>LOOKUP($F259,'fuzzy LPA lookup'!$E:$E,'fuzzy LPA lookup'!$D:$D)</f>
        <v>#REF!</v>
      </c>
      <c r="F259" s="8" t="e">
        <f>IF(ISBLANK('Master Submitted DPDs'!#REF!),"",'Master Submitted DPDs'!#REF!)</f>
        <v>#REF!</v>
      </c>
      <c r="G259" t="str">
        <f>IF(ISBLANK('Master Submitted DPDs'!#REF!),"","Withdrawn")</f>
        <v>Withdrawn</v>
      </c>
      <c r="H259" s="2" t="e">
        <f>IF(ISBLANK('Master Submitted DPDs'!#REF!),"",'Master Submitted DPDs'!#REF!)</f>
        <v>#REF!</v>
      </c>
      <c r="I259" s="3"/>
      <c r="J259" s="3"/>
      <c r="K259" s="3"/>
      <c r="L259" s="2" t="e">
        <f>IF(ISBLANK('Master Submitted DPDs'!#REF!),"",'Master Submitted DPDs'!#REF!)</f>
        <v>#REF!</v>
      </c>
      <c r="M259" s="2" t="e">
        <f t="shared" si="8"/>
        <v>#REF!</v>
      </c>
      <c r="N259" s="2" t="e">
        <f>IF(ISBLANK('Master Submitted DPDs'!#REF!),IF(ISBLANK('Master Submitted DPDs'!#REF!),"",'Master Submitted DPDs'!#REF!),'Master Submitted DPDs'!#REF!)</f>
        <v>#REF!</v>
      </c>
      <c r="O259" s="2" t="e">
        <f>IF(ISBLANK('Master Submitted DPDs'!#REF!),"",'Master Submitted DPDs'!#REF!)</f>
        <v>#REF!</v>
      </c>
      <c r="P259" s="2" t="e">
        <f>IF(ISBLANK('Master Submitted DPDs'!#REF!),"",'Master Submitted DPDs'!#REF!)</f>
        <v>#REF!</v>
      </c>
      <c r="Q259" t="e">
        <f>IF(ISBLANK('Master Submitted DPDs'!#REF!),"",'Master Submitted DPDs'!#REF!)</f>
        <v>#REF!</v>
      </c>
      <c r="R259" t="e">
        <f t="shared" si="9"/>
        <v>#REF!</v>
      </c>
      <c r="S259" s="3"/>
      <c r="T259" t="e">
        <f>IF(ISBLANK('Master Submitted DPDs'!#REF!),"",'Master Submitted DPDs'!#REF!)</f>
        <v>#REF!</v>
      </c>
    </row>
    <row r="260" spans="1:20" ht="15" x14ac:dyDescent="0.2">
      <c r="A260" s="3" t="str">
        <f>IF(ISBLANK('Master Submitted DPDs'!#REF!),"","Local Plans")</f>
        <v>Local Plans</v>
      </c>
      <c r="B260" t="e">
        <f>IF(ISBLANK('Master Submitted DPDs'!#REF!),"",'Master Submitted DPDs'!#REF!)</f>
        <v>#REF!</v>
      </c>
      <c r="C260" s="3" t="str">
        <f>IF(ISBLANK('Master Submitted DPDs'!#REF!),"","IH")</f>
        <v>IH</v>
      </c>
      <c r="D260" s="3" t="e">
        <f>LOOKUP($F260,'fuzzy LPA lookup'!$E:$E,'fuzzy LPA lookup'!$A:$A)</f>
        <v>#REF!</v>
      </c>
      <c r="E260" s="3" t="e">
        <f>LOOKUP($F260,'fuzzy LPA lookup'!$E:$E,'fuzzy LPA lookup'!$D:$D)</f>
        <v>#REF!</v>
      </c>
      <c r="F260" s="8" t="e">
        <f>IF(ISBLANK('Master Submitted DPDs'!#REF!),"",'Master Submitted DPDs'!#REF!)</f>
        <v>#REF!</v>
      </c>
      <c r="G260" t="str">
        <f>IF(ISBLANK('Master Submitted DPDs'!#REF!),"","Withdrawn")</f>
        <v>Withdrawn</v>
      </c>
      <c r="H260" s="2" t="e">
        <f>IF(ISBLANK('Master Submitted DPDs'!#REF!),"",'Master Submitted DPDs'!#REF!)</f>
        <v>#REF!</v>
      </c>
      <c r="I260" s="3"/>
      <c r="J260" s="3"/>
      <c r="K260" s="3"/>
      <c r="L260" s="2" t="e">
        <f>IF(ISBLANK('Master Submitted DPDs'!#REF!),"",'Master Submitted DPDs'!#REF!)</f>
        <v>#REF!</v>
      </c>
      <c r="M260" s="2" t="e">
        <f t="shared" si="8"/>
        <v>#REF!</v>
      </c>
      <c r="N260" s="2" t="e">
        <f>IF(ISBLANK('Master Submitted DPDs'!#REF!),IF(ISBLANK('Master Submitted DPDs'!#REF!),"",'Master Submitted DPDs'!#REF!),'Master Submitted DPDs'!#REF!)</f>
        <v>#REF!</v>
      </c>
      <c r="O260" s="2" t="e">
        <f>IF(ISBLANK('Master Submitted DPDs'!#REF!),"",'Master Submitted DPDs'!#REF!)</f>
        <v>#REF!</v>
      </c>
      <c r="P260" s="2" t="e">
        <f>IF(ISBLANK('Master Submitted DPDs'!#REF!),"",'Master Submitted DPDs'!#REF!)</f>
        <v>#REF!</v>
      </c>
      <c r="Q260" t="e">
        <f>IF(ISBLANK('Master Submitted DPDs'!#REF!),"",'Master Submitted DPDs'!#REF!)</f>
        <v>#REF!</v>
      </c>
      <c r="R260" t="e">
        <f t="shared" si="9"/>
        <v>#REF!</v>
      </c>
      <c r="S260" s="3"/>
      <c r="T260" t="e">
        <f>IF(ISBLANK('Master Submitted DPDs'!#REF!),"",'Master Submitted DPDs'!#REF!)</f>
        <v>#REF!</v>
      </c>
    </row>
    <row r="261" spans="1:20" ht="15" x14ac:dyDescent="0.2">
      <c r="A261" s="3" t="str">
        <f>IF(ISBLANK('Master Submitted DPDs'!#REF!),"","Local Plans")</f>
        <v>Local Plans</v>
      </c>
      <c r="B261" t="e">
        <f>IF(ISBLANK('Master Submitted DPDs'!#REF!),"",'Master Submitted DPDs'!#REF!)</f>
        <v>#REF!</v>
      </c>
      <c r="C261" s="3" t="str">
        <f>IF(ISBLANK('Master Submitted DPDs'!#REF!),"","IH")</f>
        <v>IH</v>
      </c>
      <c r="D261" s="3" t="e">
        <f>LOOKUP($F261,'fuzzy LPA lookup'!$E:$E,'fuzzy LPA lookup'!$A:$A)</f>
        <v>#REF!</v>
      </c>
      <c r="E261" s="3" t="e">
        <f>LOOKUP($F261,'fuzzy LPA lookup'!$E:$E,'fuzzy LPA lookup'!$D:$D)</f>
        <v>#REF!</v>
      </c>
      <c r="F261" s="8" t="e">
        <f>IF(ISBLANK('Master Submitted DPDs'!#REF!),"",'Master Submitted DPDs'!#REF!)</f>
        <v>#REF!</v>
      </c>
      <c r="G261" t="str">
        <f>IF(ISBLANK('Master Submitted DPDs'!#REF!),"","Withdrawn")</f>
        <v>Withdrawn</v>
      </c>
      <c r="H261" s="2" t="e">
        <f>IF(ISBLANK('Master Submitted DPDs'!#REF!),"",'Master Submitted DPDs'!#REF!)</f>
        <v>#REF!</v>
      </c>
      <c r="I261" s="3"/>
      <c r="J261" s="3"/>
      <c r="K261" s="3"/>
      <c r="L261" s="2" t="e">
        <f>IF(ISBLANK('Master Submitted DPDs'!#REF!),"",'Master Submitted DPDs'!#REF!)</f>
        <v>#REF!</v>
      </c>
      <c r="M261" s="2" t="e">
        <f t="shared" si="8"/>
        <v>#REF!</v>
      </c>
      <c r="N261" s="2" t="e">
        <f>IF(ISBLANK('Master Submitted DPDs'!#REF!),IF(ISBLANK('Master Submitted DPDs'!#REF!),"",'Master Submitted DPDs'!#REF!),'Master Submitted DPDs'!#REF!)</f>
        <v>#REF!</v>
      </c>
      <c r="O261" s="2" t="e">
        <f>IF(ISBLANK('Master Submitted DPDs'!#REF!),"",'Master Submitted DPDs'!#REF!)</f>
        <v>#REF!</v>
      </c>
      <c r="P261" s="2" t="e">
        <f>IF(ISBLANK('Master Submitted DPDs'!#REF!),"",'Master Submitted DPDs'!#REF!)</f>
        <v>#REF!</v>
      </c>
      <c r="Q261" t="e">
        <f>IF(ISBLANK('Master Submitted DPDs'!#REF!),"",'Master Submitted DPDs'!#REF!)</f>
        <v>#REF!</v>
      </c>
      <c r="R261" t="e">
        <f t="shared" si="9"/>
        <v>#REF!</v>
      </c>
      <c r="S261" s="3"/>
      <c r="T261" t="e">
        <f>IF(ISBLANK('Master Submitted DPDs'!#REF!),"",'Master Submitted DPDs'!#REF!)</f>
        <v>#REF!</v>
      </c>
    </row>
    <row r="262" spans="1:20" ht="15" x14ac:dyDescent="0.2">
      <c r="A262" s="3" t="str">
        <f>IF(ISBLANK('Master Submitted DPDs'!#REF!),"","Local Plans")</f>
        <v>Local Plans</v>
      </c>
      <c r="B262" t="e">
        <f>IF(ISBLANK('Master Submitted DPDs'!#REF!),"",'Master Submitted DPDs'!#REF!)</f>
        <v>#REF!</v>
      </c>
      <c r="C262" s="3" t="str">
        <f>IF(ISBLANK('Master Submitted DPDs'!#REF!),"","IH")</f>
        <v>IH</v>
      </c>
      <c r="D262" s="3" t="e">
        <f>LOOKUP($F262,'fuzzy LPA lookup'!$E:$E,'fuzzy LPA lookup'!$A:$A)</f>
        <v>#REF!</v>
      </c>
      <c r="E262" s="3" t="e">
        <f>LOOKUP($F262,'fuzzy LPA lookup'!$E:$E,'fuzzy LPA lookup'!$D:$D)</f>
        <v>#REF!</v>
      </c>
      <c r="F262" s="8" t="e">
        <f>IF(ISBLANK('Master Submitted DPDs'!#REF!),"",'Master Submitted DPDs'!#REF!)</f>
        <v>#REF!</v>
      </c>
      <c r="G262" t="str">
        <f>IF(ISBLANK('Master Submitted DPDs'!#REF!),"","Withdrawn")</f>
        <v>Withdrawn</v>
      </c>
      <c r="H262" s="2" t="e">
        <f>IF(ISBLANK('Master Submitted DPDs'!#REF!),"",'Master Submitted DPDs'!#REF!)</f>
        <v>#REF!</v>
      </c>
      <c r="I262" s="3"/>
      <c r="J262" s="3"/>
      <c r="K262" s="3"/>
      <c r="L262" s="2" t="e">
        <f>IF(ISBLANK('Master Submitted DPDs'!#REF!),"",'Master Submitted DPDs'!#REF!)</f>
        <v>#REF!</v>
      </c>
      <c r="M262" s="2" t="e">
        <f t="shared" si="8"/>
        <v>#REF!</v>
      </c>
      <c r="N262" s="2" t="e">
        <f>IF(ISBLANK('Master Submitted DPDs'!#REF!),IF(ISBLANK('Master Submitted DPDs'!#REF!),"",'Master Submitted DPDs'!#REF!),'Master Submitted DPDs'!#REF!)</f>
        <v>#REF!</v>
      </c>
      <c r="O262" s="2" t="e">
        <f>IF(ISBLANK('Master Submitted DPDs'!#REF!),"",'Master Submitted DPDs'!#REF!)</f>
        <v>#REF!</v>
      </c>
      <c r="P262" s="2" t="e">
        <f>IF(ISBLANK('Master Submitted DPDs'!#REF!),"",'Master Submitted DPDs'!#REF!)</f>
        <v>#REF!</v>
      </c>
      <c r="Q262" t="e">
        <f>IF(ISBLANK('Master Submitted DPDs'!#REF!),"",'Master Submitted DPDs'!#REF!)</f>
        <v>#REF!</v>
      </c>
      <c r="R262" t="e">
        <f t="shared" si="9"/>
        <v>#REF!</v>
      </c>
      <c r="S262" s="3"/>
      <c r="T262" t="e">
        <f>IF(ISBLANK('Master Submitted DPDs'!#REF!),"",'Master Submitted DPDs'!#REF!)</f>
        <v>#REF!</v>
      </c>
    </row>
    <row r="263" spans="1:20" ht="15" x14ac:dyDescent="0.2">
      <c r="A263" s="3" t="str">
        <f>IF(ISBLANK('Master Submitted DPDs'!#REF!),"","Local Plans")</f>
        <v>Local Plans</v>
      </c>
      <c r="B263" t="e">
        <f>IF(ISBLANK('Master Submitted DPDs'!#REF!),"",'Master Submitted DPDs'!#REF!)</f>
        <v>#REF!</v>
      </c>
      <c r="C263" s="3" t="str">
        <f>IF(ISBLANK('Master Submitted DPDs'!#REF!),"","IH")</f>
        <v>IH</v>
      </c>
      <c r="D263" s="3" t="e">
        <f>LOOKUP($F263,'fuzzy LPA lookup'!$E:$E,'fuzzy LPA lookup'!$A:$A)</f>
        <v>#REF!</v>
      </c>
      <c r="E263" s="3" t="e">
        <f>LOOKUP($F263,'fuzzy LPA lookup'!$E:$E,'fuzzy LPA lookup'!$D:$D)</f>
        <v>#REF!</v>
      </c>
      <c r="F263" s="8" t="e">
        <f>IF(ISBLANK('Master Submitted DPDs'!#REF!),"",'Master Submitted DPDs'!#REF!)</f>
        <v>#REF!</v>
      </c>
      <c r="G263" t="str">
        <f>IF(ISBLANK('Master Submitted DPDs'!#REF!),"","Withdrawn")</f>
        <v>Withdrawn</v>
      </c>
      <c r="H263" s="2" t="e">
        <f>IF(ISBLANK('Master Submitted DPDs'!#REF!),"",'Master Submitted DPDs'!#REF!)</f>
        <v>#REF!</v>
      </c>
      <c r="I263" s="3"/>
      <c r="J263" s="3"/>
      <c r="K263" s="3"/>
      <c r="L263" s="2" t="e">
        <f>IF(ISBLANK('Master Submitted DPDs'!#REF!),"",'Master Submitted DPDs'!#REF!)</f>
        <v>#REF!</v>
      </c>
      <c r="M263" s="2" t="e">
        <f t="shared" si="8"/>
        <v>#REF!</v>
      </c>
      <c r="N263" s="2" t="e">
        <f>IF(ISBLANK('Master Submitted DPDs'!#REF!),IF(ISBLANK('Master Submitted DPDs'!#REF!),"",'Master Submitted DPDs'!#REF!),'Master Submitted DPDs'!#REF!)</f>
        <v>#REF!</v>
      </c>
      <c r="O263" s="2" t="e">
        <f>IF(ISBLANK('Master Submitted DPDs'!#REF!),"",'Master Submitted DPDs'!#REF!)</f>
        <v>#REF!</v>
      </c>
      <c r="P263" s="2" t="e">
        <f>IF(ISBLANK('Master Submitted DPDs'!#REF!),"",'Master Submitted DPDs'!#REF!)</f>
        <v>#REF!</v>
      </c>
      <c r="Q263" t="e">
        <f>IF(ISBLANK('Master Submitted DPDs'!#REF!),"",'Master Submitted DPDs'!#REF!)</f>
        <v>#REF!</v>
      </c>
      <c r="R263" t="e">
        <f t="shared" si="9"/>
        <v>#REF!</v>
      </c>
      <c r="S263" s="3"/>
      <c r="T263" t="e">
        <f>IF(ISBLANK('Master Submitted DPDs'!#REF!),"",'Master Submitted DPDs'!#REF!)</f>
        <v>#REF!</v>
      </c>
    </row>
    <row r="264" spans="1:20" ht="15" x14ac:dyDescent="0.2">
      <c r="A264" s="3" t="str">
        <f>IF(ISBLANK('Master Submitted DPDs'!#REF!),"","Local Plans")</f>
        <v>Local Plans</v>
      </c>
      <c r="B264" t="e">
        <f>IF(ISBLANK('Master Submitted DPDs'!#REF!),"",'Master Submitted DPDs'!#REF!)</f>
        <v>#REF!</v>
      </c>
      <c r="C264" s="3" t="str">
        <f>IF(ISBLANK('Master Submitted DPDs'!#REF!),"","IH")</f>
        <v>IH</v>
      </c>
      <c r="D264" s="3" t="e">
        <f>LOOKUP($F264,'fuzzy LPA lookup'!$E:$E,'fuzzy LPA lookup'!$A:$A)</f>
        <v>#REF!</v>
      </c>
      <c r="E264" s="3" t="e">
        <f>LOOKUP($F264,'fuzzy LPA lookup'!$E:$E,'fuzzy LPA lookup'!$D:$D)</f>
        <v>#REF!</v>
      </c>
      <c r="F264" s="8" t="e">
        <f>IF(ISBLANK('Master Submitted DPDs'!#REF!),"",'Master Submitted DPDs'!#REF!)</f>
        <v>#REF!</v>
      </c>
      <c r="G264" t="str">
        <f>IF(ISBLANK('Master Submitted DPDs'!#REF!),"","Withdrawn")</f>
        <v>Withdrawn</v>
      </c>
      <c r="H264" s="2" t="e">
        <f>IF(ISBLANK('Master Submitted DPDs'!#REF!),"",'Master Submitted DPDs'!#REF!)</f>
        <v>#REF!</v>
      </c>
      <c r="I264" s="3"/>
      <c r="J264" s="3"/>
      <c r="K264" s="3"/>
      <c r="L264" s="2" t="e">
        <f>IF(ISBLANK('Master Submitted DPDs'!#REF!),"",'Master Submitted DPDs'!#REF!)</f>
        <v>#REF!</v>
      </c>
      <c r="M264" s="2" t="e">
        <f t="shared" si="8"/>
        <v>#REF!</v>
      </c>
      <c r="N264" s="2" t="e">
        <f>IF(ISBLANK('Master Submitted DPDs'!#REF!),IF(ISBLANK('Master Submitted DPDs'!#REF!),"",'Master Submitted DPDs'!#REF!),'Master Submitted DPDs'!#REF!)</f>
        <v>#REF!</v>
      </c>
      <c r="O264" s="2" t="e">
        <f>IF(ISBLANK('Master Submitted DPDs'!#REF!),"",'Master Submitted DPDs'!#REF!)</f>
        <v>#REF!</v>
      </c>
      <c r="P264" s="2" t="e">
        <f>IF(ISBLANK('Master Submitted DPDs'!#REF!),"",'Master Submitted DPDs'!#REF!)</f>
        <v>#REF!</v>
      </c>
      <c r="Q264" t="e">
        <f>IF(ISBLANK('Master Submitted DPDs'!#REF!),"",'Master Submitted DPDs'!#REF!)</f>
        <v>#REF!</v>
      </c>
      <c r="R264" t="e">
        <f t="shared" si="9"/>
        <v>#REF!</v>
      </c>
      <c r="S264" s="3"/>
      <c r="T264" t="e">
        <f>IF(ISBLANK('Master Submitted DPDs'!#REF!),"",'Master Submitted DPDs'!#REF!)</f>
        <v>#REF!</v>
      </c>
    </row>
    <row r="265" spans="1:20" ht="15" x14ac:dyDescent="0.2">
      <c r="A265" s="3" t="str">
        <f>IF(ISBLANK('Master Submitted DPDs'!#REF!),"","Local Plans")</f>
        <v>Local Plans</v>
      </c>
      <c r="B265" t="e">
        <f>IF(ISBLANK('Master Submitted DPDs'!#REF!),"",'Master Submitted DPDs'!#REF!)</f>
        <v>#REF!</v>
      </c>
      <c r="C265" s="3" t="str">
        <f>IF(ISBLANK('Master Submitted DPDs'!#REF!),"","IH")</f>
        <v>IH</v>
      </c>
      <c r="D265" s="3" t="e">
        <f>LOOKUP($F265,'fuzzy LPA lookup'!$E:$E,'fuzzy LPA lookup'!$A:$A)</f>
        <v>#REF!</v>
      </c>
      <c r="E265" s="3" t="e">
        <f>LOOKUP($F265,'fuzzy LPA lookup'!$E:$E,'fuzzy LPA lookup'!$D:$D)</f>
        <v>#REF!</v>
      </c>
      <c r="F265" s="8" t="e">
        <f>IF(ISBLANK('Master Submitted DPDs'!#REF!),"",'Master Submitted DPDs'!#REF!)</f>
        <v>#REF!</v>
      </c>
      <c r="G265" t="str">
        <f>IF(ISBLANK('Master Submitted DPDs'!#REF!),"","Withdrawn")</f>
        <v>Withdrawn</v>
      </c>
      <c r="H265" s="2" t="e">
        <f>IF(ISBLANK('Master Submitted DPDs'!#REF!),"",'Master Submitted DPDs'!#REF!)</f>
        <v>#REF!</v>
      </c>
      <c r="I265" s="3"/>
      <c r="J265" s="3"/>
      <c r="K265" s="3"/>
      <c r="L265" s="2" t="e">
        <f>IF(ISBLANK('Master Submitted DPDs'!#REF!),"",'Master Submitted DPDs'!#REF!)</f>
        <v>#REF!</v>
      </c>
      <c r="M265" s="2" t="e">
        <f t="shared" si="8"/>
        <v>#REF!</v>
      </c>
      <c r="N265" s="2" t="e">
        <f>IF(ISBLANK('Master Submitted DPDs'!#REF!),IF(ISBLANK('Master Submitted DPDs'!#REF!),"",'Master Submitted DPDs'!#REF!),'Master Submitted DPDs'!#REF!)</f>
        <v>#REF!</v>
      </c>
      <c r="O265" s="2" t="e">
        <f>IF(ISBLANK('Master Submitted DPDs'!#REF!),"",'Master Submitted DPDs'!#REF!)</f>
        <v>#REF!</v>
      </c>
      <c r="P265" s="2" t="e">
        <f>IF(ISBLANK('Master Submitted DPDs'!#REF!),"",'Master Submitted DPDs'!#REF!)</f>
        <v>#REF!</v>
      </c>
      <c r="Q265" t="e">
        <f>IF(ISBLANK('Master Submitted DPDs'!#REF!),"",'Master Submitted DPDs'!#REF!)</f>
        <v>#REF!</v>
      </c>
      <c r="R265" t="e">
        <f t="shared" si="9"/>
        <v>#REF!</v>
      </c>
      <c r="S265" s="3"/>
      <c r="T265" t="e">
        <f>IF(ISBLANK('Master Submitted DPDs'!#REF!),"",'Master Submitted DPDs'!#REF!)</f>
        <v>#REF!</v>
      </c>
    </row>
    <row r="266" spans="1:20" ht="15" x14ac:dyDescent="0.2">
      <c r="A266" s="3" t="str">
        <f>IF(ISBLANK('Master Submitted DPDs'!#REF!),"","Local Plans")</f>
        <v>Local Plans</v>
      </c>
      <c r="B266" t="e">
        <f>IF(ISBLANK('Master Submitted DPDs'!#REF!),"",'Master Submitted DPDs'!#REF!)</f>
        <v>#REF!</v>
      </c>
      <c r="C266" s="3" t="str">
        <f>IF(ISBLANK('Master Submitted DPDs'!#REF!),"","IH")</f>
        <v>IH</v>
      </c>
      <c r="D266" s="3" t="e">
        <f>LOOKUP($F266,'fuzzy LPA lookup'!$E:$E,'fuzzy LPA lookup'!$A:$A)</f>
        <v>#REF!</v>
      </c>
      <c r="E266" s="3" t="e">
        <f>LOOKUP($F266,'fuzzy LPA lookup'!$E:$E,'fuzzy LPA lookup'!$D:$D)</f>
        <v>#REF!</v>
      </c>
      <c r="F266" s="8" t="e">
        <f>IF(ISBLANK('Master Submitted DPDs'!#REF!),"",'Master Submitted DPDs'!#REF!)</f>
        <v>#REF!</v>
      </c>
      <c r="G266" t="str">
        <f>IF(ISBLANK('Master Submitted DPDs'!#REF!),"","Withdrawn")</f>
        <v>Withdrawn</v>
      </c>
      <c r="H266" s="2" t="e">
        <f>IF(ISBLANK('Master Submitted DPDs'!#REF!),"",'Master Submitted DPDs'!#REF!)</f>
        <v>#REF!</v>
      </c>
      <c r="I266" s="3"/>
      <c r="J266" s="3"/>
      <c r="K266" s="3"/>
      <c r="L266" s="2" t="e">
        <f>IF(ISBLANK('Master Submitted DPDs'!#REF!),"",'Master Submitted DPDs'!#REF!)</f>
        <v>#REF!</v>
      </c>
      <c r="M266" s="2" t="e">
        <f t="shared" si="8"/>
        <v>#REF!</v>
      </c>
      <c r="N266" s="2" t="e">
        <f>IF(ISBLANK('Master Submitted DPDs'!#REF!),IF(ISBLANK('Master Submitted DPDs'!#REF!),"",'Master Submitted DPDs'!#REF!),'Master Submitted DPDs'!#REF!)</f>
        <v>#REF!</v>
      </c>
      <c r="O266" s="2" t="e">
        <f>IF(ISBLANK('Master Submitted DPDs'!#REF!),"",'Master Submitted DPDs'!#REF!)</f>
        <v>#REF!</v>
      </c>
      <c r="P266" s="2" t="e">
        <f>IF(ISBLANK('Master Submitted DPDs'!#REF!),"",'Master Submitted DPDs'!#REF!)</f>
        <v>#REF!</v>
      </c>
      <c r="Q266" t="e">
        <f>IF(ISBLANK('Master Submitted DPDs'!#REF!),"",'Master Submitted DPDs'!#REF!)</f>
        <v>#REF!</v>
      </c>
      <c r="R266" t="e">
        <f t="shared" si="9"/>
        <v>#REF!</v>
      </c>
      <c r="S266" s="3"/>
      <c r="T266" t="e">
        <f>IF(ISBLANK('Master Submitted DPDs'!#REF!),"",'Master Submitted DPDs'!#REF!)</f>
        <v>#REF!</v>
      </c>
    </row>
    <row r="267" spans="1:20" ht="15" x14ac:dyDescent="0.2">
      <c r="A267" s="3" t="str">
        <f>IF(ISBLANK('Master Submitted DPDs'!#REF!),"","Local Plans")</f>
        <v>Local Plans</v>
      </c>
      <c r="B267" t="e">
        <f>IF(ISBLANK('Master Submitted DPDs'!#REF!),"",'Master Submitted DPDs'!#REF!)</f>
        <v>#REF!</v>
      </c>
      <c r="C267" s="3" t="str">
        <f>IF(ISBLANK('Master Submitted DPDs'!#REF!),"","IH")</f>
        <v>IH</v>
      </c>
      <c r="D267" s="3" t="e">
        <f>LOOKUP($F267,'fuzzy LPA lookup'!$E:$E,'fuzzy LPA lookup'!$A:$A)</f>
        <v>#REF!</v>
      </c>
      <c r="E267" s="3" t="e">
        <f>LOOKUP($F267,'fuzzy LPA lookup'!$E:$E,'fuzzy LPA lookup'!$D:$D)</f>
        <v>#REF!</v>
      </c>
      <c r="F267" s="8" t="e">
        <f>IF(ISBLANK('Master Submitted DPDs'!#REF!),"",'Master Submitted DPDs'!#REF!)</f>
        <v>#REF!</v>
      </c>
      <c r="G267" t="str">
        <f>IF(ISBLANK('Master Submitted DPDs'!#REF!),"","Withdrawn")</f>
        <v>Withdrawn</v>
      </c>
      <c r="H267" s="2" t="e">
        <f>IF(ISBLANK('Master Submitted DPDs'!#REF!),"",'Master Submitted DPDs'!#REF!)</f>
        <v>#REF!</v>
      </c>
      <c r="I267" s="3"/>
      <c r="J267" s="3"/>
      <c r="K267" s="3"/>
      <c r="L267" s="2" t="e">
        <f>IF(ISBLANK('Master Submitted DPDs'!#REF!),"",'Master Submitted DPDs'!#REF!)</f>
        <v>#REF!</v>
      </c>
      <c r="M267" s="2" t="e">
        <f t="shared" si="8"/>
        <v>#REF!</v>
      </c>
      <c r="N267" s="2" t="e">
        <f>IF(ISBLANK('Master Submitted DPDs'!#REF!),IF(ISBLANK('Master Submitted DPDs'!#REF!),"",'Master Submitted DPDs'!#REF!),'Master Submitted DPDs'!#REF!)</f>
        <v>#REF!</v>
      </c>
      <c r="O267" s="2" t="e">
        <f>IF(ISBLANK('Master Submitted DPDs'!#REF!),"",'Master Submitted DPDs'!#REF!)</f>
        <v>#REF!</v>
      </c>
      <c r="P267" s="2" t="e">
        <f>IF(ISBLANK('Master Submitted DPDs'!#REF!),"",'Master Submitted DPDs'!#REF!)</f>
        <v>#REF!</v>
      </c>
      <c r="Q267" t="e">
        <f>IF(ISBLANK('Master Submitted DPDs'!#REF!),"",'Master Submitted DPDs'!#REF!)</f>
        <v>#REF!</v>
      </c>
      <c r="R267" t="e">
        <f t="shared" si="9"/>
        <v>#REF!</v>
      </c>
      <c r="S267" s="3"/>
      <c r="T267" t="e">
        <f>IF(ISBLANK('Master Submitted DPDs'!#REF!),"",'Master Submitted DPDs'!#REF!)</f>
        <v>#REF!</v>
      </c>
    </row>
    <row r="268" spans="1:20" ht="15" x14ac:dyDescent="0.2">
      <c r="A268" s="3" t="str">
        <f>IF(ISBLANK('Master Submitted DPDs'!#REF!),"","Local Plans")</f>
        <v>Local Plans</v>
      </c>
      <c r="B268" t="e">
        <f>IF(ISBLANK('Master Submitted DPDs'!#REF!),"",'Master Submitted DPDs'!#REF!)</f>
        <v>#REF!</v>
      </c>
      <c r="C268" s="3" t="str">
        <f>IF(ISBLANK('Master Submitted DPDs'!#REF!),"","IH")</f>
        <v>IH</v>
      </c>
      <c r="D268" s="3" t="e">
        <f>LOOKUP($F268,'fuzzy LPA lookup'!$E:$E,'fuzzy LPA lookup'!$A:$A)</f>
        <v>#REF!</v>
      </c>
      <c r="E268" s="3" t="e">
        <f>LOOKUP($F268,'fuzzy LPA lookup'!$E:$E,'fuzzy LPA lookup'!$D:$D)</f>
        <v>#REF!</v>
      </c>
      <c r="F268" s="8" t="e">
        <f>IF(ISBLANK('Master Submitted DPDs'!#REF!),"",'Master Submitted DPDs'!#REF!)</f>
        <v>#REF!</v>
      </c>
      <c r="G268" t="str">
        <f>IF(ISBLANK('Master Submitted DPDs'!#REF!),"","Withdrawn")</f>
        <v>Withdrawn</v>
      </c>
      <c r="H268" s="2" t="e">
        <f>IF(ISBLANK('Master Submitted DPDs'!#REF!),"",'Master Submitted DPDs'!#REF!)</f>
        <v>#REF!</v>
      </c>
      <c r="I268" s="3"/>
      <c r="J268" s="3"/>
      <c r="K268" s="3"/>
      <c r="L268" s="2" t="e">
        <f>IF(ISBLANK('Master Submitted DPDs'!#REF!),"",'Master Submitted DPDs'!#REF!)</f>
        <v>#REF!</v>
      </c>
      <c r="M268" s="2" t="e">
        <f t="shared" si="8"/>
        <v>#REF!</v>
      </c>
      <c r="N268" s="2" t="e">
        <f>IF(ISBLANK('Master Submitted DPDs'!#REF!),IF(ISBLANK('Master Submitted DPDs'!#REF!),"",'Master Submitted DPDs'!#REF!),'Master Submitted DPDs'!#REF!)</f>
        <v>#REF!</v>
      </c>
      <c r="O268" s="2" t="e">
        <f>IF(ISBLANK('Master Submitted DPDs'!#REF!),"",'Master Submitted DPDs'!#REF!)</f>
        <v>#REF!</v>
      </c>
      <c r="P268" s="2" t="e">
        <f>IF(ISBLANK('Master Submitted DPDs'!#REF!),"",'Master Submitted DPDs'!#REF!)</f>
        <v>#REF!</v>
      </c>
      <c r="Q268" t="e">
        <f>IF(ISBLANK('Master Submitted DPDs'!#REF!),"",'Master Submitted DPDs'!#REF!)</f>
        <v>#REF!</v>
      </c>
      <c r="R268" t="e">
        <f t="shared" si="9"/>
        <v>#REF!</v>
      </c>
      <c r="S268" s="3"/>
      <c r="T268" t="e">
        <f>IF(ISBLANK('Master Submitted DPDs'!#REF!),"",'Master Submitted DPDs'!#REF!)</f>
        <v>#REF!</v>
      </c>
    </row>
    <row r="269" spans="1:20" ht="15" x14ac:dyDescent="0.2">
      <c r="A269" s="3" t="str">
        <f>IF(ISBLANK('Master Submitted DPDs'!#REF!),"","Local Plans")</f>
        <v>Local Plans</v>
      </c>
      <c r="B269" t="e">
        <f>IF(ISBLANK('Master Submitted DPDs'!#REF!),"",'Master Submitted DPDs'!#REF!)</f>
        <v>#REF!</v>
      </c>
      <c r="C269" s="3" t="str">
        <f>IF(ISBLANK('Master Submitted DPDs'!#REF!),"","IH")</f>
        <v>IH</v>
      </c>
      <c r="D269" s="3" t="e">
        <f>LOOKUP($F269,'fuzzy LPA lookup'!$E:$E,'fuzzy LPA lookup'!$A:$A)</f>
        <v>#REF!</v>
      </c>
      <c r="E269" s="3" t="e">
        <f>LOOKUP($F269,'fuzzy LPA lookup'!$E:$E,'fuzzy LPA lookup'!$D:$D)</f>
        <v>#REF!</v>
      </c>
      <c r="F269" s="8" t="e">
        <f>IF(ISBLANK('Master Submitted DPDs'!#REF!),"",'Master Submitted DPDs'!#REF!)</f>
        <v>#REF!</v>
      </c>
      <c r="G269" t="str">
        <f>IF(ISBLANK('Master Submitted DPDs'!#REF!),"","Withdrawn")</f>
        <v>Withdrawn</v>
      </c>
      <c r="H269" s="2" t="e">
        <f>IF(ISBLANK('Master Submitted DPDs'!#REF!),"",'Master Submitted DPDs'!#REF!)</f>
        <v>#REF!</v>
      </c>
      <c r="I269" s="3"/>
      <c r="J269" s="3"/>
      <c r="K269" s="3"/>
      <c r="L269" s="2" t="e">
        <f>IF(ISBLANK('Master Submitted DPDs'!#REF!),"",'Master Submitted DPDs'!#REF!)</f>
        <v>#REF!</v>
      </c>
      <c r="M269" s="2" t="e">
        <f t="shared" si="8"/>
        <v>#REF!</v>
      </c>
      <c r="N269" s="2" t="e">
        <f>IF(ISBLANK('Master Submitted DPDs'!#REF!),IF(ISBLANK('Master Submitted DPDs'!#REF!),"",'Master Submitted DPDs'!#REF!),'Master Submitted DPDs'!#REF!)</f>
        <v>#REF!</v>
      </c>
      <c r="O269" s="2" t="e">
        <f>IF(ISBLANK('Master Submitted DPDs'!#REF!),"",'Master Submitted DPDs'!#REF!)</f>
        <v>#REF!</v>
      </c>
      <c r="P269" s="2" t="e">
        <f>IF(ISBLANK('Master Submitted DPDs'!#REF!),"",'Master Submitted DPDs'!#REF!)</f>
        <v>#REF!</v>
      </c>
      <c r="Q269" t="e">
        <f>IF(ISBLANK('Master Submitted DPDs'!#REF!),"",'Master Submitted DPDs'!#REF!)</f>
        <v>#REF!</v>
      </c>
      <c r="R269" t="e">
        <f t="shared" si="9"/>
        <v>#REF!</v>
      </c>
      <c r="S269" s="3"/>
      <c r="T269" t="e">
        <f>IF(ISBLANK('Master Submitted DPDs'!#REF!),"",'Master Submitted DPDs'!#REF!)</f>
        <v>#REF!</v>
      </c>
    </row>
    <row r="270" spans="1:20" ht="15" x14ac:dyDescent="0.2">
      <c r="A270" s="3" t="str">
        <f>IF(ISBLANK('Master Submitted DPDs'!#REF!),"","Local Plans")</f>
        <v>Local Plans</v>
      </c>
      <c r="B270" t="e">
        <f>IF(ISBLANK('Master Submitted DPDs'!#REF!),"",'Master Submitted DPDs'!#REF!)</f>
        <v>#REF!</v>
      </c>
      <c r="C270" s="3" t="str">
        <f>IF(ISBLANK('Master Submitted DPDs'!#REF!),"","IH")</f>
        <v>IH</v>
      </c>
      <c r="D270" s="3" t="e">
        <f>LOOKUP($F270,'fuzzy LPA lookup'!$E:$E,'fuzzy LPA lookup'!$A:$A)</f>
        <v>#REF!</v>
      </c>
      <c r="E270" s="3" t="e">
        <f>LOOKUP($F270,'fuzzy LPA lookup'!$E:$E,'fuzzy LPA lookup'!$D:$D)</f>
        <v>#REF!</v>
      </c>
      <c r="F270" s="8" t="e">
        <f>IF(ISBLANK('Master Submitted DPDs'!#REF!),"",'Master Submitted DPDs'!#REF!)</f>
        <v>#REF!</v>
      </c>
      <c r="G270" t="str">
        <f>IF(ISBLANK('Master Submitted DPDs'!#REF!),"","Withdrawn")</f>
        <v>Withdrawn</v>
      </c>
      <c r="H270" s="2" t="e">
        <f>IF(ISBLANK('Master Submitted DPDs'!#REF!),"",'Master Submitted DPDs'!#REF!)</f>
        <v>#REF!</v>
      </c>
      <c r="I270" s="3"/>
      <c r="J270" s="3"/>
      <c r="K270" s="3"/>
      <c r="L270" s="2" t="e">
        <f>IF(ISBLANK('Master Submitted DPDs'!#REF!),"",'Master Submitted DPDs'!#REF!)</f>
        <v>#REF!</v>
      </c>
      <c r="M270" s="2" t="e">
        <f t="shared" si="8"/>
        <v>#REF!</v>
      </c>
      <c r="N270" s="2" t="e">
        <f>IF(ISBLANK('Master Submitted DPDs'!#REF!),IF(ISBLANK('Master Submitted DPDs'!#REF!),"",'Master Submitted DPDs'!#REF!),'Master Submitted DPDs'!#REF!)</f>
        <v>#REF!</v>
      </c>
      <c r="O270" s="2" t="e">
        <f>IF(ISBLANK('Master Submitted DPDs'!#REF!),"",'Master Submitted DPDs'!#REF!)</f>
        <v>#REF!</v>
      </c>
      <c r="P270" s="2" t="e">
        <f>IF(ISBLANK('Master Submitted DPDs'!#REF!),"",'Master Submitted DPDs'!#REF!)</f>
        <v>#REF!</v>
      </c>
      <c r="Q270" t="e">
        <f>IF(ISBLANK('Master Submitted DPDs'!#REF!),"",'Master Submitted DPDs'!#REF!)</f>
        <v>#REF!</v>
      </c>
      <c r="R270" t="e">
        <f t="shared" si="9"/>
        <v>#REF!</v>
      </c>
      <c r="S270" s="3"/>
      <c r="T270" t="e">
        <f>IF(ISBLANK('Master Submitted DPDs'!#REF!),"",'Master Submitted DPDs'!#REF!)</f>
        <v>#REF!</v>
      </c>
    </row>
    <row r="271" spans="1:20" ht="15" x14ac:dyDescent="0.2">
      <c r="A271" s="3" t="str">
        <f>IF(ISBLANK('Master Submitted DPDs'!#REF!),"","Local Plans")</f>
        <v>Local Plans</v>
      </c>
      <c r="B271" t="e">
        <f>IF(ISBLANK('Master Submitted DPDs'!#REF!),"",'Master Submitted DPDs'!#REF!)</f>
        <v>#REF!</v>
      </c>
      <c r="C271" s="3" t="str">
        <f>IF(ISBLANK('Master Submitted DPDs'!#REF!),"","IH")</f>
        <v>IH</v>
      </c>
      <c r="D271" s="3" t="e">
        <f>LOOKUP($F271,'fuzzy LPA lookup'!$E:$E,'fuzzy LPA lookup'!$A:$A)</f>
        <v>#REF!</v>
      </c>
      <c r="E271" s="3" t="e">
        <f>LOOKUP($F271,'fuzzy LPA lookup'!$E:$E,'fuzzy LPA lookup'!$D:$D)</f>
        <v>#REF!</v>
      </c>
      <c r="F271" s="8" t="e">
        <f>IF(ISBLANK('Master Submitted DPDs'!#REF!),"",'Master Submitted DPDs'!#REF!)</f>
        <v>#REF!</v>
      </c>
      <c r="G271" t="str">
        <f>IF(ISBLANK('Master Submitted DPDs'!#REF!),"","Withdrawn")</f>
        <v>Withdrawn</v>
      </c>
      <c r="H271" s="2" t="e">
        <f>IF(ISBLANK('Master Submitted DPDs'!#REF!),"",'Master Submitted DPDs'!#REF!)</f>
        <v>#REF!</v>
      </c>
      <c r="I271" s="3"/>
      <c r="J271" s="3"/>
      <c r="K271" s="3"/>
      <c r="L271" s="2" t="e">
        <f>IF(ISBLANK('Master Submitted DPDs'!#REF!),"",'Master Submitted DPDs'!#REF!)</f>
        <v>#REF!</v>
      </c>
      <c r="M271" s="2" t="e">
        <f t="shared" si="8"/>
        <v>#REF!</v>
      </c>
      <c r="N271" s="2" t="e">
        <f>IF(ISBLANK('Master Submitted DPDs'!#REF!),IF(ISBLANK('Master Submitted DPDs'!#REF!),"",'Master Submitted DPDs'!#REF!),'Master Submitted DPDs'!#REF!)</f>
        <v>#REF!</v>
      </c>
      <c r="O271" s="2" t="e">
        <f>IF(ISBLANK('Master Submitted DPDs'!#REF!),"",'Master Submitted DPDs'!#REF!)</f>
        <v>#REF!</v>
      </c>
      <c r="P271" s="2" t="e">
        <f>IF(ISBLANK('Master Submitted DPDs'!#REF!),"",'Master Submitted DPDs'!#REF!)</f>
        <v>#REF!</v>
      </c>
      <c r="Q271" t="e">
        <f>IF(ISBLANK('Master Submitted DPDs'!#REF!),"",'Master Submitted DPDs'!#REF!)</f>
        <v>#REF!</v>
      </c>
      <c r="R271" t="e">
        <f t="shared" si="9"/>
        <v>#REF!</v>
      </c>
      <c r="S271" s="3"/>
      <c r="T271" t="e">
        <f>IF(ISBLANK('Master Submitted DPDs'!#REF!),"",'Master Submitted DPDs'!#REF!)</f>
        <v>#REF!</v>
      </c>
    </row>
    <row r="272" spans="1:20" ht="15" x14ac:dyDescent="0.2">
      <c r="A272" s="3" t="str">
        <f>IF(ISBLANK('Master Submitted DPDs'!#REF!),"","Local Plans")</f>
        <v>Local Plans</v>
      </c>
      <c r="B272" t="e">
        <f>IF(ISBLANK('Master Submitted DPDs'!#REF!),"",'Master Submitted DPDs'!#REF!)</f>
        <v>#REF!</v>
      </c>
      <c r="C272" s="3" t="str">
        <f>IF(ISBLANK('Master Submitted DPDs'!#REF!),"","IH")</f>
        <v>IH</v>
      </c>
      <c r="D272" s="3" t="e">
        <f>LOOKUP($F272,'fuzzy LPA lookup'!$E:$E,'fuzzy LPA lookup'!$A:$A)</f>
        <v>#REF!</v>
      </c>
      <c r="E272" s="3" t="e">
        <f>LOOKUP($F272,'fuzzy LPA lookup'!$E:$E,'fuzzy LPA lookup'!$D:$D)</f>
        <v>#REF!</v>
      </c>
      <c r="F272" s="8" t="e">
        <f>IF(ISBLANK('Master Submitted DPDs'!#REF!),"",'Master Submitted DPDs'!#REF!)</f>
        <v>#REF!</v>
      </c>
      <c r="G272" t="str">
        <f>IF(ISBLANK('Master Submitted DPDs'!#REF!),"","Withdrawn")</f>
        <v>Withdrawn</v>
      </c>
      <c r="H272" s="2" t="e">
        <f>IF(ISBLANK('Master Submitted DPDs'!#REF!),"",'Master Submitted DPDs'!#REF!)</f>
        <v>#REF!</v>
      </c>
      <c r="I272" s="3"/>
      <c r="J272" s="3"/>
      <c r="K272" s="3"/>
      <c r="L272" s="2" t="e">
        <f>IF(ISBLANK('Master Submitted DPDs'!#REF!),"",'Master Submitted DPDs'!#REF!)</f>
        <v>#REF!</v>
      </c>
      <c r="M272" s="2" t="e">
        <f t="shared" si="8"/>
        <v>#REF!</v>
      </c>
      <c r="N272" s="2" t="e">
        <f>IF(ISBLANK('Master Submitted DPDs'!#REF!),IF(ISBLANK('Master Submitted DPDs'!#REF!),"",'Master Submitted DPDs'!#REF!),'Master Submitted DPDs'!#REF!)</f>
        <v>#REF!</v>
      </c>
      <c r="O272" s="2" t="e">
        <f>IF(ISBLANK('Master Submitted DPDs'!#REF!),"",'Master Submitted DPDs'!#REF!)</f>
        <v>#REF!</v>
      </c>
      <c r="P272" s="2" t="e">
        <f>IF(ISBLANK('Master Submitted DPDs'!#REF!),"",'Master Submitted DPDs'!#REF!)</f>
        <v>#REF!</v>
      </c>
      <c r="Q272" t="e">
        <f>IF(ISBLANK('Master Submitted DPDs'!#REF!),"",'Master Submitted DPDs'!#REF!)</f>
        <v>#REF!</v>
      </c>
      <c r="R272" t="e">
        <f t="shared" si="9"/>
        <v>#REF!</v>
      </c>
      <c r="S272" s="3"/>
      <c r="T272" t="e">
        <f>IF(ISBLANK('Master Submitted DPDs'!#REF!),"",'Master Submitted DPDs'!#REF!)</f>
        <v>#REF!</v>
      </c>
    </row>
    <row r="273" spans="1:20" ht="15" x14ac:dyDescent="0.2">
      <c r="A273" s="3" t="str">
        <f>IF(ISBLANK('Master Submitted DPDs'!#REF!),"","Local Plans")</f>
        <v>Local Plans</v>
      </c>
      <c r="B273" t="e">
        <f>IF(ISBLANK('Master Submitted DPDs'!#REF!),"",'Master Submitted DPDs'!#REF!)</f>
        <v>#REF!</v>
      </c>
      <c r="C273" s="3" t="str">
        <f>IF(ISBLANK('Master Submitted DPDs'!#REF!),"","IH")</f>
        <v>IH</v>
      </c>
      <c r="D273" s="3" t="e">
        <f>LOOKUP($F273,'fuzzy LPA lookup'!$E:$E,'fuzzy LPA lookup'!$A:$A)</f>
        <v>#REF!</v>
      </c>
      <c r="E273" s="3" t="e">
        <f>LOOKUP($F273,'fuzzy LPA lookup'!$E:$E,'fuzzy LPA lookup'!$D:$D)</f>
        <v>#REF!</v>
      </c>
      <c r="F273" s="8" t="e">
        <f>IF(ISBLANK('Master Submitted DPDs'!#REF!),"",'Master Submitted DPDs'!#REF!)</f>
        <v>#REF!</v>
      </c>
      <c r="G273" t="str">
        <f>IF(ISBLANK('Master Submitted DPDs'!#REF!),"","Withdrawn")</f>
        <v>Withdrawn</v>
      </c>
      <c r="H273" s="2" t="e">
        <f>IF(ISBLANK('Master Submitted DPDs'!#REF!),"",'Master Submitted DPDs'!#REF!)</f>
        <v>#REF!</v>
      </c>
      <c r="I273" s="3"/>
      <c r="J273" s="3"/>
      <c r="K273" s="3"/>
      <c r="L273" s="2" t="e">
        <f>IF(ISBLANK('Master Submitted DPDs'!#REF!),"",'Master Submitted DPDs'!#REF!)</f>
        <v>#REF!</v>
      </c>
      <c r="M273" s="2" t="e">
        <f t="shared" si="8"/>
        <v>#REF!</v>
      </c>
      <c r="N273" s="2" t="e">
        <f>IF(ISBLANK('Master Submitted DPDs'!#REF!),IF(ISBLANK('Master Submitted DPDs'!#REF!),"",'Master Submitted DPDs'!#REF!),'Master Submitted DPDs'!#REF!)</f>
        <v>#REF!</v>
      </c>
      <c r="O273" s="2" t="e">
        <f>IF(ISBLANK('Master Submitted DPDs'!#REF!),"",'Master Submitted DPDs'!#REF!)</f>
        <v>#REF!</v>
      </c>
      <c r="P273" s="2" t="e">
        <f>IF(ISBLANK('Master Submitted DPDs'!#REF!),"",'Master Submitted DPDs'!#REF!)</f>
        <v>#REF!</v>
      </c>
      <c r="Q273" t="e">
        <f>IF(ISBLANK('Master Submitted DPDs'!#REF!),"",'Master Submitted DPDs'!#REF!)</f>
        <v>#REF!</v>
      </c>
      <c r="R273" t="e">
        <f t="shared" si="9"/>
        <v>#REF!</v>
      </c>
      <c r="S273" s="3"/>
      <c r="T273" t="e">
        <f>IF(ISBLANK('Master Submitted DPDs'!#REF!),"",'Master Submitted DPDs'!#REF!)</f>
        <v>#REF!</v>
      </c>
    </row>
    <row r="274" spans="1:20" ht="15" x14ac:dyDescent="0.2">
      <c r="A274" s="3" t="str">
        <f>IF(ISBLANK('Master Submitted DPDs'!#REF!),"","Local Plans")</f>
        <v>Local Plans</v>
      </c>
      <c r="B274" t="e">
        <f>IF(ISBLANK('Master Submitted DPDs'!#REF!),"",'Master Submitted DPDs'!#REF!)</f>
        <v>#REF!</v>
      </c>
      <c r="C274" s="3" t="str">
        <f>IF(ISBLANK('Master Submitted DPDs'!#REF!),"","IH")</f>
        <v>IH</v>
      </c>
      <c r="D274" s="3" t="e">
        <f>LOOKUP($F274,'fuzzy LPA lookup'!$E:$E,'fuzzy LPA lookup'!$A:$A)</f>
        <v>#REF!</v>
      </c>
      <c r="E274" s="3" t="e">
        <f>LOOKUP($F274,'fuzzy LPA lookup'!$E:$E,'fuzzy LPA lookup'!$D:$D)</f>
        <v>#REF!</v>
      </c>
      <c r="F274" s="8" t="e">
        <f>IF(ISBLANK('Master Submitted DPDs'!#REF!),"",'Master Submitted DPDs'!#REF!)</f>
        <v>#REF!</v>
      </c>
      <c r="G274" t="str">
        <f>IF(ISBLANK('Master Submitted DPDs'!#REF!),"","Withdrawn")</f>
        <v>Withdrawn</v>
      </c>
      <c r="H274" s="2" t="e">
        <f>IF(ISBLANK('Master Submitted DPDs'!#REF!),"",'Master Submitted DPDs'!#REF!)</f>
        <v>#REF!</v>
      </c>
      <c r="I274" s="3"/>
      <c r="J274" s="3"/>
      <c r="K274" s="3"/>
      <c r="L274" s="2" t="e">
        <f>IF(ISBLANK('Master Submitted DPDs'!#REF!),"",'Master Submitted DPDs'!#REF!)</f>
        <v>#REF!</v>
      </c>
      <c r="M274" s="2" t="e">
        <f t="shared" si="8"/>
        <v>#REF!</v>
      </c>
      <c r="N274" s="2" t="e">
        <f>IF(ISBLANK('Master Submitted DPDs'!#REF!),IF(ISBLANK('Master Submitted DPDs'!#REF!),"",'Master Submitted DPDs'!#REF!),'Master Submitted DPDs'!#REF!)</f>
        <v>#REF!</v>
      </c>
      <c r="O274" s="2" t="e">
        <f>IF(ISBLANK('Master Submitted DPDs'!#REF!),"",'Master Submitted DPDs'!#REF!)</f>
        <v>#REF!</v>
      </c>
      <c r="P274" s="2" t="e">
        <f>IF(ISBLANK('Master Submitted DPDs'!#REF!),"",'Master Submitted DPDs'!#REF!)</f>
        <v>#REF!</v>
      </c>
      <c r="Q274" t="e">
        <f>IF(ISBLANK('Master Submitted DPDs'!#REF!),"",'Master Submitted DPDs'!#REF!)</f>
        <v>#REF!</v>
      </c>
      <c r="R274" t="e">
        <f t="shared" si="9"/>
        <v>#REF!</v>
      </c>
      <c r="S274" s="3"/>
      <c r="T274" t="e">
        <f>IF(ISBLANK('Master Submitted DPDs'!#REF!),"",'Master Submitted DPDs'!#REF!)</f>
        <v>#REF!</v>
      </c>
    </row>
    <row r="275" spans="1:20" ht="15" x14ac:dyDescent="0.2">
      <c r="A275" s="3" t="str">
        <f>IF(ISBLANK('Master Submitted DPDs'!#REF!),"","Local Plans")</f>
        <v>Local Plans</v>
      </c>
      <c r="B275" t="e">
        <f>IF(ISBLANK('Master Submitted DPDs'!#REF!),"",'Master Submitted DPDs'!#REF!)</f>
        <v>#REF!</v>
      </c>
      <c r="C275" s="3" t="str">
        <f>IF(ISBLANK('Master Submitted DPDs'!#REF!),"","IH")</f>
        <v>IH</v>
      </c>
      <c r="D275" s="3" t="e">
        <f>LOOKUP($F275,'fuzzy LPA lookup'!$E:$E,'fuzzy LPA lookup'!$A:$A)</f>
        <v>#REF!</v>
      </c>
      <c r="E275" s="3" t="e">
        <f>LOOKUP($F275,'fuzzy LPA lookup'!$E:$E,'fuzzy LPA lookup'!$D:$D)</f>
        <v>#REF!</v>
      </c>
      <c r="F275" s="8" t="e">
        <f>IF(ISBLANK('Master Submitted DPDs'!#REF!),"",'Master Submitted DPDs'!#REF!)</f>
        <v>#REF!</v>
      </c>
      <c r="G275" t="str">
        <f>IF(ISBLANK('Master Submitted DPDs'!#REF!),"","Withdrawn")</f>
        <v>Withdrawn</v>
      </c>
      <c r="H275" s="2" t="e">
        <f>IF(ISBLANK('Master Submitted DPDs'!#REF!),"",'Master Submitted DPDs'!#REF!)</f>
        <v>#REF!</v>
      </c>
      <c r="I275" s="3"/>
      <c r="J275" s="3"/>
      <c r="K275" s="3"/>
      <c r="L275" s="2" t="e">
        <f>IF(ISBLANK('Master Submitted DPDs'!#REF!),"",'Master Submitted DPDs'!#REF!)</f>
        <v>#REF!</v>
      </c>
      <c r="M275" s="2" t="e">
        <f t="shared" si="8"/>
        <v>#REF!</v>
      </c>
      <c r="N275" s="2" t="e">
        <f>IF(ISBLANK('Master Submitted DPDs'!#REF!),IF(ISBLANK('Master Submitted DPDs'!#REF!),"",'Master Submitted DPDs'!#REF!),'Master Submitted DPDs'!#REF!)</f>
        <v>#REF!</v>
      </c>
      <c r="O275" s="2" t="e">
        <f>IF(ISBLANK('Master Submitted DPDs'!#REF!),"",'Master Submitted DPDs'!#REF!)</f>
        <v>#REF!</v>
      </c>
      <c r="P275" s="2" t="e">
        <f>IF(ISBLANK('Master Submitted DPDs'!#REF!),"",'Master Submitted DPDs'!#REF!)</f>
        <v>#REF!</v>
      </c>
      <c r="Q275" t="e">
        <f>IF(ISBLANK('Master Submitted DPDs'!#REF!),"",'Master Submitted DPDs'!#REF!)</f>
        <v>#REF!</v>
      </c>
      <c r="R275" t="e">
        <f t="shared" si="9"/>
        <v>#REF!</v>
      </c>
      <c r="S275" s="3"/>
      <c r="T275" t="e">
        <f>IF(ISBLANK('Master Submitted DPDs'!#REF!),"",'Master Submitted DPDs'!#REF!)</f>
        <v>#REF!</v>
      </c>
    </row>
    <row r="276" spans="1:20" ht="15" x14ac:dyDescent="0.2">
      <c r="A276" s="3" t="str">
        <f>IF(ISBLANK('Master Submitted DPDs'!#REF!),"","Local Plans")</f>
        <v>Local Plans</v>
      </c>
      <c r="B276" t="e">
        <f>IF(ISBLANK('Master Submitted DPDs'!#REF!),"",'Master Submitted DPDs'!#REF!)</f>
        <v>#REF!</v>
      </c>
      <c r="C276" s="3" t="str">
        <f>IF(ISBLANK('Master Submitted DPDs'!#REF!),"","IH")</f>
        <v>IH</v>
      </c>
      <c r="D276" s="3" t="e">
        <f>LOOKUP($F276,'fuzzy LPA lookup'!$E:$E,'fuzzy LPA lookup'!$A:$A)</f>
        <v>#REF!</v>
      </c>
      <c r="E276" s="3" t="e">
        <f>LOOKUP($F276,'fuzzy LPA lookup'!$E:$E,'fuzzy LPA lookup'!$D:$D)</f>
        <v>#REF!</v>
      </c>
      <c r="F276" s="8" t="e">
        <f>IF(ISBLANK('Master Submitted DPDs'!#REF!),"",'Master Submitted DPDs'!#REF!)</f>
        <v>#REF!</v>
      </c>
      <c r="G276" t="str">
        <f>IF(ISBLANK('Master Submitted DPDs'!#REF!),"","Withdrawn")</f>
        <v>Withdrawn</v>
      </c>
      <c r="H276" s="2" t="e">
        <f>IF(ISBLANK('Master Submitted DPDs'!#REF!),"",'Master Submitted DPDs'!#REF!)</f>
        <v>#REF!</v>
      </c>
      <c r="I276" s="3"/>
      <c r="J276" s="3"/>
      <c r="K276" s="3"/>
      <c r="L276" s="2" t="e">
        <f>IF(ISBLANK('Master Submitted DPDs'!#REF!),"",'Master Submitted DPDs'!#REF!)</f>
        <v>#REF!</v>
      </c>
      <c r="M276" s="2" t="e">
        <f t="shared" si="8"/>
        <v>#REF!</v>
      </c>
      <c r="N276" s="2" t="e">
        <f>IF(ISBLANK('Master Submitted DPDs'!#REF!),IF(ISBLANK('Master Submitted DPDs'!#REF!),"",'Master Submitted DPDs'!#REF!),'Master Submitted DPDs'!#REF!)</f>
        <v>#REF!</v>
      </c>
      <c r="O276" s="2" t="e">
        <f>IF(ISBLANK('Master Submitted DPDs'!#REF!),"",'Master Submitted DPDs'!#REF!)</f>
        <v>#REF!</v>
      </c>
      <c r="P276" s="2" t="e">
        <f>IF(ISBLANK('Master Submitted DPDs'!#REF!),"",'Master Submitted DPDs'!#REF!)</f>
        <v>#REF!</v>
      </c>
      <c r="Q276" t="e">
        <f>IF(ISBLANK('Master Submitted DPDs'!#REF!),"",'Master Submitted DPDs'!#REF!)</f>
        <v>#REF!</v>
      </c>
      <c r="R276" t="e">
        <f t="shared" si="9"/>
        <v>#REF!</v>
      </c>
      <c r="S276" s="3"/>
      <c r="T276" t="e">
        <f>IF(ISBLANK('Master Submitted DPDs'!#REF!),"",'Master Submitted DPDs'!#REF!)</f>
        <v>#REF!</v>
      </c>
    </row>
    <row r="277" spans="1:20" ht="15" x14ac:dyDescent="0.2">
      <c r="A277" s="3" t="str">
        <f>IF(ISBLANK('Master Submitted DPDs'!#REF!),"","Local Plans")</f>
        <v>Local Plans</v>
      </c>
      <c r="B277" t="e">
        <f>IF(ISBLANK('Master Submitted DPDs'!#REF!),"",'Master Submitted DPDs'!#REF!)</f>
        <v>#REF!</v>
      </c>
      <c r="C277" s="3" t="str">
        <f>IF(ISBLANK('Master Submitted DPDs'!#REF!),"","IH")</f>
        <v>IH</v>
      </c>
      <c r="D277" s="3" t="e">
        <f>LOOKUP($F277,'fuzzy LPA lookup'!$E:$E,'fuzzy LPA lookup'!$A:$A)</f>
        <v>#REF!</v>
      </c>
      <c r="E277" s="3" t="e">
        <f>LOOKUP($F277,'fuzzy LPA lookup'!$E:$E,'fuzzy LPA lookup'!$D:$D)</f>
        <v>#REF!</v>
      </c>
      <c r="F277" s="8" t="e">
        <f>IF(ISBLANK('Master Submitted DPDs'!#REF!),"",'Master Submitted DPDs'!#REF!)</f>
        <v>#REF!</v>
      </c>
      <c r="G277" t="str">
        <f>IF(ISBLANK('Master Submitted DPDs'!#REF!),"","Withdrawn")</f>
        <v>Withdrawn</v>
      </c>
      <c r="H277" s="2" t="e">
        <f>IF(ISBLANK('Master Submitted DPDs'!#REF!),"",'Master Submitted DPDs'!#REF!)</f>
        <v>#REF!</v>
      </c>
      <c r="I277" s="3"/>
      <c r="J277" s="3"/>
      <c r="K277" s="3"/>
      <c r="L277" s="2" t="e">
        <f>IF(ISBLANK('Master Submitted DPDs'!#REF!),"",'Master Submitted DPDs'!#REF!)</f>
        <v>#REF!</v>
      </c>
      <c r="M277" s="2" t="e">
        <f t="shared" si="8"/>
        <v>#REF!</v>
      </c>
      <c r="N277" s="2" t="e">
        <f>IF(ISBLANK('Master Submitted DPDs'!#REF!),IF(ISBLANK('Master Submitted DPDs'!#REF!),"",'Master Submitted DPDs'!#REF!),'Master Submitted DPDs'!#REF!)</f>
        <v>#REF!</v>
      </c>
      <c r="O277" s="2" t="e">
        <f>IF(ISBLANK('Master Submitted DPDs'!#REF!),"",'Master Submitted DPDs'!#REF!)</f>
        <v>#REF!</v>
      </c>
      <c r="P277" s="2" t="e">
        <f>IF(ISBLANK('Master Submitted DPDs'!#REF!),"",'Master Submitted DPDs'!#REF!)</f>
        <v>#REF!</v>
      </c>
      <c r="Q277" t="e">
        <f>IF(ISBLANK('Master Submitted DPDs'!#REF!),"",'Master Submitted DPDs'!#REF!)</f>
        <v>#REF!</v>
      </c>
      <c r="R277" t="e">
        <f t="shared" si="9"/>
        <v>#REF!</v>
      </c>
      <c r="S277" s="3"/>
      <c r="T277" t="e">
        <f>IF(ISBLANK('Master Submitted DPDs'!#REF!),"",'Master Submitted DPDs'!#REF!)</f>
        <v>#REF!</v>
      </c>
    </row>
    <row r="278" spans="1:20" ht="15" x14ac:dyDescent="0.2">
      <c r="A278" s="3" t="str">
        <f>IF(ISBLANK('Master Submitted DPDs'!#REF!),"","Local Plans")</f>
        <v>Local Plans</v>
      </c>
      <c r="B278" t="e">
        <f>IF(ISBLANK('Master Submitted DPDs'!#REF!),"",'Master Submitted DPDs'!#REF!)</f>
        <v>#REF!</v>
      </c>
      <c r="C278" s="3" t="str">
        <f>IF(ISBLANK('Master Submitted DPDs'!#REF!),"","IH")</f>
        <v>IH</v>
      </c>
      <c r="D278" s="3" t="e">
        <f>LOOKUP($F278,'fuzzy LPA lookup'!$E:$E,'fuzzy LPA lookup'!$A:$A)</f>
        <v>#REF!</v>
      </c>
      <c r="E278" s="3" t="e">
        <f>LOOKUP($F278,'fuzzy LPA lookup'!$E:$E,'fuzzy LPA lookup'!$D:$D)</f>
        <v>#REF!</v>
      </c>
      <c r="F278" s="8" t="e">
        <f>IF(ISBLANK('Master Submitted DPDs'!#REF!),"",'Master Submitted DPDs'!#REF!)</f>
        <v>#REF!</v>
      </c>
      <c r="G278" t="str">
        <f>IF(ISBLANK('Master Submitted DPDs'!#REF!),"","Withdrawn")</f>
        <v>Withdrawn</v>
      </c>
      <c r="H278" s="2" t="e">
        <f>IF(ISBLANK('Master Submitted DPDs'!#REF!),"",'Master Submitted DPDs'!#REF!)</f>
        <v>#REF!</v>
      </c>
      <c r="I278" s="3"/>
      <c r="J278" s="3"/>
      <c r="K278" s="3"/>
      <c r="L278" s="2" t="e">
        <f>IF(ISBLANK('Master Submitted DPDs'!#REF!),"",'Master Submitted DPDs'!#REF!)</f>
        <v>#REF!</v>
      </c>
      <c r="M278" s="2" t="e">
        <f t="shared" si="8"/>
        <v>#REF!</v>
      </c>
      <c r="N278" s="2" t="e">
        <f>IF(ISBLANK('Master Submitted DPDs'!#REF!),IF(ISBLANK('Master Submitted DPDs'!#REF!),"",'Master Submitted DPDs'!#REF!),'Master Submitted DPDs'!#REF!)</f>
        <v>#REF!</v>
      </c>
      <c r="O278" s="2" t="e">
        <f>IF(ISBLANK('Master Submitted DPDs'!#REF!),"",'Master Submitted DPDs'!#REF!)</f>
        <v>#REF!</v>
      </c>
      <c r="P278" s="2" t="e">
        <f>IF(ISBLANK('Master Submitted DPDs'!#REF!),"",'Master Submitted DPDs'!#REF!)</f>
        <v>#REF!</v>
      </c>
      <c r="Q278" t="e">
        <f>IF(ISBLANK('Master Submitted DPDs'!#REF!),"",'Master Submitted DPDs'!#REF!)</f>
        <v>#REF!</v>
      </c>
      <c r="R278" t="e">
        <f t="shared" si="9"/>
        <v>#REF!</v>
      </c>
      <c r="S278" s="3"/>
      <c r="T278" t="e">
        <f>IF(ISBLANK('Master Submitted DPDs'!#REF!),"",'Master Submitted DPDs'!#REF!)</f>
        <v>#REF!</v>
      </c>
    </row>
    <row r="279" spans="1:20" ht="15" x14ac:dyDescent="0.2">
      <c r="A279" s="3" t="str">
        <f>IF(ISBLANK('Master Submitted DPDs'!#REF!),"","Local Plans")</f>
        <v>Local Plans</v>
      </c>
      <c r="B279" t="e">
        <f>IF(ISBLANK('Master Submitted DPDs'!#REF!),"",'Master Submitted DPDs'!#REF!)</f>
        <v>#REF!</v>
      </c>
      <c r="C279" s="3" t="str">
        <f>IF(ISBLANK('Master Submitted DPDs'!#REF!),"","IH")</f>
        <v>IH</v>
      </c>
      <c r="D279" s="3" t="e">
        <f>LOOKUP($F279,'fuzzy LPA lookup'!$E:$E,'fuzzy LPA lookup'!$A:$A)</f>
        <v>#REF!</v>
      </c>
      <c r="E279" s="3" t="e">
        <f>LOOKUP($F279,'fuzzy LPA lookup'!$E:$E,'fuzzy LPA lookup'!$D:$D)</f>
        <v>#REF!</v>
      </c>
      <c r="F279" s="8" t="e">
        <f>IF(ISBLANK('Master Submitted DPDs'!#REF!),"",'Master Submitted DPDs'!#REF!)</f>
        <v>#REF!</v>
      </c>
      <c r="G279" t="str">
        <f>IF(ISBLANK('Master Submitted DPDs'!#REF!),"","Withdrawn")</f>
        <v>Withdrawn</v>
      </c>
      <c r="H279" s="2" t="e">
        <f>IF(ISBLANK('Master Submitted DPDs'!#REF!),"",'Master Submitted DPDs'!#REF!)</f>
        <v>#REF!</v>
      </c>
      <c r="I279" s="3"/>
      <c r="J279" s="3"/>
      <c r="K279" s="3"/>
      <c r="L279" s="2" t="e">
        <f>IF(ISBLANK('Master Submitted DPDs'!#REF!),"",'Master Submitted DPDs'!#REF!)</f>
        <v>#REF!</v>
      </c>
      <c r="M279" s="2" t="e">
        <f t="shared" si="8"/>
        <v>#REF!</v>
      </c>
      <c r="N279" s="2" t="e">
        <f>IF(ISBLANK('Master Submitted DPDs'!#REF!),IF(ISBLANK('Master Submitted DPDs'!#REF!),"",'Master Submitted DPDs'!#REF!),'Master Submitted DPDs'!#REF!)</f>
        <v>#REF!</v>
      </c>
      <c r="O279" s="2" t="e">
        <f>IF(ISBLANK('Master Submitted DPDs'!#REF!),"",'Master Submitted DPDs'!#REF!)</f>
        <v>#REF!</v>
      </c>
      <c r="P279" s="2" t="e">
        <f>IF(ISBLANK('Master Submitted DPDs'!#REF!),"",'Master Submitted DPDs'!#REF!)</f>
        <v>#REF!</v>
      </c>
      <c r="Q279" t="e">
        <f>IF(ISBLANK('Master Submitted DPDs'!#REF!),"",'Master Submitted DPDs'!#REF!)</f>
        <v>#REF!</v>
      </c>
      <c r="R279" t="e">
        <f t="shared" si="9"/>
        <v>#REF!</v>
      </c>
      <c r="S279" s="3"/>
      <c r="T279" t="e">
        <f>IF(ISBLANK('Master Submitted DPDs'!#REF!),"",'Master Submitted DPDs'!#REF!)</f>
        <v>#REF!</v>
      </c>
    </row>
    <row r="280" spans="1:20" ht="15" x14ac:dyDescent="0.2">
      <c r="A280" s="3" t="str">
        <f>IF(ISBLANK('Master Submitted DPDs'!#REF!),"","Local Plans")</f>
        <v>Local Plans</v>
      </c>
      <c r="B280" t="e">
        <f>IF(ISBLANK('Master Submitted DPDs'!#REF!),"",'Master Submitted DPDs'!#REF!)</f>
        <v>#REF!</v>
      </c>
      <c r="C280" s="3" t="str">
        <f>IF(ISBLANK('Master Submitted DPDs'!#REF!),"","IH")</f>
        <v>IH</v>
      </c>
      <c r="D280" s="3" t="e">
        <f>LOOKUP($F280,'fuzzy LPA lookup'!$E:$E,'fuzzy LPA lookup'!$A:$A)</f>
        <v>#REF!</v>
      </c>
      <c r="E280" s="3" t="e">
        <f>LOOKUP($F280,'fuzzy LPA lookup'!$E:$E,'fuzzy LPA lookup'!$D:$D)</f>
        <v>#REF!</v>
      </c>
      <c r="F280" s="8" t="e">
        <f>IF(ISBLANK('Master Submitted DPDs'!#REF!),"",'Master Submitted DPDs'!#REF!)</f>
        <v>#REF!</v>
      </c>
      <c r="G280" t="str">
        <f>IF(ISBLANK('Master Submitted DPDs'!#REF!),"","Withdrawn")</f>
        <v>Withdrawn</v>
      </c>
      <c r="H280" s="2" t="e">
        <f>IF(ISBLANK('Master Submitted DPDs'!#REF!),"",'Master Submitted DPDs'!#REF!)</f>
        <v>#REF!</v>
      </c>
      <c r="I280" s="3"/>
      <c r="J280" s="3"/>
      <c r="K280" s="3"/>
      <c r="L280" s="2" t="e">
        <f>IF(ISBLANK('Master Submitted DPDs'!#REF!),"",'Master Submitted DPDs'!#REF!)</f>
        <v>#REF!</v>
      </c>
      <c r="M280" s="2" t="e">
        <f t="shared" si="8"/>
        <v>#REF!</v>
      </c>
      <c r="N280" s="2" t="e">
        <f>IF(ISBLANK('Master Submitted DPDs'!#REF!),IF(ISBLANK('Master Submitted DPDs'!#REF!),"",'Master Submitted DPDs'!#REF!),'Master Submitted DPDs'!#REF!)</f>
        <v>#REF!</v>
      </c>
      <c r="O280" s="2" t="e">
        <f>IF(ISBLANK('Master Submitted DPDs'!#REF!),"",'Master Submitted DPDs'!#REF!)</f>
        <v>#REF!</v>
      </c>
      <c r="P280" s="2" t="e">
        <f>IF(ISBLANK('Master Submitted DPDs'!#REF!),"",'Master Submitted DPDs'!#REF!)</f>
        <v>#REF!</v>
      </c>
      <c r="Q280" t="e">
        <f>IF(ISBLANK('Master Submitted DPDs'!#REF!),"",'Master Submitted DPDs'!#REF!)</f>
        <v>#REF!</v>
      </c>
      <c r="R280" t="e">
        <f t="shared" si="9"/>
        <v>#REF!</v>
      </c>
      <c r="S280" s="3"/>
      <c r="T280" t="e">
        <f>IF(ISBLANK('Master Submitted DPDs'!#REF!),"",'Master Submitted DPDs'!#REF!)</f>
        <v>#REF!</v>
      </c>
    </row>
    <row r="281" spans="1:20" ht="15" x14ac:dyDescent="0.2">
      <c r="A281" s="3" t="str">
        <f>IF(ISBLANK('Master Submitted DPDs'!#REF!),"","Local Plans")</f>
        <v>Local Plans</v>
      </c>
      <c r="B281" t="e">
        <f>IF(ISBLANK('Master Submitted DPDs'!#REF!),"",'Master Submitted DPDs'!#REF!)</f>
        <v>#REF!</v>
      </c>
      <c r="C281" s="3" t="str">
        <f>IF(ISBLANK('Master Submitted DPDs'!#REF!),"","IH")</f>
        <v>IH</v>
      </c>
      <c r="D281" s="3" t="e">
        <f>LOOKUP($F281,'fuzzy LPA lookup'!$E:$E,'fuzzy LPA lookup'!$A:$A)</f>
        <v>#REF!</v>
      </c>
      <c r="E281" s="3" t="e">
        <f>LOOKUP($F281,'fuzzy LPA lookup'!$E:$E,'fuzzy LPA lookup'!$D:$D)</f>
        <v>#REF!</v>
      </c>
      <c r="F281" s="8" t="e">
        <f>IF(ISBLANK('Master Submitted DPDs'!#REF!),"",'Master Submitted DPDs'!#REF!)</f>
        <v>#REF!</v>
      </c>
      <c r="G281" t="str">
        <f>IF(ISBLANK('Master Submitted DPDs'!#REF!),"","Withdrawn")</f>
        <v>Withdrawn</v>
      </c>
      <c r="H281" s="2" t="e">
        <f>IF(ISBLANK('Master Submitted DPDs'!#REF!),"",'Master Submitted DPDs'!#REF!)</f>
        <v>#REF!</v>
      </c>
      <c r="I281" s="3"/>
      <c r="J281" s="3"/>
      <c r="K281" s="3"/>
      <c r="L281" s="2" t="e">
        <f>IF(ISBLANK('Master Submitted DPDs'!#REF!),"",'Master Submitted DPDs'!#REF!)</f>
        <v>#REF!</v>
      </c>
      <c r="M281" s="2" t="e">
        <f t="shared" si="8"/>
        <v>#REF!</v>
      </c>
      <c r="N281" s="2" t="e">
        <f>IF(ISBLANK('Master Submitted DPDs'!#REF!),IF(ISBLANK('Master Submitted DPDs'!#REF!),"",'Master Submitted DPDs'!#REF!),'Master Submitted DPDs'!#REF!)</f>
        <v>#REF!</v>
      </c>
      <c r="O281" s="2" t="e">
        <f>IF(ISBLANK('Master Submitted DPDs'!#REF!),"",'Master Submitted DPDs'!#REF!)</f>
        <v>#REF!</v>
      </c>
      <c r="P281" s="2" t="e">
        <f>IF(ISBLANK('Master Submitted DPDs'!#REF!),"",'Master Submitted DPDs'!#REF!)</f>
        <v>#REF!</v>
      </c>
      <c r="Q281" t="e">
        <f>IF(ISBLANK('Master Submitted DPDs'!#REF!),"",'Master Submitted DPDs'!#REF!)</f>
        <v>#REF!</v>
      </c>
      <c r="R281" t="e">
        <f t="shared" si="9"/>
        <v>#REF!</v>
      </c>
      <c r="S281" s="3"/>
      <c r="T281" t="e">
        <f>IF(ISBLANK('Master Submitted DPDs'!#REF!),"",'Master Submitted DPDs'!#REF!)</f>
        <v>#REF!</v>
      </c>
    </row>
    <row r="282" spans="1:20" ht="15" x14ac:dyDescent="0.2">
      <c r="A282" s="3" t="str">
        <f>IF(ISBLANK('Master Submitted DPDs'!#REF!),"","Local Plans")</f>
        <v>Local Plans</v>
      </c>
      <c r="B282" t="e">
        <f>IF(ISBLANK('Master Submitted DPDs'!#REF!),"",'Master Submitted DPDs'!#REF!)</f>
        <v>#REF!</v>
      </c>
      <c r="C282" s="3" t="str">
        <f>IF(ISBLANK('Master Submitted DPDs'!#REF!),"","IH")</f>
        <v>IH</v>
      </c>
      <c r="D282" s="3" t="e">
        <f>LOOKUP($F282,'fuzzy LPA lookup'!$E:$E,'fuzzy LPA lookup'!$A:$A)</f>
        <v>#REF!</v>
      </c>
      <c r="E282" s="3" t="e">
        <f>LOOKUP($F282,'fuzzy LPA lookup'!$E:$E,'fuzzy LPA lookup'!$D:$D)</f>
        <v>#REF!</v>
      </c>
      <c r="F282" s="8" t="e">
        <f>IF(ISBLANK('Master Submitted DPDs'!#REF!),"",'Master Submitted DPDs'!#REF!)</f>
        <v>#REF!</v>
      </c>
      <c r="G282" t="str">
        <f>IF(ISBLANK('Master Submitted DPDs'!#REF!),"","Withdrawn")</f>
        <v>Withdrawn</v>
      </c>
      <c r="H282" s="2" t="e">
        <f>IF(ISBLANK('Master Submitted DPDs'!#REF!),"",'Master Submitted DPDs'!#REF!)</f>
        <v>#REF!</v>
      </c>
      <c r="I282" s="3"/>
      <c r="J282" s="3"/>
      <c r="K282" s="3"/>
      <c r="L282" s="2" t="e">
        <f>IF(ISBLANK('Master Submitted DPDs'!#REF!),"",'Master Submitted DPDs'!#REF!)</f>
        <v>#REF!</v>
      </c>
      <c r="M282" s="2" t="e">
        <f t="shared" si="8"/>
        <v>#REF!</v>
      </c>
      <c r="N282" s="2" t="e">
        <f>IF(ISBLANK('Master Submitted DPDs'!#REF!),IF(ISBLANK('Master Submitted DPDs'!#REF!),"",'Master Submitted DPDs'!#REF!),'Master Submitted DPDs'!#REF!)</f>
        <v>#REF!</v>
      </c>
      <c r="O282" s="2" t="e">
        <f>IF(ISBLANK('Master Submitted DPDs'!#REF!),"",'Master Submitted DPDs'!#REF!)</f>
        <v>#REF!</v>
      </c>
      <c r="P282" s="2" t="e">
        <f>IF(ISBLANK('Master Submitted DPDs'!#REF!),"",'Master Submitted DPDs'!#REF!)</f>
        <v>#REF!</v>
      </c>
      <c r="Q282" t="e">
        <f>IF(ISBLANK('Master Submitted DPDs'!#REF!),"",'Master Submitted DPDs'!#REF!)</f>
        <v>#REF!</v>
      </c>
      <c r="R282" t="e">
        <f t="shared" si="9"/>
        <v>#REF!</v>
      </c>
      <c r="S282" s="3"/>
      <c r="T282" t="e">
        <f>IF(ISBLANK('Master Submitted DPDs'!#REF!),"",'Master Submitted DPDs'!#REF!)</f>
        <v>#REF!</v>
      </c>
    </row>
    <row r="283" spans="1:20" ht="15" x14ac:dyDescent="0.2">
      <c r="A283" s="3" t="str">
        <f>IF(ISBLANK('Master Submitted DPDs'!#REF!),"","Local Plans")</f>
        <v>Local Plans</v>
      </c>
      <c r="B283" t="e">
        <f>IF(ISBLANK('Master Submitted DPDs'!#REF!),"",'Master Submitted DPDs'!#REF!)</f>
        <v>#REF!</v>
      </c>
      <c r="C283" s="3" t="str">
        <f>IF(ISBLANK('Master Submitted DPDs'!#REF!),"","IH")</f>
        <v>IH</v>
      </c>
      <c r="D283" s="3" t="e">
        <f>LOOKUP($F283,'fuzzy LPA lookup'!$E:$E,'fuzzy LPA lookup'!$A:$A)</f>
        <v>#REF!</v>
      </c>
      <c r="E283" s="3" t="e">
        <f>LOOKUP($F283,'fuzzy LPA lookup'!$E:$E,'fuzzy LPA lookup'!$D:$D)</f>
        <v>#REF!</v>
      </c>
      <c r="F283" s="8" t="e">
        <f>IF(ISBLANK('Master Submitted DPDs'!#REF!),"",'Master Submitted DPDs'!#REF!)</f>
        <v>#REF!</v>
      </c>
      <c r="G283" t="str">
        <f>IF(ISBLANK('Master Submitted DPDs'!#REF!),"","Withdrawn")</f>
        <v>Withdrawn</v>
      </c>
      <c r="H283" s="2" t="e">
        <f>IF(ISBLANK('Master Submitted DPDs'!#REF!),"",'Master Submitted DPDs'!#REF!)</f>
        <v>#REF!</v>
      </c>
      <c r="I283" s="3"/>
      <c r="J283" s="3"/>
      <c r="K283" s="3"/>
      <c r="L283" s="2" t="e">
        <f>IF(ISBLANK('Master Submitted DPDs'!#REF!),"",'Master Submitted DPDs'!#REF!)</f>
        <v>#REF!</v>
      </c>
      <c r="M283" s="2" t="e">
        <f t="shared" si="8"/>
        <v>#REF!</v>
      </c>
      <c r="N283" s="2" t="e">
        <f>IF(ISBLANK('Master Submitted DPDs'!#REF!),IF(ISBLANK('Master Submitted DPDs'!#REF!),"",'Master Submitted DPDs'!#REF!),'Master Submitted DPDs'!#REF!)</f>
        <v>#REF!</v>
      </c>
      <c r="O283" s="2" t="e">
        <f>IF(ISBLANK('Master Submitted DPDs'!#REF!),"",'Master Submitted DPDs'!#REF!)</f>
        <v>#REF!</v>
      </c>
      <c r="P283" s="2" t="e">
        <f>IF(ISBLANK('Master Submitted DPDs'!#REF!),"",'Master Submitted DPDs'!#REF!)</f>
        <v>#REF!</v>
      </c>
      <c r="Q283" t="e">
        <f>IF(ISBLANK('Master Submitted DPDs'!#REF!),"",'Master Submitted DPDs'!#REF!)</f>
        <v>#REF!</v>
      </c>
      <c r="R283" t="e">
        <f t="shared" si="9"/>
        <v>#REF!</v>
      </c>
      <c r="S283" s="3"/>
      <c r="T283" t="e">
        <f>IF(ISBLANK('Master Submitted DPDs'!#REF!),"",'Master Submitted DPDs'!#REF!)</f>
        <v>#REF!</v>
      </c>
    </row>
    <row r="284" spans="1:20" ht="15" x14ac:dyDescent="0.2">
      <c r="A284" s="3" t="str">
        <f>IF(ISBLANK('Master Submitted DPDs'!#REF!),"","Local Plans")</f>
        <v>Local Plans</v>
      </c>
      <c r="B284" t="e">
        <f>IF(ISBLANK('Master Submitted DPDs'!#REF!),"",'Master Submitted DPDs'!#REF!)</f>
        <v>#REF!</v>
      </c>
      <c r="C284" s="3" t="str">
        <f>IF(ISBLANK('Master Submitted DPDs'!#REF!),"","IH")</f>
        <v>IH</v>
      </c>
      <c r="D284" s="3" t="e">
        <f>LOOKUP($F284,'fuzzy LPA lookup'!$E:$E,'fuzzy LPA lookup'!$A:$A)</f>
        <v>#REF!</v>
      </c>
      <c r="E284" s="3" t="e">
        <f>LOOKUP($F284,'fuzzy LPA lookup'!$E:$E,'fuzzy LPA lookup'!$D:$D)</f>
        <v>#REF!</v>
      </c>
      <c r="F284" s="8" t="e">
        <f>IF(ISBLANK('Master Submitted DPDs'!#REF!),"",'Master Submitted DPDs'!#REF!)</f>
        <v>#REF!</v>
      </c>
      <c r="G284" t="str">
        <f>IF(ISBLANK('Master Submitted DPDs'!#REF!),"","Withdrawn")</f>
        <v>Withdrawn</v>
      </c>
      <c r="H284" s="2" t="e">
        <f>IF(ISBLANK('Master Submitted DPDs'!#REF!),"",'Master Submitted DPDs'!#REF!)</f>
        <v>#REF!</v>
      </c>
      <c r="I284" s="3"/>
      <c r="J284" s="3"/>
      <c r="K284" s="3"/>
      <c r="L284" s="2" t="e">
        <f>IF(ISBLANK('Master Submitted DPDs'!#REF!),"",'Master Submitted DPDs'!#REF!)</f>
        <v>#REF!</v>
      </c>
      <c r="M284" s="2" t="e">
        <f t="shared" si="8"/>
        <v>#REF!</v>
      </c>
      <c r="N284" s="2" t="e">
        <f>IF(ISBLANK('Master Submitted DPDs'!#REF!),IF(ISBLANK('Master Submitted DPDs'!#REF!),"",'Master Submitted DPDs'!#REF!),'Master Submitted DPDs'!#REF!)</f>
        <v>#REF!</v>
      </c>
      <c r="O284" s="2" t="e">
        <f>IF(ISBLANK('Master Submitted DPDs'!#REF!),"",'Master Submitted DPDs'!#REF!)</f>
        <v>#REF!</v>
      </c>
      <c r="P284" s="2" t="e">
        <f>IF(ISBLANK('Master Submitted DPDs'!#REF!),"",'Master Submitted DPDs'!#REF!)</f>
        <v>#REF!</v>
      </c>
      <c r="Q284" t="e">
        <f>IF(ISBLANK('Master Submitted DPDs'!#REF!),"",'Master Submitted DPDs'!#REF!)</f>
        <v>#REF!</v>
      </c>
      <c r="R284" t="e">
        <f t="shared" si="9"/>
        <v>#REF!</v>
      </c>
      <c r="S284" s="3"/>
      <c r="T284" t="e">
        <f>IF(ISBLANK('Master Submitted DPDs'!#REF!),"",'Master Submitted DPDs'!#REF!)</f>
        <v>#REF!</v>
      </c>
    </row>
    <row r="285" spans="1:20" ht="15" x14ac:dyDescent="0.2">
      <c r="A285" s="3" t="str">
        <f>IF(ISBLANK('Master Submitted DPDs'!#REF!),"","Local Plans")</f>
        <v>Local Plans</v>
      </c>
      <c r="B285" t="e">
        <f>IF(ISBLANK('Master Submitted DPDs'!#REF!),"",'Master Submitted DPDs'!#REF!)</f>
        <v>#REF!</v>
      </c>
      <c r="C285" s="3" t="str">
        <f>IF(ISBLANK('Master Submitted DPDs'!#REF!),"","IH")</f>
        <v>IH</v>
      </c>
      <c r="D285" s="3" t="e">
        <f>LOOKUP($F285,'fuzzy LPA lookup'!$E:$E,'fuzzy LPA lookup'!$A:$A)</f>
        <v>#REF!</v>
      </c>
      <c r="E285" s="3" t="e">
        <f>LOOKUP($F285,'fuzzy LPA lookup'!$E:$E,'fuzzy LPA lookup'!$D:$D)</f>
        <v>#REF!</v>
      </c>
      <c r="F285" s="8" t="e">
        <f>IF(ISBLANK('Master Submitted DPDs'!#REF!),"",'Master Submitted DPDs'!#REF!)</f>
        <v>#REF!</v>
      </c>
      <c r="G285" t="str">
        <f>IF(ISBLANK('Master Submitted DPDs'!#REF!),"","Withdrawn")</f>
        <v>Withdrawn</v>
      </c>
      <c r="H285" s="2" t="e">
        <f>IF(ISBLANK('Master Submitted DPDs'!#REF!),"",'Master Submitted DPDs'!#REF!)</f>
        <v>#REF!</v>
      </c>
      <c r="I285" s="3"/>
      <c r="J285" s="3"/>
      <c r="K285" s="3"/>
      <c r="L285" s="2" t="e">
        <f>IF(ISBLANK('Master Submitted DPDs'!#REF!),"",'Master Submitted DPDs'!#REF!)</f>
        <v>#REF!</v>
      </c>
      <c r="M285" s="2" t="e">
        <f t="shared" si="8"/>
        <v>#REF!</v>
      </c>
      <c r="N285" s="2" t="e">
        <f>IF(ISBLANK('Master Submitted DPDs'!#REF!),IF(ISBLANK('Master Submitted DPDs'!#REF!),"",'Master Submitted DPDs'!#REF!),'Master Submitted DPDs'!#REF!)</f>
        <v>#REF!</v>
      </c>
      <c r="O285" s="2" t="e">
        <f>IF(ISBLANK('Master Submitted DPDs'!#REF!),"",'Master Submitted DPDs'!#REF!)</f>
        <v>#REF!</v>
      </c>
      <c r="P285" s="2" t="e">
        <f>IF(ISBLANK('Master Submitted DPDs'!#REF!),"",'Master Submitted DPDs'!#REF!)</f>
        <v>#REF!</v>
      </c>
      <c r="Q285" t="e">
        <f>IF(ISBLANK('Master Submitted DPDs'!#REF!),"",'Master Submitted DPDs'!#REF!)</f>
        <v>#REF!</v>
      </c>
      <c r="R285" t="e">
        <f t="shared" si="9"/>
        <v>#REF!</v>
      </c>
      <c r="S285" s="3"/>
      <c r="T285" t="e">
        <f>IF(ISBLANK('Master Submitted DPDs'!#REF!),"",'Master Submitted DPDs'!#REF!)</f>
        <v>#REF!</v>
      </c>
    </row>
    <row r="286" spans="1:20" ht="15" x14ac:dyDescent="0.2">
      <c r="A286" s="3" t="str">
        <f>IF(ISBLANK('Master Submitted DPDs'!#REF!),"","Local Plans")</f>
        <v>Local Plans</v>
      </c>
      <c r="B286" t="e">
        <f>IF(ISBLANK('Master Submitted DPDs'!#REF!),"",'Master Submitted DPDs'!#REF!)</f>
        <v>#REF!</v>
      </c>
      <c r="C286" s="3" t="str">
        <f>IF(ISBLANK('Master Submitted DPDs'!#REF!),"","IH")</f>
        <v>IH</v>
      </c>
      <c r="D286" s="3" t="e">
        <f>LOOKUP($F286,'fuzzy LPA lookup'!$E:$E,'fuzzy LPA lookup'!$A:$A)</f>
        <v>#REF!</v>
      </c>
      <c r="E286" s="3" t="e">
        <f>LOOKUP($F286,'fuzzy LPA lookup'!$E:$E,'fuzzy LPA lookup'!$D:$D)</f>
        <v>#REF!</v>
      </c>
      <c r="F286" s="8" t="e">
        <f>IF(ISBLANK('Master Submitted DPDs'!#REF!),"",'Master Submitted DPDs'!#REF!)</f>
        <v>#REF!</v>
      </c>
      <c r="G286" t="str">
        <f>IF(ISBLANK('Master Submitted DPDs'!#REF!),"","Withdrawn")</f>
        <v>Withdrawn</v>
      </c>
      <c r="H286" s="2" t="e">
        <f>IF(ISBLANK('Master Submitted DPDs'!#REF!),"",'Master Submitted DPDs'!#REF!)</f>
        <v>#REF!</v>
      </c>
      <c r="I286" s="3"/>
      <c r="J286" s="3"/>
      <c r="K286" s="3"/>
      <c r="L286" s="2" t="e">
        <f>IF(ISBLANK('Master Submitted DPDs'!#REF!),"",'Master Submitted DPDs'!#REF!)</f>
        <v>#REF!</v>
      </c>
      <c r="M286" s="2" t="e">
        <f t="shared" si="8"/>
        <v>#REF!</v>
      </c>
      <c r="N286" s="2" t="e">
        <f>IF(ISBLANK('Master Submitted DPDs'!#REF!),IF(ISBLANK('Master Submitted DPDs'!#REF!),"",'Master Submitted DPDs'!#REF!),'Master Submitted DPDs'!#REF!)</f>
        <v>#REF!</v>
      </c>
      <c r="O286" s="2" t="e">
        <f>IF(ISBLANK('Master Submitted DPDs'!#REF!),"",'Master Submitted DPDs'!#REF!)</f>
        <v>#REF!</v>
      </c>
      <c r="P286" s="2" t="e">
        <f>IF(ISBLANK('Master Submitted DPDs'!#REF!),"",'Master Submitted DPDs'!#REF!)</f>
        <v>#REF!</v>
      </c>
      <c r="Q286" t="e">
        <f>IF(ISBLANK('Master Submitted DPDs'!#REF!),"",'Master Submitted DPDs'!#REF!)</f>
        <v>#REF!</v>
      </c>
      <c r="R286" t="e">
        <f t="shared" si="9"/>
        <v>#REF!</v>
      </c>
      <c r="S286" s="3"/>
      <c r="T286" t="e">
        <f>IF(ISBLANK('Master Submitted DPDs'!#REF!),"",'Master Submitted DPDs'!#REF!)</f>
        <v>#REF!</v>
      </c>
    </row>
    <row r="287" spans="1:20" ht="15" x14ac:dyDescent="0.2">
      <c r="A287" s="3" t="str">
        <f>IF(ISBLANK('Master Submitted DPDs'!#REF!),"","Local Plans")</f>
        <v>Local Plans</v>
      </c>
      <c r="B287" t="e">
        <f>IF(ISBLANK('Master Submitted DPDs'!#REF!),"",'Master Submitted DPDs'!#REF!)</f>
        <v>#REF!</v>
      </c>
      <c r="C287" s="3" t="str">
        <f>IF(ISBLANK('Master Submitted DPDs'!#REF!),"","IH")</f>
        <v>IH</v>
      </c>
      <c r="D287" s="3" t="e">
        <f>LOOKUP($F287,'fuzzy LPA lookup'!$E:$E,'fuzzy LPA lookup'!$A:$A)</f>
        <v>#REF!</v>
      </c>
      <c r="E287" s="3" t="e">
        <f>LOOKUP($F287,'fuzzy LPA lookup'!$E:$E,'fuzzy LPA lookup'!$D:$D)</f>
        <v>#REF!</v>
      </c>
      <c r="F287" s="8" t="e">
        <f>IF(ISBLANK('Master Submitted DPDs'!#REF!),"",'Master Submitted DPDs'!#REF!)</f>
        <v>#REF!</v>
      </c>
      <c r="G287" t="str">
        <f>IF(ISBLANK('Master Submitted DPDs'!#REF!),"","Withdrawn")</f>
        <v>Withdrawn</v>
      </c>
      <c r="H287" s="2" t="e">
        <f>IF(ISBLANK('Master Submitted DPDs'!#REF!),"",'Master Submitted DPDs'!#REF!)</f>
        <v>#REF!</v>
      </c>
      <c r="I287" s="3"/>
      <c r="J287" s="3"/>
      <c r="K287" s="3"/>
      <c r="L287" s="2" t="e">
        <f>IF(ISBLANK('Master Submitted DPDs'!#REF!),"",'Master Submitted DPDs'!#REF!)</f>
        <v>#REF!</v>
      </c>
      <c r="M287" s="2" t="e">
        <f t="shared" si="8"/>
        <v>#REF!</v>
      </c>
      <c r="N287" s="2" t="e">
        <f>IF(ISBLANK('Master Submitted DPDs'!#REF!),IF(ISBLANK('Master Submitted DPDs'!#REF!),"",'Master Submitted DPDs'!#REF!),'Master Submitted DPDs'!#REF!)</f>
        <v>#REF!</v>
      </c>
      <c r="O287" s="2" t="e">
        <f>IF(ISBLANK('Master Submitted DPDs'!#REF!),"",'Master Submitted DPDs'!#REF!)</f>
        <v>#REF!</v>
      </c>
      <c r="P287" s="2" t="e">
        <f>IF(ISBLANK('Master Submitted DPDs'!#REF!),"",'Master Submitted DPDs'!#REF!)</f>
        <v>#REF!</v>
      </c>
      <c r="Q287" t="e">
        <f>IF(ISBLANK('Master Submitted DPDs'!#REF!),"",'Master Submitted DPDs'!#REF!)</f>
        <v>#REF!</v>
      </c>
      <c r="R287" t="e">
        <f t="shared" si="9"/>
        <v>#REF!</v>
      </c>
      <c r="S287" s="3"/>
      <c r="T287" t="e">
        <f>IF(ISBLANK('Master Submitted DPDs'!#REF!),"",'Master Submitted DPDs'!#REF!)</f>
        <v>#REF!</v>
      </c>
    </row>
    <row r="288" spans="1:20" ht="15" x14ac:dyDescent="0.2">
      <c r="A288" s="3" t="str">
        <f>IF(ISBLANK('Master Submitted DPDs'!#REF!),"","Local Plans")</f>
        <v>Local Plans</v>
      </c>
      <c r="B288" t="e">
        <f>IF(ISBLANK('Master Submitted DPDs'!#REF!),"",'Master Submitted DPDs'!#REF!)</f>
        <v>#REF!</v>
      </c>
      <c r="C288" s="3" t="str">
        <f>IF(ISBLANK('Master Submitted DPDs'!#REF!),"","IH")</f>
        <v>IH</v>
      </c>
      <c r="D288" s="3" t="e">
        <f>LOOKUP($F288,'fuzzy LPA lookup'!$E:$E,'fuzzy LPA lookup'!$A:$A)</f>
        <v>#REF!</v>
      </c>
      <c r="E288" s="3" t="e">
        <f>LOOKUP($F288,'fuzzy LPA lookup'!$E:$E,'fuzzy LPA lookup'!$D:$D)</f>
        <v>#REF!</v>
      </c>
      <c r="F288" s="8" t="e">
        <f>IF(ISBLANK('Master Submitted DPDs'!#REF!),"",'Master Submitted DPDs'!#REF!)</f>
        <v>#REF!</v>
      </c>
      <c r="G288" t="str">
        <f>IF(ISBLANK('Master Submitted DPDs'!#REF!),"","Withdrawn")</f>
        <v>Withdrawn</v>
      </c>
      <c r="H288" s="2" t="e">
        <f>IF(ISBLANK('Master Submitted DPDs'!#REF!),"",'Master Submitted DPDs'!#REF!)</f>
        <v>#REF!</v>
      </c>
      <c r="I288" s="3"/>
      <c r="J288" s="3"/>
      <c r="K288" s="3"/>
      <c r="L288" s="2" t="e">
        <f>IF(ISBLANK('Master Submitted DPDs'!#REF!),"",'Master Submitted DPDs'!#REF!)</f>
        <v>#REF!</v>
      </c>
      <c r="M288" s="2" t="e">
        <f t="shared" si="8"/>
        <v>#REF!</v>
      </c>
      <c r="N288" s="2" t="e">
        <f>IF(ISBLANK('Master Submitted DPDs'!#REF!),IF(ISBLANK('Master Submitted DPDs'!#REF!),"",'Master Submitted DPDs'!#REF!),'Master Submitted DPDs'!#REF!)</f>
        <v>#REF!</v>
      </c>
      <c r="O288" s="2" t="e">
        <f>IF(ISBLANK('Master Submitted DPDs'!#REF!),"",'Master Submitted DPDs'!#REF!)</f>
        <v>#REF!</v>
      </c>
      <c r="P288" s="2" t="e">
        <f>IF(ISBLANK('Master Submitted DPDs'!#REF!),"",'Master Submitted DPDs'!#REF!)</f>
        <v>#REF!</v>
      </c>
      <c r="Q288" t="e">
        <f>IF(ISBLANK('Master Submitted DPDs'!#REF!),"",'Master Submitted DPDs'!#REF!)</f>
        <v>#REF!</v>
      </c>
      <c r="R288" t="e">
        <f t="shared" si="9"/>
        <v>#REF!</v>
      </c>
      <c r="S288" s="3"/>
      <c r="T288" t="e">
        <f>IF(ISBLANK('Master Submitted DPDs'!#REF!),"",'Master Submitted DPDs'!#REF!)</f>
        <v>#REF!</v>
      </c>
    </row>
    <row r="289" spans="1:20" ht="15" x14ac:dyDescent="0.2">
      <c r="A289" s="3" t="str">
        <f>IF(ISBLANK('Master Submitted DPDs'!#REF!),"","Local Plans")</f>
        <v>Local Plans</v>
      </c>
      <c r="B289" t="e">
        <f>IF(ISBLANK('Master Submitted DPDs'!#REF!),"",'Master Submitted DPDs'!#REF!)</f>
        <v>#REF!</v>
      </c>
      <c r="C289" s="3" t="str">
        <f>IF(ISBLANK('Master Submitted DPDs'!#REF!),"","IH")</f>
        <v>IH</v>
      </c>
      <c r="D289" s="3" t="e">
        <f>LOOKUP($F289,'fuzzy LPA lookup'!$E:$E,'fuzzy LPA lookup'!$A:$A)</f>
        <v>#REF!</v>
      </c>
      <c r="E289" s="3" t="e">
        <f>LOOKUP($F289,'fuzzy LPA lookup'!$E:$E,'fuzzy LPA lookup'!$D:$D)</f>
        <v>#REF!</v>
      </c>
      <c r="F289" s="8" t="e">
        <f>IF(ISBLANK('Master Submitted DPDs'!#REF!),"",'Master Submitted DPDs'!#REF!)</f>
        <v>#REF!</v>
      </c>
      <c r="G289" t="str">
        <f>IF(ISBLANK('Master Submitted DPDs'!#REF!),"","Withdrawn")</f>
        <v>Withdrawn</v>
      </c>
      <c r="H289" s="2" t="e">
        <f>IF(ISBLANK('Master Submitted DPDs'!#REF!),"",'Master Submitted DPDs'!#REF!)</f>
        <v>#REF!</v>
      </c>
      <c r="I289" s="3"/>
      <c r="J289" s="3"/>
      <c r="K289" s="3"/>
      <c r="L289" s="2" t="e">
        <f>IF(ISBLANK('Master Submitted DPDs'!#REF!),"",'Master Submitted DPDs'!#REF!)</f>
        <v>#REF!</v>
      </c>
      <c r="M289" s="2" t="e">
        <f t="shared" si="8"/>
        <v>#REF!</v>
      </c>
      <c r="N289" s="2" t="e">
        <f>IF(ISBLANK('Master Submitted DPDs'!#REF!),IF(ISBLANK('Master Submitted DPDs'!#REF!),"",'Master Submitted DPDs'!#REF!),'Master Submitted DPDs'!#REF!)</f>
        <v>#REF!</v>
      </c>
      <c r="O289" s="2" t="e">
        <f>IF(ISBLANK('Master Submitted DPDs'!#REF!),"",'Master Submitted DPDs'!#REF!)</f>
        <v>#REF!</v>
      </c>
      <c r="P289" s="2" t="e">
        <f>IF(ISBLANK('Master Submitted DPDs'!#REF!),"",'Master Submitted DPDs'!#REF!)</f>
        <v>#REF!</v>
      </c>
      <c r="Q289" t="e">
        <f>IF(ISBLANK('Master Submitted DPDs'!#REF!),"",'Master Submitted DPDs'!#REF!)</f>
        <v>#REF!</v>
      </c>
      <c r="R289" t="e">
        <f t="shared" si="9"/>
        <v>#REF!</v>
      </c>
      <c r="S289" s="3"/>
      <c r="T289" t="e">
        <f>IF(ISBLANK('Master Submitted DPDs'!#REF!),"",'Master Submitted DPDs'!#REF!)</f>
        <v>#REF!</v>
      </c>
    </row>
    <row r="290" spans="1:20" ht="15" x14ac:dyDescent="0.2">
      <c r="A290" s="3" t="str">
        <f>IF(ISBLANK('Master Submitted DPDs'!#REF!),"","Local Plans")</f>
        <v>Local Plans</v>
      </c>
      <c r="B290" t="e">
        <f>IF(ISBLANK('Master Submitted DPDs'!#REF!),"",'Master Submitted DPDs'!#REF!)</f>
        <v>#REF!</v>
      </c>
      <c r="C290" s="3" t="str">
        <f>IF(ISBLANK('Master Submitted DPDs'!#REF!),"","IH")</f>
        <v>IH</v>
      </c>
      <c r="D290" s="3" t="e">
        <f>LOOKUP($F290,'fuzzy LPA lookup'!$E:$E,'fuzzy LPA lookup'!$A:$A)</f>
        <v>#REF!</v>
      </c>
      <c r="E290" s="3" t="e">
        <f>LOOKUP($F290,'fuzzy LPA lookup'!$E:$E,'fuzzy LPA lookup'!$D:$D)</f>
        <v>#REF!</v>
      </c>
      <c r="F290" s="8" t="e">
        <f>IF(ISBLANK('Master Submitted DPDs'!#REF!),"",'Master Submitted DPDs'!#REF!)</f>
        <v>#REF!</v>
      </c>
      <c r="G290" t="str">
        <f>IF(ISBLANK('Master Submitted DPDs'!#REF!),"","Withdrawn")</f>
        <v>Withdrawn</v>
      </c>
      <c r="H290" s="2" t="e">
        <f>IF(ISBLANK('Master Submitted DPDs'!#REF!),"",'Master Submitted DPDs'!#REF!)</f>
        <v>#REF!</v>
      </c>
      <c r="I290" s="3"/>
      <c r="J290" s="3"/>
      <c r="K290" s="3"/>
      <c r="L290" s="2" t="e">
        <f>IF(ISBLANK('Master Submitted DPDs'!#REF!),"",'Master Submitted DPDs'!#REF!)</f>
        <v>#REF!</v>
      </c>
      <c r="M290" s="2" t="e">
        <f t="shared" si="8"/>
        <v>#REF!</v>
      </c>
      <c r="N290" s="2" t="e">
        <f>IF(ISBLANK('Master Submitted DPDs'!#REF!),IF(ISBLANK('Master Submitted DPDs'!#REF!),"",'Master Submitted DPDs'!#REF!),'Master Submitted DPDs'!#REF!)</f>
        <v>#REF!</v>
      </c>
      <c r="O290" s="2" t="e">
        <f>IF(ISBLANK('Master Submitted DPDs'!#REF!),"",'Master Submitted DPDs'!#REF!)</f>
        <v>#REF!</v>
      </c>
      <c r="P290" s="2" t="e">
        <f>IF(ISBLANK('Master Submitted DPDs'!#REF!),"",'Master Submitted DPDs'!#REF!)</f>
        <v>#REF!</v>
      </c>
      <c r="Q290" t="e">
        <f>IF(ISBLANK('Master Submitted DPDs'!#REF!),"",'Master Submitted DPDs'!#REF!)</f>
        <v>#REF!</v>
      </c>
      <c r="R290" t="e">
        <f t="shared" si="9"/>
        <v>#REF!</v>
      </c>
      <c r="S290" s="3"/>
      <c r="T290" t="e">
        <f>IF(ISBLANK('Master Submitted DPDs'!#REF!),"",'Master Submitted DPDs'!#REF!)</f>
        <v>#REF!</v>
      </c>
    </row>
    <row r="291" spans="1:20" ht="15" x14ac:dyDescent="0.2">
      <c r="A291" s="3" t="str">
        <f>IF(ISBLANK('Master Submitted DPDs'!#REF!),"","Local Plans")</f>
        <v>Local Plans</v>
      </c>
      <c r="B291" t="e">
        <f>IF(ISBLANK('Master Submitted DPDs'!#REF!),"",'Master Submitted DPDs'!#REF!)</f>
        <v>#REF!</v>
      </c>
      <c r="C291" s="3" t="str">
        <f>IF(ISBLANK('Master Submitted DPDs'!#REF!),"","IH")</f>
        <v>IH</v>
      </c>
      <c r="D291" s="3" t="e">
        <f>LOOKUP($F291,'fuzzy LPA lookup'!$E:$E,'fuzzy LPA lookup'!$A:$A)</f>
        <v>#REF!</v>
      </c>
      <c r="E291" s="3" t="e">
        <f>LOOKUP($F291,'fuzzy LPA lookup'!$E:$E,'fuzzy LPA lookup'!$D:$D)</f>
        <v>#REF!</v>
      </c>
      <c r="F291" s="8" t="e">
        <f>IF(ISBLANK('Master Submitted DPDs'!#REF!),"",'Master Submitted DPDs'!#REF!)</f>
        <v>#REF!</v>
      </c>
      <c r="G291" t="str">
        <f>IF(ISBLANK('Master Submitted DPDs'!#REF!),"","Withdrawn")</f>
        <v>Withdrawn</v>
      </c>
      <c r="H291" s="2" t="e">
        <f>IF(ISBLANK('Master Submitted DPDs'!#REF!),"",'Master Submitted DPDs'!#REF!)</f>
        <v>#REF!</v>
      </c>
      <c r="I291" s="3"/>
      <c r="J291" s="3"/>
      <c r="K291" s="3"/>
      <c r="L291" s="2" t="e">
        <f>IF(ISBLANK('Master Submitted DPDs'!#REF!),"",'Master Submitted DPDs'!#REF!)</f>
        <v>#REF!</v>
      </c>
      <c r="M291" s="2" t="e">
        <f t="shared" si="8"/>
        <v>#REF!</v>
      </c>
      <c r="N291" s="2" t="e">
        <f>IF(ISBLANK('Master Submitted DPDs'!#REF!),IF(ISBLANK('Master Submitted DPDs'!#REF!),"",'Master Submitted DPDs'!#REF!),'Master Submitted DPDs'!#REF!)</f>
        <v>#REF!</v>
      </c>
      <c r="O291" s="2" t="e">
        <f>IF(ISBLANK('Master Submitted DPDs'!#REF!),"",'Master Submitted DPDs'!#REF!)</f>
        <v>#REF!</v>
      </c>
      <c r="P291" s="2" t="e">
        <f>IF(ISBLANK('Master Submitted DPDs'!#REF!),"",'Master Submitted DPDs'!#REF!)</f>
        <v>#REF!</v>
      </c>
      <c r="Q291" t="e">
        <f>IF(ISBLANK('Master Submitted DPDs'!#REF!),"",'Master Submitted DPDs'!#REF!)</f>
        <v>#REF!</v>
      </c>
      <c r="R291" t="e">
        <f t="shared" si="9"/>
        <v>#REF!</v>
      </c>
      <c r="S291" s="3"/>
      <c r="T291" t="e">
        <f>IF(ISBLANK('Master Submitted DPDs'!#REF!),"",'Master Submitted DPDs'!#REF!)</f>
        <v>#REF!</v>
      </c>
    </row>
    <row r="292" spans="1:20" ht="15" x14ac:dyDescent="0.2">
      <c r="A292" s="3" t="str">
        <f>IF(ISBLANK('Master Submitted DPDs'!#REF!),"","Local Plans")</f>
        <v>Local Plans</v>
      </c>
      <c r="B292" t="e">
        <f>IF(ISBLANK('Master Submitted DPDs'!#REF!),"",'Master Submitted DPDs'!#REF!)</f>
        <v>#REF!</v>
      </c>
      <c r="C292" s="3" t="str">
        <f>IF(ISBLANK('Master Submitted DPDs'!#REF!),"","IH")</f>
        <v>IH</v>
      </c>
      <c r="D292" s="3" t="e">
        <f>LOOKUP($F292,'fuzzy LPA lookup'!$E:$E,'fuzzy LPA lookup'!$A:$A)</f>
        <v>#REF!</v>
      </c>
      <c r="E292" s="3" t="e">
        <f>LOOKUP($F292,'fuzzy LPA lookup'!$E:$E,'fuzzy LPA lookup'!$D:$D)</f>
        <v>#REF!</v>
      </c>
      <c r="F292" s="8" t="e">
        <f>IF(ISBLANK('Master Submitted DPDs'!#REF!),"",'Master Submitted DPDs'!#REF!)</f>
        <v>#REF!</v>
      </c>
      <c r="G292" t="str">
        <f>IF(ISBLANK('Master Submitted DPDs'!#REF!),"","Withdrawn")</f>
        <v>Withdrawn</v>
      </c>
      <c r="H292" s="2" t="e">
        <f>IF(ISBLANK('Master Submitted DPDs'!#REF!),"",'Master Submitted DPDs'!#REF!)</f>
        <v>#REF!</v>
      </c>
      <c r="I292" s="3"/>
      <c r="J292" s="3"/>
      <c r="K292" s="3"/>
      <c r="L292" s="2" t="e">
        <f>IF(ISBLANK('Master Submitted DPDs'!#REF!),"",'Master Submitted DPDs'!#REF!)</f>
        <v>#REF!</v>
      </c>
      <c r="M292" s="2" t="e">
        <f t="shared" si="8"/>
        <v>#REF!</v>
      </c>
      <c r="N292" s="2" t="e">
        <f>IF(ISBLANK('Master Submitted DPDs'!#REF!),IF(ISBLANK('Master Submitted DPDs'!#REF!),"",'Master Submitted DPDs'!#REF!),'Master Submitted DPDs'!#REF!)</f>
        <v>#REF!</v>
      </c>
      <c r="O292" s="2" t="e">
        <f>IF(ISBLANK('Master Submitted DPDs'!#REF!),"",'Master Submitted DPDs'!#REF!)</f>
        <v>#REF!</v>
      </c>
      <c r="P292" s="2" t="e">
        <f>IF(ISBLANK('Master Submitted DPDs'!#REF!),"",'Master Submitted DPDs'!#REF!)</f>
        <v>#REF!</v>
      </c>
      <c r="Q292" t="e">
        <f>IF(ISBLANK('Master Submitted DPDs'!#REF!),"",'Master Submitted DPDs'!#REF!)</f>
        <v>#REF!</v>
      </c>
      <c r="R292" t="e">
        <f t="shared" si="9"/>
        <v>#REF!</v>
      </c>
      <c r="S292" s="3"/>
      <c r="T292" t="e">
        <f>IF(ISBLANK('Master Submitted DPDs'!#REF!),"",'Master Submitted DPDs'!#REF!)</f>
        <v>#REF!</v>
      </c>
    </row>
    <row r="293" spans="1:20" ht="15" x14ac:dyDescent="0.2">
      <c r="A293" s="3" t="str">
        <f>IF(ISBLANK('Master Submitted DPDs'!#REF!),"","Local Plans")</f>
        <v>Local Plans</v>
      </c>
      <c r="B293" t="e">
        <f>IF(ISBLANK('Master Submitted DPDs'!#REF!),"",'Master Submitted DPDs'!#REF!)</f>
        <v>#REF!</v>
      </c>
      <c r="C293" s="3" t="str">
        <f>IF(ISBLANK('Master Submitted DPDs'!#REF!),"","IH")</f>
        <v>IH</v>
      </c>
      <c r="D293" s="3" t="e">
        <f>LOOKUP($F293,'fuzzy LPA lookup'!$E:$E,'fuzzy LPA lookup'!$A:$A)</f>
        <v>#REF!</v>
      </c>
      <c r="E293" s="3" t="e">
        <f>LOOKUP($F293,'fuzzy LPA lookup'!$E:$E,'fuzzy LPA lookup'!$D:$D)</f>
        <v>#REF!</v>
      </c>
      <c r="F293" s="8" t="e">
        <f>IF(ISBLANK('Master Submitted DPDs'!#REF!),"",'Master Submitted DPDs'!#REF!)</f>
        <v>#REF!</v>
      </c>
      <c r="G293" t="str">
        <f>IF(ISBLANK('Master Submitted DPDs'!#REF!),"","Withdrawn")</f>
        <v>Withdrawn</v>
      </c>
      <c r="H293" s="2" t="e">
        <f>IF(ISBLANK('Master Submitted DPDs'!#REF!),"",'Master Submitted DPDs'!#REF!)</f>
        <v>#REF!</v>
      </c>
      <c r="I293" s="3"/>
      <c r="J293" s="3"/>
      <c r="K293" s="3"/>
      <c r="L293" s="2" t="e">
        <f>IF(ISBLANK('Master Submitted DPDs'!#REF!),"",'Master Submitted DPDs'!#REF!)</f>
        <v>#REF!</v>
      </c>
      <c r="M293" s="2" t="e">
        <f t="shared" si="8"/>
        <v>#REF!</v>
      </c>
      <c r="N293" s="2" t="e">
        <f>IF(ISBLANK('Master Submitted DPDs'!#REF!),IF(ISBLANK('Master Submitted DPDs'!#REF!),"",'Master Submitted DPDs'!#REF!),'Master Submitted DPDs'!#REF!)</f>
        <v>#REF!</v>
      </c>
      <c r="O293" s="2" t="e">
        <f>IF(ISBLANK('Master Submitted DPDs'!#REF!),"",'Master Submitted DPDs'!#REF!)</f>
        <v>#REF!</v>
      </c>
      <c r="P293" s="2" t="e">
        <f>IF(ISBLANK('Master Submitted DPDs'!#REF!),"",'Master Submitted DPDs'!#REF!)</f>
        <v>#REF!</v>
      </c>
      <c r="Q293" t="e">
        <f>IF(ISBLANK('Master Submitted DPDs'!#REF!),"",'Master Submitted DPDs'!#REF!)</f>
        <v>#REF!</v>
      </c>
      <c r="R293" t="e">
        <f t="shared" si="9"/>
        <v>#REF!</v>
      </c>
      <c r="S293" s="3"/>
      <c r="T293" t="e">
        <f>IF(ISBLANK('Master Submitted DPDs'!#REF!),"",'Master Submitted DPDs'!#REF!)</f>
        <v>#REF!</v>
      </c>
    </row>
    <row r="294" spans="1:20" ht="15" x14ac:dyDescent="0.2">
      <c r="A294" s="3" t="str">
        <f>IF(ISBLANK('Master Submitted DPDs'!#REF!),"","Local Plans")</f>
        <v>Local Plans</v>
      </c>
      <c r="B294" t="e">
        <f>IF(ISBLANK('Master Submitted DPDs'!#REF!),"",'Master Submitted DPDs'!#REF!)</f>
        <v>#REF!</v>
      </c>
      <c r="C294" s="3" t="str">
        <f>IF(ISBLANK('Master Submitted DPDs'!#REF!),"","IH")</f>
        <v>IH</v>
      </c>
      <c r="D294" s="3" t="e">
        <f>LOOKUP($F294,'fuzzy LPA lookup'!$E:$E,'fuzzy LPA lookup'!$A:$A)</f>
        <v>#REF!</v>
      </c>
      <c r="E294" s="3" t="e">
        <f>LOOKUP($F294,'fuzzy LPA lookup'!$E:$E,'fuzzy LPA lookup'!$D:$D)</f>
        <v>#REF!</v>
      </c>
      <c r="F294" s="8" t="e">
        <f>IF(ISBLANK('Master Submitted DPDs'!#REF!),"",'Master Submitted DPDs'!#REF!)</f>
        <v>#REF!</v>
      </c>
      <c r="G294" t="str">
        <f>IF(ISBLANK('Master Submitted DPDs'!#REF!),"","Withdrawn")</f>
        <v>Withdrawn</v>
      </c>
      <c r="H294" s="2" t="e">
        <f>IF(ISBLANK('Master Submitted DPDs'!#REF!),"",'Master Submitted DPDs'!#REF!)</f>
        <v>#REF!</v>
      </c>
      <c r="I294" s="3"/>
      <c r="J294" s="3"/>
      <c r="K294" s="3"/>
      <c r="L294" s="2" t="e">
        <f>IF(ISBLANK('Master Submitted DPDs'!#REF!),"",'Master Submitted DPDs'!#REF!)</f>
        <v>#REF!</v>
      </c>
      <c r="M294" s="2" t="e">
        <f t="shared" si="8"/>
        <v>#REF!</v>
      </c>
      <c r="N294" s="2" t="e">
        <f>IF(ISBLANK('Master Submitted DPDs'!#REF!),IF(ISBLANK('Master Submitted DPDs'!#REF!),"",'Master Submitted DPDs'!#REF!),'Master Submitted DPDs'!#REF!)</f>
        <v>#REF!</v>
      </c>
      <c r="O294" s="2" t="e">
        <f>IF(ISBLANK('Master Submitted DPDs'!#REF!),"",'Master Submitted DPDs'!#REF!)</f>
        <v>#REF!</v>
      </c>
      <c r="P294" s="2" t="e">
        <f>IF(ISBLANK('Master Submitted DPDs'!#REF!),"",'Master Submitted DPDs'!#REF!)</f>
        <v>#REF!</v>
      </c>
      <c r="Q294" t="e">
        <f>IF(ISBLANK('Master Submitted DPDs'!#REF!),"",'Master Submitted DPDs'!#REF!)</f>
        <v>#REF!</v>
      </c>
      <c r="R294" t="e">
        <f t="shared" si="9"/>
        <v>#REF!</v>
      </c>
      <c r="S294" s="3"/>
      <c r="T294" t="e">
        <f>IF(ISBLANK('Master Submitted DPDs'!#REF!),"",'Master Submitted DPDs'!#REF!)</f>
        <v>#REF!</v>
      </c>
    </row>
    <row r="295" spans="1:20" ht="15" x14ac:dyDescent="0.2">
      <c r="A295" s="3" t="str">
        <f>IF(ISBLANK('Master Submitted DPDs'!#REF!),"","Local Plans")</f>
        <v>Local Plans</v>
      </c>
      <c r="B295" t="e">
        <f>IF(ISBLANK('Master Submitted DPDs'!#REF!),"",'Master Submitted DPDs'!#REF!)</f>
        <v>#REF!</v>
      </c>
      <c r="C295" s="3" t="str">
        <f>IF(ISBLANK('Master Submitted DPDs'!#REF!),"","IH")</f>
        <v>IH</v>
      </c>
      <c r="D295" s="3" t="e">
        <f>LOOKUP($F295,'fuzzy LPA lookup'!$E:$E,'fuzzy LPA lookup'!$A:$A)</f>
        <v>#REF!</v>
      </c>
      <c r="E295" s="3" t="e">
        <f>LOOKUP($F295,'fuzzy LPA lookup'!$E:$E,'fuzzy LPA lookup'!$D:$D)</f>
        <v>#REF!</v>
      </c>
      <c r="F295" s="8" t="e">
        <f>IF(ISBLANK('Master Submitted DPDs'!#REF!),"",'Master Submitted DPDs'!#REF!)</f>
        <v>#REF!</v>
      </c>
      <c r="G295" t="str">
        <f>IF(ISBLANK('Master Submitted DPDs'!#REF!),"","Withdrawn")</f>
        <v>Withdrawn</v>
      </c>
      <c r="H295" s="2" t="e">
        <f>IF(ISBLANK('Master Submitted DPDs'!#REF!),"",'Master Submitted DPDs'!#REF!)</f>
        <v>#REF!</v>
      </c>
      <c r="I295" s="3"/>
      <c r="J295" s="3"/>
      <c r="K295" s="3"/>
      <c r="L295" s="2" t="e">
        <f>IF(ISBLANK('Master Submitted DPDs'!#REF!),"",'Master Submitted DPDs'!#REF!)</f>
        <v>#REF!</v>
      </c>
      <c r="M295" s="2" t="e">
        <f t="shared" si="8"/>
        <v>#REF!</v>
      </c>
      <c r="N295" s="2" t="e">
        <f>IF(ISBLANK('Master Submitted DPDs'!#REF!),IF(ISBLANK('Master Submitted DPDs'!#REF!),"",'Master Submitted DPDs'!#REF!),'Master Submitted DPDs'!#REF!)</f>
        <v>#REF!</v>
      </c>
      <c r="O295" s="2" t="e">
        <f>IF(ISBLANK('Master Submitted DPDs'!#REF!),"",'Master Submitted DPDs'!#REF!)</f>
        <v>#REF!</v>
      </c>
      <c r="P295" s="2" t="e">
        <f>IF(ISBLANK('Master Submitted DPDs'!#REF!),"",'Master Submitted DPDs'!#REF!)</f>
        <v>#REF!</v>
      </c>
      <c r="Q295" t="e">
        <f>IF(ISBLANK('Master Submitted DPDs'!#REF!),"",'Master Submitted DPDs'!#REF!)</f>
        <v>#REF!</v>
      </c>
      <c r="R295" t="e">
        <f t="shared" si="9"/>
        <v>#REF!</v>
      </c>
      <c r="S295" s="3"/>
      <c r="T295" t="e">
        <f>IF(ISBLANK('Master Submitted DPDs'!#REF!),"",'Master Submitted DPDs'!#REF!)</f>
        <v>#REF!</v>
      </c>
    </row>
    <row r="296" spans="1:20" ht="15" x14ac:dyDescent="0.2">
      <c r="A296" s="3" t="str">
        <f>IF(ISBLANK('Master Submitted DPDs'!#REF!),"","Local Plans")</f>
        <v>Local Plans</v>
      </c>
      <c r="B296" t="e">
        <f>IF(ISBLANK('Master Submitted DPDs'!#REF!),"",'Master Submitted DPDs'!#REF!)</f>
        <v>#REF!</v>
      </c>
      <c r="C296" s="3" t="str">
        <f>IF(ISBLANK('Master Submitted DPDs'!#REF!),"","IH")</f>
        <v>IH</v>
      </c>
      <c r="D296" s="3" t="e">
        <f>LOOKUP($F296,'fuzzy LPA lookup'!$E:$E,'fuzzy LPA lookup'!$A:$A)</f>
        <v>#REF!</v>
      </c>
      <c r="E296" s="3" t="e">
        <f>LOOKUP($F296,'fuzzy LPA lookup'!$E:$E,'fuzzy LPA lookup'!$D:$D)</f>
        <v>#REF!</v>
      </c>
      <c r="F296" s="8" t="e">
        <f>IF(ISBLANK('Master Submitted DPDs'!#REF!),"",'Master Submitted DPDs'!#REF!)</f>
        <v>#REF!</v>
      </c>
      <c r="G296" t="str">
        <f>IF(ISBLANK('Master Submitted DPDs'!#REF!),"","Withdrawn")</f>
        <v>Withdrawn</v>
      </c>
      <c r="H296" s="2" t="e">
        <f>IF(ISBLANK('Master Submitted DPDs'!#REF!),"",'Master Submitted DPDs'!#REF!)</f>
        <v>#REF!</v>
      </c>
      <c r="I296" s="3"/>
      <c r="J296" s="3"/>
      <c r="K296" s="3"/>
      <c r="L296" s="2" t="e">
        <f>IF(ISBLANK('Master Submitted DPDs'!#REF!),"",'Master Submitted DPDs'!#REF!)</f>
        <v>#REF!</v>
      </c>
      <c r="M296" s="2" t="e">
        <f t="shared" si="8"/>
        <v>#REF!</v>
      </c>
      <c r="N296" s="2" t="e">
        <f>IF(ISBLANK('Master Submitted DPDs'!#REF!),IF(ISBLANK('Master Submitted DPDs'!#REF!),"",'Master Submitted DPDs'!#REF!),'Master Submitted DPDs'!#REF!)</f>
        <v>#REF!</v>
      </c>
      <c r="O296" s="2" t="e">
        <f>IF(ISBLANK('Master Submitted DPDs'!#REF!),"",'Master Submitted DPDs'!#REF!)</f>
        <v>#REF!</v>
      </c>
      <c r="P296" s="2" t="e">
        <f>IF(ISBLANK('Master Submitted DPDs'!#REF!),"",'Master Submitted DPDs'!#REF!)</f>
        <v>#REF!</v>
      </c>
      <c r="Q296" t="e">
        <f>IF(ISBLANK('Master Submitted DPDs'!#REF!),"",'Master Submitted DPDs'!#REF!)</f>
        <v>#REF!</v>
      </c>
      <c r="R296" t="e">
        <f t="shared" si="9"/>
        <v>#REF!</v>
      </c>
      <c r="S296" s="3"/>
      <c r="T296" t="e">
        <f>IF(ISBLANK('Master Submitted DPDs'!#REF!),"",'Master Submitted DPDs'!#REF!)</f>
        <v>#REF!</v>
      </c>
    </row>
    <row r="297" spans="1:20" ht="15" x14ac:dyDescent="0.2">
      <c r="A297" s="3" t="str">
        <f>IF(ISBLANK('Master Submitted DPDs'!#REF!),"","Local Plans")</f>
        <v>Local Plans</v>
      </c>
      <c r="B297" t="e">
        <f>IF(ISBLANK('Master Submitted DPDs'!#REF!),"",'Master Submitted DPDs'!#REF!)</f>
        <v>#REF!</v>
      </c>
      <c r="C297" s="3" t="str">
        <f>IF(ISBLANK('Master Submitted DPDs'!#REF!),"","IH")</f>
        <v>IH</v>
      </c>
      <c r="D297" s="3" t="e">
        <f>LOOKUP($F297,'fuzzy LPA lookup'!$E:$E,'fuzzy LPA lookup'!$A:$A)</f>
        <v>#REF!</v>
      </c>
      <c r="E297" s="3" t="e">
        <f>LOOKUP($F297,'fuzzy LPA lookup'!$E:$E,'fuzzy LPA lookup'!$D:$D)</f>
        <v>#REF!</v>
      </c>
      <c r="F297" s="8" t="e">
        <f>IF(ISBLANK('Master Submitted DPDs'!#REF!),"",'Master Submitted DPDs'!#REF!)</f>
        <v>#REF!</v>
      </c>
      <c r="G297" t="str">
        <f>IF(ISBLANK('Master Submitted DPDs'!#REF!),"","Withdrawn")</f>
        <v>Withdrawn</v>
      </c>
      <c r="H297" s="2" t="e">
        <f>IF(ISBLANK('Master Submitted DPDs'!#REF!),"",'Master Submitted DPDs'!#REF!)</f>
        <v>#REF!</v>
      </c>
      <c r="I297" s="3"/>
      <c r="J297" s="3"/>
      <c r="K297" s="3"/>
      <c r="L297" s="2" t="e">
        <f>IF(ISBLANK('Master Submitted DPDs'!#REF!),"",'Master Submitted DPDs'!#REF!)</f>
        <v>#REF!</v>
      </c>
      <c r="M297" s="2" t="e">
        <f t="shared" si="8"/>
        <v>#REF!</v>
      </c>
      <c r="N297" s="2" t="e">
        <f>IF(ISBLANK('Master Submitted DPDs'!#REF!),IF(ISBLANK('Master Submitted DPDs'!#REF!),"",'Master Submitted DPDs'!#REF!),'Master Submitted DPDs'!#REF!)</f>
        <v>#REF!</v>
      </c>
      <c r="O297" s="2" t="e">
        <f>IF(ISBLANK('Master Submitted DPDs'!#REF!),"",'Master Submitted DPDs'!#REF!)</f>
        <v>#REF!</v>
      </c>
      <c r="P297" s="2" t="e">
        <f>IF(ISBLANK('Master Submitted DPDs'!#REF!),"",'Master Submitted DPDs'!#REF!)</f>
        <v>#REF!</v>
      </c>
      <c r="Q297" t="e">
        <f>IF(ISBLANK('Master Submitted DPDs'!#REF!),"",'Master Submitted DPDs'!#REF!)</f>
        <v>#REF!</v>
      </c>
      <c r="R297" t="e">
        <f t="shared" si="9"/>
        <v>#REF!</v>
      </c>
      <c r="S297" s="3"/>
      <c r="T297" t="e">
        <f>IF(ISBLANK('Master Submitted DPDs'!#REF!),"",'Master Submitted DPDs'!#REF!)</f>
        <v>#REF!</v>
      </c>
    </row>
    <row r="298" spans="1:20" ht="15" x14ac:dyDescent="0.2">
      <c r="A298" s="3" t="str">
        <f>IF(ISBLANK('Master Submitted DPDs'!#REF!),"","Local Plans")</f>
        <v>Local Plans</v>
      </c>
      <c r="B298" t="e">
        <f>IF(ISBLANK('Master Submitted DPDs'!#REF!),"",'Master Submitted DPDs'!#REF!)</f>
        <v>#REF!</v>
      </c>
      <c r="C298" s="3" t="str">
        <f>IF(ISBLANK('Master Submitted DPDs'!#REF!),"","IH")</f>
        <v>IH</v>
      </c>
      <c r="D298" s="3" t="e">
        <f>LOOKUP($F298,'fuzzy LPA lookup'!$E:$E,'fuzzy LPA lookup'!$A:$A)</f>
        <v>#REF!</v>
      </c>
      <c r="E298" s="3" t="e">
        <f>LOOKUP($F298,'fuzzy LPA lookup'!$E:$E,'fuzzy LPA lookup'!$D:$D)</f>
        <v>#REF!</v>
      </c>
      <c r="F298" s="8" t="e">
        <f>IF(ISBLANK('Master Submitted DPDs'!#REF!),"",'Master Submitted DPDs'!#REF!)</f>
        <v>#REF!</v>
      </c>
      <c r="G298" t="str">
        <f>IF(ISBLANK('Master Submitted DPDs'!#REF!),"","Withdrawn")</f>
        <v>Withdrawn</v>
      </c>
      <c r="H298" s="2" t="e">
        <f>IF(ISBLANK('Master Submitted DPDs'!#REF!),"",'Master Submitted DPDs'!#REF!)</f>
        <v>#REF!</v>
      </c>
      <c r="I298" s="3"/>
      <c r="J298" s="3"/>
      <c r="K298" s="3"/>
      <c r="L298" s="2" t="e">
        <f>IF(ISBLANK('Master Submitted DPDs'!#REF!),"",'Master Submitted DPDs'!#REF!)</f>
        <v>#REF!</v>
      </c>
      <c r="M298" s="2" t="e">
        <f t="shared" si="8"/>
        <v>#REF!</v>
      </c>
      <c r="N298" s="2" t="e">
        <f>IF(ISBLANK('Master Submitted DPDs'!#REF!),IF(ISBLANK('Master Submitted DPDs'!#REF!),"",'Master Submitted DPDs'!#REF!),'Master Submitted DPDs'!#REF!)</f>
        <v>#REF!</v>
      </c>
      <c r="O298" s="2" t="e">
        <f>IF(ISBLANK('Master Submitted DPDs'!#REF!),"",'Master Submitted DPDs'!#REF!)</f>
        <v>#REF!</v>
      </c>
      <c r="P298" s="2" t="e">
        <f>IF(ISBLANK('Master Submitted DPDs'!#REF!),"",'Master Submitted DPDs'!#REF!)</f>
        <v>#REF!</v>
      </c>
      <c r="Q298" t="e">
        <f>IF(ISBLANK('Master Submitted DPDs'!#REF!),"",'Master Submitted DPDs'!#REF!)</f>
        <v>#REF!</v>
      </c>
      <c r="R298" t="e">
        <f t="shared" si="9"/>
        <v>#REF!</v>
      </c>
      <c r="S298" s="3"/>
      <c r="T298" t="e">
        <f>IF(ISBLANK('Master Submitted DPDs'!#REF!),"",'Master Submitted DPDs'!#REF!)</f>
        <v>#REF!</v>
      </c>
    </row>
    <row r="299" spans="1:20" ht="15" x14ac:dyDescent="0.2">
      <c r="A299" s="3" t="str">
        <f>IF(ISBLANK('Master Submitted DPDs'!#REF!),"","Local Plans")</f>
        <v>Local Plans</v>
      </c>
      <c r="B299" t="e">
        <f>IF(ISBLANK('Master Submitted DPDs'!#REF!),"",'Master Submitted DPDs'!#REF!)</f>
        <v>#REF!</v>
      </c>
      <c r="C299" s="3" t="str">
        <f>IF(ISBLANK('Master Submitted DPDs'!#REF!),"","IH")</f>
        <v>IH</v>
      </c>
      <c r="D299" s="3" t="e">
        <f>LOOKUP($F299,'fuzzy LPA lookup'!$E:$E,'fuzzy LPA lookup'!$A:$A)</f>
        <v>#REF!</v>
      </c>
      <c r="E299" s="3" t="e">
        <f>LOOKUP($F299,'fuzzy LPA lookup'!$E:$E,'fuzzy LPA lookup'!$D:$D)</f>
        <v>#REF!</v>
      </c>
      <c r="F299" s="8" t="e">
        <f>IF(ISBLANK('Master Submitted DPDs'!#REF!),"",'Master Submitted DPDs'!#REF!)</f>
        <v>#REF!</v>
      </c>
      <c r="G299" t="str">
        <f>IF(ISBLANK('Master Submitted DPDs'!#REF!),"","Withdrawn")</f>
        <v>Withdrawn</v>
      </c>
      <c r="H299" s="2" t="e">
        <f>IF(ISBLANK('Master Submitted DPDs'!#REF!),"",'Master Submitted DPDs'!#REF!)</f>
        <v>#REF!</v>
      </c>
      <c r="I299" s="3"/>
      <c r="J299" s="3"/>
      <c r="K299" s="3"/>
      <c r="L299" s="2" t="e">
        <f>IF(ISBLANK('Master Submitted DPDs'!#REF!),"",'Master Submitted DPDs'!#REF!)</f>
        <v>#REF!</v>
      </c>
      <c r="M299" s="2" t="e">
        <f t="shared" si="8"/>
        <v>#REF!</v>
      </c>
      <c r="N299" s="2" t="e">
        <f>IF(ISBLANK('Master Submitted DPDs'!#REF!),IF(ISBLANK('Master Submitted DPDs'!#REF!),"",'Master Submitted DPDs'!#REF!),'Master Submitted DPDs'!#REF!)</f>
        <v>#REF!</v>
      </c>
      <c r="O299" s="2" t="e">
        <f>IF(ISBLANK('Master Submitted DPDs'!#REF!),"",'Master Submitted DPDs'!#REF!)</f>
        <v>#REF!</v>
      </c>
      <c r="P299" s="2" t="e">
        <f>IF(ISBLANK('Master Submitted DPDs'!#REF!),"",'Master Submitted DPDs'!#REF!)</f>
        <v>#REF!</v>
      </c>
      <c r="Q299" t="e">
        <f>IF(ISBLANK('Master Submitted DPDs'!#REF!),"",'Master Submitted DPDs'!#REF!)</f>
        <v>#REF!</v>
      </c>
      <c r="R299" t="e">
        <f t="shared" si="9"/>
        <v>#REF!</v>
      </c>
      <c r="S299" s="3"/>
      <c r="T299" t="e">
        <f>IF(ISBLANK('Master Submitted DPDs'!#REF!),"",'Master Submitted DPDs'!#REF!)</f>
        <v>#REF!</v>
      </c>
    </row>
    <row r="300" spans="1:20" ht="15" x14ac:dyDescent="0.2">
      <c r="A300" s="3" t="str">
        <f>IF(ISBLANK('Master Submitted DPDs'!#REF!),"","Local Plans")</f>
        <v>Local Plans</v>
      </c>
      <c r="B300" t="e">
        <f>IF(ISBLANK('Master Submitted DPDs'!#REF!),"",'Master Submitted DPDs'!#REF!)</f>
        <v>#REF!</v>
      </c>
      <c r="C300" s="3" t="str">
        <f>IF(ISBLANK('Master Submitted DPDs'!#REF!),"","IH")</f>
        <v>IH</v>
      </c>
      <c r="D300" s="3" t="e">
        <f>LOOKUP($F300,'fuzzy LPA lookup'!$E:$E,'fuzzy LPA lookup'!$A:$A)</f>
        <v>#REF!</v>
      </c>
      <c r="E300" s="3" t="e">
        <f>LOOKUP($F300,'fuzzy LPA lookup'!$E:$E,'fuzzy LPA lookup'!$D:$D)</f>
        <v>#REF!</v>
      </c>
      <c r="F300" s="8" t="e">
        <f>IF(ISBLANK('Master Submitted DPDs'!#REF!),"",'Master Submitted DPDs'!#REF!)</f>
        <v>#REF!</v>
      </c>
      <c r="G300" t="str">
        <f>IF(ISBLANK('Master Submitted DPDs'!#REF!),"","Withdrawn")</f>
        <v>Withdrawn</v>
      </c>
      <c r="H300" s="2" t="e">
        <f>IF(ISBLANK('Master Submitted DPDs'!#REF!),"",'Master Submitted DPDs'!#REF!)</f>
        <v>#REF!</v>
      </c>
      <c r="I300" s="3"/>
      <c r="J300" s="3"/>
      <c r="K300" s="3"/>
      <c r="L300" s="2" t="e">
        <f>IF(ISBLANK('Master Submitted DPDs'!#REF!),"",'Master Submitted DPDs'!#REF!)</f>
        <v>#REF!</v>
      </c>
      <c r="M300" s="2" t="e">
        <f t="shared" si="8"/>
        <v>#REF!</v>
      </c>
      <c r="N300" s="2" t="e">
        <f>IF(ISBLANK('Master Submitted DPDs'!#REF!),IF(ISBLANK('Master Submitted DPDs'!#REF!),"",'Master Submitted DPDs'!#REF!),'Master Submitted DPDs'!#REF!)</f>
        <v>#REF!</v>
      </c>
      <c r="O300" s="2" t="e">
        <f>IF(ISBLANK('Master Submitted DPDs'!#REF!),"",'Master Submitted DPDs'!#REF!)</f>
        <v>#REF!</v>
      </c>
      <c r="P300" s="2" t="e">
        <f>IF(ISBLANK('Master Submitted DPDs'!#REF!),"",'Master Submitted DPDs'!#REF!)</f>
        <v>#REF!</v>
      </c>
      <c r="Q300" t="e">
        <f>IF(ISBLANK('Master Submitted DPDs'!#REF!),"",'Master Submitted DPDs'!#REF!)</f>
        <v>#REF!</v>
      </c>
      <c r="R300" t="e">
        <f t="shared" si="9"/>
        <v>#REF!</v>
      </c>
      <c r="S300" s="3"/>
      <c r="T300" t="e">
        <f>IF(ISBLANK('Master Submitted DPDs'!#REF!),"",'Master Submitted DPDs'!#REF!)</f>
        <v>#REF!</v>
      </c>
    </row>
    <row r="301" spans="1:20" ht="15" x14ac:dyDescent="0.2">
      <c r="A301" s="3" t="str">
        <f>IF(ISBLANK('Master Submitted DPDs'!#REF!),"","Local Plans")</f>
        <v>Local Plans</v>
      </c>
      <c r="B301" t="e">
        <f>IF(ISBLANK('Master Submitted DPDs'!#REF!),"",'Master Submitted DPDs'!#REF!)</f>
        <v>#REF!</v>
      </c>
      <c r="C301" s="3" t="str">
        <f>IF(ISBLANK('Master Submitted DPDs'!#REF!),"","IH")</f>
        <v>IH</v>
      </c>
      <c r="D301" s="3" t="e">
        <f>LOOKUP($F301,'fuzzy LPA lookup'!$E:$E,'fuzzy LPA lookup'!$A:$A)</f>
        <v>#REF!</v>
      </c>
      <c r="E301" s="3" t="e">
        <f>LOOKUP($F301,'fuzzy LPA lookup'!$E:$E,'fuzzy LPA lookup'!$D:$D)</f>
        <v>#REF!</v>
      </c>
      <c r="F301" s="8" t="e">
        <f>IF(ISBLANK('Master Submitted DPDs'!#REF!),"",'Master Submitted DPDs'!#REF!)</f>
        <v>#REF!</v>
      </c>
      <c r="G301" t="str">
        <f>IF(ISBLANK('Master Submitted DPDs'!#REF!),"","Withdrawn")</f>
        <v>Withdrawn</v>
      </c>
      <c r="H301" s="2" t="e">
        <f>IF(ISBLANK('Master Submitted DPDs'!#REF!),"",'Master Submitted DPDs'!#REF!)</f>
        <v>#REF!</v>
      </c>
      <c r="I301" s="3"/>
      <c r="J301" s="3"/>
      <c r="K301" s="3"/>
      <c r="L301" s="2" t="e">
        <f>IF(ISBLANK('Master Submitted DPDs'!#REF!),"",'Master Submitted DPDs'!#REF!)</f>
        <v>#REF!</v>
      </c>
      <c r="M301" s="2" t="e">
        <f t="shared" si="8"/>
        <v>#REF!</v>
      </c>
      <c r="N301" s="2" t="e">
        <f>IF(ISBLANK('Master Submitted DPDs'!#REF!),IF(ISBLANK('Master Submitted DPDs'!#REF!),"",'Master Submitted DPDs'!#REF!),'Master Submitted DPDs'!#REF!)</f>
        <v>#REF!</v>
      </c>
      <c r="O301" s="2" t="e">
        <f>IF(ISBLANK('Master Submitted DPDs'!#REF!),"",'Master Submitted DPDs'!#REF!)</f>
        <v>#REF!</v>
      </c>
      <c r="P301" s="2" t="e">
        <f>IF(ISBLANK('Master Submitted DPDs'!#REF!),"",'Master Submitted DPDs'!#REF!)</f>
        <v>#REF!</v>
      </c>
      <c r="Q301" t="e">
        <f>IF(ISBLANK('Master Submitted DPDs'!#REF!),"",'Master Submitted DPDs'!#REF!)</f>
        <v>#REF!</v>
      </c>
      <c r="R301" t="e">
        <f t="shared" si="9"/>
        <v>#REF!</v>
      </c>
      <c r="S301" s="3"/>
      <c r="T301" t="e">
        <f>IF(ISBLANK('Master Submitted DPDs'!#REF!),"",'Master Submitted DPDs'!#REF!)</f>
        <v>#REF!</v>
      </c>
    </row>
    <row r="302" spans="1:20" ht="15" x14ac:dyDescent="0.2">
      <c r="A302" s="3" t="str">
        <f>IF(ISBLANK('Master Submitted DPDs'!#REF!),"","Local Plans")</f>
        <v>Local Plans</v>
      </c>
      <c r="B302" t="e">
        <f>IF(ISBLANK('Master Submitted DPDs'!#REF!),"",'Master Submitted DPDs'!#REF!)</f>
        <v>#REF!</v>
      </c>
      <c r="C302" s="3" t="str">
        <f>IF(ISBLANK('Master Submitted DPDs'!#REF!),"","IH")</f>
        <v>IH</v>
      </c>
      <c r="D302" s="3" t="e">
        <f>LOOKUP($F302,'fuzzy LPA lookup'!$E:$E,'fuzzy LPA lookup'!$A:$A)</f>
        <v>#REF!</v>
      </c>
      <c r="E302" s="3" t="e">
        <f>LOOKUP($F302,'fuzzy LPA lookup'!$E:$E,'fuzzy LPA lookup'!$D:$D)</f>
        <v>#REF!</v>
      </c>
      <c r="F302" s="8" t="e">
        <f>IF(ISBLANK('Master Submitted DPDs'!#REF!),"",'Master Submitted DPDs'!#REF!)</f>
        <v>#REF!</v>
      </c>
      <c r="G302" t="str">
        <f>IF(ISBLANK('Master Submitted DPDs'!#REF!),"","Withdrawn")</f>
        <v>Withdrawn</v>
      </c>
      <c r="H302" s="2" t="e">
        <f>IF(ISBLANK('Master Submitted DPDs'!#REF!),"",'Master Submitted DPDs'!#REF!)</f>
        <v>#REF!</v>
      </c>
      <c r="I302" s="3"/>
      <c r="J302" s="3"/>
      <c r="K302" s="3"/>
      <c r="L302" s="2" t="e">
        <f>IF(ISBLANK('Master Submitted DPDs'!#REF!),"",'Master Submitted DPDs'!#REF!)</f>
        <v>#REF!</v>
      </c>
      <c r="M302" s="2" t="e">
        <f t="shared" si="8"/>
        <v>#REF!</v>
      </c>
      <c r="N302" s="2" t="e">
        <f>IF(ISBLANK('Master Submitted DPDs'!#REF!),IF(ISBLANK('Master Submitted DPDs'!#REF!),"",'Master Submitted DPDs'!#REF!),'Master Submitted DPDs'!#REF!)</f>
        <v>#REF!</v>
      </c>
      <c r="O302" s="2" t="e">
        <f>IF(ISBLANK('Master Submitted DPDs'!#REF!),"",'Master Submitted DPDs'!#REF!)</f>
        <v>#REF!</v>
      </c>
      <c r="P302" s="2" t="e">
        <f>IF(ISBLANK('Master Submitted DPDs'!#REF!),"",'Master Submitted DPDs'!#REF!)</f>
        <v>#REF!</v>
      </c>
      <c r="Q302" t="e">
        <f>IF(ISBLANK('Master Submitted DPDs'!#REF!),"",'Master Submitted DPDs'!#REF!)</f>
        <v>#REF!</v>
      </c>
      <c r="R302" t="e">
        <f t="shared" si="9"/>
        <v>#REF!</v>
      </c>
      <c r="S302" s="3"/>
      <c r="T302" t="e">
        <f>IF(ISBLANK('Master Submitted DPDs'!#REF!),"",'Master Submitted DPDs'!#REF!)</f>
        <v>#REF!</v>
      </c>
    </row>
    <row r="303" spans="1:20" ht="15" x14ac:dyDescent="0.2">
      <c r="A303" s="3" t="str">
        <f>IF(ISBLANK('Master Submitted DPDs'!#REF!),"","Local Plans")</f>
        <v>Local Plans</v>
      </c>
      <c r="B303" t="e">
        <f>IF(ISBLANK('Master Submitted DPDs'!#REF!),"",'Master Submitted DPDs'!#REF!)</f>
        <v>#REF!</v>
      </c>
      <c r="C303" s="3" t="str">
        <f>IF(ISBLANK('Master Submitted DPDs'!#REF!),"","IH")</f>
        <v>IH</v>
      </c>
      <c r="D303" s="3" t="e">
        <f>LOOKUP($F303,'fuzzy LPA lookup'!$E:$E,'fuzzy LPA lookup'!$A:$A)</f>
        <v>#REF!</v>
      </c>
      <c r="E303" s="3" t="e">
        <f>LOOKUP($F303,'fuzzy LPA lookup'!$E:$E,'fuzzy LPA lookup'!$D:$D)</f>
        <v>#REF!</v>
      </c>
      <c r="F303" s="8" t="e">
        <f>IF(ISBLANK('Master Submitted DPDs'!#REF!),"",'Master Submitted DPDs'!#REF!)</f>
        <v>#REF!</v>
      </c>
      <c r="G303" t="str">
        <f>IF(ISBLANK('Master Submitted DPDs'!#REF!),"","Withdrawn")</f>
        <v>Withdrawn</v>
      </c>
      <c r="H303" s="2" t="e">
        <f>IF(ISBLANK('Master Submitted DPDs'!#REF!),"",'Master Submitted DPDs'!#REF!)</f>
        <v>#REF!</v>
      </c>
      <c r="I303" s="3"/>
      <c r="J303" s="3"/>
      <c r="K303" s="3"/>
      <c r="L303" s="2" t="e">
        <f>IF(ISBLANK('Master Submitted DPDs'!#REF!),"",'Master Submitted DPDs'!#REF!)</f>
        <v>#REF!</v>
      </c>
      <c r="M303" s="2" t="e">
        <f t="shared" si="8"/>
        <v>#REF!</v>
      </c>
      <c r="N303" s="2" t="e">
        <f>IF(ISBLANK('Master Submitted DPDs'!#REF!),IF(ISBLANK('Master Submitted DPDs'!#REF!),"",'Master Submitted DPDs'!#REF!),'Master Submitted DPDs'!#REF!)</f>
        <v>#REF!</v>
      </c>
      <c r="O303" s="2" t="e">
        <f>IF(ISBLANK('Master Submitted DPDs'!#REF!),"",'Master Submitted DPDs'!#REF!)</f>
        <v>#REF!</v>
      </c>
      <c r="P303" s="2" t="e">
        <f>IF(ISBLANK('Master Submitted DPDs'!#REF!),"",'Master Submitted DPDs'!#REF!)</f>
        <v>#REF!</v>
      </c>
      <c r="Q303" t="e">
        <f>IF(ISBLANK('Master Submitted DPDs'!#REF!),"",'Master Submitted DPDs'!#REF!)</f>
        <v>#REF!</v>
      </c>
      <c r="R303" t="e">
        <f t="shared" si="9"/>
        <v>#REF!</v>
      </c>
      <c r="S303" s="3"/>
      <c r="T303" t="e">
        <f>IF(ISBLANK('Master Submitted DPDs'!#REF!),"",'Master Submitted DPDs'!#REF!)</f>
        <v>#REF!</v>
      </c>
    </row>
    <row r="304" spans="1:20" ht="15" x14ac:dyDescent="0.2">
      <c r="A304" s="3" t="str">
        <f>IF(ISBLANK('Master Submitted DPDs'!#REF!),"","Local Plans")</f>
        <v>Local Plans</v>
      </c>
      <c r="B304" t="e">
        <f>IF(ISBLANK('Master Submitted DPDs'!#REF!),"",'Master Submitted DPDs'!#REF!)</f>
        <v>#REF!</v>
      </c>
      <c r="C304" s="3" t="str">
        <f>IF(ISBLANK('Master Submitted DPDs'!#REF!),"","IH")</f>
        <v>IH</v>
      </c>
      <c r="D304" s="3" t="e">
        <f>LOOKUP($F304,'fuzzy LPA lookup'!$E:$E,'fuzzy LPA lookup'!$A:$A)</f>
        <v>#REF!</v>
      </c>
      <c r="E304" s="3" t="e">
        <f>LOOKUP($F304,'fuzzy LPA lookup'!$E:$E,'fuzzy LPA lookup'!$D:$D)</f>
        <v>#REF!</v>
      </c>
      <c r="F304" s="8" t="e">
        <f>IF(ISBLANK('Master Submitted DPDs'!#REF!),"",'Master Submitted DPDs'!#REF!)</f>
        <v>#REF!</v>
      </c>
      <c r="G304" t="str">
        <f>IF(ISBLANK('Master Submitted DPDs'!#REF!),"","Withdrawn")</f>
        <v>Withdrawn</v>
      </c>
      <c r="H304" s="2" t="e">
        <f>IF(ISBLANK('Master Submitted DPDs'!#REF!),"",'Master Submitted DPDs'!#REF!)</f>
        <v>#REF!</v>
      </c>
      <c r="I304" s="3"/>
      <c r="J304" s="3"/>
      <c r="K304" s="3"/>
      <c r="L304" s="2" t="e">
        <f>IF(ISBLANK('Master Submitted DPDs'!#REF!),"",'Master Submitted DPDs'!#REF!)</f>
        <v>#REF!</v>
      </c>
      <c r="M304" s="2" t="e">
        <f t="shared" si="8"/>
        <v>#REF!</v>
      </c>
      <c r="N304" s="2" t="e">
        <f>IF(ISBLANK('Master Submitted DPDs'!#REF!),IF(ISBLANK('Master Submitted DPDs'!#REF!),"",'Master Submitted DPDs'!#REF!),'Master Submitted DPDs'!#REF!)</f>
        <v>#REF!</v>
      </c>
      <c r="O304" s="2" t="e">
        <f>IF(ISBLANK('Master Submitted DPDs'!#REF!),"",'Master Submitted DPDs'!#REF!)</f>
        <v>#REF!</v>
      </c>
      <c r="P304" s="2" t="e">
        <f>IF(ISBLANK('Master Submitted DPDs'!#REF!),"",'Master Submitted DPDs'!#REF!)</f>
        <v>#REF!</v>
      </c>
      <c r="Q304" t="e">
        <f>IF(ISBLANK('Master Submitted DPDs'!#REF!),"",'Master Submitted DPDs'!#REF!)</f>
        <v>#REF!</v>
      </c>
      <c r="R304" t="e">
        <f t="shared" si="9"/>
        <v>#REF!</v>
      </c>
      <c r="S304" s="3"/>
      <c r="T304" t="e">
        <f>IF(ISBLANK('Master Submitted DPDs'!#REF!),"",'Master Submitted DPDs'!#REF!)</f>
        <v>#REF!</v>
      </c>
    </row>
    <row r="305" spans="1:20" ht="15" x14ac:dyDescent="0.2">
      <c r="A305" s="3" t="str">
        <f>IF(ISBLANK('Master Submitted DPDs'!#REF!),"","Local Plans")</f>
        <v>Local Plans</v>
      </c>
      <c r="B305" t="e">
        <f>IF(ISBLANK('Master Submitted DPDs'!#REF!),"",'Master Submitted DPDs'!#REF!)</f>
        <v>#REF!</v>
      </c>
      <c r="C305" s="3" t="str">
        <f>IF(ISBLANK('Master Submitted DPDs'!#REF!),"","IH")</f>
        <v>IH</v>
      </c>
      <c r="D305" s="3" t="e">
        <f>LOOKUP($F305,'fuzzy LPA lookup'!$E:$E,'fuzzy LPA lookup'!$A:$A)</f>
        <v>#REF!</v>
      </c>
      <c r="E305" s="3" t="e">
        <f>LOOKUP($F305,'fuzzy LPA lookup'!$E:$E,'fuzzy LPA lookup'!$D:$D)</f>
        <v>#REF!</v>
      </c>
      <c r="F305" s="8" t="e">
        <f>IF(ISBLANK('Master Submitted DPDs'!#REF!),"",'Master Submitted DPDs'!#REF!)</f>
        <v>#REF!</v>
      </c>
      <c r="G305" t="str">
        <f>IF(ISBLANK('Master Submitted DPDs'!#REF!),"","Withdrawn")</f>
        <v>Withdrawn</v>
      </c>
      <c r="H305" s="2" t="e">
        <f>IF(ISBLANK('Master Submitted DPDs'!#REF!),"",'Master Submitted DPDs'!#REF!)</f>
        <v>#REF!</v>
      </c>
      <c r="I305" s="3"/>
      <c r="J305" s="3"/>
      <c r="K305" s="3"/>
      <c r="L305" s="2" t="e">
        <f>IF(ISBLANK('Master Submitted DPDs'!#REF!),"",'Master Submitted DPDs'!#REF!)</f>
        <v>#REF!</v>
      </c>
      <c r="M305" s="2" t="e">
        <f t="shared" si="8"/>
        <v>#REF!</v>
      </c>
      <c r="N305" s="2" t="e">
        <f>IF(ISBLANK('Master Submitted DPDs'!#REF!),IF(ISBLANK('Master Submitted DPDs'!#REF!),"",'Master Submitted DPDs'!#REF!),'Master Submitted DPDs'!#REF!)</f>
        <v>#REF!</v>
      </c>
      <c r="O305" s="2" t="e">
        <f>IF(ISBLANK('Master Submitted DPDs'!#REF!),"",'Master Submitted DPDs'!#REF!)</f>
        <v>#REF!</v>
      </c>
      <c r="P305" s="2" t="e">
        <f>IF(ISBLANK('Master Submitted DPDs'!#REF!),"",'Master Submitted DPDs'!#REF!)</f>
        <v>#REF!</v>
      </c>
      <c r="Q305" t="e">
        <f>IF(ISBLANK('Master Submitted DPDs'!#REF!),"",'Master Submitted DPDs'!#REF!)</f>
        <v>#REF!</v>
      </c>
      <c r="R305" t="e">
        <f t="shared" si="9"/>
        <v>#REF!</v>
      </c>
      <c r="S305" s="3"/>
      <c r="T305" t="e">
        <f>IF(ISBLANK('Master Submitted DPDs'!#REF!),"",'Master Submitted DPDs'!#REF!)</f>
        <v>#REF!</v>
      </c>
    </row>
    <row r="306" spans="1:20" ht="15" x14ac:dyDescent="0.2">
      <c r="A306" s="3" t="str">
        <f>IF(ISBLANK('Master Submitted DPDs'!#REF!),"","Local Plans")</f>
        <v>Local Plans</v>
      </c>
      <c r="B306" t="e">
        <f>IF(ISBLANK('Master Submitted DPDs'!#REF!),"",'Master Submitted DPDs'!#REF!)</f>
        <v>#REF!</v>
      </c>
      <c r="C306" s="3" t="str">
        <f>IF(ISBLANK('Master Submitted DPDs'!#REF!),"","IH")</f>
        <v>IH</v>
      </c>
      <c r="D306" s="3" t="e">
        <f>LOOKUP($F306,'fuzzy LPA lookup'!$E:$E,'fuzzy LPA lookup'!$A:$A)</f>
        <v>#REF!</v>
      </c>
      <c r="E306" s="3" t="e">
        <f>LOOKUP($F306,'fuzzy LPA lookup'!$E:$E,'fuzzy LPA lookup'!$D:$D)</f>
        <v>#REF!</v>
      </c>
      <c r="F306" s="8" t="e">
        <f>IF(ISBLANK('Master Submitted DPDs'!#REF!),"",'Master Submitted DPDs'!#REF!)</f>
        <v>#REF!</v>
      </c>
      <c r="G306" t="str">
        <f>IF(ISBLANK('Master Submitted DPDs'!#REF!),"","Withdrawn")</f>
        <v>Withdrawn</v>
      </c>
      <c r="H306" s="2" t="e">
        <f>IF(ISBLANK('Master Submitted DPDs'!#REF!),"",'Master Submitted DPDs'!#REF!)</f>
        <v>#REF!</v>
      </c>
      <c r="I306" s="3"/>
      <c r="J306" s="3"/>
      <c r="K306" s="3"/>
      <c r="L306" s="2" t="e">
        <f>IF(ISBLANK('Master Submitted DPDs'!#REF!),"",'Master Submitted DPDs'!#REF!)</f>
        <v>#REF!</v>
      </c>
      <c r="M306" s="2" t="e">
        <f t="shared" si="8"/>
        <v>#REF!</v>
      </c>
      <c r="N306" s="2" t="e">
        <f>IF(ISBLANK('Master Submitted DPDs'!#REF!),IF(ISBLANK('Master Submitted DPDs'!#REF!),"",'Master Submitted DPDs'!#REF!),'Master Submitted DPDs'!#REF!)</f>
        <v>#REF!</v>
      </c>
      <c r="O306" s="2" t="e">
        <f>IF(ISBLANK('Master Submitted DPDs'!#REF!),"",'Master Submitted DPDs'!#REF!)</f>
        <v>#REF!</v>
      </c>
      <c r="P306" s="2" t="e">
        <f>IF(ISBLANK('Master Submitted DPDs'!#REF!),"",'Master Submitted DPDs'!#REF!)</f>
        <v>#REF!</v>
      </c>
      <c r="Q306" t="e">
        <f>IF(ISBLANK('Master Submitted DPDs'!#REF!),"",'Master Submitted DPDs'!#REF!)</f>
        <v>#REF!</v>
      </c>
      <c r="R306" t="e">
        <f t="shared" si="9"/>
        <v>#REF!</v>
      </c>
      <c r="S306" s="3"/>
      <c r="T306" t="e">
        <f>IF(ISBLANK('Master Submitted DPDs'!#REF!),"",'Master Submitted DPDs'!#REF!)</f>
        <v>#REF!</v>
      </c>
    </row>
    <row r="307" spans="1:20" ht="15" x14ac:dyDescent="0.2">
      <c r="A307" s="3" t="str">
        <f>IF(ISBLANK('Master Submitted DPDs'!#REF!),"","Local Plans")</f>
        <v>Local Plans</v>
      </c>
      <c r="B307" t="e">
        <f>IF(ISBLANK('Master Submitted DPDs'!#REF!),"",'Master Submitted DPDs'!#REF!)</f>
        <v>#REF!</v>
      </c>
      <c r="C307" s="3" t="str">
        <f>IF(ISBLANK('Master Submitted DPDs'!#REF!),"","IH")</f>
        <v>IH</v>
      </c>
      <c r="D307" s="3" t="e">
        <f>LOOKUP($F307,'fuzzy LPA lookup'!$E:$E,'fuzzy LPA lookup'!$A:$A)</f>
        <v>#REF!</v>
      </c>
      <c r="E307" s="3" t="e">
        <f>LOOKUP($F307,'fuzzy LPA lookup'!$E:$E,'fuzzy LPA lookup'!$D:$D)</f>
        <v>#REF!</v>
      </c>
      <c r="F307" s="8" t="e">
        <f>IF(ISBLANK('Master Submitted DPDs'!#REF!),"",'Master Submitted DPDs'!#REF!)</f>
        <v>#REF!</v>
      </c>
      <c r="G307" t="str">
        <f>IF(ISBLANK('Master Submitted DPDs'!#REF!),"","Withdrawn")</f>
        <v>Withdrawn</v>
      </c>
      <c r="H307" s="2" t="e">
        <f>IF(ISBLANK('Master Submitted DPDs'!#REF!),"",'Master Submitted DPDs'!#REF!)</f>
        <v>#REF!</v>
      </c>
      <c r="I307" s="3"/>
      <c r="J307" s="3"/>
      <c r="K307" s="3"/>
      <c r="L307" s="2" t="e">
        <f>IF(ISBLANK('Master Submitted DPDs'!#REF!),"",'Master Submitted DPDs'!#REF!)</f>
        <v>#REF!</v>
      </c>
      <c r="M307" s="2" t="e">
        <f t="shared" si="8"/>
        <v>#REF!</v>
      </c>
      <c r="N307" s="2" t="e">
        <f>IF(ISBLANK('Master Submitted DPDs'!#REF!),IF(ISBLANK('Master Submitted DPDs'!#REF!),"",'Master Submitted DPDs'!#REF!),'Master Submitted DPDs'!#REF!)</f>
        <v>#REF!</v>
      </c>
      <c r="O307" s="2" t="e">
        <f>IF(ISBLANK('Master Submitted DPDs'!#REF!),"",'Master Submitted DPDs'!#REF!)</f>
        <v>#REF!</v>
      </c>
      <c r="P307" s="2" t="e">
        <f>IF(ISBLANK('Master Submitted DPDs'!#REF!),"",'Master Submitted DPDs'!#REF!)</f>
        <v>#REF!</v>
      </c>
      <c r="Q307" t="e">
        <f>IF(ISBLANK('Master Submitted DPDs'!#REF!),"",'Master Submitted DPDs'!#REF!)</f>
        <v>#REF!</v>
      </c>
      <c r="R307" t="e">
        <f t="shared" si="9"/>
        <v>#REF!</v>
      </c>
      <c r="S307" s="3"/>
      <c r="T307" t="e">
        <f>IF(ISBLANK('Master Submitted DPDs'!#REF!),"",'Master Submitted DPDs'!#REF!)</f>
        <v>#REF!</v>
      </c>
    </row>
    <row r="308" spans="1:20" ht="15" x14ac:dyDescent="0.2">
      <c r="A308" s="3" t="str">
        <f>IF(ISBLANK('Master Submitted DPDs'!#REF!),"","Local Plans")</f>
        <v>Local Plans</v>
      </c>
      <c r="B308" t="e">
        <f>IF(ISBLANK('Master Submitted DPDs'!#REF!),"",'Master Submitted DPDs'!#REF!)</f>
        <v>#REF!</v>
      </c>
      <c r="C308" s="3" t="str">
        <f>IF(ISBLANK('Master Submitted DPDs'!#REF!),"","IH")</f>
        <v>IH</v>
      </c>
      <c r="D308" s="3" t="e">
        <f>LOOKUP($F308,'fuzzy LPA lookup'!$E:$E,'fuzzy LPA lookup'!$A:$A)</f>
        <v>#REF!</v>
      </c>
      <c r="E308" s="3" t="e">
        <f>LOOKUP($F308,'fuzzy LPA lookup'!$E:$E,'fuzzy LPA lookup'!$D:$D)</f>
        <v>#REF!</v>
      </c>
      <c r="F308" s="8" t="e">
        <f>IF(ISBLANK('Master Submitted DPDs'!#REF!),"",'Master Submitted DPDs'!#REF!)</f>
        <v>#REF!</v>
      </c>
      <c r="G308" t="str">
        <f>IF(ISBLANK('Master Submitted DPDs'!#REF!),"","Withdrawn")</f>
        <v>Withdrawn</v>
      </c>
      <c r="H308" s="2" t="e">
        <f>IF(ISBLANK('Master Submitted DPDs'!#REF!),"",'Master Submitted DPDs'!#REF!)</f>
        <v>#REF!</v>
      </c>
      <c r="I308" s="3"/>
      <c r="J308" s="3"/>
      <c r="K308" s="3"/>
      <c r="L308" s="2" t="e">
        <f>IF(ISBLANK('Master Submitted DPDs'!#REF!),"",'Master Submitted DPDs'!#REF!)</f>
        <v>#REF!</v>
      </c>
      <c r="M308" s="2" t="e">
        <f t="shared" si="8"/>
        <v>#REF!</v>
      </c>
      <c r="N308" s="2" t="e">
        <f>IF(ISBLANK('Master Submitted DPDs'!#REF!),IF(ISBLANK('Master Submitted DPDs'!#REF!),"",'Master Submitted DPDs'!#REF!),'Master Submitted DPDs'!#REF!)</f>
        <v>#REF!</v>
      </c>
      <c r="O308" s="2" t="e">
        <f>IF(ISBLANK('Master Submitted DPDs'!#REF!),"",'Master Submitted DPDs'!#REF!)</f>
        <v>#REF!</v>
      </c>
      <c r="P308" s="2" t="e">
        <f>IF(ISBLANK('Master Submitted DPDs'!#REF!),"",'Master Submitted DPDs'!#REF!)</f>
        <v>#REF!</v>
      </c>
      <c r="Q308" t="e">
        <f>IF(ISBLANK('Master Submitted DPDs'!#REF!),"",'Master Submitted DPDs'!#REF!)</f>
        <v>#REF!</v>
      </c>
      <c r="R308" t="e">
        <f t="shared" si="9"/>
        <v>#REF!</v>
      </c>
      <c r="S308" s="3"/>
      <c r="T308" t="e">
        <f>IF(ISBLANK('Master Submitted DPDs'!#REF!),"",'Master Submitted DPDs'!#REF!)</f>
        <v>#REF!</v>
      </c>
    </row>
    <row r="309" spans="1:20" ht="15" x14ac:dyDescent="0.2">
      <c r="A309" s="3" t="str">
        <f>IF(ISBLANK('Master Submitted DPDs'!#REF!),"","Local Plans")</f>
        <v>Local Plans</v>
      </c>
      <c r="B309" t="e">
        <f>IF(ISBLANK('Master Submitted DPDs'!#REF!),"",'Master Submitted DPDs'!#REF!)</f>
        <v>#REF!</v>
      </c>
      <c r="C309" s="3" t="str">
        <f>IF(ISBLANK('Master Submitted DPDs'!#REF!),"","IH")</f>
        <v>IH</v>
      </c>
      <c r="D309" s="3" t="e">
        <f>LOOKUP($F309,'fuzzy LPA lookup'!$E:$E,'fuzzy LPA lookup'!$A:$A)</f>
        <v>#REF!</v>
      </c>
      <c r="E309" s="3" t="e">
        <f>LOOKUP($F309,'fuzzy LPA lookup'!$E:$E,'fuzzy LPA lookup'!$D:$D)</f>
        <v>#REF!</v>
      </c>
      <c r="F309" s="8" t="e">
        <f>IF(ISBLANK('Master Submitted DPDs'!#REF!),"",'Master Submitted DPDs'!#REF!)</f>
        <v>#REF!</v>
      </c>
      <c r="G309" t="str">
        <f>IF(ISBLANK('Master Submitted DPDs'!#REF!),"","Withdrawn")</f>
        <v>Withdrawn</v>
      </c>
      <c r="H309" s="2" t="e">
        <f>IF(ISBLANK('Master Submitted DPDs'!#REF!),"",'Master Submitted DPDs'!#REF!)</f>
        <v>#REF!</v>
      </c>
      <c r="I309" s="3"/>
      <c r="J309" s="3"/>
      <c r="K309" s="3"/>
      <c r="L309" s="2" t="e">
        <f>IF(ISBLANK('Master Submitted DPDs'!#REF!),"",'Master Submitted DPDs'!#REF!)</f>
        <v>#REF!</v>
      </c>
      <c r="M309" s="2" t="e">
        <f t="shared" si="8"/>
        <v>#REF!</v>
      </c>
      <c r="N309" s="2" t="e">
        <f>IF(ISBLANK('Master Submitted DPDs'!#REF!),IF(ISBLANK('Master Submitted DPDs'!#REF!),"",'Master Submitted DPDs'!#REF!),'Master Submitted DPDs'!#REF!)</f>
        <v>#REF!</v>
      </c>
      <c r="O309" s="2" t="e">
        <f>IF(ISBLANK('Master Submitted DPDs'!#REF!),"",'Master Submitted DPDs'!#REF!)</f>
        <v>#REF!</v>
      </c>
      <c r="P309" s="2" t="e">
        <f>IF(ISBLANK('Master Submitted DPDs'!#REF!),"",'Master Submitted DPDs'!#REF!)</f>
        <v>#REF!</v>
      </c>
      <c r="Q309" t="e">
        <f>IF(ISBLANK('Master Submitted DPDs'!#REF!),"",'Master Submitted DPDs'!#REF!)</f>
        <v>#REF!</v>
      </c>
      <c r="R309" t="e">
        <f t="shared" si="9"/>
        <v>#REF!</v>
      </c>
      <c r="S309" s="3"/>
      <c r="T309" t="e">
        <f>IF(ISBLANK('Master Submitted DPDs'!#REF!),"",'Master Submitted DPDs'!#REF!)</f>
        <v>#REF!</v>
      </c>
    </row>
    <row r="310" spans="1:20" ht="15" x14ac:dyDescent="0.2">
      <c r="A310" s="3" t="str">
        <f>IF(ISBLANK('Master Submitted DPDs'!#REF!),"","Local Plans")</f>
        <v>Local Plans</v>
      </c>
      <c r="B310" t="e">
        <f>IF(ISBLANK('Master Submitted DPDs'!#REF!),"",'Master Submitted DPDs'!#REF!)</f>
        <v>#REF!</v>
      </c>
      <c r="C310" s="3" t="str">
        <f>IF(ISBLANK('Master Submitted DPDs'!#REF!),"","IH")</f>
        <v>IH</v>
      </c>
      <c r="D310" s="3" t="e">
        <f>LOOKUP($F310,'fuzzy LPA lookup'!$E:$E,'fuzzy LPA lookup'!$A:$A)</f>
        <v>#REF!</v>
      </c>
      <c r="E310" s="3" t="e">
        <f>LOOKUP($F310,'fuzzy LPA lookup'!$E:$E,'fuzzy LPA lookup'!$D:$D)</f>
        <v>#REF!</v>
      </c>
      <c r="F310" s="8" t="e">
        <f>IF(ISBLANK('Master Submitted DPDs'!#REF!),"",'Master Submitted DPDs'!#REF!)</f>
        <v>#REF!</v>
      </c>
      <c r="G310" t="str">
        <f>IF(ISBLANK('Master Submitted DPDs'!#REF!),"","Withdrawn")</f>
        <v>Withdrawn</v>
      </c>
      <c r="H310" s="2" t="e">
        <f>IF(ISBLANK('Master Submitted DPDs'!#REF!),"",'Master Submitted DPDs'!#REF!)</f>
        <v>#REF!</v>
      </c>
      <c r="I310" s="3"/>
      <c r="J310" s="3"/>
      <c r="K310" s="3"/>
      <c r="L310" s="2" t="e">
        <f>IF(ISBLANK('Master Submitted DPDs'!#REF!),"",'Master Submitted DPDs'!#REF!)</f>
        <v>#REF!</v>
      </c>
      <c r="M310" s="2" t="e">
        <f t="shared" si="8"/>
        <v>#REF!</v>
      </c>
      <c r="N310" s="2" t="e">
        <f>IF(ISBLANK('Master Submitted DPDs'!#REF!),IF(ISBLANK('Master Submitted DPDs'!#REF!),"",'Master Submitted DPDs'!#REF!),'Master Submitted DPDs'!#REF!)</f>
        <v>#REF!</v>
      </c>
      <c r="O310" s="2" t="e">
        <f>IF(ISBLANK('Master Submitted DPDs'!#REF!),"",'Master Submitted DPDs'!#REF!)</f>
        <v>#REF!</v>
      </c>
      <c r="P310" s="2" t="e">
        <f>IF(ISBLANK('Master Submitted DPDs'!#REF!),"",'Master Submitted DPDs'!#REF!)</f>
        <v>#REF!</v>
      </c>
      <c r="Q310" t="e">
        <f>IF(ISBLANK('Master Submitted DPDs'!#REF!),"",'Master Submitted DPDs'!#REF!)</f>
        <v>#REF!</v>
      </c>
      <c r="R310" t="e">
        <f t="shared" si="9"/>
        <v>#REF!</v>
      </c>
      <c r="S310" s="3"/>
      <c r="T310" t="e">
        <f>IF(ISBLANK('Master Submitted DPDs'!#REF!),"",'Master Submitted DPDs'!#REF!)</f>
        <v>#REF!</v>
      </c>
    </row>
    <row r="311" spans="1:20" ht="15" x14ac:dyDescent="0.2">
      <c r="A311" s="3" t="str">
        <f>IF(ISBLANK('Master Submitted DPDs'!#REF!),"","Local Plans")</f>
        <v>Local Plans</v>
      </c>
      <c r="B311" t="e">
        <f>IF(ISBLANK('Master Submitted DPDs'!#REF!),"",'Master Submitted DPDs'!#REF!)</f>
        <v>#REF!</v>
      </c>
      <c r="C311" s="3" t="str">
        <f>IF(ISBLANK('Master Submitted DPDs'!#REF!),"","IH")</f>
        <v>IH</v>
      </c>
      <c r="D311" s="3" t="e">
        <f>LOOKUP($F311,'fuzzy LPA lookup'!$E:$E,'fuzzy LPA lookup'!$A:$A)</f>
        <v>#REF!</v>
      </c>
      <c r="E311" s="3" t="e">
        <f>LOOKUP($F311,'fuzzy LPA lookup'!$E:$E,'fuzzy LPA lookup'!$D:$D)</f>
        <v>#REF!</v>
      </c>
      <c r="F311" s="8" t="e">
        <f>IF(ISBLANK('Master Submitted DPDs'!#REF!),"",'Master Submitted DPDs'!#REF!)</f>
        <v>#REF!</v>
      </c>
      <c r="G311" t="str">
        <f>IF(ISBLANK('Master Submitted DPDs'!#REF!),"","Withdrawn")</f>
        <v>Withdrawn</v>
      </c>
      <c r="H311" s="2" t="e">
        <f>IF(ISBLANK('Master Submitted DPDs'!#REF!),"",'Master Submitted DPDs'!#REF!)</f>
        <v>#REF!</v>
      </c>
      <c r="I311" s="3"/>
      <c r="J311" s="3"/>
      <c r="K311" s="3"/>
      <c r="L311" s="2" t="e">
        <f>IF(ISBLANK('Master Submitted DPDs'!#REF!),"",'Master Submitted DPDs'!#REF!)</f>
        <v>#REF!</v>
      </c>
      <c r="M311" s="2" t="e">
        <f t="shared" si="8"/>
        <v>#REF!</v>
      </c>
      <c r="N311" s="2" t="e">
        <f>IF(ISBLANK('Master Submitted DPDs'!#REF!),IF(ISBLANK('Master Submitted DPDs'!#REF!),"",'Master Submitted DPDs'!#REF!),'Master Submitted DPDs'!#REF!)</f>
        <v>#REF!</v>
      </c>
      <c r="O311" s="2" t="e">
        <f>IF(ISBLANK('Master Submitted DPDs'!#REF!),"",'Master Submitted DPDs'!#REF!)</f>
        <v>#REF!</v>
      </c>
      <c r="P311" s="2" t="e">
        <f>IF(ISBLANK('Master Submitted DPDs'!#REF!),"",'Master Submitted DPDs'!#REF!)</f>
        <v>#REF!</v>
      </c>
      <c r="Q311" t="e">
        <f>IF(ISBLANK('Master Submitted DPDs'!#REF!),"",'Master Submitted DPDs'!#REF!)</f>
        <v>#REF!</v>
      </c>
      <c r="R311" t="e">
        <f t="shared" si="9"/>
        <v>#REF!</v>
      </c>
      <c r="S311" s="3"/>
      <c r="T311" t="e">
        <f>IF(ISBLANK('Master Submitted DPDs'!#REF!),"",'Master Submitted DPDs'!#REF!)</f>
        <v>#REF!</v>
      </c>
    </row>
    <row r="312" spans="1:20" ht="15" x14ac:dyDescent="0.2">
      <c r="A312" s="3" t="str">
        <f>IF(ISBLANK('Master Submitted DPDs'!#REF!),"","Local Plans")</f>
        <v>Local Plans</v>
      </c>
      <c r="B312" t="e">
        <f>IF(ISBLANK('Master Submitted DPDs'!#REF!),"",'Master Submitted DPDs'!#REF!)</f>
        <v>#REF!</v>
      </c>
      <c r="C312" s="3" t="str">
        <f>IF(ISBLANK('Master Submitted DPDs'!#REF!),"","IH")</f>
        <v>IH</v>
      </c>
      <c r="D312" s="3" t="e">
        <f>LOOKUP($F312,'fuzzy LPA lookup'!$E:$E,'fuzzy LPA lookup'!$A:$A)</f>
        <v>#REF!</v>
      </c>
      <c r="E312" s="3" t="e">
        <f>LOOKUP($F312,'fuzzy LPA lookup'!$E:$E,'fuzzy LPA lookup'!$D:$D)</f>
        <v>#REF!</v>
      </c>
      <c r="F312" s="8" t="e">
        <f>IF(ISBLANK('Master Submitted DPDs'!#REF!),"",'Master Submitted DPDs'!#REF!)</f>
        <v>#REF!</v>
      </c>
      <c r="G312" t="str">
        <f>IF(ISBLANK('Master Submitted DPDs'!#REF!),"","Withdrawn")</f>
        <v>Withdrawn</v>
      </c>
      <c r="H312" s="2" t="e">
        <f>IF(ISBLANK('Master Submitted DPDs'!#REF!),"",'Master Submitted DPDs'!#REF!)</f>
        <v>#REF!</v>
      </c>
      <c r="I312" s="3"/>
      <c r="J312" s="3"/>
      <c r="K312" s="3"/>
      <c r="L312" s="2" t="e">
        <f>IF(ISBLANK('Master Submitted DPDs'!#REF!),"",'Master Submitted DPDs'!#REF!)</f>
        <v>#REF!</v>
      </c>
      <c r="M312" s="2" t="e">
        <f t="shared" si="8"/>
        <v>#REF!</v>
      </c>
      <c r="N312" s="2" t="e">
        <f>IF(ISBLANK('Master Submitted DPDs'!#REF!),IF(ISBLANK('Master Submitted DPDs'!#REF!),"",'Master Submitted DPDs'!#REF!),'Master Submitted DPDs'!#REF!)</f>
        <v>#REF!</v>
      </c>
      <c r="O312" s="2" t="e">
        <f>IF(ISBLANK('Master Submitted DPDs'!#REF!),"",'Master Submitted DPDs'!#REF!)</f>
        <v>#REF!</v>
      </c>
      <c r="P312" s="2" t="e">
        <f>IF(ISBLANK('Master Submitted DPDs'!#REF!),"",'Master Submitted DPDs'!#REF!)</f>
        <v>#REF!</v>
      </c>
      <c r="Q312" t="e">
        <f>IF(ISBLANK('Master Submitted DPDs'!#REF!),"",'Master Submitted DPDs'!#REF!)</f>
        <v>#REF!</v>
      </c>
      <c r="R312" t="e">
        <f t="shared" si="9"/>
        <v>#REF!</v>
      </c>
      <c r="S312" s="3"/>
      <c r="T312" t="e">
        <f>IF(ISBLANK('Master Submitted DPDs'!#REF!),"",'Master Submitted DPDs'!#REF!)</f>
        <v>#REF!</v>
      </c>
    </row>
    <row r="313" spans="1:20" ht="15" x14ac:dyDescent="0.2">
      <c r="A313" s="3" t="str">
        <f>IF(ISBLANK('Master Submitted DPDs'!#REF!),"","Local Plans")</f>
        <v>Local Plans</v>
      </c>
      <c r="B313" t="e">
        <f>IF(ISBLANK('Master Submitted DPDs'!#REF!),"",'Master Submitted DPDs'!#REF!)</f>
        <v>#REF!</v>
      </c>
      <c r="C313" s="3" t="str">
        <f>IF(ISBLANK('Master Submitted DPDs'!#REF!),"","IH")</f>
        <v>IH</v>
      </c>
      <c r="D313" s="3" t="e">
        <f>LOOKUP($F313,'fuzzy LPA lookup'!$E:$E,'fuzzy LPA lookup'!$A:$A)</f>
        <v>#REF!</v>
      </c>
      <c r="E313" s="3" t="e">
        <f>LOOKUP($F313,'fuzzy LPA lookup'!$E:$E,'fuzzy LPA lookup'!$D:$D)</f>
        <v>#REF!</v>
      </c>
      <c r="F313" s="8" t="e">
        <f>IF(ISBLANK('Master Submitted DPDs'!#REF!),"",'Master Submitted DPDs'!#REF!)</f>
        <v>#REF!</v>
      </c>
      <c r="G313" t="str">
        <f>IF(ISBLANK('Master Submitted DPDs'!#REF!),"","Withdrawn")</f>
        <v>Withdrawn</v>
      </c>
      <c r="H313" s="2" t="e">
        <f>IF(ISBLANK('Master Submitted DPDs'!#REF!),"",'Master Submitted DPDs'!#REF!)</f>
        <v>#REF!</v>
      </c>
      <c r="I313" s="3"/>
      <c r="J313" s="3"/>
      <c r="K313" s="3"/>
      <c r="L313" s="2" t="e">
        <f>IF(ISBLANK('Master Submitted DPDs'!#REF!),"",'Master Submitted DPDs'!#REF!)</f>
        <v>#REF!</v>
      </c>
      <c r="M313" s="2" t="e">
        <f t="shared" si="8"/>
        <v>#REF!</v>
      </c>
      <c r="N313" s="2" t="e">
        <f>IF(ISBLANK('Master Submitted DPDs'!#REF!),IF(ISBLANK('Master Submitted DPDs'!#REF!),"",'Master Submitted DPDs'!#REF!),'Master Submitted DPDs'!#REF!)</f>
        <v>#REF!</v>
      </c>
      <c r="O313" s="2" t="e">
        <f>IF(ISBLANK('Master Submitted DPDs'!#REF!),"",'Master Submitted DPDs'!#REF!)</f>
        <v>#REF!</v>
      </c>
      <c r="P313" s="2" t="e">
        <f>IF(ISBLANK('Master Submitted DPDs'!#REF!),"",'Master Submitted DPDs'!#REF!)</f>
        <v>#REF!</v>
      </c>
      <c r="Q313" t="e">
        <f>IF(ISBLANK('Master Submitted DPDs'!#REF!),"",'Master Submitted DPDs'!#REF!)</f>
        <v>#REF!</v>
      </c>
      <c r="R313" t="e">
        <f t="shared" si="9"/>
        <v>#REF!</v>
      </c>
      <c r="S313" s="3"/>
      <c r="T313" t="e">
        <f>IF(ISBLANK('Master Submitted DPDs'!#REF!),"",'Master Submitted DPDs'!#REF!)</f>
        <v>#REF!</v>
      </c>
    </row>
    <row r="314" spans="1:20" ht="15" x14ac:dyDescent="0.2">
      <c r="A314" s="3" t="str">
        <f>IF(ISBLANK('Master Submitted DPDs'!#REF!),"","Local Plans")</f>
        <v>Local Plans</v>
      </c>
      <c r="B314" t="e">
        <f>IF(ISBLANK('Master Submitted DPDs'!#REF!),"",'Master Submitted DPDs'!#REF!)</f>
        <v>#REF!</v>
      </c>
      <c r="C314" s="3" t="str">
        <f>IF(ISBLANK('Master Submitted DPDs'!#REF!),"","IH")</f>
        <v>IH</v>
      </c>
      <c r="D314" s="3" t="e">
        <f>LOOKUP($F314,'fuzzy LPA lookup'!$E:$E,'fuzzy LPA lookup'!$A:$A)</f>
        <v>#REF!</v>
      </c>
      <c r="E314" s="3" t="e">
        <f>LOOKUP($F314,'fuzzy LPA lookup'!$E:$E,'fuzzy LPA lookup'!$D:$D)</f>
        <v>#REF!</v>
      </c>
      <c r="F314" s="8" t="e">
        <f>IF(ISBLANK('Master Submitted DPDs'!#REF!),"",'Master Submitted DPDs'!#REF!)</f>
        <v>#REF!</v>
      </c>
      <c r="G314" t="str">
        <f>IF(ISBLANK('Master Submitted DPDs'!#REF!),"","Withdrawn")</f>
        <v>Withdrawn</v>
      </c>
      <c r="H314" s="2" t="e">
        <f>IF(ISBLANK('Master Submitted DPDs'!#REF!),"",'Master Submitted DPDs'!#REF!)</f>
        <v>#REF!</v>
      </c>
      <c r="I314" s="3"/>
      <c r="J314" s="3"/>
      <c r="K314" s="3"/>
      <c r="L314" s="2" t="e">
        <f>IF(ISBLANK('Master Submitted DPDs'!#REF!),"",'Master Submitted DPDs'!#REF!)</f>
        <v>#REF!</v>
      </c>
      <c r="M314" s="2" t="e">
        <f t="shared" si="8"/>
        <v>#REF!</v>
      </c>
      <c r="N314" s="2" t="e">
        <f>IF(ISBLANK('Master Submitted DPDs'!#REF!),IF(ISBLANK('Master Submitted DPDs'!#REF!),"",'Master Submitted DPDs'!#REF!),'Master Submitted DPDs'!#REF!)</f>
        <v>#REF!</v>
      </c>
      <c r="O314" s="2" t="e">
        <f>IF(ISBLANK('Master Submitted DPDs'!#REF!),"",'Master Submitted DPDs'!#REF!)</f>
        <v>#REF!</v>
      </c>
      <c r="P314" s="2" t="e">
        <f>IF(ISBLANK('Master Submitted DPDs'!#REF!),"",'Master Submitted DPDs'!#REF!)</f>
        <v>#REF!</v>
      </c>
      <c r="Q314" t="e">
        <f>IF(ISBLANK('Master Submitted DPDs'!#REF!),"",'Master Submitted DPDs'!#REF!)</f>
        <v>#REF!</v>
      </c>
      <c r="R314" t="e">
        <f t="shared" si="9"/>
        <v>#REF!</v>
      </c>
      <c r="S314" s="3"/>
      <c r="T314" t="e">
        <f>IF(ISBLANK('Master Submitted DPDs'!#REF!),"",'Master Submitted DPDs'!#REF!)</f>
        <v>#REF!</v>
      </c>
    </row>
    <row r="315" spans="1:20" ht="15" x14ac:dyDescent="0.2">
      <c r="A315" s="3" t="str">
        <f>IF(ISBLANK('Master Submitted DPDs'!#REF!),"","Local Plans")</f>
        <v>Local Plans</v>
      </c>
      <c r="B315" t="e">
        <f>IF(ISBLANK('Master Submitted DPDs'!#REF!),"",'Master Submitted DPDs'!#REF!)</f>
        <v>#REF!</v>
      </c>
      <c r="C315" s="3" t="str">
        <f>IF(ISBLANK('Master Submitted DPDs'!#REF!),"","IH")</f>
        <v>IH</v>
      </c>
      <c r="D315" s="3" t="e">
        <f>LOOKUP($F315,'fuzzy LPA lookup'!$E:$E,'fuzzy LPA lookup'!$A:$A)</f>
        <v>#REF!</v>
      </c>
      <c r="E315" s="3" t="e">
        <f>LOOKUP($F315,'fuzzy LPA lookup'!$E:$E,'fuzzy LPA lookup'!$D:$D)</f>
        <v>#REF!</v>
      </c>
      <c r="F315" s="8" t="e">
        <f>IF(ISBLANK('Master Submitted DPDs'!#REF!),"",'Master Submitted DPDs'!#REF!)</f>
        <v>#REF!</v>
      </c>
      <c r="G315" t="str">
        <f>IF(ISBLANK('Master Submitted DPDs'!#REF!),"","Withdrawn")</f>
        <v>Withdrawn</v>
      </c>
      <c r="H315" s="2" t="e">
        <f>IF(ISBLANK('Master Submitted DPDs'!#REF!),"",'Master Submitted DPDs'!#REF!)</f>
        <v>#REF!</v>
      </c>
      <c r="I315" s="3"/>
      <c r="J315" s="3"/>
      <c r="K315" s="3"/>
      <c r="L315" s="2" t="e">
        <f>IF(ISBLANK('Master Submitted DPDs'!#REF!),"",'Master Submitted DPDs'!#REF!)</f>
        <v>#REF!</v>
      </c>
      <c r="M315" s="2" t="e">
        <f t="shared" si="8"/>
        <v>#REF!</v>
      </c>
      <c r="N315" s="2" t="e">
        <f>IF(ISBLANK('Master Submitted DPDs'!#REF!),IF(ISBLANK('Master Submitted DPDs'!#REF!),"",'Master Submitted DPDs'!#REF!),'Master Submitted DPDs'!#REF!)</f>
        <v>#REF!</v>
      </c>
      <c r="O315" s="2" t="e">
        <f>IF(ISBLANK('Master Submitted DPDs'!#REF!),"",'Master Submitted DPDs'!#REF!)</f>
        <v>#REF!</v>
      </c>
      <c r="P315" s="2" t="e">
        <f>IF(ISBLANK('Master Submitted DPDs'!#REF!),"",'Master Submitted DPDs'!#REF!)</f>
        <v>#REF!</v>
      </c>
      <c r="Q315" t="e">
        <f>IF(ISBLANK('Master Submitted DPDs'!#REF!),"",'Master Submitted DPDs'!#REF!)</f>
        <v>#REF!</v>
      </c>
      <c r="R315" t="e">
        <f t="shared" si="9"/>
        <v>#REF!</v>
      </c>
      <c r="S315" s="3"/>
      <c r="T315" t="e">
        <f>IF(ISBLANK('Master Submitted DPDs'!#REF!),"",'Master Submitted DPDs'!#REF!)</f>
        <v>#REF!</v>
      </c>
    </row>
    <row r="316" spans="1:20" ht="15" x14ac:dyDescent="0.2">
      <c r="A316" s="3" t="str">
        <f>IF(ISBLANK('Master Submitted DPDs'!#REF!),"","Local Plans")</f>
        <v>Local Plans</v>
      </c>
      <c r="B316" t="e">
        <f>IF(ISBLANK('Master Submitted DPDs'!#REF!),"",'Master Submitted DPDs'!#REF!)</f>
        <v>#REF!</v>
      </c>
      <c r="C316" s="3" t="str">
        <f>IF(ISBLANK('Master Submitted DPDs'!#REF!),"","IH")</f>
        <v>IH</v>
      </c>
      <c r="D316" s="3" t="e">
        <f>LOOKUP($F316,'fuzzy LPA lookup'!$E:$E,'fuzzy LPA lookup'!$A:$A)</f>
        <v>#REF!</v>
      </c>
      <c r="E316" s="3" t="e">
        <f>LOOKUP($F316,'fuzzy LPA lookup'!$E:$E,'fuzzy LPA lookup'!$D:$D)</f>
        <v>#REF!</v>
      </c>
      <c r="F316" s="8" t="e">
        <f>IF(ISBLANK('Master Submitted DPDs'!#REF!),"",'Master Submitted DPDs'!#REF!)</f>
        <v>#REF!</v>
      </c>
      <c r="G316" t="str">
        <f>IF(ISBLANK('Master Submitted DPDs'!#REF!),"","Withdrawn")</f>
        <v>Withdrawn</v>
      </c>
      <c r="H316" s="2" t="e">
        <f>IF(ISBLANK('Master Submitted DPDs'!#REF!),"",'Master Submitted DPDs'!#REF!)</f>
        <v>#REF!</v>
      </c>
      <c r="I316" s="3"/>
      <c r="J316" s="3"/>
      <c r="K316" s="3"/>
      <c r="L316" s="2" t="e">
        <f>IF(ISBLANK('Master Submitted DPDs'!#REF!),"",'Master Submitted DPDs'!#REF!)</f>
        <v>#REF!</v>
      </c>
      <c r="M316" s="2" t="e">
        <f t="shared" si="8"/>
        <v>#REF!</v>
      </c>
      <c r="N316" s="2" t="e">
        <f>IF(ISBLANK('Master Submitted DPDs'!#REF!),IF(ISBLANK('Master Submitted DPDs'!#REF!),"",'Master Submitted DPDs'!#REF!),'Master Submitted DPDs'!#REF!)</f>
        <v>#REF!</v>
      </c>
      <c r="O316" s="2" t="e">
        <f>IF(ISBLANK('Master Submitted DPDs'!#REF!),"",'Master Submitted DPDs'!#REF!)</f>
        <v>#REF!</v>
      </c>
      <c r="P316" s="2" t="e">
        <f>IF(ISBLANK('Master Submitted DPDs'!#REF!),"",'Master Submitted DPDs'!#REF!)</f>
        <v>#REF!</v>
      </c>
      <c r="Q316" t="e">
        <f>IF(ISBLANK('Master Submitted DPDs'!#REF!),"",'Master Submitted DPDs'!#REF!)</f>
        <v>#REF!</v>
      </c>
      <c r="R316" t="e">
        <f t="shared" si="9"/>
        <v>#REF!</v>
      </c>
      <c r="S316" s="3"/>
      <c r="T316" t="e">
        <f>IF(ISBLANK('Master Submitted DPDs'!#REF!),"",'Master Submitted DPDs'!#REF!)</f>
        <v>#REF!</v>
      </c>
    </row>
    <row r="317" spans="1:20" ht="15" x14ac:dyDescent="0.2">
      <c r="A317" s="3" t="str">
        <f>IF(ISBLANK('Master Submitted DPDs'!#REF!),"","Local Plans")</f>
        <v>Local Plans</v>
      </c>
      <c r="B317" t="e">
        <f>IF(ISBLANK('Master Submitted DPDs'!#REF!),"",'Master Submitted DPDs'!#REF!)</f>
        <v>#REF!</v>
      </c>
      <c r="C317" s="3" t="str">
        <f>IF(ISBLANK('Master Submitted DPDs'!#REF!),"","IH")</f>
        <v>IH</v>
      </c>
      <c r="D317" s="3" t="e">
        <f>LOOKUP($F317,'fuzzy LPA lookup'!$E:$E,'fuzzy LPA lookup'!$A:$A)</f>
        <v>#REF!</v>
      </c>
      <c r="E317" s="3" t="e">
        <f>LOOKUP($F317,'fuzzy LPA lookup'!$E:$E,'fuzzy LPA lookup'!$D:$D)</f>
        <v>#REF!</v>
      </c>
      <c r="F317" s="8" t="e">
        <f>IF(ISBLANK('Master Submitted DPDs'!#REF!),"",'Master Submitted DPDs'!#REF!)</f>
        <v>#REF!</v>
      </c>
      <c r="G317" t="str">
        <f>IF(ISBLANK('Master Submitted DPDs'!#REF!),"","Withdrawn")</f>
        <v>Withdrawn</v>
      </c>
      <c r="H317" s="2" t="e">
        <f>IF(ISBLANK('Master Submitted DPDs'!#REF!),"",'Master Submitted DPDs'!#REF!)</f>
        <v>#REF!</v>
      </c>
      <c r="I317" s="3"/>
      <c r="J317" s="3"/>
      <c r="K317" s="3"/>
      <c r="L317" s="2" t="e">
        <f>IF(ISBLANK('Master Submitted DPDs'!#REF!),"",'Master Submitted DPDs'!#REF!)</f>
        <v>#REF!</v>
      </c>
      <c r="M317" s="2" t="e">
        <f t="shared" si="8"/>
        <v>#REF!</v>
      </c>
      <c r="N317" s="2" t="e">
        <f>IF(ISBLANK('Master Submitted DPDs'!#REF!),IF(ISBLANK('Master Submitted DPDs'!#REF!),"",'Master Submitted DPDs'!#REF!),'Master Submitted DPDs'!#REF!)</f>
        <v>#REF!</v>
      </c>
      <c r="O317" s="2" t="e">
        <f>IF(ISBLANK('Master Submitted DPDs'!#REF!),"",'Master Submitted DPDs'!#REF!)</f>
        <v>#REF!</v>
      </c>
      <c r="P317" s="2" t="e">
        <f>IF(ISBLANK('Master Submitted DPDs'!#REF!),"",'Master Submitted DPDs'!#REF!)</f>
        <v>#REF!</v>
      </c>
      <c r="Q317" t="e">
        <f>IF(ISBLANK('Master Submitted DPDs'!#REF!),"",'Master Submitted DPDs'!#REF!)</f>
        <v>#REF!</v>
      </c>
      <c r="R317" t="e">
        <f t="shared" si="9"/>
        <v>#REF!</v>
      </c>
      <c r="S317" s="3"/>
      <c r="T317" t="e">
        <f>IF(ISBLANK('Master Submitted DPDs'!#REF!),"",'Master Submitted DPDs'!#REF!)</f>
        <v>#REF!</v>
      </c>
    </row>
    <row r="318" spans="1:20" ht="15" x14ac:dyDescent="0.2">
      <c r="A318" s="3" t="str">
        <f>IF(ISBLANK('Master Submitted DPDs'!#REF!),"","Local Plans")</f>
        <v>Local Plans</v>
      </c>
      <c r="B318" t="e">
        <f>IF(ISBLANK('Master Submitted DPDs'!#REF!),"",'Master Submitted DPDs'!#REF!)</f>
        <v>#REF!</v>
      </c>
      <c r="C318" s="3" t="str">
        <f>IF(ISBLANK('Master Submitted DPDs'!#REF!),"","IH")</f>
        <v>IH</v>
      </c>
      <c r="D318" s="3" t="e">
        <f>LOOKUP($F318,'fuzzy LPA lookup'!$E:$E,'fuzzy LPA lookup'!$A:$A)</f>
        <v>#REF!</v>
      </c>
      <c r="E318" s="3" t="e">
        <f>LOOKUP($F318,'fuzzy LPA lookup'!$E:$E,'fuzzy LPA lookup'!$D:$D)</f>
        <v>#REF!</v>
      </c>
      <c r="F318" s="8" t="e">
        <f>IF(ISBLANK('Master Submitted DPDs'!#REF!),"",'Master Submitted DPDs'!#REF!)</f>
        <v>#REF!</v>
      </c>
      <c r="G318" t="str">
        <f>IF(ISBLANK('Master Submitted DPDs'!#REF!),"","Withdrawn")</f>
        <v>Withdrawn</v>
      </c>
      <c r="H318" s="2" t="e">
        <f>IF(ISBLANK('Master Submitted DPDs'!#REF!),"",'Master Submitted DPDs'!#REF!)</f>
        <v>#REF!</v>
      </c>
      <c r="I318" s="3"/>
      <c r="J318" s="3"/>
      <c r="K318" s="3"/>
      <c r="L318" s="2" t="e">
        <f>IF(ISBLANK('Master Submitted DPDs'!#REF!),"",'Master Submitted DPDs'!#REF!)</f>
        <v>#REF!</v>
      </c>
      <c r="M318" s="2" t="e">
        <f t="shared" si="8"/>
        <v>#REF!</v>
      </c>
      <c r="N318" s="2" t="e">
        <f>IF(ISBLANK('Master Submitted DPDs'!#REF!),IF(ISBLANK('Master Submitted DPDs'!#REF!),"",'Master Submitted DPDs'!#REF!),'Master Submitted DPDs'!#REF!)</f>
        <v>#REF!</v>
      </c>
      <c r="O318" s="2" t="e">
        <f>IF(ISBLANK('Master Submitted DPDs'!#REF!),"",'Master Submitted DPDs'!#REF!)</f>
        <v>#REF!</v>
      </c>
      <c r="P318" s="2" t="e">
        <f>IF(ISBLANK('Master Submitted DPDs'!#REF!),"",'Master Submitted DPDs'!#REF!)</f>
        <v>#REF!</v>
      </c>
      <c r="Q318" t="e">
        <f>IF(ISBLANK('Master Submitted DPDs'!#REF!),"",'Master Submitted DPDs'!#REF!)</f>
        <v>#REF!</v>
      </c>
      <c r="R318" t="e">
        <f t="shared" si="9"/>
        <v>#REF!</v>
      </c>
      <c r="S318" s="3"/>
      <c r="T318" t="e">
        <f>IF(ISBLANK('Master Submitted DPDs'!#REF!),"",'Master Submitted DPDs'!#REF!)</f>
        <v>#REF!</v>
      </c>
    </row>
    <row r="319" spans="1:20" ht="15" x14ac:dyDescent="0.2">
      <c r="A319" s="3" t="str">
        <f>IF(ISBLANK('Master Submitted DPDs'!#REF!),"","Local Plans")</f>
        <v>Local Plans</v>
      </c>
      <c r="B319" t="e">
        <f>IF(ISBLANK('Master Submitted DPDs'!#REF!),"",'Master Submitted DPDs'!#REF!)</f>
        <v>#REF!</v>
      </c>
      <c r="C319" s="3" t="str">
        <f>IF(ISBLANK('Master Submitted DPDs'!#REF!),"","IH")</f>
        <v>IH</v>
      </c>
      <c r="D319" s="3" t="e">
        <f>LOOKUP($F319,'fuzzy LPA lookup'!$E:$E,'fuzzy LPA lookup'!$A:$A)</f>
        <v>#REF!</v>
      </c>
      <c r="E319" s="3" t="e">
        <f>LOOKUP($F319,'fuzzy LPA lookup'!$E:$E,'fuzzy LPA lookup'!$D:$D)</f>
        <v>#REF!</v>
      </c>
      <c r="F319" s="8" t="e">
        <f>IF(ISBLANK('Master Submitted DPDs'!#REF!),"",'Master Submitted DPDs'!#REF!)</f>
        <v>#REF!</v>
      </c>
      <c r="G319" t="str">
        <f>IF(ISBLANK('Master Submitted DPDs'!#REF!),"","Withdrawn")</f>
        <v>Withdrawn</v>
      </c>
      <c r="H319" s="2" t="e">
        <f>IF(ISBLANK('Master Submitted DPDs'!#REF!),"",'Master Submitted DPDs'!#REF!)</f>
        <v>#REF!</v>
      </c>
      <c r="I319" s="3"/>
      <c r="J319" s="3"/>
      <c r="K319" s="3"/>
      <c r="L319" s="2" t="e">
        <f>IF(ISBLANK('Master Submitted DPDs'!#REF!),"",'Master Submitted DPDs'!#REF!)</f>
        <v>#REF!</v>
      </c>
      <c r="M319" s="2" t="e">
        <f t="shared" si="8"/>
        <v>#REF!</v>
      </c>
      <c r="N319" s="2" t="e">
        <f>IF(ISBLANK('Master Submitted DPDs'!#REF!),IF(ISBLANK('Master Submitted DPDs'!#REF!),"",'Master Submitted DPDs'!#REF!),'Master Submitted DPDs'!#REF!)</f>
        <v>#REF!</v>
      </c>
      <c r="O319" s="2" t="e">
        <f>IF(ISBLANK('Master Submitted DPDs'!#REF!),"",'Master Submitted DPDs'!#REF!)</f>
        <v>#REF!</v>
      </c>
      <c r="P319" s="2" t="e">
        <f>IF(ISBLANK('Master Submitted DPDs'!#REF!),"",'Master Submitted DPDs'!#REF!)</f>
        <v>#REF!</v>
      </c>
      <c r="Q319" t="e">
        <f>IF(ISBLANK('Master Submitted DPDs'!#REF!),"",'Master Submitted DPDs'!#REF!)</f>
        <v>#REF!</v>
      </c>
      <c r="R319" t="e">
        <f t="shared" si="9"/>
        <v>#REF!</v>
      </c>
      <c r="S319" s="3"/>
      <c r="T319" t="e">
        <f>IF(ISBLANK('Master Submitted DPDs'!#REF!),"",'Master Submitted DPDs'!#REF!)</f>
        <v>#REF!</v>
      </c>
    </row>
    <row r="320" spans="1:20" ht="15" x14ac:dyDescent="0.2">
      <c r="A320" s="3" t="str">
        <f>IF(ISBLANK('Master Submitted DPDs'!#REF!),"","Local Plans")</f>
        <v>Local Plans</v>
      </c>
      <c r="B320" t="e">
        <f>IF(ISBLANK('Master Submitted DPDs'!#REF!),"",'Master Submitted DPDs'!#REF!)</f>
        <v>#REF!</v>
      </c>
      <c r="C320" s="3" t="str">
        <f>IF(ISBLANK('Master Submitted DPDs'!#REF!),"","IH")</f>
        <v>IH</v>
      </c>
      <c r="D320" s="3" t="e">
        <f>LOOKUP($F320,'fuzzy LPA lookup'!$E:$E,'fuzzy LPA lookup'!$A:$A)</f>
        <v>#REF!</v>
      </c>
      <c r="E320" s="3" t="e">
        <f>LOOKUP($F320,'fuzzy LPA lookup'!$E:$E,'fuzzy LPA lookup'!$D:$D)</f>
        <v>#REF!</v>
      </c>
      <c r="F320" s="8" t="e">
        <f>IF(ISBLANK('Master Submitted DPDs'!#REF!),"",'Master Submitted DPDs'!#REF!)</f>
        <v>#REF!</v>
      </c>
      <c r="G320" t="str">
        <f>IF(ISBLANK('Master Submitted DPDs'!#REF!),"","Withdrawn")</f>
        <v>Withdrawn</v>
      </c>
      <c r="H320" s="2" t="e">
        <f>IF(ISBLANK('Master Submitted DPDs'!#REF!),"",'Master Submitted DPDs'!#REF!)</f>
        <v>#REF!</v>
      </c>
      <c r="I320" s="3"/>
      <c r="J320" s="3"/>
      <c r="K320" s="3"/>
      <c r="L320" s="2" t="e">
        <f>IF(ISBLANK('Master Submitted DPDs'!#REF!),"",'Master Submitted DPDs'!#REF!)</f>
        <v>#REF!</v>
      </c>
      <c r="M320" s="2" t="e">
        <f t="shared" si="8"/>
        <v>#REF!</v>
      </c>
      <c r="N320" s="2" t="e">
        <f>IF(ISBLANK('Master Submitted DPDs'!#REF!),IF(ISBLANK('Master Submitted DPDs'!#REF!),"",'Master Submitted DPDs'!#REF!),'Master Submitted DPDs'!#REF!)</f>
        <v>#REF!</v>
      </c>
      <c r="O320" s="2" t="e">
        <f>IF(ISBLANK('Master Submitted DPDs'!#REF!),"",'Master Submitted DPDs'!#REF!)</f>
        <v>#REF!</v>
      </c>
      <c r="P320" s="2" t="e">
        <f>IF(ISBLANK('Master Submitted DPDs'!#REF!),"",'Master Submitted DPDs'!#REF!)</f>
        <v>#REF!</v>
      </c>
      <c r="Q320" t="e">
        <f>IF(ISBLANK('Master Submitted DPDs'!#REF!),"",'Master Submitted DPDs'!#REF!)</f>
        <v>#REF!</v>
      </c>
      <c r="R320" t="e">
        <f t="shared" si="9"/>
        <v>#REF!</v>
      </c>
      <c r="S320" s="3"/>
      <c r="T320" t="e">
        <f>IF(ISBLANK('Master Submitted DPDs'!#REF!),"",'Master Submitted DPDs'!#REF!)</f>
        <v>#REF!</v>
      </c>
    </row>
    <row r="321" spans="1:20" ht="15" x14ac:dyDescent="0.2">
      <c r="A321" s="3" t="str">
        <f>IF(ISBLANK('Master Submitted DPDs'!#REF!),"","Local Plans")</f>
        <v>Local Plans</v>
      </c>
      <c r="B321" t="e">
        <f>IF(ISBLANK('Master Submitted DPDs'!#REF!),"",'Master Submitted DPDs'!#REF!)</f>
        <v>#REF!</v>
      </c>
      <c r="C321" s="3" t="str">
        <f>IF(ISBLANK('Master Submitted DPDs'!#REF!),"","IH")</f>
        <v>IH</v>
      </c>
      <c r="D321" s="3" t="e">
        <f>LOOKUP($F321,'fuzzy LPA lookup'!$E:$E,'fuzzy LPA lookup'!$A:$A)</f>
        <v>#REF!</v>
      </c>
      <c r="E321" s="3" t="e">
        <f>LOOKUP($F321,'fuzzy LPA lookup'!$E:$E,'fuzzy LPA lookup'!$D:$D)</f>
        <v>#REF!</v>
      </c>
      <c r="F321" s="8" t="e">
        <f>IF(ISBLANK('Master Submitted DPDs'!#REF!),"",'Master Submitted DPDs'!#REF!)</f>
        <v>#REF!</v>
      </c>
      <c r="G321" t="str">
        <f>IF(ISBLANK('Master Submitted DPDs'!#REF!),"","Withdrawn")</f>
        <v>Withdrawn</v>
      </c>
      <c r="H321" s="2" t="e">
        <f>IF(ISBLANK('Master Submitted DPDs'!#REF!),"",'Master Submitted DPDs'!#REF!)</f>
        <v>#REF!</v>
      </c>
      <c r="I321" s="3"/>
      <c r="J321" s="3"/>
      <c r="K321" s="3"/>
      <c r="L321" s="2" t="e">
        <f>IF(ISBLANK('Master Submitted DPDs'!#REF!),"",'Master Submitted DPDs'!#REF!)</f>
        <v>#REF!</v>
      </c>
      <c r="M321" s="2" t="e">
        <f t="shared" si="8"/>
        <v>#REF!</v>
      </c>
      <c r="N321" s="2" t="e">
        <f>IF(ISBLANK('Master Submitted DPDs'!#REF!),IF(ISBLANK('Master Submitted DPDs'!#REF!),"",'Master Submitted DPDs'!#REF!),'Master Submitted DPDs'!#REF!)</f>
        <v>#REF!</v>
      </c>
      <c r="O321" s="2" t="e">
        <f>IF(ISBLANK('Master Submitted DPDs'!#REF!),"",'Master Submitted DPDs'!#REF!)</f>
        <v>#REF!</v>
      </c>
      <c r="P321" s="2" t="e">
        <f>IF(ISBLANK('Master Submitted DPDs'!#REF!),"",'Master Submitted DPDs'!#REF!)</f>
        <v>#REF!</v>
      </c>
      <c r="Q321" t="e">
        <f>IF(ISBLANK('Master Submitted DPDs'!#REF!),"",'Master Submitted DPDs'!#REF!)</f>
        <v>#REF!</v>
      </c>
      <c r="R321" t="e">
        <f t="shared" si="9"/>
        <v>#REF!</v>
      </c>
      <c r="S321" s="3"/>
      <c r="T321" t="e">
        <f>IF(ISBLANK('Master Submitted DPDs'!#REF!),"",'Master Submitted DPDs'!#REF!)</f>
        <v>#REF!</v>
      </c>
    </row>
    <row r="322" spans="1:20" ht="15" x14ac:dyDescent="0.2">
      <c r="A322" s="3" t="str">
        <f>IF(ISBLANK('Master Submitted DPDs'!#REF!),"","Local Plans")</f>
        <v>Local Plans</v>
      </c>
      <c r="B322" t="e">
        <f>IF(ISBLANK('Master Submitted DPDs'!#REF!),"",'Master Submitted DPDs'!#REF!)</f>
        <v>#REF!</v>
      </c>
      <c r="C322" s="3" t="str">
        <f>IF(ISBLANK('Master Submitted DPDs'!#REF!),"","IH")</f>
        <v>IH</v>
      </c>
      <c r="D322" s="3" t="e">
        <f>LOOKUP($F322,'fuzzy LPA lookup'!$E:$E,'fuzzy LPA lookup'!$A:$A)</f>
        <v>#REF!</v>
      </c>
      <c r="E322" s="3" t="e">
        <f>LOOKUP($F322,'fuzzy LPA lookup'!$E:$E,'fuzzy LPA lookup'!$D:$D)</f>
        <v>#REF!</v>
      </c>
      <c r="F322" s="8" t="e">
        <f>IF(ISBLANK('Master Submitted DPDs'!#REF!),"",'Master Submitted DPDs'!#REF!)</f>
        <v>#REF!</v>
      </c>
      <c r="G322" t="str">
        <f>IF(ISBLANK('Master Submitted DPDs'!#REF!),"","Withdrawn")</f>
        <v>Withdrawn</v>
      </c>
      <c r="H322" s="2" t="e">
        <f>IF(ISBLANK('Master Submitted DPDs'!#REF!),"",'Master Submitted DPDs'!#REF!)</f>
        <v>#REF!</v>
      </c>
      <c r="I322" s="3"/>
      <c r="J322" s="3"/>
      <c r="K322" s="3"/>
      <c r="L322" s="2" t="e">
        <f>IF(ISBLANK('Master Submitted DPDs'!#REF!),"",'Master Submitted DPDs'!#REF!)</f>
        <v>#REF!</v>
      </c>
      <c r="M322" s="2" t="e">
        <f t="shared" ref="M322:M385" si="10">L322</f>
        <v>#REF!</v>
      </c>
      <c r="N322" s="2" t="e">
        <f>IF(ISBLANK('Master Submitted DPDs'!#REF!),IF(ISBLANK('Master Submitted DPDs'!#REF!),"",'Master Submitted DPDs'!#REF!),'Master Submitted DPDs'!#REF!)</f>
        <v>#REF!</v>
      </c>
      <c r="O322" s="2" t="e">
        <f>IF(ISBLANK('Master Submitted DPDs'!#REF!),"",'Master Submitted DPDs'!#REF!)</f>
        <v>#REF!</v>
      </c>
      <c r="P322" s="2" t="e">
        <f>IF(ISBLANK('Master Submitted DPDs'!#REF!),"",'Master Submitted DPDs'!#REF!)</f>
        <v>#REF!</v>
      </c>
      <c r="Q322" t="e">
        <f>IF(ISBLANK('Master Submitted DPDs'!#REF!),"",'Master Submitted DPDs'!#REF!)</f>
        <v>#REF!</v>
      </c>
      <c r="R322" t="e">
        <f t="shared" ref="R322:R385" si="11">IF(F322="","",IF(AND(H322="",Q322&lt;&gt;"UNS",P322=""),"Open","Closed"))</f>
        <v>#REF!</v>
      </c>
      <c r="S322" s="3"/>
      <c r="T322" t="e">
        <f>IF(ISBLANK('Master Submitted DPDs'!#REF!),"",'Master Submitted DPDs'!#REF!)</f>
        <v>#REF!</v>
      </c>
    </row>
    <row r="323" spans="1:20" ht="15" x14ac:dyDescent="0.2">
      <c r="A323" s="3" t="str">
        <f>IF(ISBLANK('Master Submitted DPDs'!#REF!),"","Local Plans")</f>
        <v>Local Plans</v>
      </c>
      <c r="B323" t="e">
        <f>IF(ISBLANK('Master Submitted DPDs'!#REF!),"",'Master Submitted DPDs'!#REF!)</f>
        <v>#REF!</v>
      </c>
      <c r="C323" s="3" t="str">
        <f>IF(ISBLANK('Master Submitted DPDs'!#REF!),"","IH")</f>
        <v>IH</v>
      </c>
      <c r="D323" s="3" t="e">
        <f>LOOKUP($F323,'fuzzy LPA lookup'!$E:$E,'fuzzy LPA lookup'!$A:$A)</f>
        <v>#REF!</v>
      </c>
      <c r="E323" s="3" t="e">
        <f>LOOKUP($F323,'fuzzy LPA lookup'!$E:$E,'fuzzy LPA lookup'!$D:$D)</f>
        <v>#REF!</v>
      </c>
      <c r="F323" s="8" t="e">
        <f>IF(ISBLANK('Master Submitted DPDs'!#REF!),"",'Master Submitted DPDs'!#REF!)</f>
        <v>#REF!</v>
      </c>
      <c r="G323" t="str">
        <f>IF(ISBLANK('Master Submitted DPDs'!#REF!),"","Withdrawn")</f>
        <v>Withdrawn</v>
      </c>
      <c r="H323" s="2" t="e">
        <f>IF(ISBLANK('Master Submitted DPDs'!#REF!),"",'Master Submitted DPDs'!#REF!)</f>
        <v>#REF!</v>
      </c>
      <c r="I323" s="3"/>
      <c r="J323" s="3"/>
      <c r="K323" s="3"/>
      <c r="L323" s="2" t="e">
        <f>IF(ISBLANK('Master Submitted DPDs'!#REF!),"",'Master Submitted DPDs'!#REF!)</f>
        <v>#REF!</v>
      </c>
      <c r="M323" s="2" t="e">
        <f t="shared" si="10"/>
        <v>#REF!</v>
      </c>
      <c r="N323" s="2" t="e">
        <f>IF(ISBLANK('Master Submitted DPDs'!#REF!),IF(ISBLANK('Master Submitted DPDs'!#REF!),"",'Master Submitted DPDs'!#REF!),'Master Submitted DPDs'!#REF!)</f>
        <v>#REF!</v>
      </c>
      <c r="O323" s="2" t="e">
        <f>IF(ISBLANK('Master Submitted DPDs'!#REF!),"",'Master Submitted DPDs'!#REF!)</f>
        <v>#REF!</v>
      </c>
      <c r="P323" s="2" t="e">
        <f>IF(ISBLANK('Master Submitted DPDs'!#REF!),"",'Master Submitted DPDs'!#REF!)</f>
        <v>#REF!</v>
      </c>
      <c r="Q323" t="e">
        <f>IF(ISBLANK('Master Submitted DPDs'!#REF!),"",'Master Submitted DPDs'!#REF!)</f>
        <v>#REF!</v>
      </c>
      <c r="R323" t="e">
        <f t="shared" si="11"/>
        <v>#REF!</v>
      </c>
      <c r="S323" s="3"/>
      <c r="T323" t="e">
        <f>IF(ISBLANK('Master Submitted DPDs'!#REF!),"",'Master Submitted DPDs'!#REF!)</f>
        <v>#REF!</v>
      </c>
    </row>
    <row r="324" spans="1:20" ht="15" x14ac:dyDescent="0.2">
      <c r="A324" s="3" t="str">
        <f>IF(ISBLANK('Master Submitted DPDs'!#REF!),"","Local Plans")</f>
        <v>Local Plans</v>
      </c>
      <c r="B324" t="e">
        <f>IF(ISBLANK('Master Submitted DPDs'!#REF!),"",'Master Submitted DPDs'!#REF!)</f>
        <v>#REF!</v>
      </c>
      <c r="C324" s="3" t="str">
        <f>IF(ISBLANK('Master Submitted DPDs'!#REF!),"","IH")</f>
        <v>IH</v>
      </c>
      <c r="D324" s="3" t="e">
        <f>LOOKUP($F324,'fuzzy LPA lookup'!$E:$E,'fuzzy LPA lookup'!$A:$A)</f>
        <v>#REF!</v>
      </c>
      <c r="E324" s="3" t="e">
        <f>LOOKUP($F324,'fuzzy LPA lookup'!$E:$E,'fuzzy LPA lookup'!$D:$D)</f>
        <v>#REF!</v>
      </c>
      <c r="F324" s="8" t="e">
        <f>IF(ISBLANK('Master Submitted DPDs'!#REF!),"",'Master Submitted DPDs'!#REF!)</f>
        <v>#REF!</v>
      </c>
      <c r="G324" t="str">
        <f>IF(ISBLANK('Master Submitted DPDs'!#REF!),"","Withdrawn")</f>
        <v>Withdrawn</v>
      </c>
      <c r="H324" s="2" t="e">
        <f>IF(ISBLANK('Master Submitted DPDs'!#REF!),"",'Master Submitted DPDs'!#REF!)</f>
        <v>#REF!</v>
      </c>
      <c r="I324" s="3"/>
      <c r="J324" s="3"/>
      <c r="K324" s="3"/>
      <c r="L324" s="2" t="e">
        <f>IF(ISBLANK('Master Submitted DPDs'!#REF!),"",'Master Submitted DPDs'!#REF!)</f>
        <v>#REF!</v>
      </c>
      <c r="M324" s="2" t="e">
        <f t="shared" si="10"/>
        <v>#REF!</v>
      </c>
      <c r="N324" s="2" t="e">
        <f>IF(ISBLANK('Master Submitted DPDs'!#REF!),IF(ISBLANK('Master Submitted DPDs'!#REF!),"",'Master Submitted DPDs'!#REF!),'Master Submitted DPDs'!#REF!)</f>
        <v>#REF!</v>
      </c>
      <c r="O324" s="2" t="e">
        <f>IF(ISBLANK('Master Submitted DPDs'!#REF!),"",'Master Submitted DPDs'!#REF!)</f>
        <v>#REF!</v>
      </c>
      <c r="P324" s="2" t="e">
        <f>IF(ISBLANK('Master Submitted DPDs'!#REF!),"",'Master Submitted DPDs'!#REF!)</f>
        <v>#REF!</v>
      </c>
      <c r="Q324" t="e">
        <f>IF(ISBLANK('Master Submitted DPDs'!#REF!),"",'Master Submitted DPDs'!#REF!)</f>
        <v>#REF!</v>
      </c>
      <c r="R324" t="e">
        <f t="shared" si="11"/>
        <v>#REF!</v>
      </c>
      <c r="S324" s="3"/>
      <c r="T324" t="e">
        <f>IF(ISBLANK('Master Submitted DPDs'!#REF!),"",'Master Submitted DPDs'!#REF!)</f>
        <v>#REF!</v>
      </c>
    </row>
    <row r="325" spans="1:20" ht="15" x14ac:dyDescent="0.2">
      <c r="A325" s="3" t="str">
        <f>IF(ISBLANK('Master Submitted DPDs'!#REF!),"","Local Plans")</f>
        <v>Local Plans</v>
      </c>
      <c r="B325" t="e">
        <f>IF(ISBLANK('Master Submitted DPDs'!#REF!),"",'Master Submitted DPDs'!#REF!)</f>
        <v>#REF!</v>
      </c>
      <c r="C325" s="3" t="str">
        <f>IF(ISBLANK('Master Submitted DPDs'!#REF!),"","IH")</f>
        <v>IH</v>
      </c>
      <c r="D325" s="3" t="e">
        <f>LOOKUP($F325,'fuzzy LPA lookup'!$E:$E,'fuzzy LPA lookup'!$A:$A)</f>
        <v>#REF!</v>
      </c>
      <c r="E325" s="3" t="e">
        <f>LOOKUP($F325,'fuzzy LPA lookup'!$E:$E,'fuzzy LPA lookup'!$D:$D)</f>
        <v>#REF!</v>
      </c>
      <c r="F325" s="8" t="e">
        <f>IF(ISBLANK('Master Submitted DPDs'!#REF!),"",'Master Submitted DPDs'!#REF!)</f>
        <v>#REF!</v>
      </c>
      <c r="G325" t="str">
        <f>IF(ISBLANK('Master Submitted DPDs'!#REF!),"","Withdrawn")</f>
        <v>Withdrawn</v>
      </c>
      <c r="H325" s="2" t="e">
        <f>IF(ISBLANK('Master Submitted DPDs'!#REF!),"",'Master Submitted DPDs'!#REF!)</f>
        <v>#REF!</v>
      </c>
      <c r="I325" s="3"/>
      <c r="J325" s="3"/>
      <c r="K325" s="3"/>
      <c r="L325" s="2" t="e">
        <f>IF(ISBLANK('Master Submitted DPDs'!#REF!),"",'Master Submitted DPDs'!#REF!)</f>
        <v>#REF!</v>
      </c>
      <c r="M325" s="2" t="e">
        <f t="shared" si="10"/>
        <v>#REF!</v>
      </c>
      <c r="N325" s="2" t="e">
        <f>IF(ISBLANK('Master Submitted DPDs'!#REF!),IF(ISBLANK('Master Submitted DPDs'!#REF!),"",'Master Submitted DPDs'!#REF!),'Master Submitted DPDs'!#REF!)</f>
        <v>#REF!</v>
      </c>
      <c r="O325" s="2" t="e">
        <f>IF(ISBLANK('Master Submitted DPDs'!#REF!),"",'Master Submitted DPDs'!#REF!)</f>
        <v>#REF!</v>
      </c>
      <c r="P325" s="2" t="e">
        <f>IF(ISBLANK('Master Submitted DPDs'!#REF!),"",'Master Submitted DPDs'!#REF!)</f>
        <v>#REF!</v>
      </c>
      <c r="Q325" t="e">
        <f>IF(ISBLANK('Master Submitted DPDs'!#REF!),"",'Master Submitted DPDs'!#REF!)</f>
        <v>#REF!</v>
      </c>
      <c r="R325" t="e">
        <f t="shared" si="11"/>
        <v>#REF!</v>
      </c>
      <c r="S325" s="3"/>
      <c r="T325" t="e">
        <f>IF(ISBLANK('Master Submitted DPDs'!#REF!),"",'Master Submitted DPDs'!#REF!)</f>
        <v>#REF!</v>
      </c>
    </row>
    <row r="326" spans="1:20" ht="15" x14ac:dyDescent="0.2">
      <c r="A326" s="3" t="str">
        <f>IF(ISBLANK('Master Submitted DPDs'!#REF!),"","Local Plans")</f>
        <v>Local Plans</v>
      </c>
      <c r="B326" t="e">
        <f>IF(ISBLANK('Master Submitted DPDs'!#REF!),"",'Master Submitted DPDs'!#REF!)</f>
        <v>#REF!</v>
      </c>
      <c r="C326" s="3" t="str">
        <f>IF(ISBLANK('Master Submitted DPDs'!#REF!),"","IH")</f>
        <v>IH</v>
      </c>
      <c r="D326" s="3" t="e">
        <f>LOOKUP($F326,'fuzzy LPA lookup'!$E:$E,'fuzzy LPA lookup'!$A:$A)</f>
        <v>#REF!</v>
      </c>
      <c r="E326" s="3" t="e">
        <f>LOOKUP($F326,'fuzzy LPA lookup'!$E:$E,'fuzzy LPA lookup'!$D:$D)</f>
        <v>#REF!</v>
      </c>
      <c r="F326" s="8" t="e">
        <f>IF(ISBLANK('Master Submitted DPDs'!#REF!),"",'Master Submitted DPDs'!#REF!)</f>
        <v>#REF!</v>
      </c>
      <c r="G326" t="str">
        <f>IF(ISBLANK('Master Submitted DPDs'!#REF!),"","Withdrawn")</f>
        <v>Withdrawn</v>
      </c>
      <c r="H326" s="2" t="e">
        <f>IF(ISBLANK('Master Submitted DPDs'!#REF!),"",'Master Submitted DPDs'!#REF!)</f>
        <v>#REF!</v>
      </c>
      <c r="I326" s="3"/>
      <c r="J326" s="3"/>
      <c r="K326" s="3"/>
      <c r="L326" s="2" t="e">
        <f>IF(ISBLANK('Master Submitted DPDs'!#REF!),"",'Master Submitted DPDs'!#REF!)</f>
        <v>#REF!</v>
      </c>
      <c r="M326" s="2" t="e">
        <f t="shared" si="10"/>
        <v>#REF!</v>
      </c>
      <c r="N326" s="2" t="e">
        <f>IF(ISBLANK('Master Submitted DPDs'!#REF!),IF(ISBLANK('Master Submitted DPDs'!#REF!),"",'Master Submitted DPDs'!#REF!),'Master Submitted DPDs'!#REF!)</f>
        <v>#REF!</v>
      </c>
      <c r="O326" s="2" t="e">
        <f>IF(ISBLANK('Master Submitted DPDs'!#REF!),"",'Master Submitted DPDs'!#REF!)</f>
        <v>#REF!</v>
      </c>
      <c r="P326" s="2" t="e">
        <f>IF(ISBLANK('Master Submitted DPDs'!#REF!),"",'Master Submitted DPDs'!#REF!)</f>
        <v>#REF!</v>
      </c>
      <c r="Q326" t="e">
        <f>IF(ISBLANK('Master Submitted DPDs'!#REF!),"",'Master Submitted DPDs'!#REF!)</f>
        <v>#REF!</v>
      </c>
      <c r="R326" t="e">
        <f t="shared" si="11"/>
        <v>#REF!</v>
      </c>
      <c r="S326" s="3"/>
      <c r="T326" t="e">
        <f>IF(ISBLANK('Master Submitted DPDs'!#REF!),"",'Master Submitted DPDs'!#REF!)</f>
        <v>#REF!</v>
      </c>
    </row>
    <row r="327" spans="1:20" ht="15" x14ac:dyDescent="0.2">
      <c r="A327" s="3" t="str">
        <f>IF(ISBLANK('Master Submitted DPDs'!#REF!),"","Local Plans")</f>
        <v>Local Plans</v>
      </c>
      <c r="B327" t="e">
        <f>IF(ISBLANK('Master Submitted DPDs'!#REF!),"",'Master Submitted DPDs'!#REF!)</f>
        <v>#REF!</v>
      </c>
      <c r="C327" s="3" t="str">
        <f>IF(ISBLANK('Master Submitted DPDs'!#REF!),"","IH")</f>
        <v>IH</v>
      </c>
      <c r="D327" s="3" t="e">
        <f>LOOKUP($F327,'fuzzy LPA lookup'!$E:$E,'fuzzy LPA lookup'!$A:$A)</f>
        <v>#REF!</v>
      </c>
      <c r="E327" s="3" t="e">
        <f>LOOKUP($F327,'fuzzy LPA lookup'!$E:$E,'fuzzy LPA lookup'!$D:$D)</f>
        <v>#REF!</v>
      </c>
      <c r="F327" s="8" t="e">
        <f>IF(ISBLANK('Master Submitted DPDs'!#REF!),"",'Master Submitted DPDs'!#REF!)</f>
        <v>#REF!</v>
      </c>
      <c r="G327" t="str">
        <f>IF(ISBLANK('Master Submitted DPDs'!#REF!),"","Withdrawn")</f>
        <v>Withdrawn</v>
      </c>
      <c r="H327" s="2" t="e">
        <f>IF(ISBLANK('Master Submitted DPDs'!#REF!),"",'Master Submitted DPDs'!#REF!)</f>
        <v>#REF!</v>
      </c>
      <c r="I327" s="3"/>
      <c r="J327" s="3"/>
      <c r="K327" s="3"/>
      <c r="L327" s="2" t="e">
        <f>IF(ISBLANK('Master Submitted DPDs'!#REF!),"",'Master Submitted DPDs'!#REF!)</f>
        <v>#REF!</v>
      </c>
      <c r="M327" s="2" t="e">
        <f t="shared" si="10"/>
        <v>#REF!</v>
      </c>
      <c r="N327" s="2" t="e">
        <f>IF(ISBLANK('Master Submitted DPDs'!#REF!),IF(ISBLANK('Master Submitted DPDs'!#REF!),"",'Master Submitted DPDs'!#REF!),'Master Submitted DPDs'!#REF!)</f>
        <v>#REF!</v>
      </c>
      <c r="O327" s="2" t="e">
        <f>IF(ISBLANK('Master Submitted DPDs'!#REF!),"",'Master Submitted DPDs'!#REF!)</f>
        <v>#REF!</v>
      </c>
      <c r="P327" s="2" t="e">
        <f>IF(ISBLANK('Master Submitted DPDs'!#REF!),"",'Master Submitted DPDs'!#REF!)</f>
        <v>#REF!</v>
      </c>
      <c r="Q327" t="e">
        <f>IF(ISBLANK('Master Submitted DPDs'!#REF!),"",'Master Submitted DPDs'!#REF!)</f>
        <v>#REF!</v>
      </c>
      <c r="R327" t="e">
        <f t="shared" si="11"/>
        <v>#REF!</v>
      </c>
      <c r="S327" s="3"/>
      <c r="T327" t="e">
        <f>IF(ISBLANK('Master Submitted DPDs'!#REF!),"",'Master Submitted DPDs'!#REF!)</f>
        <v>#REF!</v>
      </c>
    </row>
    <row r="328" spans="1:20" ht="15" x14ac:dyDescent="0.2">
      <c r="A328" s="3" t="str">
        <f>IF(ISBLANK('Master Submitted DPDs'!#REF!),"","Local Plans")</f>
        <v>Local Plans</v>
      </c>
      <c r="B328" t="e">
        <f>IF(ISBLANK('Master Submitted DPDs'!#REF!),"",'Master Submitted DPDs'!#REF!)</f>
        <v>#REF!</v>
      </c>
      <c r="C328" s="3" t="str">
        <f>IF(ISBLANK('Master Submitted DPDs'!#REF!),"","IH")</f>
        <v>IH</v>
      </c>
      <c r="D328" s="3" t="e">
        <f>LOOKUP($F328,'fuzzy LPA lookup'!$E:$E,'fuzzy LPA lookup'!$A:$A)</f>
        <v>#REF!</v>
      </c>
      <c r="E328" s="3" t="e">
        <f>LOOKUP($F328,'fuzzy LPA lookup'!$E:$E,'fuzzy LPA lookup'!$D:$D)</f>
        <v>#REF!</v>
      </c>
      <c r="F328" s="8" t="e">
        <f>IF(ISBLANK('Master Submitted DPDs'!#REF!),"",'Master Submitted DPDs'!#REF!)</f>
        <v>#REF!</v>
      </c>
      <c r="G328" t="str">
        <f>IF(ISBLANK('Master Submitted DPDs'!#REF!),"","Withdrawn")</f>
        <v>Withdrawn</v>
      </c>
      <c r="H328" s="2" t="e">
        <f>IF(ISBLANK('Master Submitted DPDs'!#REF!),"",'Master Submitted DPDs'!#REF!)</f>
        <v>#REF!</v>
      </c>
      <c r="I328" s="3"/>
      <c r="J328" s="3"/>
      <c r="K328" s="3"/>
      <c r="L328" s="2" t="e">
        <f>IF(ISBLANK('Master Submitted DPDs'!#REF!),"",'Master Submitted DPDs'!#REF!)</f>
        <v>#REF!</v>
      </c>
      <c r="M328" s="2" t="e">
        <f t="shared" si="10"/>
        <v>#REF!</v>
      </c>
      <c r="N328" s="2" t="e">
        <f>IF(ISBLANK('Master Submitted DPDs'!#REF!),IF(ISBLANK('Master Submitted DPDs'!#REF!),"",'Master Submitted DPDs'!#REF!),'Master Submitted DPDs'!#REF!)</f>
        <v>#REF!</v>
      </c>
      <c r="O328" s="2" t="e">
        <f>IF(ISBLANK('Master Submitted DPDs'!#REF!),"",'Master Submitted DPDs'!#REF!)</f>
        <v>#REF!</v>
      </c>
      <c r="P328" s="2" t="e">
        <f>IF(ISBLANK('Master Submitted DPDs'!#REF!),"",'Master Submitted DPDs'!#REF!)</f>
        <v>#REF!</v>
      </c>
      <c r="Q328" t="e">
        <f>IF(ISBLANK('Master Submitted DPDs'!#REF!),"",'Master Submitted DPDs'!#REF!)</f>
        <v>#REF!</v>
      </c>
      <c r="R328" t="e">
        <f t="shared" si="11"/>
        <v>#REF!</v>
      </c>
      <c r="S328" s="3"/>
      <c r="T328" t="e">
        <f>IF(ISBLANK('Master Submitted DPDs'!#REF!),"",'Master Submitted DPDs'!#REF!)</f>
        <v>#REF!</v>
      </c>
    </row>
    <row r="329" spans="1:20" ht="15" x14ac:dyDescent="0.2">
      <c r="A329" s="3" t="str">
        <f>IF(ISBLANK('Master Submitted DPDs'!#REF!),"","Local Plans")</f>
        <v>Local Plans</v>
      </c>
      <c r="B329" t="e">
        <f>IF(ISBLANK('Master Submitted DPDs'!#REF!),"",'Master Submitted DPDs'!#REF!)</f>
        <v>#REF!</v>
      </c>
      <c r="C329" s="3" t="str">
        <f>IF(ISBLANK('Master Submitted DPDs'!#REF!),"","IH")</f>
        <v>IH</v>
      </c>
      <c r="D329" s="3" t="e">
        <f>LOOKUP($F329,'fuzzy LPA lookup'!$E:$E,'fuzzy LPA lookup'!$A:$A)</f>
        <v>#REF!</v>
      </c>
      <c r="E329" s="3" t="e">
        <f>LOOKUP($F329,'fuzzy LPA lookup'!$E:$E,'fuzzy LPA lookup'!$D:$D)</f>
        <v>#REF!</v>
      </c>
      <c r="F329" s="8" t="e">
        <f>IF(ISBLANK('Master Submitted DPDs'!#REF!),"",'Master Submitted DPDs'!#REF!)</f>
        <v>#REF!</v>
      </c>
      <c r="G329" t="str">
        <f>IF(ISBLANK('Master Submitted DPDs'!#REF!),"","Withdrawn")</f>
        <v>Withdrawn</v>
      </c>
      <c r="H329" s="2" t="e">
        <f>IF(ISBLANK('Master Submitted DPDs'!#REF!),"",'Master Submitted DPDs'!#REF!)</f>
        <v>#REF!</v>
      </c>
      <c r="I329" s="3"/>
      <c r="J329" s="3"/>
      <c r="K329" s="3"/>
      <c r="L329" s="2" t="e">
        <f>IF(ISBLANK('Master Submitted DPDs'!#REF!),"",'Master Submitted DPDs'!#REF!)</f>
        <v>#REF!</v>
      </c>
      <c r="M329" s="2" t="e">
        <f t="shared" si="10"/>
        <v>#REF!</v>
      </c>
      <c r="N329" s="2" t="e">
        <f>IF(ISBLANK('Master Submitted DPDs'!#REF!),IF(ISBLANK('Master Submitted DPDs'!#REF!),"",'Master Submitted DPDs'!#REF!),'Master Submitted DPDs'!#REF!)</f>
        <v>#REF!</v>
      </c>
      <c r="O329" s="2" t="e">
        <f>IF(ISBLANK('Master Submitted DPDs'!#REF!),"",'Master Submitted DPDs'!#REF!)</f>
        <v>#REF!</v>
      </c>
      <c r="P329" s="2" t="e">
        <f>IF(ISBLANK('Master Submitted DPDs'!#REF!),"",'Master Submitted DPDs'!#REF!)</f>
        <v>#REF!</v>
      </c>
      <c r="Q329" t="e">
        <f>IF(ISBLANK('Master Submitted DPDs'!#REF!),"",'Master Submitted DPDs'!#REF!)</f>
        <v>#REF!</v>
      </c>
      <c r="R329" t="e">
        <f t="shared" si="11"/>
        <v>#REF!</v>
      </c>
      <c r="S329" s="3"/>
      <c r="T329" t="e">
        <f>IF(ISBLANK('Master Submitted DPDs'!#REF!),"",'Master Submitted DPDs'!#REF!)</f>
        <v>#REF!</v>
      </c>
    </row>
    <row r="330" spans="1:20" ht="15" x14ac:dyDescent="0.2">
      <c r="A330" s="3" t="str">
        <f>IF(ISBLANK('Master Submitted DPDs'!#REF!),"","Local Plans")</f>
        <v>Local Plans</v>
      </c>
      <c r="B330" t="e">
        <f>IF(ISBLANK('Master Submitted DPDs'!#REF!),"",'Master Submitted DPDs'!#REF!)</f>
        <v>#REF!</v>
      </c>
      <c r="C330" s="3" t="str">
        <f>IF(ISBLANK('Master Submitted DPDs'!#REF!),"","IH")</f>
        <v>IH</v>
      </c>
      <c r="D330" s="3" t="e">
        <f>LOOKUP($F330,'fuzzy LPA lookup'!$E:$E,'fuzzy LPA lookup'!$A:$A)</f>
        <v>#REF!</v>
      </c>
      <c r="E330" s="3" t="e">
        <f>LOOKUP($F330,'fuzzy LPA lookup'!$E:$E,'fuzzy LPA lookup'!$D:$D)</f>
        <v>#REF!</v>
      </c>
      <c r="F330" s="8" t="e">
        <f>IF(ISBLANK('Master Submitted DPDs'!#REF!),"",'Master Submitted DPDs'!#REF!)</f>
        <v>#REF!</v>
      </c>
      <c r="G330" t="str">
        <f>IF(ISBLANK('Master Submitted DPDs'!#REF!),"","Withdrawn")</f>
        <v>Withdrawn</v>
      </c>
      <c r="H330" s="2" t="e">
        <f>IF(ISBLANK('Master Submitted DPDs'!#REF!),"",'Master Submitted DPDs'!#REF!)</f>
        <v>#REF!</v>
      </c>
      <c r="I330" s="3"/>
      <c r="J330" s="3"/>
      <c r="K330" s="3"/>
      <c r="L330" s="2" t="e">
        <f>IF(ISBLANK('Master Submitted DPDs'!#REF!),"",'Master Submitted DPDs'!#REF!)</f>
        <v>#REF!</v>
      </c>
      <c r="M330" s="2" t="e">
        <f t="shared" si="10"/>
        <v>#REF!</v>
      </c>
      <c r="N330" s="2" t="e">
        <f>IF(ISBLANK('Master Submitted DPDs'!#REF!),IF(ISBLANK('Master Submitted DPDs'!#REF!),"",'Master Submitted DPDs'!#REF!),'Master Submitted DPDs'!#REF!)</f>
        <v>#REF!</v>
      </c>
      <c r="O330" s="2" t="e">
        <f>IF(ISBLANK('Master Submitted DPDs'!#REF!),"",'Master Submitted DPDs'!#REF!)</f>
        <v>#REF!</v>
      </c>
      <c r="P330" s="2" t="e">
        <f>IF(ISBLANK('Master Submitted DPDs'!#REF!),"",'Master Submitted DPDs'!#REF!)</f>
        <v>#REF!</v>
      </c>
      <c r="Q330" t="e">
        <f>IF(ISBLANK('Master Submitted DPDs'!#REF!),"",'Master Submitted DPDs'!#REF!)</f>
        <v>#REF!</v>
      </c>
      <c r="R330" t="e">
        <f t="shared" si="11"/>
        <v>#REF!</v>
      </c>
      <c r="S330" s="3"/>
      <c r="T330" t="e">
        <f>IF(ISBLANK('Master Submitted DPDs'!#REF!),"",'Master Submitted DPDs'!#REF!)</f>
        <v>#REF!</v>
      </c>
    </row>
    <row r="331" spans="1:20" ht="15" x14ac:dyDescent="0.2">
      <c r="A331" s="3" t="str">
        <f>IF(ISBLANK('Master Submitted DPDs'!#REF!),"","Local Plans")</f>
        <v>Local Plans</v>
      </c>
      <c r="B331" t="e">
        <f>IF(ISBLANK('Master Submitted DPDs'!#REF!),"",'Master Submitted DPDs'!#REF!)</f>
        <v>#REF!</v>
      </c>
      <c r="C331" s="3" t="str">
        <f>IF(ISBLANK('Master Submitted DPDs'!#REF!),"","IH")</f>
        <v>IH</v>
      </c>
      <c r="D331" s="3" t="e">
        <f>LOOKUP($F331,'fuzzy LPA lookup'!$E:$E,'fuzzy LPA lookup'!$A:$A)</f>
        <v>#REF!</v>
      </c>
      <c r="E331" s="3" t="e">
        <f>LOOKUP($F331,'fuzzy LPA lookup'!$E:$E,'fuzzy LPA lookup'!$D:$D)</f>
        <v>#REF!</v>
      </c>
      <c r="F331" s="8" t="e">
        <f>IF(ISBLANK('Master Submitted DPDs'!#REF!),"",'Master Submitted DPDs'!#REF!)</f>
        <v>#REF!</v>
      </c>
      <c r="G331" t="str">
        <f>IF(ISBLANK('Master Submitted DPDs'!#REF!),"","Withdrawn")</f>
        <v>Withdrawn</v>
      </c>
      <c r="H331" s="2" t="e">
        <f>IF(ISBLANK('Master Submitted DPDs'!#REF!),"",'Master Submitted DPDs'!#REF!)</f>
        <v>#REF!</v>
      </c>
      <c r="I331" s="3"/>
      <c r="J331" s="3"/>
      <c r="K331" s="3"/>
      <c r="L331" s="2" t="e">
        <f>IF(ISBLANK('Master Submitted DPDs'!#REF!),"",'Master Submitted DPDs'!#REF!)</f>
        <v>#REF!</v>
      </c>
      <c r="M331" s="2" t="e">
        <f t="shared" si="10"/>
        <v>#REF!</v>
      </c>
      <c r="N331" s="2" t="e">
        <f>IF(ISBLANK('Master Submitted DPDs'!#REF!),IF(ISBLANK('Master Submitted DPDs'!#REF!),"",'Master Submitted DPDs'!#REF!),'Master Submitted DPDs'!#REF!)</f>
        <v>#REF!</v>
      </c>
      <c r="O331" s="2" t="e">
        <f>IF(ISBLANK('Master Submitted DPDs'!#REF!),"",'Master Submitted DPDs'!#REF!)</f>
        <v>#REF!</v>
      </c>
      <c r="P331" s="2" t="e">
        <f>IF(ISBLANK('Master Submitted DPDs'!#REF!),"",'Master Submitted DPDs'!#REF!)</f>
        <v>#REF!</v>
      </c>
      <c r="Q331" t="e">
        <f>IF(ISBLANK('Master Submitted DPDs'!#REF!),"",'Master Submitted DPDs'!#REF!)</f>
        <v>#REF!</v>
      </c>
      <c r="R331" t="e">
        <f t="shared" si="11"/>
        <v>#REF!</v>
      </c>
      <c r="S331" s="3"/>
      <c r="T331" t="e">
        <f>IF(ISBLANK('Master Submitted DPDs'!#REF!),"",'Master Submitted DPDs'!#REF!)</f>
        <v>#REF!</v>
      </c>
    </row>
    <row r="332" spans="1:20" ht="15" x14ac:dyDescent="0.2">
      <c r="A332" s="3" t="str">
        <f>IF(ISBLANK('Master Submitted DPDs'!#REF!),"","Local Plans")</f>
        <v>Local Plans</v>
      </c>
      <c r="B332" t="e">
        <f>IF(ISBLANK('Master Submitted DPDs'!#REF!),"",'Master Submitted DPDs'!#REF!)</f>
        <v>#REF!</v>
      </c>
      <c r="C332" s="3" t="str">
        <f>IF(ISBLANK('Master Submitted DPDs'!#REF!),"","IH")</f>
        <v>IH</v>
      </c>
      <c r="D332" s="3" t="e">
        <f>LOOKUP($F332,'fuzzy LPA lookup'!$E:$E,'fuzzy LPA lookup'!$A:$A)</f>
        <v>#REF!</v>
      </c>
      <c r="E332" s="3" t="e">
        <f>LOOKUP($F332,'fuzzy LPA lookup'!$E:$E,'fuzzy LPA lookup'!$D:$D)</f>
        <v>#REF!</v>
      </c>
      <c r="F332" s="8" t="e">
        <f>IF(ISBLANK('Master Submitted DPDs'!#REF!),"",'Master Submitted DPDs'!#REF!)</f>
        <v>#REF!</v>
      </c>
      <c r="G332" t="str">
        <f>IF(ISBLANK('Master Submitted DPDs'!#REF!),"","Withdrawn")</f>
        <v>Withdrawn</v>
      </c>
      <c r="H332" s="2" t="e">
        <f>IF(ISBLANK('Master Submitted DPDs'!#REF!),"",'Master Submitted DPDs'!#REF!)</f>
        <v>#REF!</v>
      </c>
      <c r="I332" s="3"/>
      <c r="J332" s="3"/>
      <c r="K332" s="3"/>
      <c r="L332" s="2" t="e">
        <f>IF(ISBLANK('Master Submitted DPDs'!#REF!),"",'Master Submitted DPDs'!#REF!)</f>
        <v>#REF!</v>
      </c>
      <c r="M332" s="2" t="e">
        <f t="shared" si="10"/>
        <v>#REF!</v>
      </c>
      <c r="N332" s="2" t="e">
        <f>IF(ISBLANK('Master Submitted DPDs'!#REF!),IF(ISBLANK('Master Submitted DPDs'!#REF!),"",'Master Submitted DPDs'!#REF!),'Master Submitted DPDs'!#REF!)</f>
        <v>#REF!</v>
      </c>
      <c r="O332" s="2" t="e">
        <f>IF(ISBLANK('Master Submitted DPDs'!#REF!),"",'Master Submitted DPDs'!#REF!)</f>
        <v>#REF!</v>
      </c>
      <c r="P332" s="2" t="e">
        <f>IF(ISBLANK('Master Submitted DPDs'!#REF!),"",'Master Submitted DPDs'!#REF!)</f>
        <v>#REF!</v>
      </c>
      <c r="Q332" t="e">
        <f>IF(ISBLANK('Master Submitted DPDs'!#REF!),"",'Master Submitted DPDs'!#REF!)</f>
        <v>#REF!</v>
      </c>
      <c r="R332" t="e">
        <f t="shared" si="11"/>
        <v>#REF!</v>
      </c>
      <c r="S332" s="3"/>
      <c r="T332" t="e">
        <f>IF(ISBLANK('Master Submitted DPDs'!#REF!),"",'Master Submitted DPDs'!#REF!)</f>
        <v>#REF!</v>
      </c>
    </row>
    <row r="333" spans="1:20" ht="15" x14ac:dyDescent="0.2">
      <c r="A333" s="3" t="str">
        <f>IF(ISBLANK('Master Submitted DPDs'!#REF!),"","Local Plans")</f>
        <v>Local Plans</v>
      </c>
      <c r="B333" t="e">
        <f>IF(ISBLANK('Master Submitted DPDs'!#REF!),"",'Master Submitted DPDs'!#REF!)</f>
        <v>#REF!</v>
      </c>
      <c r="C333" s="3" t="str">
        <f>IF(ISBLANK('Master Submitted DPDs'!#REF!),"","IH")</f>
        <v>IH</v>
      </c>
      <c r="D333" s="3" t="e">
        <f>LOOKUP($F333,'fuzzy LPA lookup'!$E:$E,'fuzzy LPA lookup'!$A:$A)</f>
        <v>#REF!</v>
      </c>
      <c r="E333" s="3" t="e">
        <f>LOOKUP($F333,'fuzzy LPA lookup'!$E:$E,'fuzzy LPA lookup'!$D:$D)</f>
        <v>#REF!</v>
      </c>
      <c r="F333" s="8" t="e">
        <f>IF(ISBLANK('Master Submitted DPDs'!#REF!),"",'Master Submitted DPDs'!#REF!)</f>
        <v>#REF!</v>
      </c>
      <c r="G333" t="str">
        <f>IF(ISBLANK('Master Submitted DPDs'!#REF!),"","Withdrawn")</f>
        <v>Withdrawn</v>
      </c>
      <c r="H333" s="2" t="e">
        <f>IF(ISBLANK('Master Submitted DPDs'!#REF!),"",'Master Submitted DPDs'!#REF!)</f>
        <v>#REF!</v>
      </c>
      <c r="I333" s="3"/>
      <c r="J333" s="3"/>
      <c r="K333" s="3"/>
      <c r="L333" s="2" t="e">
        <f>IF(ISBLANK('Master Submitted DPDs'!#REF!),"",'Master Submitted DPDs'!#REF!)</f>
        <v>#REF!</v>
      </c>
      <c r="M333" s="2" t="e">
        <f t="shared" si="10"/>
        <v>#REF!</v>
      </c>
      <c r="N333" s="2" t="e">
        <f>IF(ISBLANK('Master Submitted DPDs'!#REF!),IF(ISBLANK('Master Submitted DPDs'!#REF!),"",'Master Submitted DPDs'!#REF!),'Master Submitted DPDs'!#REF!)</f>
        <v>#REF!</v>
      </c>
      <c r="O333" s="2" t="e">
        <f>IF(ISBLANK('Master Submitted DPDs'!#REF!),"",'Master Submitted DPDs'!#REF!)</f>
        <v>#REF!</v>
      </c>
      <c r="P333" s="2" t="e">
        <f>IF(ISBLANK('Master Submitted DPDs'!#REF!),"",'Master Submitted DPDs'!#REF!)</f>
        <v>#REF!</v>
      </c>
      <c r="Q333" t="e">
        <f>IF(ISBLANK('Master Submitted DPDs'!#REF!),"",'Master Submitted DPDs'!#REF!)</f>
        <v>#REF!</v>
      </c>
      <c r="R333" t="e">
        <f t="shared" si="11"/>
        <v>#REF!</v>
      </c>
      <c r="S333" s="3"/>
      <c r="T333" t="e">
        <f>IF(ISBLANK('Master Submitted DPDs'!#REF!),"",'Master Submitted DPDs'!#REF!)</f>
        <v>#REF!</v>
      </c>
    </row>
    <row r="334" spans="1:20" ht="15" x14ac:dyDescent="0.2">
      <c r="A334" s="3" t="str">
        <f>IF(ISBLANK('Master Submitted DPDs'!#REF!),"","Local Plans")</f>
        <v>Local Plans</v>
      </c>
      <c r="B334" t="e">
        <f>IF(ISBLANK('Master Submitted DPDs'!#REF!),"",'Master Submitted DPDs'!#REF!)</f>
        <v>#REF!</v>
      </c>
      <c r="C334" s="3" t="str">
        <f>IF(ISBLANK('Master Submitted DPDs'!#REF!),"","IH")</f>
        <v>IH</v>
      </c>
      <c r="D334" s="3" t="e">
        <f>LOOKUP($F334,'fuzzy LPA lookup'!$E:$E,'fuzzy LPA lookup'!$A:$A)</f>
        <v>#REF!</v>
      </c>
      <c r="E334" s="3" t="e">
        <f>LOOKUP($F334,'fuzzy LPA lookup'!$E:$E,'fuzzy LPA lookup'!$D:$D)</f>
        <v>#REF!</v>
      </c>
      <c r="F334" s="8" t="e">
        <f>IF(ISBLANK('Master Submitted DPDs'!#REF!),"",'Master Submitted DPDs'!#REF!)</f>
        <v>#REF!</v>
      </c>
      <c r="G334" t="str">
        <f>IF(ISBLANK('Master Submitted DPDs'!#REF!),"","Withdrawn")</f>
        <v>Withdrawn</v>
      </c>
      <c r="H334" s="2" t="e">
        <f>IF(ISBLANK('Master Submitted DPDs'!#REF!),"",'Master Submitted DPDs'!#REF!)</f>
        <v>#REF!</v>
      </c>
      <c r="I334" s="3"/>
      <c r="J334" s="3"/>
      <c r="K334" s="3"/>
      <c r="L334" s="2" t="e">
        <f>IF(ISBLANK('Master Submitted DPDs'!#REF!),"",'Master Submitted DPDs'!#REF!)</f>
        <v>#REF!</v>
      </c>
      <c r="M334" s="2" t="e">
        <f t="shared" si="10"/>
        <v>#REF!</v>
      </c>
      <c r="N334" s="2" t="e">
        <f>IF(ISBLANK('Master Submitted DPDs'!#REF!),IF(ISBLANK('Master Submitted DPDs'!#REF!),"",'Master Submitted DPDs'!#REF!),'Master Submitted DPDs'!#REF!)</f>
        <v>#REF!</v>
      </c>
      <c r="O334" s="2" t="e">
        <f>IF(ISBLANK('Master Submitted DPDs'!#REF!),"",'Master Submitted DPDs'!#REF!)</f>
        <v>#REF!</v>
      </c>
      <c r="P334" s="2" t="e">
        <f>IF(ISBLANK('Master Submitted DPDs'!#REF!),"",'Master Submitted DPDs'!#REF!)</f>
        <v>#REF!</v>
      </c>
      <c r="Q334" t="e">
        <f>IF(ISBLANK('Master Submitted DPDs'!#REF!),"",'Master Submitted DPDs'!#REF!)</f>
        <v>#REF!</v>
      </c>
      <c r="R334" t="e">
        <f t="shared" si="11"/>
        <v>#REF!</v>
      </c>
      <c r="S334" s="3"/>
      <c r="T334" t="e">
        <f>IF(ISBLANK('Master Submitted DPDs'!#REF!),"",'Master Submitted DPDs'!#REF!)</f>
        <v>#REF!</v>
      </c>
    </row>
    <row r="335" spans="1:20" ht="15" x14ac:dyDescent="0.2">
      <c r="A335" s="3" t="str">
        <f>IF(ISBLANK('Master Submitted DPDs'!#REF!),"","Local Plans")</f>
        <v>Local Plans</v>
      </c>
      <c r="B335" t="e">
        <f>IF(ISBLANK('Master Submitted DPDs'!#REF!),"",'Master Submitted DPDs'!#REF!)</f>
        <v>#REF!</v>
      </c>
      <c r="C335" s="3" t="str">
        <f>IF(ISBLANK('Master Submitted DPDs'!#REF!),"","IH")</f>
        <v>IH</v>
      </c>
      <c r="D335" s="3" t="e">
        <f>LOOKUP($F335,'fuzzy LPA lookup'!$E:$E,'fuzzy LPA lookup'!$A:$A)</f>
        <v>#REF!</v>
      </c>
      <c r="E335" s="3" t="e">
        <f>LOOKUP($F335,'fuzzy LPA lookup'!$E:$E,'fuzzy LPA lookup'!$D:$D)</f>
        <v>#REF!</v>
      </c>
      <c r="F335" s="8" t="e">
        <f>IF(ISBLANK('Master Submitted DPDs'!#REF!),"",'Master Submitted DPDs'!#REF!)</f>
        <v>#REF!</v>
      </c>
      <c r="G335" t="str">
        <f>IF(ISBLANK('Master Submitted DPDs'!#REF!),"","Withdrawn")</f>
        <v>Withdrawn</v>
      </c>
      <c r="H335" s="2" t="e">
        <f>IF(ISBLANK('Master Submitted DPDs'!#REF!),"",'Master Submitted DPDs'!#REF!)</f>
        <v>#REF!</v>
      </c>
      <c r="I335" s="3"/>
      <c r="J335" s="3"/>
      <c r="K335" s="3"/>
      <c r="L335" s="2" t="e">
        <f>IF(ISBLANK('Master Submitted DPDs'!#REF!),"",'Master Submitted DPDs'!#REF!)</f>
        <v>#REF!</v>
      </c>
      <c r="M335" s="2" t="e">
        <f t="shared" si="10"/>
        <v>#REF!</v>
      </c>
      <c r="N335" s="2" t="e">
        <f>IF(ISBLANK('Master Submitted DPDs'!#REF!),IF(ISBLANK('Master Submitted DPDs'!#REF!),"",'Master Submitted DPDs'!#REF!),'Master Submitted DPDs'!#REF!)</f>
        <v>#REF!</v>
      </c>
      <c r="O335" s="2" t="e">
        <f>IF(ISBLANK('Master Submitted DPDs'!#REF!),"",'Master Submitted DPDs'!#REF!)</f>
        <v>#REF!</v>
      </c>
      <c r="P335" s="2" t="e">
        <f>IF(ISBLANK('Master Submitted DPDs'!#REF!),"",'Master Submitted DPDs'!#REF!)</f>
        <v>#REF!</v>
      </c>
      <c r="Q335" t="e">
        <f>IF(ISBLANK('Master Submitted DPDs'!#REF!),"",'Master Submitted DPDs'!#REF!)</f>
        <v>#REF!</v>
      </c>
      <c r="R335" t="e">
        <f t="shared" si="11"/>
        <v>#REF!</v>
      </c>
      <c r="S335" s="3"/>
      <c r="T335" t="e">
        <f>IF(ISBLANK('Master Submitted DPDs'!#REF!),"",'Master Submitted DPDs'!#REF!)</f>
        <v>#REF!</v>
      </c>
    </row>
    <row r="336" spans="1:20" ht="15" x14ac:dyDescent="0.2">
      <c r="A336" s="3" t="str">
        <f>IF(ISBLANK('Master Submitted DPDs'!#REF!),"","Local Plans")</f>
        <v>Local Plans</v>
      </c>
      <c r="B336" t="e">
        <f>IF(ISBLANK('Master Submitted DPDs'!#REF!),"",'Master Submitted DPDs'!#REF!)</f>
        <v>#REF!</v>
      </c>
      <c r="C336" s="3" t="str">
        <f>IF(ISBLANK('Master Submitted DPDs'!#REF!),"","IH")</f>
        <v>IH</v>
      </c>
      <c r="D336" s="3" t="e">
        <f>LOOKUP($F336,'fuzzy LPA lookup'!$E:$E,'fuzzy LPA lookup'!$A:$A)</f>
        <v>#REF!</v>
      </c>
      <c r="E336" s="3" t="e">
        <f>LOOKUP($F336,'fuzzy LPA lookup'!$E:$E,'fuzzy LPA lookup'!$D:$D)</f>
        <v>#REF!</v>
      </c>
      <c r="F336" s="8" t="e">
        <f>IF(ISBLANK('Master Submitted DPDs'!#REF!),"",'Master Submitted DPDs'!#REF!)</f>
        <v>#REF!</v>
      </c>
      <c r="G336" t="str">
        <f>IF(ISBLANK('Master Submitted DPDs'!#REF!),"","Withdrawn")</f>
        <v>Withdrawn</v>
      </c>
      <c r="H336" s="2" t="e">
        <f>IF(ISBLANK('Master Submitted DPDs'!#REF!),"",'Master Submitted DPDs'!#REF!)</f>
        <v>#REF!</v>
      </c>
      <c r="I336" s="3"/>
      <c r="J336" s="3"/>
      <c r="K336" s="3"/>
      <c r="L336" s="2" t="e">
        <f>IF(ISBLANK('Master Submitted DPDs'!#REF!),"",'Master Submitted DPDs'!#REF!)</f>
        <v>#REF!</v>
      </c>
      <c r="M336" s="2" t="e">
        <f t="shared" si="10"/>
        <v>#REF!</v>
      </c>
      <c r="N336" s="2" t="e">
        <f>IF(ISBLANK('Master Submitted DPDs'!#REF!),IF(ISBLANK('Master Submitted DPDs'!#REF!),"",'Master Submitted DPDs'!#REF!),'Master Submitted DPDs'!#REF!)</f>
        <v>#REF!</v>
      </c>
      <c r="O336" s="2" t="e">
        <f>IF(ISBLANK('Master Submitted DPDs'!#REF!),"",'Master Submitted DPDs'!#REF!)</f>
        <v>#REF!</v>
      </c>
      <c r="P336" s="2" t="e">
        <f>IF(ISBLANK('Master Submitted DPDs'!#REF!),"",'Master Submitted DPDs'!#REF!)</f>
        <v>#REF!</v>
      </c>
      <c r="Q336" t="e">
        <f>IF(ISBLANK('Master Submitted DPDs'!#REF!),"",'Master Submitted DPDs'!#REF!)</f>
        <v>#REF!</v>
      </c>
      <c r="R336" t="e">
        <f t="shared" si="11"/>
        <v>#REF!</v>
      </c>
      <c r="S336" s="3"/>
      <c r="T336" t="e">
        <f>IF(ISBLANK('Master Submitted DPDs'!#REF!),"",'Master Submitted DPDs'!#REF!)</f>
        <v>#REF!</v>
      </c>
    </row>
    <row r="337" spans="1:20" ht="15" x14ac:dyDescent="0.2">
      <c r="A337" s="3" t="str">
        <f>IF(ISBLANK('Master Submitted DPDs'!#REF!),"","Local Plans")</f>
        <v>Local Plans</v>
      </c>
      <c r="B337" t="e">
        <f>IF(ISBLANK('Master Submitted DPDs'!#REF!),"",'Master Submitted DPDs'!#REF!)</f>
        <v>#REF!</v>
      </c>
      <c r="C337" s="3" t="str">
        <f>IF(ISBLANK('Master Submitted DPDs'!#REF!),"","IH")</f>
        <v>IH</v>
      </c>
      <c r="D337" s="3" t="e">
        <f>LOOKUP($F337,'fuzzy LPA lookup'!$E:$E,'fuzzy LPA lookup'!$A:$A)</f>
        <v>#REF!</v>
      </c>
      <c r="E337" s="3" t="e">
        <f>LOOKUP($F337,'fuzzy LPA lookup'!$E:$E,'fuzzy LPA lookup'!$D:$D)</f>
        <v>#REF!</v>
      </c>
      <c r="F337" s="8" t="e">
        <f>IF(ISBLANK('Master Submitted DPDs'!#REF!),"",'Master Submitted DPDs'!#REF!)</f>
        <v>#REF!</v>
      </c>
      <c r="G337" t="str">
        <f>IF(ISBLANK('Master Submitted DPDs'!#REF!),"","Withdrawn")</f>
        <v>Withdrawn</v>
      </c>
      <c r="H337" s="2" t="e">
        <f>IF(ISBLANK('Master Submitted DPDs'!#REF!),"",'Master Submitted DPDs'!#REF!)</f>
        <v>#REF!</v>
      </c>
      <c r="I337" s="3"/>
      <c r="J337" s="3"/>
      <c r="K337" s="3"/>
      <c r="L337" s="2" t="e">
        <f>IF(ISBLANK('Master Submitted DPDs'!#REF!),"",'Master Submitted DPDs'!#REF!)</f>
        <v>#REF!</v>
      </c>
      <c r="M337" s="2" t="e">
        <f t="shared" si="10"/>
        <v>#REF!</v>
      </c>
      <c r="N337" s="2" t="e">
        <f>IF(ISBLANK('Master Submitted DPDs'!#REF!),IF(ISBLANK('Master Submitted DPDs'!#REF!),"",'Master Submitted DPDs'!#REF!),'Master Submitted DPDs'!#REF!)</f>
        <v>#REF!</v>
      </c>
      <c r="O337" s="2" t="e">
        <f>IF(ISBLANK('Master Submitted DPDs'!#REF!),"",'Master Submitted DPDs'!#REF!)</f>
        <v>#REF!</v>
      </c>
      <c r="P337" s="2" t="e">
        <f>IF(ISBLANK('Master Submitted DPDs'!#REF!),"",'Master Submitted DPDs'!#REF!)</f>
        <v>#REF!</v>
      </c>
      <c r="Q337" t="e">
        <f>IF(ISBLANK('Master Submitted DPDs'!#REF!),"",'Master Submitted DPDs'!#REF!)</f>
        <v>#REF!</v>
      </c>
      <c r="R337" t="e">
        <f t="shared" si="11"/>
        <v>#REF!</v>
      </c>
      <c r="S337" s="3"/>
      <c r="T337" t="e">
        <f>IF(ISBLANK('Master Submitted DPDs'!#REF!),"",'Master Submitted DPDs'!#REF!)</f>
        <v>#REF!</v>
      </c>
    </row>
    <row r="338" spans="1:20" ht="15" x14ac:dyDescent="0.2">
      <c r="A338" s="3" t="str">
        <f>IF(ISBLANK('Master Submitted DPDs'!#REF!),"","Local Plans")</f>
        <v>Local Plans</v>
      </c>
      <c r="B338" t="e">
        <f>IF(ISBLANK('Master Submitted DPDs'!#REF!),"",'Master Submitted DPDs'!#REF!)</f>
        <v>#REF!</v>
      </c>
      <c r="C338" s="3" t="str">
        <f>IF(ISBLANK('Master Submitted DPDs'!#REF!),"","IH")</f>
        <v>IH</v>
      </c>
      <c r="D338" s="3" t="e">
        <f>LOOKUP($F338,'fuzzy LPA lookup'!$E:$E,'fuzzy LPA lookup'!$A:$A)</f>
        <v>#REF!</v>
      </c>
      <c r="E338" s="3" t="e">
        <f>LOOKUP($F338,'fuzzy LPA lookup'!$E:$E,'fuzzy LPA lookup'!$D:$D)</f>
        <v>#REF!</v>
      </c>
      <c r="F338" s="8" t="e">
        <f>IF(ISBLANK('Master Submitted DPDs'!#REF!),"",'Master Submitted DPDs'!#REF!)</f>
        <v>#REF!</v>
      </c>
      <c r="G338" t="str">
        <f>IF(ISBLANK('Master Submitted DPDs'!#REF!),"","Withdrawn")</f>
        <v>Withdrawn</v>
      </c>
      <c r="H338" s="2" t="e">
        <f>IF(ISBLANK('Master Submitted DPDs'!#REF!),"",'Master Submitted DPDs'!#REF!)</f>
        <v>#REF!</v>
      </c>
      <c r="I338" s="3"/>
      <c r="J338" s="3"/>
      <c r="K338" s="3"/>
      <c r="L338" s="2" t="e">
        <f>IF(ISBLANK('Master Submitted DPDs'!#REF!),"",'Master Submitted DPDs'!#REF!)</f>
        <v>#REF!</v>
      </c>
      <c r="M338" s="2" t="e">
        <f t="shared" si="10"/>
        <v>#REF!</v>
      </c>
      <c r="N338" s="2" t="e">
        <f>IF(ISBLANK('Master Submitted DPDs'!#REF!),IF(ISBLANK('Master Submitted DPDs'!#REF!),"",'Master Submitted DPDs'!#REF!),'Master Submitted DPDs'!#REF!)</f>
        <v>#REF!</v>
      </c>
      <c r="O338" s="2" t="e">
        <f>IF(ISBLANK('Master Submitted DPDs'!#REF!),"",'Master Submitted DPDs'!#REF!)</f>
        <v>#REF!</v>
      </c>
      <c r="P338" s="2" t="e">
        <f>IF(ISBLANK('Master Submitted DPDs'!#REF!),"",'Master Submitted DPDs'!#REF!)</f>
        <v>#REF!</v>
      </c>
      <c r="Q338" t="e">
        <f>IF(ISBLANK('Master Submitted DPDs'!#REF!),"",'Master Submitted DPDs'!#REF!)</f>
        <v>#REF!</v>
      </c>
      <c r="R338" t="e">
        <f t="shared" si="11"/>
        <v>#REF!</v>
      </c>
      <c r="S338" s="3"/>
      <c r="T338" t="e">
        <f>IF(ISBLANK('Master Submitted DPDs'!#REF!),"",'Master Submitted DPDs'!#REF!)</f>
        <v>#REF!</v>
      </c>
    </row>
    <row r="339" spans="1:20" ht="15" x14ac:dyDescent="0.2">
      <c r="A339" s="3" t="str">
        <f>IF(ISBLANK('Master Submitted DPDs'!#REF!),"","Local Plans")</f>
        <v>Local Plans</v>
      </c>
      <c r="B339" t="e">
        <f>IF(ISBLANK('Master Submitted DPDs'!#REF!),"",'Master Submitted DPDs'!#REF!)</f>
        <v>#REF!</v>
      </c>
      <c r="C339" s="3" t="str">
        <f>IF(ISBLANK('Master Submitted DPDs'!#REF!),"","IH")</f>
        <v>IH</v>
      </c>
      <c r="D339" s="3" t="e">
        <f>LOOKUP($F339,'fuzzy LPA lookup'!$E:$E,'fuzzy LPA lookup'!$A:$A)</f>
        <v>#REF!</v>
      </c>
      <c r="E339" s="3" t="e">
        <f>LOOKUP($F339,'fuzzy LPA lookup'!$E:$E,'fuzzy LPA lookup'!$D:$D)</f>
        <v>#REF!</v>
      </c>
      <c r="F339" s="8" t="e">
        <f>IF(ISBLANK('Master Submitted DPDs'!#REF!),"",'Master Submitted DPDs'!#REF!)</f>
        <v>#REF!</v>
      </c>
      <c r="G339" t="str">
        <f>IF(ISBLANK('Master Submitted DPDs'!#REF!),"","Withdrawn")</f>
        <v>Withdrawn</v>
      </c>
      <c r="H339" s="2" t="e">
        <f>IF(ISBLANK('Master Submitted DPDs'!#REF!),"",'Master Submitted DPDs'!#REF!)</f>
        <v>#REF!</v>
      </c>
      <c r="I339" s="3"/>
      <c r="J339" s="3"/>
      <c r="K339" s="3"/>
      <c r="L339" s="2" t="e">
        <f>IF(ISBLANK('Master Submitted DPDs'!#REF!),"",'Master Submitted DPDs'!#REF!)</f>
        <v>#REF!</v>
      </c>
      <c r="M339" s="2" t="e">
        <f t="shared" si="10"/>
        <v>#REF!</v>
      </c>
      <c r="N339" s="2" t="e">
        <f>IF(ISBLANK('Master Submitted DPDs'!#REF!),IF(ISBLANK('Master Submitted DPDs'!#REF!),"",'Master Submitted DPDs'!#REF!),'Master Submitted DPDs'!#REF!)</f>
        <v>#REF!</v>
      </c>
      <c r="O339" s="2" t="e">
        <f>IF(ISBLANK('Master Submitted DPDs'!#REF!),"",'Master Submitted DPDs'!#REF!)</f>
        <v>#REF!</v>
      </c>
      <c r="P339" s="2" t="e">
        <f>IF(ISBLANK('Master Submitted DPDs'!#REF!),"",'Master Submitted DPDs'!#REF!)</f>
        <v>#REF!</v>
      </c>
      <c r="Q339" t="e">
        <f>IF(ISBLANK('Master Submitted DPDs'!#REF!),"",'Master Submitted DPDs'!#REF!)</f>
        <v>#REF!</v>
      </c>
      <c r="R339" t="e">
        <f t="shared" si="11"/>
        <v>#REF!</v>
      </c>
      <c r="S339" s="3"/>
      <c r="T339" t="e">
        <f>IF(ISBLANK('Master Submitted DPDs'!#REF!),"",'Master Submitted DPDs'!#REF!)</f>
        <v>#REF!</v>
      </c>
    </row>
    <row r="340" spans="1:20" ht="15" x14ac:dyDescent="0.2">
      <c r="A340" s="3" t="str">
        <f>IF(ISBLANK('Master Submitted DPDs'!#REF!),"","Local Plans")</f>
        <v>Local Plans</v>
      </c>
      <c r="B340" t="e">
        <f>IF(ISBLANK('Master Submitted DPDs'!#REF!),"",'Master Submitted DPDs'!#REF!)</f>
        <v>#REF!</v>
      </c>
      <c r="C340" s="3" t="str">
        <f>IF(ISBLANK('Master Submitted DPDs'!#REF!),"","IH")</f>
        <v>IH</v>
      </c>
      <c r="D340" s="3" t="e">
        <f>LOOKUP($F340,'fuzzy LPA lookup'!$E:$E,'fuzzy LPA lookup'!$A:$A)</f>
        <v>#REF!</v>
      </c>
      <c r="E340" s="3" t="e">
        <f>LOOKUP($F340,'fuzzy LPA lookup'!$E:$E,'fuzzy LPA lookup'!$D:$D)</f>
        <v>#REF!</v>
      </c>
      <c r="F340" s="8" t="e">
        <f>IF(ISBLANK('Master Submitted DPDs'!#REF!),"",'Master Submitted DPDs'!#REF!)</f>
        <v>#REF!</v>
      </c>
      <c r="G340" t="str">
        <f>IF(ISBLANK('Master Submitted DPDs'!#REF!),"","Withdrawn")</f>
        <v>Withdrawn</v>
      </c>
      <c r="H340" s="2" t="e">
        <f>IF(ISBLANK('Master Submitted DPDs'!#REF!),"",'Master Submitted DPDs'!#REF!)</f>
        <v>#REF!</v>
      </c>
      <c r="I340" s="3"/>
      <c r="J340" s="3"/>
      <c r="K340" s="3"/>
      <c r="L340" s="2" t="e">
        <f>IF(ISBLANK('Master Submitted DPDs'!#REF!),"",'Master Submitted DPDs'!#REF!)</f>
        <v>#REF!</v>
      </c>
      <c r="M340" s="2" t="e">
        <f t="shared" si="10"/>
        <v>#REF!</v>
      </c>
      <c r="N340" s="2" t="e">
        <f>IF(ISBLANK('Master Submitted DPDs'!#REF!),IF(ISBLANK('Master Submitted DPDs'!#REF!),"",'Master Submitted DPDs'!#REF!),'Master Submitted DPDs'!#REF!)</f>
        <v>#REF!</v>
      </c>
      <c r="O340" s="2" t="e">
        <f>IF(ISBLANK('Master Submitted DPDs'!#REF!),"",'Master Submitted DPDs'!#REF!)</f>
        <v>#REF!</v>
      </c>
      <c r="P340" s="2" t="e">
        <f>IF(ISBLANK('Master Submitted DPDs'!#REF!),"",'Master Submitted DPDs'!#REF!)</f>
        <v>#REF!</v>
      </c>
      <c r="Q340" t="e">
        <f>IF(ISBLANK('Master Submitted DPDs'!#REF!),"",'Master Submitted DPDs'!#REF!)</f>
        <v>#REF!</v>
      </c>
      <c r="R340" t="e">
        <f t="shared" si="11"/>
        <v>#REF!</v>
      </c>
      <c r="S340" s="3"/>
      <c r="T340" t="e">
        <f>IF(ISBLANK('Master Submitted DPDs'!#REF!),"",'Master Submitted DPDs'!#REF!)</f>
        <v>#REF!</v>
      </c>
    </row>
    <row r="341" spans="1:20" ht="15" x14ac:dyDescent="0.2">
      <c r="A341" s="3" t="str">
        <f>IF(ISBLANK('Master Submitted DPDs'!#REF!),"","Local Plans")</f>
        <v>Local Plans</v>
      </c>
      <c r="B341" t="e">
        <f>IF(ISBLANK('Master Submitted DPDs'!#REF!),"",'Master Submitted DPDs'!#REF!)</f>
        <v>#REF!</v>
      </c>
      <c r="C341" s="3" t="str">
        <f>IF(ISBLANK('Master Submitted DPDs'!#REF!),"","IH")</f>
        <v>IH</v>
      </c>
      <c r="D341" s="3" t="e">
        <f>LOOKUP($F341,'fuzzy LPA lookup'!$E:$E,'fuzzy LPA lookup'!$A:$A)</f>
        <v>#REF!</v>
      </c>
      <c r="E341" s="3" t="e">
        <f>LOOKUP($F341,'fuzzy LPA lookup'!$E:$E,'fuzzy LPA lookup'!$D:$D)</f>
        <v>#REF!</v>
      </c>
      <c r="F341" s="8" t="e">
        <f>IF(ISBLANK('Master Submitted DPDs'!#REF!),"",'Master Submitted DPDs'!#REF!)</f>
        <v>#REF!</v>
      </c>
      <c r="G341" t="str">
        <f>IF(ISBLANK('Master Submitted DPDs'!#REF!),"","Withdrawn")</f>
        <v>Withdrawn</v>
      </c>
      <c r="H341" s="2" t="e">
        <f>IF(ISBLANK('Master Submitted DPDs'!#REF!),"",'Master Submitted DPDs'!#REF!)</f>
        <v>#REF!</v>
      </c>
      <c r="I341" s="3"/>
      <c r="J341" s="3"/>
      <c r="K341" s="3"/>
      <c r="L341" s="2" t="e">
        <f>IF(ISBLANK('Master Submitted DPDs'!#REF!),"",'Master Submitted DPDs'!#REF!)</f>
        <v>#REF!</v>
      </c>
      <c r="M341" s="2" t="e">
        <f t="shared" si="10"/>
        <v>#REF!</v>
      </c>
      <c r="N341" s="2" t="e">
        <f>IF(ISBLANK('Master Submitted DPDs'!#REF!),IF(ISBLANK('Master Submitted DPDs'!#REF!),"",'Master Submitted DPDs'!#REF!),'Master Submitted DPDs'!#REF!)</f>
        <v>#REF!</v>
      </c>
      <c r="O341" s="2" t="e">
        <f>IF(ISBLANK('Master Submitted DPDs'!#REF!),"",'Master Submitted DPDs'!#REF!)</f>
        <v>#REF!</v>
      </c>
      <c r="P341" s="2" t="e">
        <f>IF(ISBLANK('Master Submitted DPDs'!#REF!),"",'Master Submitted DPDs'!#REF!)</f>
        <v>#REF!</v>
      </c>
      <c r="Q341" t="e">
        <f>IF(ISBLANK('Master Submitted DPDs'!#REF!),"",'Master Submitted DPDs'!#REF!)</f>
        <v>#REF!</v>
      </c>
      <c r="R341" t="e">
        <f t="shared" si="11"/>
        <v>#REF!</v>
      </c>
      <c r="S341" s="3"/>
      <c r="T341" t="e">
        <f>IF(ISBLANK('Master Submitted DPDs'!#REF!),"",'Master Submitted DPDs'!#REF!)</f>
        <v>#REF!</v>
      </c>
    </row>
    <row r="342" spans="1:20" ht="15" x14ac:dyDescent="0.2">
      <c r="A342" s="3" t="str">
        <f>IF(ISBLANK('Master Submitted DPDs'!#REF!),"","Local Plans")</f>
        <v>Local Plans</v>
      </c>
      <c r="B342" t="e">
        <f>IF(ISBLANK('Master Submitted DPDs'!#REF!),"",'Master Submitted DPDs'!#REF!)</f>
        <v>#REF!</v>
      </c>
      <c r="C342" s="3" t="str">
        <f>IF(ISBLANK('Master Submitted DPDs'!#REF!),"","IH")</f>
        <v>IH</v>
      </c>
      <c r="D342" s="3" t="e">
        <f>LOOKUP($F342,'fuzzy LPA lookup'!$E:$E,'fuzzy LPA lookup'!$A:$A)</f>
        <v>#REF!</v>
      </c>
      <c r="E342" s="3" t="e">
        <f>LOOKUP($F342,'fuzzy LPA lookup'!$E:$E,'fuzzy LPA lookup'!$D:$D)</f>
        <v>#REF!</v>
      </c>
      <c r="F342" s="8" t="e">
        <f>IF(ISBLANK('Master Submitted DPDs'!#REF!),"",'Master Submitted DPDs'!#REF!)</f>
        <v>#REF!</v>
      </c>
      <c r="G342" t="str">
        <f>IF(ISBLANK('Master Submitted DPDs'!#REF!),"","Withdrawn")</f>
        <v>Withdrawn</v>
      </c>
      <c r="H342" s="2" t="e">
        <f>IF(ISBLANK('Master Submitted DPDs'!#REF!),"",'Master Submitted DPDs'!#REF!)</f>
        <v>#REF!</v>
      </c>
      <c r="I342" s="3"/>
      <c r="J342" s="3"/>
      <c r="K342" s="3"/>
      <c r="L342" s="2" t="e">
        <f>IF(ISBLANK('Master Submitted DPDs'!#REF!),"",'Master Submitted DPDs'!#REF!)</f>
        <v>#REF!</v>
      </c>
      <c r="M342" s="2" t="e">
        <f t="shared" si="10"/>
        <v>#REF!</v>
      </c>
      <c r="N342" s="2" t="e">
        <f>IF(ISBLANK('Master Submitted DPDs'!#REF!),IF(ISBLANK('Master Submitted DPDs'!#REF!),"",'Master Submitted DPDs'!#REF!),'Master Submitted DPDs'!#REF!)</f>
        <v>#REF!</v>
      </c>
      <c r="O342" s="2" t="e">
        <f>IF(ISBLANK('Master Submitted DPDs'!#REF!),"",'Master Submitted DPDs'!#REF!)</f>
        <v>#REF!</v>
      </c>
      <c r="P342" s="2" t="e">
        <f>IF(ISBLANK('Master Submitted DPDs'!#REF!),"",'Master Submitted DPDs'!#REF!)</f>
        <v>#REF!</v>
      </c>
      <c r="Q342" t="e">
        <f>IF(ISBLANK('Master Submitted DPDs'!#REF!),"",'Master Submitted DPDs'!#REF!)</f>
        <v>#REF!</v>
      </c>
      <c r="R342" t="e">
        <f t="shared" si="11"/>
        <v>#REF!</v>
      </c>
      <c r="S342" s="3"/>
      <c r="T342" t="e">
        <f>IF(ISBLANK('Master Submitted DPDs'!#REF!),"",'Master Submitted DPDs'!#REF!)</f>
        <v>#REF!</v>
      </c>
    </row>
    <row r="343" spans="1:20" ht="15" x14ac:dyDescent="0.2">
      <c r="A343" s="3" t="str">
        <f>IF(ISBLANK('Master Submitted DPDs'!#REF!),"","Local Plans")</f>
        <v>Local Plans</v>
      </c>
      <c r="B343" t="e">
        <f>IF(ISBLANK('Master Submitted DPDs'!#REF!),"",'Master Submitted DPDs'!#REF!)</f>
        <v>#REF!</v>
      </c>
      <c r="C343" s="3" t="str">
        <f>IF(ISBLANK('Master Submitted DPDs'!#REF!),"","IH")</f>
        <v>IH</v>
      </c>
      <c r="D343" s="3" t="e">
        <f>LOOKUP($F343,'fuzzy LPA lookup'!$E:$E,'fuzzy LPA lookup'!$A:$A)</f>
        <v>#REF!</v>
      </c>
      <c r="E343" s="3" t="e">
        <f>LOOKUP($F343,'fuzzy LPA lookup'!$E:$E,'fuzzy LPA lookup'!$D:$D)</f>
        <v>#REF!</v>
      </c>
      <c r="F343" s="8" t="e">
        <f>IF(ISBLANK('Master Submitted DPDs'!#REF!),"",'Master Submitted DPDs'!#REF!)</f>
        <v>#REF!</v>
      </c>
      <c r="G343" t="str">
        <f>IF(ISBLANK('Master Submitted DPDs'!#REF!),"","Withdrawn")</f>
        <v>Withdrawn</v>
      </c>
      <c r="H343" s="2" t="e">
        <f>IF(ISBLANK('Master Submitted DPDs'!#REF!),"",'Master Submitted DPDs'!#REF!)</f>
        <v>#REF!</v>
      </c>
      <c r="I343" s="3"/>
      <c r="J343" s="3"/>
      <c r="K343" s="3"/>
      <c r="L343" s="2" t="e">
        <f>IF(ISBLANK('Master Submitted DPDs'!#REF!),"",'Master Submitted DPDs'!#REF!)</f>
        <v>#REF!</v>
      </c>
      <c r="M343" s="2" t="e">
        <f t="shared" si="10"/>
        <v>#REF!</v>
      </c>
      <c r="N343" s="2" t="e">
        <f>IF(ISBLANK('Master Submitted DPDs'!#REF!),IF(ISBLANK('Master Submitted DPDs'!#REF!),"",'Master Submitted DPDs'!#REF!),'Master Submitted DPDs'!#REF!)</f>
        <v>#REF!</v>
      </c>
      <c r="O343" s="2" t="e">
        <f>IF(ISBLANK('Master Submitted DPDs'!#REF!),"",'Master Submitted DPDs'!#REF!)</f>
        <v>#REF!</v>
      </c>
      <c r="P343" s="2" t="e">
        <f>IF(ISBLANK('Master Submitted DPDs'!#REF!),"",'Master Submitted DPDs'!#REF!)</f>
        <v>#REF!</v>
      </c>
      <c r="Q343" t="e">
        <f>IF(ISBLANK('Master Submitted DPDs'!#REF!),"",'Master Submitted DPDs'!#REF!)</f>
        <v>#REF!</v>
      </c>
      <c r="R343" t="e">
        <f t="shared" si="11"/>
        <v>#REF!</v>
      </c>
      <c r="S343" s="3"/>
      <c r="T343" t="e">
        <f>IF(ISBLANK('Master Submitted DPDs'!#REF!),"",'Master Submitted DPDs'!#REF!)</f>
        <v>#REF!</v>
      </c>
    </row>
    <row r="344" spans="1:20" ht="15" x14ac:dyDescent="0.2">
      <c r="A344" s="3" t="str">
        <f>IF(ISBLANK('Master Submitted DPDs'!#REF!),"","Local Plans")</f>
        <v>Local Plans</v>
      </c>
      <c r="B344" t="e">
        <f>IF(ISBLANK('Master Submitted DPDs'!#REF!),"",'Master Submitted DPDs'!#REF!)</f>
        <v>#REF!</v>
      </c>
      <c r="C344" s="3" t="str">
        <f>IF(ISBLANK('Master Submitted DPDs'!#REF!),"","IH")</f>
        <v>IH</v>
      </c>
      <c r="D344" s="3" t="e">
        <f>LOOKUP($F344,'fuzzy LPA lookup'!$E:$E,'fuzzy LPA lookup'!$A:$A)</f>
        <v>#REF!</v>
      </c>
      <c r="E344" s="3" t="e">
        <f>LOOKUP($F344,'fuzzy LPA lookup'!$E:$E,'fuzzy LPA lookup'!$D:$D)</f>
        <v>#REF!</v>
      </c>
      <c r="F344" s="8" t="e">
        <f>IF(ISBLANK('Master Submitted DPDs'!#REF!),"",'Master Submitted DPDs'!#REF!)</f>
        <v>#REF!</v>
      </c>
      <c r="G344" t="str">
        <f>IF(ISBLANK('Master Submitted DPDs'!#REF!),"","Withdrawn")</f>
        <v>Withdrawn</v>
      </c>
      <c r="H344" s="2" t="e">
        <f>IF(ISBLANK('Master Submitted DPDs'!#REF!),"",'Master Submitted DPDs'!#REF!)</f>
        <v>#REF!</v>
      </c>
      <c r="I344" s="3"/>
      <c r="J344" s="3"/>
      <c r="K344" s="3"/>
      <c r="L344" s="2" t="e">
        <f>IF(ISBLANK('Master Submitted DPDs'!#REF!),"",'Master Submitted DPDs'!#REF!)</f>
        <v>#REF!</v>
      </c>
      <c r="M344" s="2" t="e">
        <f t="shared" si="10"/>
        <v>#REF!</v>
      </c>
      <c r="N344" s="2" t="e">
        <f>IF(ISBLANK('Master Submitted DPDs'!#REF!),IF(ISBLANK('Master Submitted DPDs'!#REF!),"",'Master Submitted DPDs'!#REF!),'Master Submitted DPDs'!#REF!)</f>
        <v>#REF!</v>
      </c>
      <c r="O344" s="2" t="e">
        <f>IF(ISBLANK('Master Submitted DPDs'!#REF!),"",'Master Submitted DPDs'!#REF!)</f>
        <v>#REF!</v>
      </c>
      <c r="P344" s="2" t="e">
        <f>IF(ISBLANK('Master Submitted DPDs'!#REF!),"",'Master Submitted DPDs'!#REF!)</f>
        <v>#REF!</v>
      </c>
      <c r="Q344" t="e">
        <f>IF(ISBLANK('Master Submitted DPDs'!#REF!),"",'Master Submitted DPDs'!#REF!)</f>
        <v>#REF!</v>
      </c>
      <c r="R344" t="e">
        <f t="shared" si="11"/>
        <v>#REF!</v>
      </c>
      <c r="S344" s="3"/>
      <c r="T344" t="e">
        <f>IF(ISBLANK('Master Submitted DPDs'!#REF!),"",'Master Submitted DPDs'!#REF!)</f>
        <v>#REF!</v>
      </c>
    </row>
    <row r="345" spans="1:20" ht="15" x14ac:dyDescent="0.2">
      <c r="A345" s="3" t="str">
        <f>IF(ISBLANK('Master Submitted DPDs'!#REF!),"","Local Plans")</f>
        <v>Local Plans</v>
      </c>
      <c r="B345" t="e">
        <f>IF(ISBLANK('Master Submitted DPDs'!#REF!),"",'Master Submitted DPDs'!#REF!)</f>
        <v>#REF!</v>
      </c>
      <c r="C345" s="3" t="str">
        <f>IF(ISBLANK('Master Submitted DPDs'!#REF!),"","IH")</f>
        <v>IH</v>
      </c>
      <c r="D345" s="3" t="e">
        <f>LOOKUP($F345,'fuzzy LPA lookup'!$E:$E,'fuzzy LPA lookup'!$A:$A)</f>
        <v>#REF!</v>
      </c>
      <c r="E345" s="3" t="e">
        <f>LOOKUP($F345,'fuzzy LPA lookup'!$E:$E,'fuzzy LPA lookup'!$D:$D)</f>
        <v>#REF!</v>
      </c>
      <c r="F345" s="8" t="e">
        <f>IF(ISBLANK('Master Submitted DPDs'!#REF!),"",'Master Submitted DPDs'!#REF!)</f>
        <v>#REF!</v>
      </c>
      <c r="G345" t="str">
        <f>IF(ISBLANK('Master Submitted DPDs'!#REF!),"","Withdrawn")</f>
        <v>Withdrawn</v>
      </c>
      <c r="H345" s="2" t="e">
        <f>IF(ISBLANK('Master Submitted DPDs'!#REF!),"",'Master Submitted DPDs'!#REF!)</f>
        <v>#REF!</v>
      </c>
      <c r="I345" s="3"/>
      <c r="J345" s="3"/>
      <c r="K345" s="3"/>
      <c r="L345" s="2" t="e">
        <f>IF(ISBLANK('Master Submitted DPDs'!#REF!),"",'Master Submitted DPDs'!#REF!)</f>
        <v>#REF!</v>
      </c>
      <c r="M345" s="2" t="e">
        <f t="shared" si="10"/>
        <v>#REF!</v>
      </c>
      <c r="N345" s="2" t="e">
        <f>IF(ISBLANK('Master Submitted DPDs'!#REF!),IF(ISBLANK('Master Submitted DPDs'!#REF!),"",'Master Submitted DPDs'!#REF!),'Master Submitted DPDs'!#REF!)</f>
        <v>#REF!</v>
      </c>
      <c r="O345" s="2" t="e">
        <f>IF(ISBLANK('Master Submitted DPDs'!#REF!),"",'Master Submitted DPDs'!#REF!)</f>
        <v>#REF!</v>
      </c>
      <c r="P345" s="2" t="e">
        <f>IF(ISBLANK('Master Submitted DPDs'!#REF!),"",'Master Submitted DPDs'!#REF!)</f>
        <v>#REF!</v>
      </c>
      <c r="Q345" t="e">
        <f>IF(ISBLANK('Master Submitted DPDs'!#REF!),"",'Master Submitted DPDs'!#REF!)</f>
        <v>#REF!</v>
      </c>
      <c r="R345" t="e">
        <f t="shared" si="11"/>
        <v>#REF!</v>
      </c>
      <c r="S345" s="3"/>
      <c r="T345" t="e">
        <f>IF(ISBLANK('Master Submitted DPDs'!#REF!),"",'Master Submitted DPDs'!#REF!)</f>
        <v>#REF!</v>
      </c>
    </row>
    <row r="346" spans="1:20" ht="15" x14ac:dyDescent="0.2">
      <c r="A346" s="3" t="str">
        <f>IF(ISBLANK('Master Submitted DPDs'!#REF!),"","Local Plans")</f>
        <v>Local Plans</v>
      </c>
      <c r="B346" t="e">
        <f>IF(ISBLANK('Master Submitted DPDs'!#REF!),"",'Master Submitted DPDs'!#REF!)</f>
        <v>#REF!</v>
      </c>
      <c r="C346" s="3" t="str">
        <f>IF(ISBLANK('Master Submitted DPDs'!#REF!),"","IH")</f>
        <v>IH</v>
      </c>
      <c r="D346" s="3" t="e">
        <f>LOOKUP($F346,'fuzzy LPA lookup'!$E:$E,'fuzzy LPA lookup'!$A:$A)</f>
        <v>#REF!</v>
      </c>
      <c r="E346" s="3" t="e">
        <f>LOOKUP($F346,'fuzzy LPA lookup'!$E:$E,'fuzzy LPA lookup'!$D:$D)</f>
        <v>#REF!</v>
      </c>
      <c r="F346" s="8" t="e">
        <f>IF(ISBLANK('Master Submitted DPDs'!#REF!),"",'Master Submitted DPDs'!#REF!)</f>
        <v>#REF!</v>
      </c>
      <c r="G346" t="str">
        <f>IF(ISBLANK('Master Submitted DPDs'!#REF!),"","Withdrawn")</f>
        <v>Withdrawn</v>
      </c>
      <c r="H346" s="2" t="e">
        <f>IF(ISBLANK('Master Submitted DPDs'!#REF!),"",'Master Submitted DPDs'!#REF!)</f>
        <v>#REF!</v>
      </c>
      <c r="I346" s="3"/>
      <c r="J346" s="3"/>
      <c r="K346" s="3"/>
      <c r="L346" s="2" t="e">
        <f>IF(ISBLANK('Master Submitted DPDs'!#REF!),"",'Master Submitted DPDs'!#REF!)</f>
        <v>#REF!</v>
      </c>
      <c r="M346" s="2" t="e">
        <f t="shared" si="10"/>
        <v>#REF!</v>
      </c>
      <c r="N346" s="2" t="e">
        <f>IF(ISBLANK('Master Submitted DPDs'!#REF!),IF(ISBLANK('Master Submitted DPDs'!#REF!),"",'Master Submitted DPDs'!#REF!),'Master Submitted DPDs'!#REF!)</f>
        <v>#REF!</v>
      </c>
      <c r="O346" s="2" t="e">
        <f>IF(ISBLANK('Master Submitted DPDs'!#REF!),"",'Master Submitted DPDs'!#REF!)</f>
        <v>#REF!</v>
      </c>
      <c r="P346" s="2" t="e">
        <f>IF(ISBLANK('Master Submitted DPDs'!#REF!),"",'Master Submitted DPDs'!#REF!)</f>
        <v>#REF!</v>
      </c>
      <c r="Q346" t="e">
        <f>IF(ISBLANK('Master Submitted DPDs'!#REF!),"",'Master Submitted DPDs'!#REF!)</f>
        <v>#REF!</v>
      </c>
      <c r="R346" t="e">
        <f t="shared" si="11"/>
        <v>#REF!</v>
      </c>
      <c r="S346" s="3"/>
      <c r="T346" t="e">
        <f>IF(ISBLANK('Master Submitted DPDs'!#REF!),"",'Master Submitted DPDs'!#REF!)</f>
        <v>#REF!</v>
      </c>
    </row>
    <row r="347" spans="1:20" ht="15" x14ac:dyDescent="0.2">
      <c r="A347" s="3" t="str">
        <f>IF(ISBLANK('Master Submitted DPDs'!#REF!),"","Local Plans")</f>
        <v>Local Plans</v>
      </c>
      <c r="B347" t="e">
        <f>IF(ISBLANK('Master Submitted DPDs'!#REF!),"",'Master Submitted DPDs'!#REF!)</f>
        <v>#REF!</v>
      </c>
      <c r="C347" s="3" t="str">
        <f>IF(ISBLANK('Master Submitted DPDs'!#REF!),"","IH")</f>
        <v>IH</v>
      </c>
      <c r="D347" s="3" t="e">
        <f>LOOKUP($F347,'fuzzy LPA lookup'!$E:$E,'fuzzy LPA lookup'!$A:$A)</f>
        <v>#REF!</v>
      </c>
      <c r="E347" s="3" t="e">
        <f>LOOKUP($F347,'fuzzy LPA lookup'!$E:$E,'fuzzy LPA lookup'!$D:$D)</f>
        <v>#REF!</v>
      </c>
      <c r="F347" s="8" t="e">
        <f>IF(ISBLANK('Master Submitted DPDs'!#REF!),"",'Master Submitted DPDs'!#REF!)</f>
        <v>#REF!</v>
      </c>
      <c r="G347" t="str">
        <f>IF(ISBLANK('Master Submitted DPDs'!#REF!),"","Withdrawn")</f>
        <v>Withdrawn</v>
      </c>
      <c r="H347" s="2" t="e">
        <f>IF(ISBLANK('Master Submitted DPDs'!#REF!),"",'Master Submitted DPDs'!#REF!)</f>
        <v>#REF!</v>
      </c>
      <c r="I347" s="3"/>
      <c r="J347" s="3"/>
      <c r="K347" s="3"/>
      <c r="L347" s="2" t="e">
        <f>IF(ISBLANK('Master Submitted DPDs'!#REF!),"",'Master Submitted DPDs'!#REF!)</f>
        <v>#REF!</v>
      </c>
      <c r="M347" s="2" t="e">
        <f t="shared" si="10"/>
        <v>#REF!</v>
      </c>
      <c r="N347" s="2" t="e">
        <f>IF(ISBLANK('Master Submitted DPDs'!#REF!),IF(ISBLANK('Master Submitted DPDs'!#REF!),"",'Master Submitted DPDs'!#REF!),'Master Submitted DPDs'!#REF!)</f>
        <v>#REF!</v>
      </c>
      <c r="O347" s="2" t="e">
        <f>IF(ISBLANK('Master Submitted DPDs'!#REF!),"",'Master Submitted DPDs'!#REF!)</f>
        <v>#REF!</v>
      </c>
      <c r="P347" s="2" t="e">
        <f>IF(ISBLANK('Master Submitted DPDs'!#REF!),"",'Master Submitted DPDs'!#REF!)</f>
        <v>#REF!</v>
      </c>
      <c r="Q347" t="e">
        <f>IF(ISBLANK('Master Submitted DPDs'!#REF!),"",'Master Submitted DPDs'!#REF!)</f>
        <v>#REF!</v>
      </c>
      <c r="R347" t="e">
        <f t="shared" si="11"/>
        <v>#REF!</v>
      </c>
      <c r="S347" s="3"/>
      <c r="T347" t="e">
        <f>IF(ISBLANK('Master Submitted DPDs'!#REF!),"",'Master Submitted DPDs'!#REF!)</f>
        <v>#REF!</v>
      </c>
    </row>
    <row r="348" spans="1:20" ht="15" x14ac:dyDescent="0.2">
      <c r="A348" s="3" t="str">
        <f>IF(ISBLANK('Master Submitted DPDs'!#REF!),"","Local Plans")</f>
        <v>Local Plans</v>
      </c>
      <c r="B348" t="e">
        <f>IF(ISBLANK('Master Submitted DPDs'!#REF!),"",'Master Submitted DPDs'!#REF!)</f>
        <v>#REF!</v>
      </c>
      <c r="C348" s="3" t="str">
        <f>IF(ISBLANK('Master Submitted DPDs'!#REF!),"","IH")</f>
        <v>IH</v>
      </c>
      <c r="D348" s="3" t="e">
        <f>LOOKUP($F348,'fuzzy LPA lookup'!$E:$E,'fuzzy LPA lookup'!$A:$A)</f>
        <v>#REF!</v>
      </c>
      <c r="E348" s="3" t="e">
        <f>LOOKUP($F348,'fuzzy LPA lookup'!$E:$E,'fuzzy LPA lookup'!$D:$D)</f>
        <v>#REF!</v>
      </c>
      <c r="F348" s="8" t="e">
        <f>IF(ISBLANK('Master Submitted DPDs'!#REF!),"",'Master Submitted DPDs'!#REF!)</f>
        <v>#REF!</v>
      </c>
      <c r="G348" t="str">
        <f>IF(ISBLANK('Master Submitted DPDs'!#REF!),"","Withdrawn")</f>
        <v>Withdrawn</v>
      </c>
      <c r="H348" s="2" t="e">
        <f>IF(ISBLANK('Master Submitted DPDs'!#REF!),"",'Master Submitted DPDs'!#REF!)</f>
        <v>#REF!</v>
      </c>
      <c r="I348" s="3"/>
      <c r="J348" s="3"/>
      <c r="K348" s="3"/>
      <c r="L348" s="2" t="e">
        <f>IF(ISBLANK('Master Submitted DPDs'!#REF!),"",'Master Submitted DPDs'!#REF!)</f>
        <v>#REF!</v>
      </c>
      <c r="M348" s="2" t="e">
        <f t="shared" si="10"/>
        <v>#REF!</v>
      </c>
      <c r="N348" s="2" t="e">
        <f>IF(ISBLANK('Master Submitted DPDs'!#REF!),IF(ISBLANK('Master Submitted DPDs'!#REF!),"",'Master Submitted DPDs'!#REF!),'Master Submitted DPDs'!#REF!)</f>
        <v>#REF!</v>
      </c>
      <c r="O348" s="2" t="e">
        <f>IF(ISBLANK('Master Submitted DPDs'!#REF!),"",'Master Submitted DPDs'!#REF!)</f>
        <v>#REF!</v>
      </c>
      <c r="P348" s="2" t="e">
        <f>IF(ISBLANK('Master Submitted DPDs'!#REF!),"",'Master Submitted DPDs'!#REF!)</f>
        <v>#REF!</v>
      </c>
      <c r="Q348" t="e">
        <f>IF(ISBLANK('Master Submitted DPDs'!#REF!),"",'Master Submitted DPDs'!#REF!)</f>
        <v>#REF!</v>
      </c>
      <c r="R348" t="e">
        <f t="shared" si="11"/>
        <v>#REF!</v>
      </c>
      <c r="S348" s="3"/>
      <c r="T348" t="e">
        <f>IF(ISBLANK('Master Submitted DPDs'!#REF!),"",'Master Submitted DPDs'!#REF!)</f>
        <v>#REF!</v>
      </c>
    </row>
    <row r="349" spans="1:20" ht="15" x14ac:dyDescent="0.2">
      <c r="A349" s="3" t="str">
        <f>IF(ISBLANK('Master Submitted DPDs'!#REF!),"","Local Plans")</f>
        <v>Local Plans</v>
      </c>
      <c r="B349" t="e">
        <f>IF(ISBLANK('Master Submitted DPDs'!#REF!),"",'Master Submitted DPDs'!#REF!)</f>
        <v>#REF!</v>
      </c>
      <c r="C349" s="3" t="str">
        <f>IF(ISBLANK('Master Submitted DPDs'!#REF!),"","IH")</f>
        <v>IH</v>
      </c>
      <c r="D349" s="3" t="e">
        <f>LOOKUP($F349,'fuzzy LPA lookup'!$E:$E,'fuzzy LPA lookup'!$A:$A)</f>
        <v>#REF!</v>
      </c>
      <c r="E349" s="3" t="e">
        <f>LOOKUP($F349,'fuzzy LPA lookup'!$E:$E,'fuzzy LPA lookup'!$D:$D)</f>
        <v>#REF!</v>
      </c>
      <c r="F349" s="8" t="e">
        <f>IF(ISBLANK('Master Submitted DPDs'!#REF!),"",'Master Submitted DPDs'!#REF!)</f>
        <v>#REF!</v>
      </c>
      <c r="G349" t="str">
        <f>IF(ISBLANK('Master Submitted DPDs'!#REF!),"","Withdrawn")</f>
        <v>Withdrawn</v>
      </c>
      <c r="H349" s="2" t="e">
        <f>IF(ISBLANK('Master Submitted DPDs'!#REF!),"",'Master Submitted DPDs'!#REF!)</f>
        <v>#REF!</v>
      </c>
      <c r="I349" s="3"/>
      <c r="J349" s="3"/>
      <c r="K349" s="3"/>
      <c r="L349" s="2" t="e">
        <f>IF(ISBLANK('Master Submitted DPDs'!#REF!),"",'Master Submitted DPDs'!#REF!)</f>
        <v>#REF!</v>
      </c>
      <c r="M349" s="2" t="e">
        <f t="shared" si="10"/>
        <v>#REF!</v>
      </c>
      <c r="N349" s="2" t="e">
        <f>IF(ISBLANK('Master Submitted DPDs'!#REF!),IF(ISBLANK('Master Submitted DPDs'!#REF!),"",'Master Submitted DPDs'!#REF!),'Master Submitted DPDs'!#REF!)</f>
        <v>#REF!</v>
      </c>
      <c r="O349" s="2" t="e">
        <f>IF(ISBLANK('Master Submitted DPDs'!#REF!),"",'Master Submitted DPDs'!#REF!)</f>
        <v>#REF!</v>
      </c>
      <c r="P349" s="2" t="e">
        <f>IF(ISBLANK('Master Submitted DPDs'!#REF!),"",'Master Submitted DPDs'!#REF!)</f>
        <v>#REF!</v>
      </c>
      <c r="Q349" t="e">
        <f>IF(ISBLANK('Master Submitted DPDs'!#REF!),"",'Master Submitted DPDs'!#REF!)</f>
        <v>#REF!</v>
      </c>
      <c r="R349" t="e">
        <f t="shared" si="11"/>
        <v>#REF!</v>
      </c>
      <c r="S349" s="3"/>
      <c r="T349" t="e">
        <f>IF(ISBLANK('Master Submitted DPDs'!#REF!),"",'Master Submitted DPDs'!#REF!)</f>
        <v>#REF!</v>
      </c>
    </row>
    <row r="350" spans="1:20" ht="15" x14ac:dyDescent="0.2">
      <c r="A350" s="3" t="str">
        <f>IF(ISBLANK('Master Submitted DPDs'!#REF!),"","Local Plans")</f>
        <v>Local Plans</v>
      </c>
      <c r="B350" t="e">
        <f>IF(ISBLANK('Master Submitted DPDs'!#REF!),"",'Master Submitted DPDs'!#REF!)</f>
        <v>#REF!</v>
      </c>
      <c r="C350" s="3" t="str">
        <f>IF(ISBLANK('Master Submitted DPDs'!#REF!),"","IH")</f>
        <v>IH</v>
      </c>
      <c r="D350" s="3" t="e">
        <f>LOOKUP($F350,'fuzzy LPA lookup'!$E:$E,'fuzzy LPA lookup'!$A:$A)</f>
        <v>#REF!</v>
      </c>
      <c r="E350" s="3" t="e">
        <f>LOOKUP($F350,'fuzzy LPA lookup'!$E:$E,'fuzzy LPA lookup'!$D:$D)</f>
        <v>#REF!</v>
      </c>
      <c r="F350" s="8" t="e">
        <f>IF(ISBLANK('Master Submitted DPDs'!#REF!),"",'Master Submitted DPDs'!#REF!)</f>
        <v>#REF!</v>
      </c>
      <c r="G350" t="str">
        <f>IF(ISBLANK('Master Submitted DPDs'!#REF!),"","Withdrawn")</f>
        <v>Withdrawn</v>
      </c>
      <c r="H350" s="2" t="e">
        <f>IF(ISBLANK('Master Submitted DPDs'!#REF!),"",'Master Submitted DPDs'!#REF!)</f>
        <v>#REF!</v>
      </c>
      <c r="I350" s="3"/>
      <c r="J350" s="3"/>
      <c r="K350" s="3"/>
      <c r="L350" s="2" t="e">
        <f>IF(ISBLANK('Master Submitted DPDs'!#REF!),"",'Master Submitted DPDs'!#REF!)</f>
        <v>#REF!</v>
      </c>
      <c r="M350" s="2" t="e">
        <f t="shared" si="10"/>
        <v>#REF!</v>
      </c>
      <c r="N350" s="2" t="e">
        <f>IF(ISBLANK('Master Submitted DPDs'!#REF!),IF(ISBLANK('Master Submitted DPDs'!#REF!),"",'Master Submitted DPDs'!#REF!),'Master Submitted DPDs'!#REF!)</f>
        <v>#REF!</v>
      </c>
      <c r="O350" s="2" t="e">
        <f>IF(ISBLANK('Master Submitted DPDs'!#REF!),"",'Master Submitted DPDs'!#REF!)</f>
        <v>#REF!</v>
      </c>
      <c r="P350" s="2" t="e">
        <f>IF(ISBLANK('Master Submitted DPDs'!#REF!),"",'Master Submitted DPDs'!#REF!)</f>
        <v>#REF!</v>
      </c>
      <c r="Q350" t="e">
        <f>IF(ISBLANK('Master Submitted DPDs'!#REF!),"",'Master Submitted DPDs'!#REF!)</f>
        <v>#REF!</v>
      </c>
      <c r="R350" t="e">
        <f t="shared" si="11"/>
        <v>#REF!</v>
      </c>
      <c r="S350" s="3"/>
      <c r="T350" t="e">
        <f>IF(ISBLANK('Master Submitted DPDs'!#REF!),"",'Master Submitted DPDs'!#REF!)</f>
        <v>#REF!</v>
      </c>
    </row>
    <row r="351" spans="1:20" ht="15" x14ac:dyDescent="0.2">
      <c r="A351" s="3" t="str">
        <f>IF(ISBLANK('Master Submitted DPDs'!#REF!),"","Local Plans")</f>
        <v>Local Plans</v>
      </c>
      <c r="B351" t="e">
        <f>IF(ISBLANK('Master Submitted DPDs'!#REF!),"",'Master Submitted DPDs'!#REF!)</f>
        <v>#REF!</v>
      </c>
      <c r="C351" s="3" t="str">
        <f>IF(ISBLANK('Master Submitted DPDs'!#REF!),"","IH")</f>
        <v>IH</v>
      </c>
      <c r="D351" s="3" t="e">
        <f>LOOKUP($F351,'fuzzy LPA lookup'!$E:$E,'fuzzy LPA lookup'!$A:$A)</f>
        <v>#REF!</v>
      </c>
      <c r="E351" s="3" t="e">
        <f>LOOKUP($F351,'fuzzy LPA lookup'!$E:$E,'fuzzy LPA lookup'!$D:$D)</f>
        <v>#REF!</v>
      </c>
      <c r="F351" s="8" t="e">
        <f>IF(ISBLANK('Master Submitted DPDs'!#REF!),"",'Master Submitted DPDs'!#REF!)</f>
        <v>#REF!</v>
      </c>
      <c r="G351" t="str">
        <f>IF(ISBLANK('Master Submitted DPDs'!#REF!),"","Withdrawn")</f>
        <v>Withdrawn</v>
      </c>
      <c r="H351" s="2" t="e">
        <f>IF(ISBLANK('Master Submitted DPDs'!#REF!),"",'Master Submitted DPDs'!#REF!)</f>
        <v>#REF!</v>
      </c>
      <c r="I351" s="3"/>
      <c r="J351" s="3"/>
      <c r="K351" s="3"/>
      <c r="L351" s="2" t="e">
        <f>IF(ISBLANK('Master Submitted DPDs'!#REF!),"",'Master Submitted DPDs'!#REF!)</f>
        <v>#REF!</v>
      </c>
      <c r="M351" s="2" t="e">
        <f t="shared" si="10"/>
        <v>#REF!</v>
      </c>
      <c r="N351" s="2" t="e">
        <f>IF(ISBLANK('Master Submitted DPDs'!#REF!),IF(ISBLANK('Master Submitted DPDs'!#REF!),"",'Master Submitted DPDs'!#REF!),'Master Submitted DPDs'!#REF!)</f>
        <v>#REF!</v>
      </c>
      <c r="O351" s="2" t="e">
        <f>IF(ISBLANK('Master Submitted DPDs'!#REF!),"",'Master Submitted DPDs'!#REF!)</f>
        <v>#REF!</v>
      </c>
      <c r="P351" s="2" t="e">
        <f>IF(ISBLANK('Master Submitted DPDs'!#REF!),"",'Master Submitted DPDs'!#REF!)</f>
        <v>#REF!</v>
      </c>
      <c r="Q351" t="e">
        <f>IF(ISBLANK('Master Submitted DPDs'!#REF!),"",'Master Submitted DPDs'!#REF!)</f>
        <v>#REF!</v>
      </c>
      <c r="R351" t="e">
        <f t="shared" si="11"/>
        <v>#REF!</v>
      </c>
      <c r="S351" s="3"/>
      <c r="T351" t="e">
        <f>IF(ISBLANK('Master Submitted DPDs'!#REF!),"",'Master Submitted DPDs'!#REF!)</f>
        <v>#REF!</v>
      </c>
    </row>
    <row r="352" spans="1:20" ht="15" x14ac:dyDescent="0.2">
      <c r="A352" s="3" t="str">
        <f>IF(ISBLANK('Master Submitted DPDs'!#REF!),"","Local Plans")</f>
        <v>Local Plans</v>
      </c>
      <c r="B352" t="e">
        <f>IF(ISBLANK('Master Submitted DPDs'!#REF!),"",'Master Submitted DPDs'!#REF!)</f>
        <v>#REF!</v>
      </c>
      <c r="C352" s="3" t="str">
        <f>IF(ISBLANK('Master Submitted DPDs'!#REF!),"","IH")</f>
        <v>IH</v>
      </c>
      <c r="D352" s="3" t="e">
        <f>LOOKUP($F352,'fuzzy LPA lookup'!$E:$E,'fuzzy LPA lookup'!$A:$A)</f>
        <v>#REF!</v>
      </c>
      <c r="E352" s="3" t="e">
        <f>LOOKUP($F352,'fuzzy LPA lookup'!$E:$E,'fuzzy LPA lookup'!$D:$D)</f>
        <v>#REF!</v>
      </c>
      <c r="F352" s="8" t="e">
        <f>IF(ISBLANK('Master Submitted DPDs'!#REF!),"",'Master Submitted DPDs'!#REF!)</f>
        <v>#REF!</v>
      </c>
      <c r="G352" t="str">
        <f>IF(ISBLANK('Master Submitted DPDs'!#REF!),"","Withdrawn")</f>
        <v>Withdrawn</v>
      </c>
      <c r="H352" s="2" t="e">
        <f>IF(ISBLANK('Master Submitted DPDs'!#REF!),"",'Master Submitted DPDs'!#REF!)</f>
        <v>#REF!</v>
      </c>
      <c r="I352" s="3"/>
      <c r="J352" s="3"/>
      <c r="K352" s="3"/>
      <c r="L352" s="2" t="e">
        <f>IF(ISBLANK('Master Submitted DPDs'!#REF!),"",'Master Submitted DPDs'!#REF!)</f>
        <v>#REF!</v>
      </c>
      <c r="M352" s="2" t="e">
        <f t="shared" si="10"/>
        <v>#REF!</v>
      </c>
      <c r="N352" s="2" t="e">
        <f>IF(ISBLANK('Master Submitted DPDs'!#REF!),IF(ISBLANK('Master Submitted DPDs'!#REF!),"",'Master Submitted DPDs'!#REF!),'Master Submitted DPDs'!#REF!)</f>
        <v>#REF!</v>
      </c>
      <c r="O352" s="2" t="e">
        <f>IF(ISBLANK('Master Submitted DPDs'!#REF!),"",'Master Submitted DPDs'!#REF!)</f>
        <v>#REF!</v>
      </c>
      <c r="P352" s="2" t="e">
        <f>IF(ISBLANK('Master Submitted DPDs'!#REF!),"",'Master Submitted DPDs'!#REF!)</f>
        <v>#REF!</v>
      </c>
      <c r="Q352" t="e">
        <f>IF(ISBLANK('Master Submitted DPDs'!#REF!),"",'Master Submitted DPDs'!#REF!)</f>
        <v>#REF!</v>
      </c>
      <c r="R352" t="e">
        <f t="shared" si="11"/>
        <v>#REF!</v>
      </c>
      <c r="S352" s="3"/>
      <c r="T352" t="e">
        <f>IF(ISBLANK('Master Submitted DPDs'!#REF!),"",'Master Submitted DPDs'!#REF!)</f>
        <v>#REF!</v>
      </c>
    </row>
    <row r="353" spans="1:20" ht="15" x14ac:dyDescent="0.2">
      <c r="A353" s="3" t="str">
        <f>IF(ISBLANK('Master Submitted DPDs'!#REF!),"","Local Plans")</f>
        <v>Local Plans</v>
      </c>
      <c r="B353" t="e">
        <f>IF(ISBLANK('Master Submitted DPDs'!#REF!),"",'Master Submitted DPDs'!#REF!)</f>
        <v>#REF!</v>
      </c>
      <c r="C353" s="3" t="str">
        <f>IF(ISBLANK('Master Submitted DPDs'!#REF!),"","IH")</f>
        <v>IH</v>
      </c>
      <c r="D353" s="3" t="e">
        <f>LOOKUP($F353,'fuzzy LPA lookup'!$E:$E,'fuzzy LPA lookup'!$A:$A)</f>
        <v>#REF!</v>
      </c>
      <c r="E353" s="3" t="e">
        <f>LOOKUP($F353,'fuzzy LPA lookup'!$E:$E,'fuzzy LPA lookup'!$D:$D)</f>
        <v>#REF!</v>
      </c>
      <c r="F353" s="8" t="e">
        <f>IF(ISBLANK('Master Submitted DPDs'!#REF!),"",'Master Submitted DPDs'!#REF!)</f>
        <v>#REF!</v>
      </c>
      <c r="G353" t="str">
        <f>IF(ISBLANK('Master Submitted DPDs'!#REF!),"","Withdrawn")</f>
        <v>Withdrawn</v>
      </c>
      <c r="H353" s="2" t="e">
        <f>IF(ISBLANK('Master Submitted DPDs'!#REF!),"",'Master Submitted DPDs'!#REF!)</f>
        <v>#REF!</v>
      </c>
      <c r="I353" s="3"/>
      <c r="J353" s="3"/>
      <c r="K353" s="3"/>
      <c r="L353" s="2" t="e">
        <f>IF(ISBLANK('Master Submitted DPDs'!#REF!),"",'Master Submitted DPDs'!#REF!)</f>
        <v>#REF!</v>
      </c>
      <c r="M353" s="2" t="e">
        <f t="shared" si="10"/>
        <v>#REF!</v>
      </c>
      <c r="N353" s="2" t="e">
        <f>IF(ISBLANK('Master Submitted DPDs'!#REF!),IF(ISBLANK('Master Submitted DPDs'!#REF!),"",'Master Submitted DPDs'!#REF!),'Master Submitted DPDs'!#REF!)</f>
        <v>#REF!</v>
      </c>
      <c r="O353" s="2" t="e">
        <f>IF(ISBLANK('Master Submitted DPDs'!#REF!),"",'Master Submitted DPDs'!#REF!)</f>
        <v>#REF!</v>
      </c>
      <c r="P353" s="2" t="e">
        <f>IF(ISBLANK('Master Submitted DPDs'!#REF!),"",'Master Submitted DPDs'!#REF!)</f>
        <v>#REF!</v>
      </c>
      <c r="Q353" t="e">
        <f>IF(ISBLANK('Master Submitted DPDs'!#REF!),"",'Master Submitted DPDs'!#REF!)</f>
        <v>#REF!</v>
      </c>
      <c r="R353" t="e">
        <f t="shared" si="11"/>
        <v>#REF!</v>
      </c>
      <c r="S353" s="3"/>
      <c r="T353" t="e">
        <f>IF(ISBLANK('Master Submitted DPDs'!#REF!),"",'Master Submitted DPDs'!#REF!)</f>
        <v>#REF!</v>
      </c>
    </row>
    <row r="354" spans="1:20" ht="15" x14ac:dyDescent="0.2">
      <c r="A354" s="3" t="str">
        <f>IF(ISBLANK('Master Submitted DPDs'!#REF!),"","Local Plans")</f>
        <v>Local Plans</v>
      </c>
      <c r="B354" t="e">
        <f>IF(ISBLANK('Master Submitted DPDs'!#REF!),"",'Master Submitted DPDs'!#REF!)</f>
        <v>#REF!</v>
      </c>
      <c r="C354" s="3" t="str">
        <f>IF(ISBLANK('Master Submitted DPDs'!#REF!),"","IH")</f>
        <v>IH</v>
      </c>
      <c r="D354" s="3" t="e">
        <f>LOOKUP($F354,'fuzzy LPA lookup'!$E:$E,'fuzzy LPA lookup'!$A:$A)</f>
        <v>#REF!</v>
      </c>
      <c r="E354" s="3" t="e">
        <f>LOOKUP($F354,'fuzzy LPA lookup'!$E:$E,'fuzzy LPA lookup'!$D:$D)</f>
        <v>#REF!</v>
      </c>
      <c r="F354" s="8" t="e">
        <f>IF(ISBLANK('Master Submitted DPDs'!#REF!),"",'Master Submitted DPDs'!#REF!)</f>
        <v>#REF!</v>
      </c>
      <c r="G354" t="str">
        <f>IF(ISBLANK('Master Submitted DPDs'!#REF!),"","Withdrawn")</f>
        <v>Withdrawn</v>
      </c>
      <c r="H354" s="2" t="e">
        <f>IF(ISBLANK('Master Submitted DPDs'!#REF!),"",'Master Submitted DPDs'!#REF!)</f>
        <v>#REF!</v>
      </c>
      <c r="I354" s="3"/>
      <c r="J354" s="3"/>
      <c r="K354" s="3"/>
      <c r="L354" s="2" t="e">
        <f>IF(ISBLANK('Master Submitted DPDs'!#REF!),"",'Master Submitted DPDs'!#REF!)</f>
        <v>#REF!</v>
      </c>
      <c r="M354" s="2" t="e">
        <f t="shared" si="10"/>
        <v>#REF!</v>
      </c>
      <c r="N354" s="2" t="e">
        <f>IF(ISBLANK('Master Submitted DPDs'!#REF!),IF(ISBLANK('Master Submitted DPDs'!#REF!),"",'Master Submitted DPDs'!#REF!),'Master Submitted DPDs'!#REF!)</f>
        <v>#REF!</v>
      </c>
      <c r="O354" s="2" t="e">
        <f>IF(ISBLANK('Master Submitted DPDs'!#REF!),"",'Master Submitted DPDs'!#REF!)</f>
        <v>#REF!</v>
      </c>
      <c r="P354" s="2" t="e">
        <f>IF(ISBLANK('Master Submitted DPDs'!#REF!),"",'Master Submitted DPDs'!#REF!)</f>
        <v>#REF!</v>
      </c>
      <c r="Q354" t="e">
        <f>IF(ISBLANK('Master Submitted DPDs'!#REF!),"",'Master Submitted DPDs'!#REF!)</f>
        <v>#REF!</v>
      </c>
      <c r="R354" t="e">
        <f t="shared" si="11"/>
        <v>#REF!</v>
      </c>
      <c r="S354" s="3"/>
      <c r="T354" t="e">
        <f>IF(ISBLANK('Master Submitted DPDs'!#REF!),"",'Master Submitted DPDs'!#REF!)</f>
        <v>#REF!</v>
      </c>
    </row>
    <row r="355" spans="1:20" ht="15" x14ac:dyDescent="0.2">
      <c r="A355" s="3" t="str">
        <f>IF(ISBLANK('Master Submitted DPDs'!#REF!),"","Local Plans")</f>
        <v>Local Plans</v>
      </c>
      <c r="B355" t="e">
        <f>IF(ISBLANK('Master Submitted DPDs'!#REF!),"",'Master Submitted DPDs'!#REF!)</f>
        <v>#REF!</v>
      </c>
      <c r="C355" s="3" t="str">
        <f>IF(ISBLANK('Master Submitted DPDs'!#REF!),"","IH")</f>
        <v>IH</v>
      </c>
      <c r="D355" s="3" t="e">
        <f>LOOKUP($F355,'fuzzy LPA lookup'!$E:$E,'fuzzy LPA lookup'!$A:$A)</f>
        <v>#REF!</v>
      </c>
      <c r="E355" s="3" t="e">
        <f>LOOKUP($F355,'fuzzy LPA lookup'!$E:$E,'fuzzy LPA lookup'!$D:$D)</f>
        <v>#REF!</v>
      </c>
      <c r="F355" s="8" t="e">
        <f>IF(ISBLANK('Master Submitted DPDs'!#REF!),"",'Master Submitted DPDs'!#REF!)</f>
        <v>#REF!</v>
      </c>
      <c r="G355" t="str">
        <f>IF(ISBLANK('Master Submitted DPDs'!#REF!),"","Withdrawn")</f>
        <v>Withdrawn</v>
      </c>
      <c r="H355" s="2" t="e">
        <f>IF(ISBLANK('Master Submitted DPDs'!#REF!),"",'Master Submitted DPDs'!#REF!)</f>
        <v>#REF!</v>
      </c>
      <c r="I355" s="3"/>
      <c r="J355" s="3"/>
      <c r="K355" s="3"/>
      <c r="L355" s="2" t="e">
        <f>IF(ISBLANK('Master Submitted DPDs'!#REF!),"",'Master Submitted DPDs'!#REF!)</f>
        <v>#REF!</v>
      </c>
      <c r="M355" s="2" t="e">
        <f t="shared" si="10"/>
        <v>#REF!</v>
      </c>
      <c r="N355" s="2" t="e">
        <f>IF(ISBLANK('Master Submitted DPDs'!#REF!),IF(ISBLANK('Master Submitted DPDs'!#REF!),"",'Master Submitted DPDs'!#REF!),'Master Submitted DPDs'!#REF!)</f>
        <v>#REF!</v>
      </c>
      <c r="O355" s="2" t="e">
        <f>IF(ISBLANK('Master Submitted DPDs'!#REF!),"",'Master Submitted DPDs'!#REF!)</f>
        <v>#REF!</v>
      </c>
      <c r="P355" s="2" t="e">
        <f>IF(ISBLANK('Master Submitted DPDs'!#REF!),"",'Master Submitted DPDs'!#REF!)</f>
        <v>#REF!</v>
      </c>
      <c r="Q355" t="e">
        <f>IF(ISBLANK('Master Submitted DPDs'!#REF!),"",'Master Submitted DPDs'!#REF!)</f>
        <v>#REF!</v>
      </c>
      <c r="R355" t="e">
        <f t="shared" si="11"/>
        <v>#REF!</v>
      </c>
      <c r="S355" s="3"/>
      <c r="T355" t="e">
        <f>IF(ISBLANK('Master Submitted DPDs'!#REF!),"",'Master Submitted DPDs'!#REF!)</f>
        <v>#REF!</v>
      </c>
    </row>
    <row r="356" spans="1:20" ht="15" x14ac:dyDescent="0.2">
      <c r="A356" s="3" t="str">
        <f>IF(ISBLANK('Master Submitted DPDs'!#REF!),"","Local Plans")</f>
        <v>Local Plans</v>
      </c>
      <c r="B356" t="e">
        <f>IF(ISBLANK('Master Submitted DPDs'!#REF!),"",'Master Submitted DPDs'!#REF!)</f>
        <v>#REF!</v>
      </c>
      <c r="C356" s="3" t="str">
        <f>IF(ISBLANK('Master Submitted DPDs'!#REF!),"","IH")</f>
        <v>IH</v>
      </c>
      <c r="D356" s="3" t="e">
        <f>LOOKUP($F356,'fuzzy LPA lookup'!$E:$E,'fuzzy LPA lookup'!$A:$A)</f>
        <v>#REF!</v>
      </c>
      <c r="E356" s="3" t="e">
        <f>LOOKUP($F356,'fuzzy LPA lookup'!$E:$E,'fuzzy LPA lookup'!$D:$D)</f>
        <v>#REF!</v>
      </c>
      <c r="F356" s="8" t="e">
        <f>IF(ISBLANK('Master Submitted DPDs'!#REF!),"",'Master Submitted DPDs'!#REF!)</f>
        <v>#REF!</v>
      </c>
      <c r="G356" t="str">
        <f>IF(ISBLANK('Master Submitted DPDs'!#REF!),"","Withdrawn")</f>
        <v>Withdrawn</v>
      </c>
      <c r="H356" s="2" t="e">
        <f>IF(ISBLANK('Master Submitted DPDs'!#REF!),"",'Master Submitted DPDs'!#REF!)</f>
        <v>#REF!</v>
      </c>
      <c r="I356" s="3"/>
      <c r="J356" s="3"/>
      <c r="K356" s="3"/>
      <c r="L356" s="2" t="e">
        <f>IF(ISBLANK('Master Submitted DPDs'!#REF!),"",'Master Submitted DPDs'!#REF!)</f>
        <v>#REF!</v>
      </c>
      <c r="M356" s="2" t="e">
        <f t="shared" si="10"/>
        <v>#REF!</v>
      </c>
      <c r="N356" s="2" t="e">
        <f>IF(ISBLANK('Master Submitted DPDs'!#REF!),IF(ISBLANK('Master Submitted DPDs'!#REF!),"",'Master Submitted DPDs'!#REF!),'Master Submitted DPDs'!#REF!)</f>
        <v>#REF!</v>
      </c>
      <c r="O356" s="2" t="e">
        <f>IF(ISBLANK('Master Submitted DPDs'!#REF!),"",'Master Submitted DPDs'!#REF!)</f>
        <v>#REF!</v>
      </c>
      <c r="P356" s="2" t="e">
        <f>IF(ISBLANK('Master Submitted DPDs'!#REF!),"",'Master Submitted DPDs'!#REF!)</f>
        <v>#REF!</v>
      </c>
      <c r="Q356" t="e">
        <f>IF(ISBLANK('Master Submitted DPDs'!#REF!),"",'Master Submitted DPDs'!#REF!)</f>
        <v>#REF!</v>
      </c>
      <c r="R356" t="e">
        <f t="shared" si="11"/>
        <v>#REF!</v>
      </c>
      <c r="S356" s="3"/>
      <c r="T356" t="e">
        <f>IF(ISBLANK('Master Submitted DPDs'!#REF!),"",'Master Submitted DPDs'!#REF!)</f>
        <v>#REF!</v>
      </c>
    </row>
    <row r="357" spans="1:20" ht="15" x14ac:dyDescent="0.2">
      <c r="A357" s="3" t="str">
        <f>IF(ISBLANK('Master Submitted DPDs'!#REF!),"","Local Plans")</f>
        <v>Local Plans</v>
      </c>
      <c r="B357" t="e">
        <f>IF(ISBLANK('Master Submitted DPDs'!#REF!),"",'Master Submitted DPDs'!#REF!)</f>
        <v>#REF!</v>
      </c>
      <c r="C357" s="3" t="str">
        <f>IF(ISBLANK('Master Submitted DPDs'!#REF!),"","IH")</f>
        <v>IH</v>
      </c>
      <c r="D357" s="3" t="e">
        <f>LOOKUP($F357,'fuzzy LPA lookup'!$E:$E,'fuzzy LPA lookup'!$A:$A)</f>
        <v>#REF!</v>
      </c>
      <c r="E357" s="3" t="e">
        <f>LOOKUP($F357,'fuzzy LPA lookup'!$E:$E,'fuzzy LPA lookup'!$D:$D)</f>
        <v>#REF!</v>
      </c>
      <c r="F357" s="8" t="e">
        <f>IF(ISBLANK('Master Submitted DPDs'!#REF!),"",'Master Submitted DPDs'!#REF!)</f>
        <v>#REF!</v>
      </c>
      <c r="G357" t="str">
        <f>IF(ISBLANK('Master Submitted DPDs'!#REF!),"","Withdrawn")</f>
        <v>Withdrawn</v>
      </c>
      <c r="H357" s="2" t="e">
        <f>IF(ISBLANK('Master Submitted DPDs'!#REF!),"",'Master Submitted DPDs'!#REF!)</f>
        <v>#REF!</v>
      </c>
      <c r="I357" s="3"/>
      <c r="J357" s="3"/>
      <c r="K357" s="3"/>
      <c r="L357" s="2" t="e">
        <f>IF(ISBLANK('Master Submitted DPDs'!#REF!),"",'Master Submitted DPDs'!#REF!)</f>
        <v>#REF!</v>
      </c>
      <c r="M357" s="2" t="e">
        <f t="shared" si="10"/>
        <v>#REF!</v>
      </c>
      <c r="N357" s="2" t="e">
        <f>IF(ISBLANK('Master Submitted DPDs'!#REF!),IF(ISBLANK('Master Submitted DPDs'!#REF!),"",'Master Submitted DPDs'!#REF!),'Master Submitted DPDs'!#REF!)</f>
        <v>#REF!</v>
      </c>
      <c r="O357" s="2" t="e">
        <f>IF(ISBLANK('Master Submitted DPDs'!#REF!),"",'Master Submitted DPDs'!#REF!)</f>
        <v>#REF!</v>
      </c>
      <c r="P357" s="2" t="e">
        <f>IF(ISBLANK('Master Submitted DPDs'!#REF!),"",'Master Submitted DPDs'!#REF!)</f>
        <v>#REF!</v>
      </c>
      <c r="Q357" t="e">
        <f>IF(ISBLANK('Master Submitted DPDs'!#REF!),"",'Master Submitted DPDs'!#REF!)</f>
        <v>#REF!</v>
      </c>
      <c r="R357" t="e">
        <f t="shared" si="11"/>
        <v>#REF!</v>
      </c>
      <c r="S357" s="3"/>
      <c r="T357" t="e">
        <f>IF(ISBLANK('Master Submitted DPDs'!#REF!),"",'Master Submitted DPDs'!#REF!)</f>
        <v>#REF!</v>
      </c>
    </row>
    <row r="358" spans="1:20" ht="15" x14ac:dyDescent="0.2">
      <c r="A358" s="3" t="str">
        <f>IF(ISBLANK('Master Submitted DPDs'!#REF!),"","Local Plans")</f>
        <v>Local Plans</v>
      </c>
      <c r="B358" t="e">
        <f>IF(ISBLANK('Master Submitted DPDs'!#REF!),"",'Master Submitted DPDs'!#REF!)</f>
        <v>#REF!</v>
      </c>
      <c r="C358" s="3" t="str">
        <f>IF(ISBLANK('Master Submitted DPDs'!#REF!),"","IH")</f>
        <v>IH</v>
      </c>
      <c r="D358" s="3" t="e">
        <f>LOOKUP($F358,'fuzzy LPA lookup'!$E:$E,'fuzzy LPA lookup'!$A:$A)</f>
        <v>#REF!</v>
      </c>
      <c r="E358" s="3" t="e">
        <f>LOOKUP($F358,'fuzzy LPA lookup'!$E:$E,'fuzzy LPA lookup'!$D:$D)</f>
        <v>#REF!</v>
      </c>
      <c r="F358" s="8" t="e">
        <f>IF(ISBLANK('Master Submitted DPDs'!#REF!),"",'Master Submitted DPDs'!#REF!)</f>
        <v>#REF!</v>
      </c>
      <c r="G358" t="str">
        <f>IF(ISBLANK('Master Submitted DPDs'!#REF!),"","Withdrawn")</f>
        <v>Withdrawn</v>
      </c>
      <c r="H358" s="2" t="e">
        <f>IF(ISBLANK('Master Submitted DPDs'!#REF!),"",'Master Submitted DPDs'!#REF!)</f>
        <v>#REF!</v>
      </c>
      <c r="I358" s="3"/>
      <c r="J358" s="3"/>
      <c r="K358" s="3"/>
      <c r="L358" s="2" t="e">
        <f>IF(ISBLANK('Master Submitted DPDs'!#REF!),"",'Master Submitted DPDs'!#REF!)</f>
        <v>#REF!</v>
      </c>
      <c r="M358" s="2" t="e">
        <f t="shared" si="10"/>
        <v>#REF!</v>
      </c>
      <c r="N358" s="2" t="e">
        <f>IF(ISBLANK('Master Submitted DPDs'!#REF!),IF(ISBLANK('Master Submitted DPDs'!#REF!),"",'Master Submitted DPDs'!#REF!),'Master Submitted DPDs'!#REF!)</f>
        <v>#REF!</v>
      </c>
      <c r="O358" s="2" t="e">
        <f>IF(ISBLANK('Master Submitted DPDs'!#REF!),"",'Master Submitted DPDs'!#REF!)</f>
        <v>#REF!</v>
      </c>
      <c r="P358" s="2" t="e">
        <f>IF(ISBLANK('Master Submitted DPDs'!#REF!),"",'Master Submitted DPDs'!#REF!)</f>
        <v>#REF!</v>
      </c>
      <c r="Q358" t="e">
        <f>IF(ISBLANK('Master Submitted DPDs'!#REF!),"",'Master Submitted DPDs'!#REF!)</f>
        <v>#REF!</v>
      </c>
      <c r="R358" t="e">
        <f t="shared" si="11"/>
        <v>#REF!</v>
      </c>
      <c r="S358" s="3"/>
      <c r="T358" t="e">
        <f>IF(ISBLANK('Master Submitted DPDs'!#REF!),"",'Master Submitted DPDs'!#REF!)</f>
        <v>#REF!</v>
      </c>
    </row>
    <row r="359" spans="1:20" ht="15" x14ac:dyDescent="0.2">
      <c r="A359" s="3" t="str">
        <f>IF(ISBLANK('Master Submitted DPDs'!#REF!),"","Local Plans")</f>
        <v>Local Plans</v>
      </c>
      <c r="B359" t="e">
        <f>IF(ISBLANK('Master Submitted DPDs'!#REF!),"",'Master Submitted DPDs'!#REF!)</f>
        <v>#REF!</v>
      </c>
      <c r="C359" s="3" t="str">
        <f>IF(ISBLANK('Master Submitted DPDs'!#REF!),"","IH")</f>
        <v>IH</v>
      </c>
      <c r="D359" s="3" t="e">
        <f>LOOKUP($F359,'fuzzy LPA lookup'!$E:$E,'fuzzy LPA lookup'!$A:$A)</f>
        <v>#REF!</v>
      </c>
      <c r="E359" s="3" t="e">
        <f>LOOKUP($F359,'fuzzy LPA lookup'!$E:$E,'fuzzy LPA lookup'!$D:$D)</f>
        <v>#REF!</v>
      </c>
      <c r="F359" s="8" t="e">
        <f>IF(ISBLANK('Master Submitted DPDs'!#REF!),"",'Master Submitted DPDs'!#REF!)</f>
        <v>#REF!</v>
      </c>
      <c r="G359" t="str">
        <f>IF(ISBLANK('Master Submitted DPDs'!#REF!),"","Withdrawn")</f>
        <v>Withdrawn</v>
      </c>
      <c r="H359" s="2" t="e">
        <f>IF(ISBLANK('Master Submitted DPDs'!#REF!),"",'Master Submitted DPDs'!#REF!)</f>
        <v>#REF!</v>
      </c>
      <c r="I359" s="3"/>
      <c r="J359" s="3"/>
      <c r="K359" s="3"/>
      <c r="L359" s="2" t="e">
        <f>IF(ISBLANK('Master Submitted DPDs'!#REF!),"",'Master Submitted DPDs'!#REF!)</f>
        <v>#REF!</v>
      </c>
      <c r="M359" s="2" t="e">
        <f t="shared" si="10"/>
        <v>#REF!</v>
      </c>
      <c r="N359" s="2" t="e">
        <f>IF(ISBLANK('Master Submitted DPDs'!#REF!),IF(ISBLANK('Master Submitted DPDs'!#REF!),"",'Master Submitted DPDs'!#REF!),'Master Submitted DPDs'!#REF!)</f>
        <v>#REF!</v>
      </c>
      <c r="O359" s="2" t="e">
        <f>IF(ISBLANK('Master Submitted DPDs'!#REF!),"",'Master Submitted DPDs'!#REF!)</f>
        <v>#REF!</v>
      </c>
      <c r="P359" s="2" t="e">
        <f>IF(ISBLANK('Master Submitted DPDs'!#REF!),"",'Master Submitted DPDs'!#REF!)</f>
        <v>#REF!</v>
      </c>
      <c r="Q359" t="e">
        <f>IF(ISBLANK('Master Submitted DPDs'!#REF!),"",'Master Submitted DPDs'!#REF!)</f>
        <v>#REF!</v>
      </c>
      <c r="R359" t="e">
        <f t="shared" si="11"/>
        <v>#REF!</v>
      </c>
      <c r="S359" s="3"/>
      <c r="T359" t="e">
        <f>IF(ISBLANK('Master Submitted DPDs'!#REF!),"",'Master Submitted DPDs'!#REF!)</f>
        <v>#REF!</v>
      </c>
    </row>
    <row r="360" spans="1:20" ht="15" x14ac:dyDescent="0.2">
      <c r="A360" s="3" t="str">
        <f>IF(ISBLANK('Master Submitted DPDs'!#REF!),"","Local Plans")</f>
        <v>Local Plans</v>
      </c>
      <c r="B360" t="e">
        <f>IF(ISBLANK('Master Submitted DPDs'!#REF!),"",'Master Submitted DPDs'!#REF!)</f>
        <v>#REF!</v>
      </c>
      <c r="C360" s="3" t="str">
        <f>IF(ISBLANK('Master Submitted DPDs'!#REF!),"","IH")</f>
        <v>IH</v>
      </c>
      <c r="D360" s="3" t="e">
        <f>LOOKUP($F360,'fuzzy LPA lookup'!$E:$E,'fuzzy LPA lookup'!$A:$A)</f>
        <v>#REF!</v>
      </c>
      <c r="E360" s="3" t="e">
        <f>LOOKUP($F360,'fuzzy LPA lookup'!$E:$E,'fuzzy LPA lookup'!$D:$D)</f>
        <v>#REF!</v>
      </c>
      <c r="F360" s="8" t="e">
        <f>IF(ISBLANK('Master Submitted DPDs'!#REF!),"",'Master Submitted DPDs'!#REF!)</f>
        <v>#REF!</v>
      </c>
      <c r="G360" t="str">
        <f>IF(ISBLANK('Master Submitted DPDs'!#REF!),"","Withdrawn")</f>
        <v>Withdrawn</v>
      </c>
      <c r="H360" s="2" t="e">
        <f>IF(ISBLANK('Master Submitted DPDs'!#REF!),"",'Master Submitted DPDs'!#REF!)</f>
        <v>#REF!</v>
      </c>
      <c r="I360" s="3"/>
      <c r="J360" s="3"/>
      <c r="K360" s="3"/>
      <c r="L360" s="2" t="e">
        <f>IF(ISBLANK('Master Submitted DPDs'!#REF!),"",'Master Submitted DPDs'!#REF!)</f>
        <v>#REF!</v>
      </c>
      <c r="M360" s="2" t="e">
        <f t="shared" si="10"/>
        <v>#REF!</v>
      </c>
      <c r="N360" s="2" t="e">
        <f>IF(ISBLANK('Master Submitted DPDs'!#REF!),IF(ISBLANK('Master Submitted DPDs'!#REF!),"",'Master Submitted DPDs'!#REF!),'Master Submitted DPDs'!#REF!)</f>
        <v>#REF!</v>
      </c>
      <c r="O360" s="2" t="e">
        <f>IF(ISBLANK('Master Submitted DPDs'!#REF!),"",'Master Submitted DPDs'!#REF!)</f>
        <v>#REF!</v>
      </c>
      <c r="P360" s="2" t="e">
        <f>IF(ISBLANK('Master Submitted DPDs'!#REF!),"",'Master Submitted DPDs'!#REF!)</f>
        <v>#REF!</v>
      </c>
      <c r="Q360" t="e">
        <f>IF(ISBLANK('Master Submitted DPDs'!#REF!),"",'Master Submitted DPDs'!#REF!)</f>
        <v>#REF!</v>
      </c>
      <c r="R360" t="e">
        <f t="shared" si="11"/>
        <v>#REF!</v>
      </c>
      <c r="S360" s="3"/>
      <c r="T360" t="e">
        <f>IF(ISBLANK('Master Submitted DPDs'!#REF!),"",'Master Submitted DPDs'!#REF!)</f>
        <v>#REF!</v>
      </c>
    </row>
    <row r="361" spans="1:20" ht="15" x14ac:dyDescent="0.2">
      <c r="A361" s="3" t="str">
        <f>IF(ISBLANK('Master Submitted DPDs'!#REF!),"","Local Plans")</f>
        <v>Local Plans</v>
      </c>
      <c r="B361" t="e">
        <f>IF(ISBLANK('Master Submitted DPDs'!#REF!),"",'Master Submitted DPDs'!#REF!)</f>
        <v>#REF!</v>
      </c>
      <c r="C361" s="3" t="str">
        <f>IF(ISBLANK('Master Submitted DPDs'!#REF!),"","IH")</f>
        <v>IH</v>
      </c>
      <c r="D361" s="3" t="e">
        <f>LOOKUP($F361,'fuzzy LPA lookup'!$E:$E,'fuzzy LPA lookup'!$A:$A)</f>
        <v>#REF!</v>
      </c>
      <c r="E361" s="3" t="e">
        <f>LOOKUP($F361,'fuzzy LPA lookup'!$E:$E,'fuzzy LPA lookup'!$D:$D)</f>
        <v>#REF!</v>
      </c>
      <c r="F361" s="8" t="e">
        <f>IF(ISBLANK('Master Submitted DPDs'!#REF!),"",'Master Submitted DPDs'!#REF!)</f>
        <v>#REF!</v>
      </c>
      <c r="G361" t="str">
        <f>IF(ISBLANK('Master Submitted DPDs'!#REF!),"","Withdrawn")</f>
        <v>Withdrawn</v>
      </c>
      <c r="H361" s="2" t="e">
        <f>IF(ISBLANK('Master Submitted DPDs'!#REF!),"",'Master Submitted DPDs'!#REF!)</f>
        <v>#REF!</v>
      </c>
      <c r="I361" s="3"/>
      <c r="J361" s="3"/>
      <c r="K361" s="3"/>
      <c r="L361" s="2" t="e">
        <f>IF(ISBLANK('Master Submitted DPDs'!#REF!),"",'Master Submitted DPDs'!#REF!)</f>
        <v>#REF!</v>
      </c>
      <c r="M361" s="2" t="e">
        <f t="shared" si="10"/>
        <v>#REF!</v>
      </c>
      <c r="N361" s="2" t="e">
        <f>IF(ISBLANK('Master Submitted DPDs'!#REF!),IF(ISBLANK('Master Submitted DPDs'!#REF!),"",'Master Submitted DPDs'!#REF!),'Master Submitted DPDs'!#REF!)</f>
        <v>#REF!</v>
      </c>
      <c r="O361" s="2" t="e">
        <f>IF(ISBLANK('Master Submitted DPDs'!#REF!),"",'Master Submitted DPDs'!#REF!)</f>
        <v>#REF!</v>
      </c>
      <c r="P361" s="2" t="e">
        <f>IF(ISBLANK('Master Submitted DPDs'!#REF!),"",'Master Submitted DPDs'!#REF!)</f>
        <v>#REF!</v>
      </c>
      <c r="Q361" t="e">
        <f>IF(ISBLANK('Master Submitted DPDs'!#REF!),"",'Master Submitted DPDs'!#REF!)</f>
        <v>#REF!</v>
      </c>
      <c r="R361" t="e">
        <f t="shared" si="11"/>
        <v>#REF!</v>
      </c>
      <c r="S361" s="3"/>
      <c r="T361" t="e">
        <f>IF(ISBLANK('Master Submitted DPDs'!#REF!),"",'Master Submitted DPDs'!#REF!)</f>
        <v>#REF!</v>
      </c>
    </row>
    <row r="362" spans="1:20" ht="15" x14ac:dyDescent="0.2">
      <c r="A362" s="3" t="str">
        <f>IF(ISBLANK('Master Submitted DPDs'!#REF!),"","Local Plans")</f>
        <v>Local Plans</v>
      </c>
      <c r="B362" t="e">
        <f>IF(ISBLANK('Master Submitted DPDs'!#REF!),"",'Master Submitted DPDs'!#REF!)</f>
        <v>#REF!</v>
      </c>
      <c r="C362" s="3" t="str">
        <f>IF(ISBLANK('Master Submitted DPDs'!#REF!),"","IH")</f>
        <v>IH</v>
      </c>
      <c r="D362" s="3" t="e">
        <f>LOOKUP($F362,'fuzzy LPA lookup'!$E:$E,'fuzzy LPA lookup'!$A:$A)</f>
        <v>#REF!</v>
      </c>
      <c r="E362" s="3" t="e">
        <f>LOOKUP($F362,'fuzzy LPA lookup'!$E:$E,'fuzzy LPA lookup'!$D:$D)</f>
        <v>#REF!</v>
      </c>
      <c r="F362" s="8" t="e">
        <f>IF(ISBLANK('Master Submitted DPDs'!#REF!),"",'Master Submitted DPDs'!#REF!)</f>
        <v>#REF!</v>
      </c>
      <c r="G362" t="str">
        <f>IF(ISBLANK('Master Submitted DPDs'!#REF!),"","Withdrawn")</f>
        <v>Withdrawn</v>
      </c>
      <c r="H362" s="2" t="e">
        <f>IF(ISBLANK('Master Submitted DPDs'!#REF!),"",'Master Submitted DPDs'!#REF!)</f>
        <v>#REF!</v>
      </c>
      <c r="I362" s="3"/>
      <c r="J362" s="3"/>
      <c r="K362" s="3"/>
      <c r="L362" s="2" t="e">
        <f>IF(ISBLANK('Master Submitted DPDs'!#REF!),"",'Master Submitted DPDs'!#REF!)</f>
        <v>#REF!</v>
      </c>
      <c r="M362" s="2" t="e">
        <f t="shared" si="10"/>
        <v>#REF!</v>
      </c>
      <c r="N362" s="2" t="e">
        <f>IF(ISBLANK('Master Submitted DPDs'!#REF!),IF(ISBLANK('Master Submitted DPDs'!#REF!),"",'Master Submitted DPDs'!#REF!),'Master Submitted DPDs'!#REF!)</f>
        <v>#REF!</v>
      </c>
      <c r="O362" s="2" t="e">
        <f>IF(ISBLANK('Master Submitted DPDs'!#REF!),"",'Master Submitted DPDs'!#REF!)</f>
        <v>#REF!</v>
      </c>
      <c r="P362" s="2" t="e">
        <f>IF(ISBLANK('Master Submitted DPDs'!#REF!),"",'Master Submitted DPDs'!#REF!)</f>
        <v>#REF!</v>
      </c>
      <c r="Q362" t="e">
        <f>IF(ISBLANK('Master Submitted DPDs'!#REF!),"",'Master Submitted DPDs'!#REF!)</f>
        <v>#REF!</v>
      </c>
      <c r="R362" t="e">
        <f t="shared" si="11"/>
        <v>#REF!</v>
      </c>
      <c r="S362" s="3"/>
      <c r="T362" t="e">
        <f>IF(ISBLANK('Master Submitted DPDs'!#REF!),"",'Master Submitted DPDs'!#REF!)</f>
        <v>#REF!</v>
      </c>
    </row>
    <row r="363" spans="1:20" ht="15" x14ac:dyDescent="0.2">
      <c r="A363" s="3" t="str">
        <f>IF(ISBLANK('Master Submitted DPDs'!#REF!),"","Local Plans")</f>
        <v>Local Plans</v>
      </c>
      <c r="B363" t="e">
        <f>IF(ISBLANK('Master Submitted DPDs'!#REF!),"",'Master Submitted DPDs'!#REF!)</f>
        <v>#REF!</v>
      </c>
      <c r="C363" s="3" t="str">
        <f>IF(ISBLANK('Master Submitted DPDs'!#REF!),"","IH")</f>
        <v>IH</v>
      </c>
      <c r="D363" s="3" t="e">
        <f>LOOKUP($F363,'fuzzy LPA lookup'!$E:$E,'fuzzy LPA lookup'!$A:$A)</f>
        <v>#REF!</v>
      </c>
      <c r="E363" s="3" t="e">
        <f>LOOKUP($F363,'fuzzy LPA lookup'!$E:$E,'fuzzy LPA lookup'!$D:$D)</f>
        <v>#REF!</v>
      </c>
      <c r="F363" s="8" t="e">
        <f>IF(ISBLANK('Master Submitted DPDs'!#REF!),"",'Master Submitted DPDs'!#REF!)</f>
        <v>#REF!</v>
      </c>
      <c r="G363" t="str">
        <f>IF(ISBLANK('Master Submitted DPDs'!#REF!),"","Withdrawn")</f>
        <v>Withdrawn</v>
      </c>
      <c r="H363" s="2" t="e">
        <f>IF(ISBLANK('Master Submitted DPDs'!#REF!),"",'Master Submitted DPDs'!#REF!)</f>
        <v>#REF!</v>
      </c>
      <c r="I363" s="3"/>
      <c r="J363" s="3"/>
      <c r="K363" s="3"/>
      <c r="L363" s="2" t="e">
        <f>IF(ISBLANK('Master Submitted DPDs'!#REF!),"",'Master Submitted DPDs'!#REF!)</f>
        <v>#REF!</v>
      </c>
      <c r="M363" s="2" t="e">
        <f t="shared" si="10"/>
        <v>#REF!</v>
      </c>
      <c r="N363" s="2" t="e">
        <f>IF(ISBLANK('Master Submitted DPDs'!#REF!),IF(ISBLANK('Master Submitted DPDs'!#REF!),"",'Master Submitted DPDs'!#REF!),'Master Submitted DPDs'!#REF!)</f>
        <v>#REF!</v>
      </c>
      <c r="O363" s="2" t="e">
        <f>IF(ISBLANK('Master Submitted DPDs'!#REF!),"",'Master Submitted DPDs'!#REF!)</f>
        <v>#REF!</v>
      </c>
      <c r="P363" s="2" t="e">
        <f>IF(ISBLANK('Master Submitted DPDs'!#REF!),"",'Master Submitted DPDs'!#REF!)</f>
        <v>#REF!</v>
      </c>
      <c r="Q363" t="e">
        <f>IF(ISBLANK('Master Submitted DPDs'!#REF!),"",'Master Submitted DPDs'!#REF!)</f>
        <v>#REF!</v>
      </c>
      <c r="R363" t="e">
        <f t="shared" si="11"/>
        <v>#REF!</v>
      </c>
      <c r="S363" s="3"/>
      <c r="T363" t="e">
        <f>IF(ISBLANK('Master Submitted DPDs'!#REF!),"",'Master Submitted DPDs'!#REF!)</f>
        <v>#REF!</v>
      </c>
    </row>
    <row r="364" spans="1:20" ht="15" x14ac:dyDescent="0.2">
      <c r="A364" s="3" t="str">
        <f>IF(ISBLANK('Master Submitted DPDs'!#REF!),"","Local Plans")</f>
        <v>Local Plans</v>
      </c>
      <c r="B364" t="e">
        <f>IF(ISBLANK('Master Submitted DPDs'!#REF!),"",'Master Submitted DPDs'!#REF!)</f>
        <v>#REF!</v>
      </c>
      <c r="C364" s="3" t="str">
        <f>IF(ISBLANK('Master Submitted DPDs'!#REF!),"","IH")</f>
        <v>IH</v>
      </c>
      <c r="D364" s="3" t="e">
        <f>LOOKUP($F364,'fuzzy LPA lookup'!$E:$E,'fuzzy LPA lookup'!$A:$A)</f>
        <v>#REF!</v>
      </c>
      <c r="E364" s="3" t="e">
        <f>LOOKUP($F364,'fuzzy LPA lookup'!$E:$E,'fuzzy LPA lookup'!$D:$D)</f>
        <v>#REF!</v>
      </c>
      <c r="F364" s="8" t="e">
        <f>IF(ISBLANK('Master Submitted DPDs'!#REF!),"",'Master Submitted DPDs'!#REF!)</f>
        <v>#REF!</v>
      </c>
      <c r="G364" t="str">
        <f>IF(ISBLANK('Master Submitted DPDs'!#REF!),"","Withdrawn")</f>
        <v>Withdrawn</v>
      </c>
      <c r="H364" s="2" t="e">
        <f>IF(ISBLANK('Master Submitted DPDs'!#REF!),"",'Master Submitted DPDs'!#REF!)</f>
        <v>#REF!</v>
      </c>
      <c r="I364" s="3"/>
      <c r="J364" s="3"/>
      <c r="K364" s="3"/>
      <c r="L364" s="2" t="e">
        <f>IF(ISBLANK('Master Submitted DPDs'!#REF!),"",'Master Submitted DPDs'!#REF!)</f>
        <v>#REF!</v>
      </c>
      <c r="M364" s="2" t="e">
        <f t="shared" si="10"/>
        <v>#REF!</v>
      </c>
      <c r="N364" s="2" t="e">
        <f>IF(ISBLANK('Master Submitted DPDs'!#REF!),IF(ISBLANK('Master Submitted DPDs'!#REF!),"",'Master Submitted DPDs'!#REF!),'Master Submitted DPDs'!#REF!)</f>
        <v>#REF!</v>
      </c>
      <c r="O364" s="2" t="e">
        <f>IF(ISBLANK('Master Submitted DPDs'!#REF!),"",'Master Submitted DPDs'!#REF!)</f>
        <v>#REF!</v>
      </c>
      <c r="P364" s="2" t="e">
        <f>IF(ISBLANK('Master Submitted DPDs'!#REF!),"",'Master Submitted DPDs'!#REF!)</f>
        <v>#REF!</v>
      </c>
      <c r="Q364" t="e">
        <f>IF(ISBLANK('Master Submitted DPDs'!#REF!),"",'Master Submitted DPDs'!#REF!)</f>
        <v>#REF!</v>
      </c>
      <c r="R364" t="e">
        <f t="shared" si="11"/>
        <v>#REF!</v>
      </c>
      <c r="S364" s="3"/>
      <c r="T364" t="e">
        <f>IF(ISBLANK('Master Submitted DPDs'!#REF!),"",'Master Submitted DPDs'!#REF!)</f>
        <v>#REF!</v>
      </c>
    </row>
    <row r="365" spans="1:20" ht="15" x14ac:dyDescent="0.2">
      <c r="A365" s="3" t="str">
        <f>IF(ISBLANK('Master Submitted DPDs'!#REF!),"","Local Plans")</f>
        <v>Local Plans</v>
      </c>
      <c r="B365" t="e">
        <f>IF(ISBLANK('Master Submitted DPDs'!#REF!),"",'Master Submitted DPDs'!#REF!)</f>
        <v>#REF!</v>
      </c>
      <c r="C365" s="3" t="str">
        <f>IF(ISBLANK('Master Submitted DPDs'!#REF!),"","IH")</f>
        <v>IH</v>
      </c>
      <c r="D365" s="3" t="e">
        <f>LOOKUP($F365,'fuzzy LPA lookup'!$E:$E,'fuzzy LPA lookup'!$A:$A)</f>
        <v>#REF!</v>
      </c>
      <c r="E365" s="3" t="e">
        <f>LOOKUP($F365,'fuzzy LPA lookup'!$E:$E,'fuzzy LPA lookup'!$D:$D)</f>
        <v>#REF!</v>
      </c>
      <c r="F365" s="8" t="e">
        <f>IF(ISBLANK('Master Submitted DPDs'!#REF!),"",'Master Submitted DPDs'!#REF!)</f>
        <v>#REF!</v>
      </c>
      <c r="G365" t="str">
        <f>IF(ISBLANK('Master Submitted DPDs'!#REF!),"","Withdrawn")</f>
        <v>Withdrawn</v>
      </c>
      <c r="H365" s="2" t="e">
        <f>IF(ISBLANK('Master Submitted DPDs'!#REF!),"",'Master Submitted DPDs'!#REF!)</f>
        <v>#REF!</v>
      </c>
      <c r="I365" s="3"/>
      <c r="J365" s="3"/>
      <c r="K365" s="3"/>
      <c r="L365" s="2" t="e">
        <f>IF(ISBLANK('Master Submitted DPDs'!#REF!),"",'Master Submitted DPDs'!#REF!)</f>
        <v>#REF!</v>
      </c>
      <c r="M365" s="2" t="e">
        <f t="shared" si="10"/>
        <v>#REF!</v>
      </c>
      <c r="N365" s="2" t="e">
        <f>IF(ISBLANK('Master Submitted DPDs'!#REF!),IF(ISBLANK('Master Submitted DPDs'!#REF!),"",'Master Submitted DPDs'!#REF!),'Master Submitted DPDs'!#REF!)</f>
        <v>#REF!</v>
      </c>
      <c r="O365" s="2" t="e">
        <f>IF(ISBLANK('Master Submitted DPDs'!#REF!),"",'Master Submitted DPDs'!#REF!)</f>
        <v>#REF!</v>
      </c>
      <c r="P365" s="2" t="e">
        <f>IF(ISBLANK('Master Submitted DPDs'!#REF!),"",'Master Submitted DPDs'!#REF!)</f>
        <v>#REF!</v>
      </c>
      <c r="Q365" t="e">
        <f>IF(ISBLANK('Master Submitted DPDs'!#REF!),"",'Master Submitted DPDs'!#REF!)</f>
        <v>#REF!</v>
      </c>
      <c r="R365" t="e">
        <f t="shared" si="11"/>
        <v>#REF!</v>
      </c>
      <c r="S365" s="3"/>
      <c r="T365" t="e">
        <f>IF(ISBLANK('Master Submitted DPDs'!#REF!),"",'Master Submitted DPDs'!#REF!)</f>
        <v>#REF!</v>
      </c>
    </row>
    <row r="366" spans="1:20" ht="15" x14ac:dyDescent="0.2">
      <c r="A366" s="3" t="str">
        <f>IF(ISBLANK('Master Submitted DPDs'!#REF!),"","Local Plans")</f>
        <v>Local Plans</v>
      </c>
      <c r="B366" t="e">
        <f>IF(ISBLANK('Master Submitted DPDs'!#REF!),"",'Master Submitted DPDs'!#REF!)</f>
        <v>#REF!</v>
      </c>
      <c r="C366" s="3" t="str">
        <f>IF(ISBLANK('Master Submitted DPDs'!#REF!),"","IH")</f>
        <v>IH</v>
      </c>
      <c r="D366" s="3" t="e">
        <f>LOOKUP($F366,'fuzzy LPA lookup'!$E:$E,'fuzzy LPA lookup'!$A:$A)</f>
        <v>#REF!</v>
      </c>
      <c r="E366" s="3" t="e">
        <f>LOOKUP($F366,'fuzzy LPA lookup'!$E:$E,'fuzzy LPA lookup'!$D:$D)</f>
        <v>#REF!</v>
      </c>
      <c r="F366" s="8" t="e">
        <f>IF(ISBLANK('Master Submitted DPDs'!#REF!),"",'Master Submitted DPDs'!#REF!)</f>
        <v>#REF!</v>
      </c>
      <c r="G366" t="str">
        <f>IF(ISBLANK('Master Submitted DPDs'!#REF!),"","Withdrawn")</f>
        <v>Withdrawn</v>
      </c>
      <c r="H366" s="2" t="e">
        <f>IF(ISBLANK('Master Submitted DPDs'!#REF!),"",'Master Submitted DPDs'!#REF!)</f>
        <v>#REF!</v>
      </c>
      <c r="I366" s="3"/>
      <c r="J366" s="3"/>
      <c r="K366" s="3"/>
      <c r="L366" s="2" t="e">
        <f>IF(ISBLANK('Master Submitted DPDs'!#REF!),"",'Master Submitted DPDs'!#REF!)</f>
        <v>#REF!</v>
      </c>
      <c r="M366" s="2" t="e">
        <f t="shared" si="10"/>
        <v>#REF!</v>
      </c>
      <c r="N366" s="2" t="e">
        <f>IF(ISBLANK('Master Submitted DPDs'!#REF!),IF(ISBLANK('Master Submitted DPDs'!#REF!),"",'Master Submitted DPDs'!#REF!),'Master Submitted DPDs'!#REF!)</f>
        <v>#REF!</v>
      </c>
      <c r="O366" s="2" t="e">
        <f>IF(ISBLANK('Master Submitted DPDs'!#REF!),"",'Master Submitted DPDs'!#REF!)</f>
        <v>#REF!</v>
      </c>
      <c r="P366" s="2" t="e">
        <f>IF(ISBLANK('Master Submitted DPDs'!#REF!),"",'Master Submitted DPDs'!#REF!)</f>
        <v>#REF!</v>
      </c>
      <c r="Q366" t="e">
        <f>IF(ISBLANK('Master Submitted DPDs'!#REF!),"",'Master Submitted DPDs'!#REF!)</f>
        <v>#REF!</v>
      </c>
      <c r="R366" t="e">
        <f t="shared" si="11"/>
        <v>#REF!</v>
      </c>
      <c r="S366" s="3"/>
      <c r="T366" t="e">
        <f>IF(ISBLANK('Master Submitted DPDs'!#REF!),"",'Master Submitted DPDs'!#REF!)</f>
        <v>#REF!</v>
      </c>
    </row>
    <row r="367" spans="1:20" ht="15" x14ac:dyDescent="0.2">
      <c r="A367" s="3" t="str">
        <f>IF(ISBLANK('Master Submitted DPDs'!#REF!),"","Local Plans")</f>
        <v>Local Plans</v>
      </c>
      <c r="B367" t="e">
        <f>IF(ISBLANK('Master Submitted DPDs'!#REF!),"",'Master Submitted DPDs'!#REF!)</f>
        <v>#REF!</v>
      </c>
      <c r="C367" s="3" t="str">
        <f>IF(ISBLANK('Master Submitted DPDs'!#REF!),"","IH")</f>
        <v>IH</v>
      </c>
      <c r="D367" s="3" t="e">
        <f>LOOKUP($F367,'fuzzy LPA lookup'!$E:$E,'fuzzy LPA lookup'!$A:$A)</f>
        <v>#REF!</v>
      </c>
      <c r="E367" s="3" t="e">
        <f>LOOKUP($F367,'fuzzy LPA lookup'!$E:$E,'fuzzy LPA lookup'!$D:$D)</f>
        <v>#REF!</v>
      </c>
      <c r="F367" s="8" t="e">
        <f>IF(ISBLANK('Master Submitted DPDs'!#REF!),"",'Master Submitted DPDs'!#REF!)</f>
        <v>#REF!</v>
      </c>
      <c r="G367" t="str">
        <f>IF(ISBLANK('Master Submitted DPDs'!#REF!),"","Withdrawn")</f>
        <v>Withdrawn</v>
      </c>
      <c r="H367" s="2" t="e">
        <f>IF(ISBLANK('Master Submitted DPDs'!#REF!),"",'Master Submitted DPDs'!#REF!)</f>
        <v>#REF!</v>
      </c>
      <c r="I367" s="3"/>
      <c r="J367" s="3"/>
      <c r="K367" s="3"/>
      <c r="L367" s="2" t="e">
        <f>IF(ISBLANK('Master Submitted DPDs'!#REF!),"",'Master Submitted DPDs'!#REF!)</f>
        <v>#REF!</v>
      </c>
      <c r="M367" s="2" t="e">
        <f t="shared" si="10"/>
        <v>#REF!</v>
      </c>
      <c r="N367" s="2" t="e">
        <f>IF(ISBLANK('Master Submitted DPDs'!#REF!),IF(ISBLANK('Master Submitted DPDs'!#REF!),"",'Master Submitted DPDs'!#REF!),'Master Submitted DPDs'!#REF!)</f>
        <v>#REF!</v>
      </c>
      <c r="O367" s="2" t="e">
        <f>IF(ISBLANK('Master Submitted DPDs'!#REF!),"",'Master Submitted DPDs'!#REF!)</f>
        <v>#REF!</v>
      </c>
      <c r="P367" s="2" t="e">
        <f>IF(ISBLANK('Master Submitted DPDs'!#REF!),"",'Master Submitted DPDs'!#REF!)</f>
        <v>#REF!</v>
      </c>
      <c r="Q367" t="e">
        <f>IF(ISBLANK('Master Submitted DPDs'!#REF!),"",'Master Submitted DPDs'!#REF!)</f>
        <v>#REF!</v>
      </c>
      <c r="R367" t="e">
        <f t="shared" si="11"/>
        <v>#REF!</v>
      </c>
      <c r="S367" s="3"/>
      <c r="T367" t="e">
        <f>IF(ISBLANK('Master Submitted DPDs'!#REF!),"",'Master Submitted DPDs'!#REF!)</f>
        <v>#REF!</v>
      </c>
    </row>
    <row r="368" spans="1:20" ht="15" x14ac:dyDescent="0.2">
      <c r="A368" s="3" t="str">
        <f>IF(ISBLANK('Master Submitted DPDs'!#REF!),"","Local Plans")</f>
        <v>Local Plans</v>
      </c>
      <c r="B368" t="e">
        <f>IF(ISBLANK('Master Submitted DPDs'!#REF!),"",'Master Submitted DPDs'!#REF!)</f>
        <v>#REF!</v>
      </c>
      <c r="C368" s="3" t="str">
        <f>IF(ISBLANK('Master Submitted DPDs'!#REF!),"","IH")</f>
        <v>IH</v>
      </c>
      <c r="D368" s="3" t="e">
        <f>LOOKUP($F368,'fuzzy LPA lookup'!$E:$E,'fuzzy LPA lookup'!$A:$A)</f>
        <v>#REF!</v>
      </c>
      <c r="E368" s="3" t="e">
        <f>LOOKUP($F368,'fuzzy LPA lookup'!$E:$E,'fuzzy LPA lookup'!$D:$D)</f>
        <v>#REF!</v>
      </c>
      <c r="F368" s="8" t="e">
        <f>IF(ISBLANK('Master Submitted DPDs'!#REF!),"",'Master Submitted DPDs'!#REF!)</f>
        <v>#REF!</v>
      </c>
      <c r="G368" t="str">
        <f>IF(ISBLANK('Master Submitted DPDs'!#REF!),"","Withdrawn")</f>
        <v>Withdrawn</v>
      </c>
      <c r="H368" s="2" t="e">
        <f>IF(ISBLANK('Master Submitted DPDs'!#REF!),"",'Master Submitted DPDs'!#REF!)</f>
        <v>#REF!</v>
      </c>
      <c r="I368" s="3"/>
      <c r="J368" s="3"/>
      <c r="K368" s="3"/>
      <c r="L368" s="2" t="e">
        <f>IF(ISBLANK('Master Submitted DPDs'!#REF!),"",'Master Submitted DPDs'!#REF!)</f>
        <v>#REF!</v>
      </c>
      <c r="M368" s="2" t="e">
        <f t="shared" si="10"/>
        <v>#REF!</v>
      </c>
      <c r="N368" s="2" t="e">
        <f>IF(ISBLANK('Master Submitted DPDs'!#REF!),IF(ISBLANK('Master Submitted DPDs'!#REF!),"",'Master Submitted DPDs'!#REF!),'Master Submitted DPDs'!#REF!)</f>
        <v>#REF!</v>
      </c>
      <c r="O368" s="2" t="e">
        <f>IF(ISBLANK('Master Submitted DPDs'!#REF!),"",'Master Submitted DPDs'!#REF!)</f>
        <v>#REF!</v>
      </c>
      <c r="P368" s="2" t="e">
        <f>IF(ISBLANK('Master Submitted DPDs'!#REF!),"",'Master Submitted DPDs'!#REF!)</f>
        <v>#REF!</v>
      </c>
      <c r="Q368" t="e">
        <f>IF(ISBLANK('Master Submitted DPDs'!#REF!),"",'Master Submitted DPDs'!#REF!)</f>
        <v>#REF!</v>
      </c>
      <c r="R368" t="e">
        <f t="shared" si="11"/>
        <v>#REF!</v>
      </c>
      <c r="S368" s="3"/>
      <c r="T368" t="e">
        <f>IF(ISBLANK('Master Submitted DPDs'!#REF!),"",'Master Submitted DPDs'!#REF!)</f>
        <v>#REF!</v>
      </c>
    </row>
    <row r="369" spans="1:20" ht="15" x14ac:dyDescent="0.2">
      <c r="A369" s="3" t="str">
        <f>IF(ISBLANK('Master Submitted DPDs'!#REF!),"","Local Plans")</f>
        <v>Local Plans</v>
      </c>
      <c r="B369" t="e">
        <f>IF(ISBLANK('Master Submitted DPDs'!#REF!),"",'Master Submitted DPDs'!#REF!)</f>
        <v>#REF!</v>
      </c>
      <c r="C369" s="3" t="str">
        <f>IF(ISBLANK('Master Submitted DPDs'!#REF!),"","IH")</f>
        <v>IH</v>
      </c>
      <c r="D369" s="3" t="e">
        <f>LOOKUP($F369,'fuzzy LPA lookup'!$E:$E,'fuzzy LPA lookup'!$A:$A)</f>
        <v>#REF!</v>
      </c>
      <c r="E369" s="3" t="e">
        <f>LOOKUP($F369,'fuzzy LPA lookup'!$E:$E,'fuzzy LPA lookup'!$D:$D)</f>
        <v>#REF!</v>
      </c>
      <c r="F369" s="8" t="e">
        <f>IF(ISBLANK('Master Submitted DPDs'!#REF!),"",'Master Submitted DPDs'!#REF!)</f>
        <v>#REF!</v>
      </c>
      <c r="G369" t="str">
        <f>IF(ISBLANK('Master Submitted DPDs'!#REF!),"","Withdrawn")</f>
        <v>Withdrawn</v>
      </c>
      <c r="H369" s="2" t="e">
        <f>IF(ISBLANK('Master Submitted DPDs'!#REF!),"",'Master Submitted DPDs'!#REF!)</f>
        <v>#REF!</v>
      </c>
      <c r="I369" s="3"/>
      <c r="J369" s="3"/>
      <c r="K369" s="3"/>
      <c r="L369" s="2" t="e">
        <f>IF(ISBLANK('Master Submitted DPDs'!#REF!),"",'Master Submitted DPDs'!#REF!)</f>
        <v>#REF!</v>
      </c>
      <c r="M369" s="2" t="e">
        <f t="shared" si="10"/>
        <v>#REF!</v>
      </c>
      <c r="N369" s="2" t="e">
        <f>IF(ISBLANK('Master Submitted DPDs'!#REF!),IF(ISBLANK('Master Submitted DPDs'!#REF!),"",'Master Submitted DPDs'!#REF!),'Master Submitted DPDs'!#REF!)</f>
        <v>#REF!</v>
      </c>
      <c r="O369" s="2" t="e">
        <f>IF(ISBLANK('Master Submitted DPDs'!#REF!),"",'Master Submitted DPDs'!#REF!)</f>
        <v>#REF!</v>
      </c>
      <c r="P369" s="2" t="e">
        <f>IF(ISBLANK('Master Submitted DPDs'!#REF!),"",'Master Submitted DPDs'!#REF!)</f>
        <v>#REF!</v>
      </c>
      <c r="Q369" t="e">
        <f>IF(ISBLANK('Master Submitted DPDs'!#REF!),"",'Master Submitted DPDs'!#REF!)</f>
        <v>#REF!</v>
      </c>
      <c r="R369" t="e">
        <f t="shared" si="11"/>
        <v>#REF!</v>
      </c>
      <c r="S369" s="3"/>
      <c r="T369" t="e">
        <f>IF(ISBLANK('Master Submitted DPDs'!#REF!),"",'Master Submitted DPDs'!#REF!)</f>
        <v>#REF!</v>
      </c>
    </row>
    <row r="370" spans="1:20" ht="15" x14ac:dyDescent="0.2">
      <c r="A370" s="3" t="str">
        <f>IF(ISBLANK('Master Submitted DPDs'!#REF!),"","Local Plans")</f>
        <v>Local Plans</v>
      </c>
      <c r="B370" t="e">
        <f>IF(ISBLANK('Master Submitted DPDs'!#REF!),"",'Master Submitted DPDs'!#REF!)</f>
        <v>#REF!</v>
      </c>
      <c r="C370" s="3" t="str">
        <f>IF(ISBLANK('Master Submitted DPDs'!#REF!),"","IH")</f>
        <v>IH</v>
      </c>
      <c r="D370" s="3" t="e">
        <f>LOOKUP($F370,'fuzzy LPA lookup'!$E:$E,'fuzzy LPA lookup'!$A:$A)</f>
        <v>#REF!</v>
      </c>
      <c r="E370" s="3" t="e">
        <f>LOOKUP($F370,'fuzzy LPA lookup'!$E:$E,'fuzzy LPA lookup'!$D:$D)</f>
        <v>#REF!</v>
      </c>
      <c r="F370" s="8" t="e">
        <f>IF(ISBLANK('Master Submitted DPDs'!#REF!),"",'Master Submitted DPDs'!#REF!)</f>
        <v>#REF!</v>
      </c>
      <c r="G370" t="str">
        <f>IF(ISBLANK('Master Submitted DPDs'!#REF!),"","Withdrawn")</f>
        <v>Withdrawn</v>
      </c>
      <c r="H370" s="2" t="e">
        <f>IF(ISBLANK('Master Submitted DPDs'!#REF!),"",'Master Submitted DPDs'!#REF!)</f>
        <v>#REF!</v>
      </c>
      <c r="I370" s="3"/>
      <c r="J370" s="3"/>
      <c r="K370" s="3"/>
      <c r="L370" s="2" t="e">
        <f>IF(ISBLANK('Master Submitted DPDs'!#REF!),"",'Master Submitted DPDs'!#REF!)</f>
        <v>#REF!</v>
      </c>
      <c r="M370" s="2" t="e">
        <f t="shared" si="10"/>
        <v>#REF!</v>
      </c>
      <c r="N370" s="2" t="e">
        <f>IF(ISBLANK('Master Submitted DPDs'!#REF!),IF(ISBLANK('Master Submitted DPDs'!#REF!),"",'Master Submitted DPDs'!#REF!),'Master Submitted DPDs'!#REF!)</f>
        <v>#REF!</v>
      </c>
      <c r="O370" s="2" t="e">
        <f>IF(ISBLANK('Master Submitted DPDs'!#REF!),"",'Master Submitted DPDs'!#REF!)</f>
        <v>#REF!</v>
      </c>
      <c r="P370" s="2" t="e">
        <f>IF(ISBLANK('Master Submitted DPDs'!#REF!),"",'Master Submitted DPDs'!#REF!)</f>
        <v>#REF!</v>
      </c>
      <c r="Q370" t="e">
        <f>IF(ISBLANK('Master Submitted DPDs'!#REF!),"",'Master Submitted DPDs'!#REF!)</f>
        <v>#REF!</v>
      </c>
      <c r="R370" t="e">
        <f t="shared" si="11"/>
        <v>#REF!</v>
      </c>
      <c r="S370" s="3"/>
      <c r="T370" t="e">
        <f>IF(ISBLANK('Master Submitted DPDs'!#REF!),"",'Master Submitted DPDs'!#REF!)</f>
        <v>#REF!</v>
      </c>
    </row>
    <row r="371" spans="1:20" ht="15" x14ac:dyDescent="0.2">
      <c r="A371" s="3" t="str">
        <f>IF(ISBLANK('Master Submitted DPDs'!#REF!),"","Local Plans")</f>
        <v>Local Plans</v>
      </c>
      <c r="B371" t="e">
        <f>IF(ISBLANK('Master Submitted DPDs'!#REF!),"",'Master Submitted DPDs'!#REF!)</f>
        <v>#REF!</v>
      </c>
      <c r="C371" s="3" t="str">
        <f>IF(ISBLANK('Master Submitted DPDs'!#REF!),"","IH")</f>
        <v>IH</v>
      </c>
      <c r="D371" s="3" t="e">
        <f>LOOKUP($F371,'fuzzy LPA lookup'!$E:$E,'fuzzy LPA lookup'!$A:$A)</f>
        <v>#REF!</v>
      </c>
      <c r="E371" s="3" t="e">
        <f>LOOKUP($F371,'fuzzy LPA lookup'!$E:$E,'fuzzy LPA lookup'!$D:$D)</f>
        <v>#REF!</v>
      </c>
      <c r="F371" s="8" t="e">
        <f>IF(ISBLANK('Master Submitted DPDs'!#REF!),"",'Master Submitted DPDs'!#REF!)</f>
        <v>#REF!</v>
      </c>
      <c r="G371" t="str">
        <f>IF(ISBLANK('Master Submitted DPDs'!#REF!),"","Withdrawn")</f>
        <v>Withdrawn</v>
      </c>
      <c r="H371" s="2" t="e">
        <f>IF(ISBLANK('Master Submitted DPDs'!#REF!),"",'Master Submitted DPDs'!#REF!)</f>
        <v>#REF!</v>
      </c>
      <c r="I371" s="3"/>
      <c r="J371" s="3"/>
      <c r="K371" s="3"/>
      <c r="L371" s="2" t="e">
        <f>IF(ISBLANK('Master Submitted DPDs'!#REF!),"",'Master Submitted DPDs'!#REF!)</f>
        <v>#REF!</v>
      </c>
      <c r="M371" s="2" t="e">
        <f t="shared" si="10"/>
        <v>#REF!</v>
      </c>
      <c r="N371" s="2" t="e">
        <f>IF(ISBLANK('Master Submitted DPDs'!#REF!),IF(ISBLANK('Master Submitted DPDs'!#REF!),"",'Master Submitted DPDs'!#REF!),'Master Submitted DPDs'!#REF!)</f>
        <v>#REF!</v>
      </c>
      <c r="O371" s="2" t="e">
        <f>IF(ISBLANK('Master Submitted DPDs'!#REF!),"",'Master Submitted DPDs'!#REF!)</f>
        <v>#REF!</v>
      </c>
      <c r="P371" s="2" t="e">
        <f>IF(ISBLANK('Master Submitted DPDs'!#REF!),"",'Master Submitted DPDs'!#REF!)</f>
        <v>#REF!</v>
      </c>
      <c r="Q371" t="e">
        <f>IF(ISBLANK('Master Submitted DPDs'!#REF!),"",'Master Submitted DPDs'!#REF!)</f>
        <v>#REF!</v>
      </c>
      <c r="R371" t="e">
        <f t="shared" si="11"/>
        <v>#REF!</v>
      </c>
      <c r="S371" s="3"/>
      <c r="T371" t="e">
        <f>IF(ISBLANK('Master Submitted DPDs'!#REF!),"",'Master Submitted DPDs'!#REF!)</f>
        <v>#REF!</v>
      </c>
    </row>
    <row r="372" spans="1:20" ht="15" x14ac:dyDescent="0.2">
      <c r="A372" s="3" t="str">
        <f>IF(ISBLANK('Master Submitted DPDs'!#REF!),"","Local Plans")</f>
        <v>Local Plans</v>
      </c>
      <c r="B372" t="e">
        <f>IF(ISBLANK('Master Submitted DPDs'!#REF!),"",'Master Submitted DPDs'!#REF!)</f>
        <v>#REF!</v>
      </c>
      <c r="C372" s="3" t="str">
        <f>IF(ISBLANK('Master Submitted DPDs'!#REF!),"","IH")</f>
        <v>IH</v>
      </c>
      <c r="D372" s="3" t="e">
        <f>LOOKUP($F372,'fuzzy LPA lookup'!$E:$E,'fuzzy LPA lookup'!$A:$A)</f>
        <v>#REF!</v>
      </c>
      <c r="E372" s="3" t="e">
        <f>LOOKUP($F372,'fuzzy LPA lookup'!$E:$E,'fuzzy LPA lookup'!$D:$D)</f>
        <v>#REF!</v>
      </c>
      <c r="F372" s="8" t="e">
        <f>IF(ISBLANK('Master Submitted DPDs'!#REF!),"",'Master Submitted DPDs'!#REF!)</f>
        <v>#REF!</v>
      </c>
      <c r="G372" t="str">
        <f>IF(ISBLANK('Master Submitted DPDs'!#REF!),"","Withdrawn")</f>
        <v>Withdrawn</v>
      </c>
      <c r="H372" s="2" t="e">
        <f>IF(ISBLANK('Master Submitted DPDs'!#REF!),"",'Master Submitted DPDs'!#REF!)</f>
        <v>#REF!</v>
      </c>
      <c r="I372" s="3"/>
      <c r="J372" s="3"/>
      <c r="K372" s="3"/>
      <c r="L372" s="2" t="e">
        <f>IF(ISBLANK('Master Submitted DPDs'!#REF!),"",'Master Submitted DPDs'!#REF!)</f>
        <v>#REF!</v>
      </c>
      <c r="M372" s="2" t="e">
        <f t="shared" si="10"/>
        <v>#REF!</v>
      </c>
      <c r="N372" s="2" t="e">
        <f>IF(ISBLANK('Master Submitted DPDs'!#REF!),IF(ISBLANK('Master Submitted DPDs'!#REF!),"",'Master Submitted DPDs'!#REF!),'Master Submitted DPDs'!#REF!)</f>
        <v>#REF!</v>
      </c>
      <c r="O372" s="2" t="e">
        <f>IF(ISBLANK('Master Submitted DPDs'!#REF!),"",'Master Submitted DPDs'!#REF!)</f>
        <v>#REF!</v>
      </c>
      <c r="P372" s="2" t="e">
        <f>IF(ISBLANK('Master Submitted DPDs'!#REF!),"",'Master Submitted DPDs'!#REF!)</f>
        <v>#REF!</v>
      </c>
      <c r="Q372" t="e">
        <f>IF(ISBLANK('Master Submitted DPDs'!#REF!),"",'Master Submitted DPDs'!#REF!)</f>
        <v>#REF!</v>
      </c>
      <c r="R372" t="e">
        <f t="shared" si="11"/>
        <v>#REF!</v>
      </c>
      <c r="S372" s="3"/>
      <c r="T372" t="e">
        <f>IF(ISBLANK('Master Submitted DPDs'!#REF!),"",'Master Submitted DPDs'!#REF!)</f>
        <v>#REF!</v>
      </c>
    </row>
    <row r="373" spans="1:20" ht="15" x14ac:dyDescent="0.2">
      <c r="A373" s="3" t="str">
        <f>IF(ISBLANK('Master Submitted DPDs'!#REF!),"","Local Plans")</f>
        <v>Local Plans</v>
      </c>
      <c r="B373" t="e">
        <f>IF(ISBLANK('Master Submitted DPDs'!#REF!),"",'Master Submitted DPDs'!#REF!)</f>
        <v>#REF!</v>
      </c>
      <c r="C373" s="3" t="str">
        <f>IF(ISBLANK('Master Submitted DPDs'!#REF!),"","IH")</f>
        <v>IH</v>
      </c>
      <c r="D373" s="3" t="e">
        <f>LOOKUP($F373,'fuzzy LPA lookup'!$E:$E,'fuzzy LPA lookup'!$A:$A)</f>
        <v>#REF!</v>
      </c>
      <c r="E373" s="3" t="e">
        <f>LOOKUP($F373,'fuzzy LPA lookup'!$E:$E,'fuzzy LPA lookup'!$D:$D)</f>
        <v>#REF!</v>
      </c>
      <c r="F373" s="8" t="e">
        <f>IF(ISBLANK('Master Submitted DPDs'!#REF!),"",'Master Submitted DPDs'!#REF!)</f>
        <v>#REF!</v>
      </c>
      <c r="G373" t="str">
        <f>IF(ISBLANK('Master Submitted DPDs'!#REF!),"","Withdrawn")</f>
        <v>Withdrawn</v>
      </c>
      <c r="H373" s="2" t="e">
        <f>IF(ISBLANK('Master Submitted DPDs'!#REF!),"",'Master Submitted DPDs'!#REF!)</f>
        <v>#REF!</v>
      </c>
      <c r="I373" s="3"/>
      <c r="J373" s="3"/>
      <c r="K373" s="3"/>
      <c r="L373" s="2" t="e">
        <f>IF(ISBLANK('Master Submitted DPDs'!#REF!),"",'Master Submitted DPDs'!#REF!)</f>
        <v>#REF!</v>
      </c>
      <c r="M373" s="2" t="e">
        <f t="shared" si="10"/>
        <v>#REF!</v>
      </c>
      <c r="N373" s="2" t="e">
        <f>IF(ISBLANK('Master Submitted DPDs'!#REF!),IF(ISBLANK('Master Submitted DPDs'!#REF!),"",'Master Submitted DPDs'!#REF!),'Master Submitted DPDs'!#REF!)</f>
        <v>#REF!</v>
      </c>
      <c r="O373" s="2" t="e">
        <f>IF(ISBLANK('Master Submitted DPDs'!#REF!),"",'Master Submitted DPDs'!#REF!)</f>
        <v>#REF!</v>
      </c>
      <c r="P373" s="2" t="e">
        <f>IF(ISBLANK('Master Submitted DPDs'!#REF!),"",'Master Submitted DPDs'!#REF!)</f>
        <v>#REF!</v>
      </c>
      <c r="Q373" t="e">
        <f>IF(ISBLANK('Master Submitted DPDs'!#REF!),"",'Master Submitted DPDs'!#REF!)</f>
        <v>#REF!</v>
      </c>
      <c r="R373" t="e">
        <f t="shared" si="11"/>
        <v>#REF!</v>
      </c>
      <c r="S373" s="3"/>
      <c r="T373" t="e">
        <f>IF(ISBLANK('Master Submitted DPDs'!#REF!),"",'Master Submitted DPDs'!#REF!)</f>
        <v>#REF!</v>
      </c>
    </row>
    <row r="374" spans="1:20" ht="15" x14ac:dyDescent="0.2">
      <c r="A374" s="3" t="str">
        <f>IF(ISBLANK('Master Submitted DPDs'!#REF!),"","Local Plans")</f>
        <v>Local Plans</v>
      </c>
      <c r="B374" t="e">
        <f>IF(ISBLANK('Master Submitted DPDs'!#REF!),"",'Master Submitted DPDs'!#REF!)</f>
        <v>#REF!</v>
      </c>
      <c r="C374" s="3" t="str">
        <f>IF(ISBLANK('Master Submitted DPDs'!#REF!),"","IH")</f>
        <v>IH</v>
      </c>
      <c r="D374" s="3" t="e">
        <f>LOOKUP($F374,'fuzzy LPA lookup'!$E:$E,'fuzzy LPA lookup'!$A:$A)</f>
        <v>#REF!</v>
      </c>
      <c r="E374" s="3" t="e">
        <f>LOOKUP($F374,'fuzzy LPA lookup'!$E:$E,'fuzzy LPA lookup'!$D:$D)</f>
        <v>#REF!</v>
      </c>
      <c r="F374" s="8" t="e">
        <f>IF(ISBLANK('Master Submitted DPDs'!#REF!),"",'Master Submitted DPDs'!#REF!)</f>
        <v>#REF!</v>
      </c>
      <c r="G374" t="str">
        <f>IF(ISBLANK('Master Submitted DPDs'!#REF!),"","Withdrawn")</f>
        <v>Withdrawn</v>
      </c>
      <c r="H374" s="2" t="e">
        <f>IF(ISBLANK('Master Submitted DPDs'!#REF!),"",'Master Submitted DPDs'!#REF!)</f>
        <v>#REF!</v>
      </c>
      <c r="I374" s="3"/>
      <c r="J374" s="3"/>
      <c r="K374" s="3"/>
      <c r="L374" s="2" t="e">
        <f>IF(ISBLANK('Master Submitted DPDs'!#REF!),"",'Master Submitted DPDs'!#REF!)</f>
        <v>#REF!</v>
      </c>
      <c r="M374" s="2" t="e">
        <f t="shared" si="10"/>
        <v>#REF!</v>
      </c>
      <c r="N374" s="2" t="e">
        <f>IF(ISBLANK('Master Submitted DPDs'!#REF!),IF(ISBLANK('Master Submitted DPDs'!#REF!),"",'Master Submitted DPDs'!#REF!),'Master Submitted DPDs'!#REF!)</f>
        <v>#REF!</v>
      </c>
      <c r="O374" s="2" t="e">
        <f>IF(ISBLANK('Master Submitted DPDs'!#REF!),"",'Master Submitted DPDs'!#REF!)</f>
        <v>#REF!</v>
      </c>
      <c r="P374" s="2" t="e">
        <f>IF(ISBLANK('Master Submitted DPDs'!#REF!),"",'Master Submitted DPDs'!#REF!)</f>
        <v>#REF!</v>
      </c>
      <c r="Q374" t="e">
        <f>IF(ISBLANK('Master Submitted DPDs'!#REF!),"",'Master Submitted DPDs'!#REF!)</f>
        <v>#REF!</v>
      </c>
      <c r="R374" t="e">
        <f t="shared" si="11"/>
        <v>#REF!</v>
      </c>
      <c r="S374" s="3"/>
      <c r="T374" t="e">
        <f>IF(ISBLANK('Master Submitted DPDs'!#REF!),"",'Master Submitted DPDs'!#REF!)</f>
        <v>#REF!</v>
      </c>
    </row>
    <row r="375" spans="1:20" ht="15" x14ac:dyDescent="0.2">
      <c r="A375" s="3" t="str">
        <f>IF(ISBLANK('Master Submitted DPDs'!#REF!),"","Local Plans")</f>
        <v>Local Plans</v>
      </c>
      <c r="B375" t="e">
        <f>IF(ISBLANK('Master Submitted DPDs'!#REF!),"",'Master Submitted DPDs'!#REF!)</f>
        <v>#REF!</v>
      </c>
      <c r="C375" s="3" t="str">
        <f>IF(ISBLANK('Master Submitted DPDs'!#REF!),"","IH")</f>
        <v>IH</v>
      </c>
      <c r="D375" s="3" t="e">
        <f>LOOKUP($F375,'fuzzy LPA lookup'!$E:$E,'fuzzy LPA lookup'!$A:$A)</f>
        <v>#REF!</v>
      </c>
      <c r="E375" s="3" t="e">
        <f>LOOKUP($F375,'fuzzy LPA lookup'!$E:$E,'fuzzy LPA lookup'!$D:$D)</f>
        <v>#REF!</v>
      </c>
      <c r="F375" s="8" t="e">
        <f>IF(ISBLANK('Master Submitted DPDs'!#REF!),"",'Master Submitted DPDs'!#REF!)</f>
        <v>#REF!</v>
      </c>
      <c r="G375" t="str">
        <f>IF(ISBLANK('Master Submitted DPDs'!#REF!),"","Withdrawn")</f>
        <v>Withdrawn</v>
      </c>
      <c r="H375" s="2" t="e">
        <f>IF(ISBLANK('Master Submitted DPDs'!#REF!),"",'Master Submitted DPDs'!#REF!)</f>
        <v>#REF!</v>
      </c>
      <c r="I375" s="3"/>
      <c r="J375" s="3"/>
      <c r="K375" s="3"/>
      <c r="L375" s="2" t="e">
        <f>IF(ISBLANK('Master Submitted DPDs'!#REF!),"",'Master Submitted DPDs'!#REF!)</f>
        <v>#REF!</v>
      </c>
      <c r="M375" s="2" t="e">
        <f t="shared" si="10"/>
        <v>#REF!</v>
      </c>
      <c r="N375" s="2" t="e">
        <f>IF(ISBLANK('Master Submitted DPDs'!#REF!),IF(ISBLANK('Master Submitted DPDs'!#REF!),"",'Master Submitted DPDs'!#REF!),'Master Submitted DPDs'!#REF!)</f>
        <v>#REF!</v>
      </c>
      <c r="O375" s="2" t="e">
        <f>IF(ISBLANK('Master Submitted DPDs'!#REF!),"",'Master Submitted DPDs'!#REF!)</f>
        <v>#REF!</v>
      </c>
      <c r="P375" s="2" t="e">
        <f>IF(ISBLANK('Master Submitted DPDs'!#REF!),"",'Master Submitted DPDs'!#REF!)</f>
        <v>#REF!</v>
      </c>
      <c r="Q375" t="e">
        <f>IF(ISBLANK('Master Submitted DPDs'!#REF!),"",'Master Submitted DPDs'!#REF!)</f>
        <v>#REF!</v>
      </c>
      <c r="R375" t="e">
        <f t="shared" si="11"/>
        <v>#REF!</v>
      </c>
      <c r="S375" s="3"/>
      <c r="T375" t="e">
        <f>IF(ISBLANK('Master Submitted DPDs'!#REF!),"",'Master Submitted DPDs'!#REF!)</f>
        <v>#REF!</v>
      </c>
    </row>
    <row r="376" spans="1:20" ht="15" x14ac:dyDescent="0.2">
      <c r="A376" s="3" t="str">
        <f>IF(ISBLANK('Master Submitted DPDs'!#REF!),"","Local Plans")</f>
        <v>Local Plans</v>
      </c>
      <c r="B376" t="e">
        <f>IF(ISBLANK('Master Submitted DPDs'!#REF!),"",'Master Submitted DPDs'!#REF!)</f>
        <v>#REF!</v>
      </c>
      <c r="C376" s="3" t="str">
        <f>IF(ISBLANK('Master Submitted DPDs'!#REF!),"","IH")</f>
        <v>IH</v>
      </c>
      <c r="D376" s="3" t="e">
        <f>LOOKUP($F376,'fuzzy LPA lookup'!$E:$E,'fuzzy LPA lookup'!$A:$A)</f>
        <v>#REF!</v>
      </c>
      <c r="E376" s="3" t="e">
        <f>LOOKUP($F376,'fuzzy LPA lookup'!$E:$E,'fuzzy LPA lookup'!$D:$D)</f>
        <v>#REF!</v>
      </c>
      <c r="F376" s="8" t="e">
        <f>IF(ISBLANK('Master Submitted DPDs'!#REF!),"",'Master Submitted DPDs'!#REF!)</f>
        <v>#REF!</v>
      </c>
      <c r="G376" t="str">
        <f>IF(ISBLANK('Master Submitted DPDs'!#REF!),"","Withdrawn")</f>
        <v>Withdrawn</v>
      </c>
      <c r="H376" s="2" t="e">
        <f>IF(ISBLANK('Master Submitted DPDs'!#REF!),"",'Master Submitted DPDs'!#REF!)</f>
        <v>#REF!</v>
      </c>
      <c r="I376" s="3"/>
      <c r="J376" s="3"/>
      <c r="K376" s="3"/>
      <c r="L376" s="2" t="e">
        <f>IF(ISBLANK('Master Submitted DPDs'!#REF!),"",'Master Submitted DPDs'!#REF!)</f>
        <v>#REF!</v>
      </c>
      <c r="M376" s="2" t="e">
        <f t="shared" si="10"/>
        <v>#REF!</v>
      </c>
      <c r="N376" s="2" t="e">
        <f>IF(ISBLANK('Master Submitted DPDs'!#REF!),IF(ISBLANK('Master Submitted DPDs'!#REF!),"",'Master Submitted DPDs'!#REF!),'Master Submitted DPDs'!#REF!)</f>
        <v>#REF!</v>
      </c>
      <c r="O376" s="2" t="e">
        <f>IF(ISBLANK('Master Submitted DPDs'!#REF!),"",'Master Submitted DPDs'!#REF!)</f>
        <v>#REF!</v>
      </c>
      <c r="P376" s="2" t="e">
        <f>IF(ISBLANK('Master Submitted DPDs'!#REF!),"",'Master Submitted DPDs'!#REF!)</f>
        <v>#REF!</v>
      </c>
      <c r="Q376" t="e">
        <f>IF(ISBLANK('Master Submitted DPDs'!#REF!),"",'Master Submitted DPDs'!#REF!)</f>
        <v>#REF!</v>
      </c>
      <c r="R376" t="e">
        <f t="shared" si="11"/>
        <v>#REF!</v>
      </c>
      <c r="S376" s="3"/>
      <c r="T376" t="e">
        <f>IF(ISBLANK('Master Submitted DPDs'!#REF!),"",'Master Submitted DPDs'!#REF!)</f>
        <v>#REF!</v>
      </c>
    </row>
    <row r="377" spans="1:20" ht="15" x14ac:dyDescent="0.2">
      <c r="A377" s="3" t="str">
        <f>IF(ISBLANK('Master Submitted DPDs'!#REF!),"","Local Plans")</f>
        <v>Local Plans</v>
      </c>
      <c r="B377" t="e">
        <f>IF(ISBLANK('Master Submitted DPDs'!#REF!),"",'Master Submitted DPDs'!#REF!)</f>
        <v>#REF!</v>
      </c>
      <c r="C377" s="3" t="str">
        <f>IF(ISBLANK('Master Submitted DPDs'!#REF!),"","IH")</f>
        <v>IH</v>
      </c>
      <c r="D377" s="3" t="e">
        <f>LOOKUP($F377,'fuzzy LPA lookup'!$E:$E,'fuzzy LPA lookup'!$A:$A)</f>
        <v>#REF!</v>
      </c>
      <c r="E377" s="3" t="e">
        <f>LOOKUP($F377,'fuzzy LPA lookup'!$E:$E,'fuzzy LPA lookup'!$D:$D)</f>
        <v>#REF!</v>
      </c>
      <c r="F377" s="8" t="e">
        <f>IF(ISBLANK('Master Submitted DPDs'!#REF!),"",'Master Submitted DPDs'!#REF!)</f>
        <v>#REF!</v>
      </c>
      <c r="G377" t="str">
        <f>IF(ISBLANK('Master Submitted DPDs'!#REF!),"","Withdrawn")</f>
        <v>Withdrawn</v>
      </c>
      <c r="H377" s="2" t="e">
        <f>IF(ISBLANK('Master Submitted DPDs'!#REF!),"",'Master Submitted DPDs'!#REF!)</f>
        <v>#REF!</v>
      </c>
      <c r="I377" s="3"/>
      <c r="J377" s="3"/>
      <c r="K377" s="3"/>
      <c r="L377" s="2" t="e">
        <f>IF(ISBLANK('Master Submitted DPDs'!#REF!),"",'Master Submitted DPDs'!#REF!)</f>
        <v>#REF!</v>
      </c>
      <c r="M377" s="2" t="e">
        <f t="shared" si="10"/>
        <v>#REF!</v>
      </c>
      <c r="N377" s="2" t="e">
        <f>IF(ISBLANK('Master Submitted DPDs'!#REF!),IF(ISBLANK('Master Submitted DPDs'!#REF!),"",'Master Submitted DPDs'!#REF!),'Master Submitted DPDs'!#REF!)</f>
        <v>#REF!</v>
      </c>
      <c r="O377" s="2" t="e">
        <f>IF(ISBLANK('Master Submitted DPDs'!#REF!),"",'Master Submitted DPDs'!#REF!)</f>
        <v>#REF!</v>
      </c>
      <c r="P377" s="2" t="e">
        <f>IF(ISBLANK('Master Submitted DPDs'!#REF!),"",'Master Submitted DPDs'!#REF!)</f>
        <v>#REF!</v>
      </c>
      <c r="Q377" t="e">
        <f>IF(ISBLANK('Master Submitted DPDs'!#REF!),"",'Master Submitted DPDs'!#REF!)</f>
        <v>#REF!</v>
      </c>
      <c r="R377" t="e">
        <f t="shared" si="11"/>
        <v>#REF!</v>
      </c>
      <c r="S377" s="3"/>
      <c r="T377" t="e">
        <f>IF(ISBLANK('Master Submitted DPDs'!#REF!),"",'Master Submitted DPDs'!#REF!)</f>
        <v>#REF!</v>
      </c>
    </row>
    <row r="378" spans="1:20" ht="15" x14ac:dyDescent="0.2">
      <c r="A378" s="3" t="str">
        <f>IF(ISBLANK('Master Submitted DPDs'!#REF!),"","Local Plans")</f>
        <v>Local Plans</v>
      </c>
      <c r="B378" t="e">
        <f>IF(ISBLANK('Master Submitted DPDs'!#REF!),"",'Master Submitted DPDs'!#REF!)</f>
        <v>#REF!</v>
      </c>
      <c r="C378" s="3" t="str">
        <f>IF(ISBLANK('Master Submitted DPDs'!#REF!),"","IH")</f>
        <v>IH</v>
      </c>
      <c r="D378" s="3" t="e">
        <f>LOOKUP($F378,'fuzzy LPA lookup'!$E:$E,'fuzzy LPA lookup'!$A:$A)</f>
        <v>#REF!</v>
      </c>
      <c r="E378" s="3" t="e">
        <f>LOOKUP($F378,'fuzzy LPA lookup'!$E:$E,'fuzzy LPA lookup'!$D:$D)</f>
        <v>#REF!</v>
      </c>
      <c r="F378" s="8" t="e">
        <f>IF(ISBLANK('Master Submitted DPDs'!#REF!),"",'Master Submitted DPDs'!#REF!)</f>
        <v>#REF!</v>
      </c>
      <c r="G378" t="str">
        <f>IF(ISBLANK('Master Submitted DPDs'!#REF!),"","Withdrawn")</f>
        <v>Withdrawn</v>
      </c>
      <c r="H378" s="2" t="e">
        <f>IF(ISBLANK('Master Submitted DPDs'!#REF!),"",'Master Submitted DPDs'!#REF!)</f>
        <v>#REF!</v>
      </c>
      <c r="I378" s="3"/>
      <c r="J378" s="3"/>
      <c r="K378" s="3"/>
      <c r="L378" s="2" t="e">
        <f>IF(ISBLANK('Master Submitted DPDs'!#REF!),"",'Master Submitted DPDs'!#REF!)</f>
        <v>#REF!</v>
      </c>
      <c r="M378" s="2" t="e">
        <f t="shared" si="10"/>
        <v>#REF!</v>
      </c>
      <c r="N378" s="2" t="e">
        <f>IF(ISBLANK('Master Submitted DPDs'!#REF!),IF(ISBLANK('Master Submitted DPDs'!#REF!),"",'Master Submitted DPDs'!#REF!),'Master Submitted DPDs'!#REF!)</f>
        <v>#REF!</v>
      </c>
      <c r="O378" s="2" t="e">
        <f>IF(ISBLANK('Master Submitted DPDs'!#REF!),"",'Master Submitted DPDs'!#REF!)</f>
        <v>#REF!</v>
      </c>
      <c r="P378" s="2" t="e">
        <f>IF(ISBLANK('Master Submitted DPDs'!#REF!),"",'Master Submitted DPDs'!#REF!)</f>
        <v>#REF!</v>
      </c>
      <c r="Q378" t="e">
        <f>IF(ISBLANK('Master Submitted DPDs'!#REF!),"",'Master Submitted DPDs'!#REF!)</f>
        <v>#REF!</v>
      </c>
      <c r="R378" t="e">
        <f t="shared" si="11"/>
        <v>#REF!</v>
      </c>
      <c r="S378" s="3"/>
      <c r="T378" t="e">
        <f>IF(ISBLANK('Master Submitted DPDs'!#REF!),"",'Master Submitted DPDs'!#REF!)</f>
        <v>#REF!</v>
      </c>
    </row>
    <row r="379" spans="1:20" ht="15" x14ac:dyDescent="0.2">
      <c r="A379" s="3" t="str">
        <f>IF(ISBLANK('Master Submitted DPDs'!#REF!),"","Local Plans")</f>
        <v>Local Plans</v>
      </c>
      <c r="B379" t="e">
        <f>IF(ISBLANK('Master Submitted DPDs'!#REF!),"",'Master Submitted DPDs'!#REF!)</f>
        <v>#REF!</v>
      </c>
      <c r="C379" s="3" t="str">
        <f>IF(ISBLANK('Master Submitted DPDs'!#REF!),"","IH")</f>
        <v>IH</v>
      </c>
      <c r="D379" s="3" t="e">
        <f>LOOKUP($F379,'fuzzy LPA lookup'!$E:$E,'fuzzy LPA lookup'!$A:$A)</f>
        <v>#REF!</v>
      </c>
      <c r="E379" s="3" t="e">
        <f>LOOKUP($F379,'fuzzy LPA lookup'!$E:$E,'fuzzy LPA lookup'!$D:$D)</f>
        <v>#REF!</v>
      </c>
      <c r="F379" s="8" t="e">
        <f>IF(ISBLANK('Master Submitted DPDs'!#REF!),"",'Master Submitted DPDs'!#REF!)</f>
        <v>#REF!</v>
      </c>
      <c r="G379" t="str">
        <f>IF(ISBLANK('Master Submitted DPDs'!#REF!),"","Withdrawn")</f>
        <v>Withdrawn</v>
      </c>
      <c r="H379" s="2" t="e">
        <f>IF(ISBLANK('Master Submitted DPDs'!#REF!),"",'Master Submitted DPDs'!#REF!)</f>
        <v>#REF!</v>
      </c>
      <c r="I379" s="3"/>
      <c r="J379" s="3"/>
      <c r="K379" s="3"/>
      <c r="L379" s="2" t="e">
        <f>IF(ISBLANK('Master Submitted DPDs'!#REF!),"",'Master Submitted DPDs'!#REF!)</f>
        <v>#REF!</v>
      </c>
      <c r="M379" s="2" t="e">
        <f t="shared" si="10"/>
        <v>#REF!</v>
      </c>
      <c r="N379" s="2" t="e">
        <f>IF(ISBLANK('Master Submitted DPDs'!#REF!),IF(ISBLANK('Master Submitted DPDs'!#REF!),"",'Master Submitted DPDs'!#REF!),'Master Submitted DPDs'!#REF!)</f>
        <v>#REF!</v>
      </c>
      <c r="O379" s="2" t="e">
        <f>IF(ISBLANK('Master Submitted DPDs'!#REF!),"",'Master Submitted DPDs'!#REF!)</f>
        <v>#REF!</v>
      </c>
      <c r="P379" s="2" t="e">
        <f>IF(ISBLANK('Master Submitted DPDs'!#REF!),"",'Master Submitted DPDs'!#REF!)</f>
        <v>#REF!</v>
      </c>
      <c r="Q379" t="e">
        <f>IF(ISBLANK('Master Submitted DPDs'!#REF!),"",'Master Submitted DPDs'!#REF!)</f>
        <v>#REF!</v>
      </c>
      <c r="R379" t="e">
        <f t="shared" si="11"/>
        <v>#REF!</v>
      </c>
      <c r="S379" s="3"/>
      <c r="T379" t="e">
        <f>IF(ISBLANK('Master Submitted DPDs'!#REF!),"",'Master Submitted DPDs'!#REF!)</f>
        <v>#REF!</v>
      </c>
    </row>
    <row r="380" spans="1:20" ht="15" x14ac:dyDescent="0.2">
      <c r="A380" s="3" t="str">
        <f>IF(ISBLANK('Master Submitted DPDs'!#REF!),"","Local Plans")</f>
        <v>Local Plans</v>
      </c>
      <c r="B380" t="e">
        <f>IF(ISBLANK('Master Submitted DPDs'!#REF!),"",'Master Submitted DPDs'!#REF!)</f>
        <v>#REF!</v>
      </c>
      <c r="C380" s="3" t="str">
        <f>IF(ISBLANK('Master Submitted DPDs'!#REF!),"","IH")</f>
        <v>IH</v>
      </c>
      <c r="D380" s="3" t="e">
        <f>LOOKUP($F380,'fuzzy LPA lookup'!$E:$E,'fuzzy LPA lookup'!$A:$A)</f>
        <v>#REF!</v>
      </c>
      <c r="E380" s="3" t="e">
        <f>LOOKUP($F380,'fuzzy LPA lookup'!$E:$E,'fuzzy LPA lookup'!$D:$D)</f>
        <v>#REF!</v>
      </c>
      <c r="F380" s="8" t="e">
        <f>IF(ISBLANK('Master Submitted DPDs'!#REF!),"",'Master Submitted DPDs'!#REF!)</f>
        <v>#REF!</v>
      </c>
      <c r="G380" t="str">
        <f>IF(ISBLANK('Master Submitted DPDs'!#REF!),"","Withdrawn")</f>
        <v>Withdrawn</v>
      </c>
      <c r="H380" s="2" t="e">
        <f>IF(ISBLANK('Master Submitted DPDs'!#REF!),"",'Master Submitted DPDs'!#REF!)</f>
        <v>#REF!</v>
      </c>
      <c r="I380" s="3"/>
      <c r="J380" s="3"/>
      <c r="K380" s="3"/>
      <c r="L380" s="2" t="e">
        <f>IF(ISBLANK('Master Submitted DPDs'!#REF!),"",'Master Submitted DPDs'!#REF!)</f>
        <v>#REF!</v>
      </c>
      <c r="M380" s="2" t="e">
        <f t="shared" si="10"/>
        <v>#REF!</v>
      </c>
      <c r="N380" s="2" t="e">
        <f>IF(ISBLANK('Master Submitted DPDs'!#REF!),IF(ISBLANK('Master Submitted DPDs'!#REF!),"",'Master Submitted DPDs'!#REF!),'Master Submitted DPDs'!#REF!)</f>
        <v>#REF!</v>
      </c>
      <c r="O380" s="2" t="e">
        <f>IF(ISBLANK('Master Submitted DPDs'!#REF!),"",'Master Submitted DPDs'!#REF!)</f>
        <v>#REF!</v>
      </c>
      <c r="P380" s="2" t="e">
        <f>IF(ISBLANK('Master Submitted DPDs'!#REF!),"",'Master Submitted DPDs'!#REF!)</f>
        <v>#REF!</v>
      </c>
      <c r="Q380" t="e">
        <f>IF(ISBLANK('Master Submitted DPDs'!#REF!),"",'Master Submitted DPDs'!#REF!)</f>
        <v>#REF!</v>
      </c>
      <c r="R380" t="e">
        <f t="shared" si="11"/>
        <v>#REF!</v>
      </c>
      <c r="S380" s="3"/>
      <c r="T380" t="e">
        <f>IF(ISBLANK('Master Submitted DPDs'!#REF!),"",'Master Submitted DPDs'!#REF!)</f>
        <v>#REF!</v>
      </c>
    </row>
    <row r="381" spans="1:20" ht="15" x14ac:dyDescent="0.2">
      <c r="A381" s="3" t="str">
        <f>IF(ISBLANK('Master Submitted DPDs'!#REF!),"","Local Plans")</f>
        <v>Local Plans</v>
      </c>
      <c r="B381" t="e">
        <f>IF(ISBLANK('Master Submitted DPDs'!#REF!),"",'Master Submitted DPDs'!#REF!)</f>
        <v>#REF!</v>
      </c>
      <c r="C381" s="3" t="str">
        <f>IF(ISBLANK('Master Submitted DPDs'!#REF!),"","IH")</f>
        <v>IH</v>
      </c>
      <c r="D381" s="3" t="e">
        <f>LOOKUP($F381,'fuzzy LPA lookup'!$E:$E,'fuzzy LPA lookup'!$A:$A)</f>
        <v>#REF!</v>
      </c>
      <c r="E381" s="3" t="e">
        <f>LOOKUP($F381,'fuzzy LPA lookup'!$E:$E,'fuzzy LPA lookup'!$D:$D)</f>
        <v>#REF!</v>
      </c>
      <c r="F381" s="8" t="e">
        <f>IF(ISBLANK('Master Submitted DPDs'!#REF!),"",'Master Submitted DPDs'!#REF!)</f>
        <v>#REF!</v>
      </c>
      <c r="G381" t="str">
        <f>IF(ISBLANK('Master Submitted DPDs'!#REF!),"","Withdrawn")</f>
        <v>Withdrawn</v>
      </c>
      <c r="H381" s="2" t="e">
        <f>IF(ISBLANK('Master Submitted DPDs'!#REF!),"",'Master Submitted DPDs'!#REF!)</f>
        <v>#REF!</v>
      </c>
      <c r="I381" s="3"/>
      <c r="J381" s="3"/>
      <c r="K381" s="3"/>
      <c r="L381" s="2" t="e">
        <f>IF(ISBLANK('Master Submitted DPDs'!#REF!),"",'Master Submitted DPDs'!#REF!)</f>
        <v>#REF!</v>
      </c>
      <c r="M381" s="2" t="e">
        <f t="shared" si="10"/>
        <v>#REF!</v>
      </c>
      <c r="N381" s="2" t="e">
        <f>IF(ISBLANK('Master Submitted DPDs'!#REF!),IF(ISBLANK('Master Submitted DPDs'!#REF!),"",'Master Submitted DPDs'!#REF!),'Master Submitted DPDs'!#REF!)</f>
        <v>#REF!</v>
      </c>
      <c r="O381" s="2" t="e">
        <f>IF(ISBLANK('Master Submitted DPDs'!#REF!),"",'Master Submitted DPDs'!#REF!)</f>
        <v>#REF!</v>
      </c>
      <c r="P381" s="2" t="e">
        <f>IF(ISBLANK('Master Submitted DPDs'!#REF!),"",'Master Submitted DPDs'!#REF!)</f>
        <v>#REF!</v>
      </c>
      <c r="Q381" t="e">
        <f>IF(ISBLANK('Master Submitted DPDs'!#REF!),"",'Master Submitted DPDs'!#REF!)</f>
        <v>#REF!</v>
      </c>
      <c r="R381" t="e">
        <f t="shared" si="11"/>
        <v>#REF!</v>
      </c>
      <c r="S381" s="3"/>
      <c r="T381" t="e">
        <f>IF(ISBLANK('Master Submitted DPDs'!#REF!),"",'Master Submitted DPDs'!#REF!)</f>
        <v>#REF!</v>
      </c>
    </row>
    <row r="382" spans="1:20" ht="15" x14ac:dyDescent="0.2">
      <c r="A382" s="3" t="str">
        <f>IF(ISBLANK('Master Submitted DPDs'!#REF!),"","Local Plans")</f>
        <v>Local Plans</v>
      </c>
      <c r="B382" t="e">
        <f>IF(ISBLANK('Master Submitted DPDs'!#REF!),"",'Master Submitted DPDs'!#REF!)</f>
        <v>#REF!</v>
      </c>
      <c r="C382" s="3" t="str">
        <f>IF(ISBLANK('Master Submitted DPDs'!#REF!),"","IH")</f>
        <v>IH</v>
      </c>
      <c r="D382" s="3" t="e">
        <f>LOOKUP($F382,'fuzzy LPA lookup'!$E:$E,'fuzzy LPA lookup'!$A:$A)</f>
        <v>#REF!</v>
      </c>
      <c r="E382" s="3" t="e">
        <f>LOOKUP($F382,'fuzzy LPA lookup'!$E:$E,'fuzzy LPA lookup'!$D:$D)</f>
        <v>#REF!</v>
      </c>
      <c r="F382" s="8" t="e">
        <f>IF(ISBLANK('Master Submitted DPDs'!#REF!),"",'Master Submitted DPDs'!#REF!)</f>
        <v>#REF!</v>
      </c>
      <c r="G382" t="str">
        <f>IF(ISBLANK('Master Submitted DPDs'!#REF!),"","Withdrawn")</f>
        <v>Withdrawn</v>
      </c>
      <c r="H382" s="2" t="e">
        <f>IF(ISBLANK('Master Submitted DPDs'!#REF!),"",'Master Submitted DPDs'!#REF!)</f>
        <v>#REF!</v>
      </c>
      <c r="I382" s="3"/>
      <c r="J382" s="3"/>
      <c r="K382" s="3"/>
      <c r="L382" s="2" t="e">
        <f>IF(ISBLANK('Master Submitted DPDs'!#REF!),"",'Master Submitted DPDs'!#REF!)</f>
        <v>#REF!</v>
      </c>
      <c r="M382" s="2" t="e">
        <f t="shared" si="10"/>
        <v>#REF!</v>
      </c>
      <c r="N382" s="2" t="e">
        <f>IF(ISBLANK('Master Submitted DPDs'!#REF!),IF(ISBLANK('Master Submitted DPDs'!#REF!),"",'Master Submitted DPDs'!#REF!),'Master Submitted DPDs'!#REF!)</f>
        <v>#REF!</v>
      </c>
      <c r="O382" s="2" t="e">
        <f>IF(ISBLANK('Master Submitted DPDs'!#REF!),"",'Master Submitted DPDs'!#REF!)</f>
        <v>#REF!</v>
      </c>
      <c r="P382" s="2" t="e">
        <f>IF(ISBLANK('Master Submitted DPDs'!#REF!),"",'Master Submitted DPDs'!#REF!)</f>
        <v>#REF!</v>
      </c>
      <c r="Q382" t="e">
        <f>IF(ISBLANK('Master Submitted DPDs'!#REF!),"",'Master Submitted DPDs'!#REF!)</f>
        <v>#REF!</v>
      </c>
      <c r="R382" t="e">
        <f t="shared" si="11"/>
        <v>#REF!</v>
      </c>
      <c r="S382" s="3"/>
      <c r="T382" t="e">
        <f>IF(ISBLANK('Master Submitted DPDs'!#REF!),"",'Master Submitted DPDs'!#REF!)</f>
        <v>#REF!</v>
      </c>
    </row>
    <row r="383" spans="1:20" ht="15" x14ac:dyDescent="0.2">
      <c r="A383" s="3" t="str">
        <f>IF(ISBLANK('Master Submitted DPDs'!#REF!),"","Local Plans")</f>
        <v>Local Plans</v>
      </c>
      <c r="B383" t="e">
        <f>IF(ISBLANK('Master Submitted DPDs'!#REF!),"",'Master Submitted DPDs'!#REF!)</f>
        <v>#REF!</v>
      </c>
      <c r="C383" s="3" t="str">
        <f>IF(ISBLANK('Master Submitted DPDs'!#REF!),"","IH")</f>
        <v>IH</v>
      </c>
      <c r="D383" s="3" t="e">
        <f>LOOKUP($F383,'fuzzy LPA lookup'!$E:$E,'fuzzy LPA lookup'!$A:$A)</f>
        <v>#REF!</v>
      </c>
      <c r="E383" s="3" t="e">
        <f>LOOKUP($F383,'fuzzy LPA lookup'!$E:$E,'fuzzy LPA lookup'!$D:$D)</f>
        <v>#REF!</v>
      </c>
      <c r="F383" s="8" t="e">
        <f>IF(ISBLANK('Master Submitted DPDs'!#REF!),"",'Master Submitted DPDs'!#REF!)</f>
        <v>#REF!</v>
      </c>
      <c r="G383" t="str">
        <f>IF(ISBLANK('Master Submitted DPDs'!#REF!),"","Withdrawn")</f>
        <v>Withdrawn</v>
      </c>
      <c r="H383" s="2" t="e">
        <f>IF(ISBLANK('Master Submitted DPDs'!#REF!),"",'Master Submitted DPDs'!#REF!)</f>
        <v>#REF!</v>
      </c>
      <c r="I383" s="3"/>
      <c r="J383" s="3"/>
      <c r="K383" s="3"/>
      <c r="L383" s="2" t="e">
        <f>IF(ISBLANK('Master Submitted DPDs'!#REF!),"",'Master Submitted DPDs'!#REF!)</f>
        <v>#REF!</v>
      </c>
      <c r="M383" s="2" t="e">
        <f t="shared" si="10"/>
        <v>#REF!</v>
      </c>
      <c r="N383" s="2" t="e">
        <f>IF(ISBLANK('Master Submitted DPDs'!#REF!),IF(ISBLANK('Master Submitted DPDs'!#REF!),"",'Master Submitted DPDs'!#REF!),'Master Submitted DPDs'!#REF!)</f>
        <v>#REF!</v>
      </c>
      <c r="O383" s="2" t="e">
        <f>IF(ISBLANK('Master Submitted DPDs'!#REF!),"",'Master Submitted DPDs'!#REF!)</f>
        <v>#REF!</v>
      </c>
      <c r="P383" s="2" t="e">
        <f>IF(ISBLANK('Master Submitted DPDs'!#REF!),"",'Master Submitted DPDs'!#REF!)</f>
        <v>#REF!</v>
      </c>
      <c r="Q383" t="e">
        <f>IF(ISBLANK('Master Submitted DPDs'!#REF!),"",'Master Submitted DPDs'!#REF!)</f>
        <v>#REF!</v>
      </c>
      <c r="R383" t="e">
        <f t="shared" si="11"/>
        <v>#REF!</v>
      </c>
      <c r="S383" s="3"/>
      <c r="T383" t="e">
        <f>IF(ISBLANK('Master Submitted DPDs'!#REF!),"",'Master Submitted DPDs'!#REF!)</f>
        <v>#REF!</v>
      </c>
    </row>
    <row r="384" spans="1:20" ht="15" x14ac:dyDescent="0.2">
      <c r="A384" s="3" t="str">
        <f>IF(ISBLANK('Master Submitted DPDs'!#REF!),"","Local Plans")</f>
        <v>Local Plans</v>
      </c>
      <c r="B384" t="e">
        <f>IF(ISBLANK('Master Submitted DPDs'!#REF!),"",'Master Submitted DPDs'!#REF!)</f>
        <v>#REF!</v>
      </c>
      <c r="C384" s="3" t="str">
        <f>IF(ISBLANK('Master Submitted DPDs'!#REF!),"","IH")</f>
        <v>IH</v>
      </c>
      <c r="D384" s="3" t="e">
        <f>LOOKUP($F384,'fuzzy LPA lookup'!$E:$E,'fuzzy LPA lookup'!$A:$A)</f>
        <v>#REF!</v>
      </c>
      <c r="E384" s="3" t="e">
        <f>LOOKUP($F384,'fuzzy LPA lookup'!$E:$E,'fuzzy LPA lookup'!$D:$D)</f>
        <v>#REF!</v>
      </c>
      <c r="F384" s="8" t="e">
        <f>IF(ISBLANK('Master Submitted DPDs'!#REF!),"",'Master Submitted DPDs'!#REF!)</f>
        <v>#REF!</v>
      </c>
      <c r="G384" t="str">
        <f>IF(ISBLANK('Master Submitted DPDs'!#REF!),"","Withdrawn")</f>
        <v>Withdrawn</v>
      </c>
      <c r="H384" s="2" t="e">
        <f>IF(ISBLANK('Master Submitted DPDs'!#REF!),"",'Master Submitted DPDs'!#REF!)</f>
        <v>#REF!</v>
      </c>
      <c r="I384" s="3"/>
      <c r="J384" s="3"/>
      <c r="K384" s="3"/>
      <c r="L384" s="2" t="e">
        <f>IF(ISBLANK('Master Submitted DPDs'!#REF!),"",'Master Submitted DPDs'!#REF!)</f>
        <v>#REF!</v>
      </c>
      <c r="M384" s="2" t="e">
        <f t="shared" si="10"/>
        <v>#REF!</v>
      </c>
      <c r="N384" s="2" t="e">
        <f>IF(ISBLANK('Master Submitted DPDs'!#REF!),IF(ISBLANK('Master Submitted DPDs'!#REF!),"",'Master Submitted DPDs'!#REF!),'Master Submitted DPDs'!#REF!)</f>
        <v>#REF!</v>
      </c>
      <c r="O384" s="2" t="e">
        <f>IF(ISBLANK('Master Submitted DPDs'!#REF!),"",'Master Submitted DPDs'!#REF!)</f>
        <v>#REF!</v>
      </c>
      <c r="P384" s="2" t="e">
        <f>IF(ISBLANK('Master Submitted DPDs'!#REF!),"",'Master Submitted DPDs'!#REF!)</f>
        <v>#REF!</v>
      </c>
      <c r="Q384" t="e">
        <f>IF(ISBLANK('Master Submitted DPDs'!#REF!),"",'Master Submitted DPDs'!#REF!)</f>
        <v>#REF!</v>
      </c>
      <c r="R384" t="e">
        <f t="shared" si="11"/>
        <v>#REF!</v>
      </c>
      <c r="S384" s="3"/>
      <c r="T384" t="e">
        <f>IF(ISBLANK('Master Submitted DPDs'!#REF!),"",'Master Submitted DPDs'!#REF!)</f>
        <v>#REF!</v>
      </c>
    </row>
    <row r="385" spans="1:20" ht="15" x14ac:dyDescent="0.2">
      <c r="A385" s="3" t="str">
        <f>IF(ISBLANK('Master Submitted DPDs'!#REF!),"","Local Plans")</f>
        <v>Local Plans</v>
      </c>
      <c r="B385" t="e">
        <f>IF(ISBLANK('Master Submitted DPDs'!#REF!),"",'Master Submitted DPDs'!#REF!)</f>
        <v>#REF!</v>
      </c>
      <c r="C385" s="3" t="str">
        <f>IF(ISBLANK('Master Submitted DPDs'!#REF!),"","IH")</f>
        <v>IH</v>
      </c>
      <c r="D385" s="3" t="e">
        <f>LOOKUP($F385,'fuzzy LPA lookup'!$E:$E,'fuzzy LPA lookup'!$A:$A)</f>
        <v>#REF!</v>
      </c>
      <c r="E385" s="3" t="e">
        <f>LOOKUP($F385,'fuzzy LPA lookup'!$E:$E,'fuzzy LPA lookup'!$D:$D)</f>
        <v>#REF!</v>
      </c>
      <c r="F385" s="8" t="e">
        <f>IF(ISBLANK('Master Submitted DPDs'!#REF!),"",'Master Submitted DPDs'!#REF!)</f>
        <v>#REF!</v>
      </c>
      <c r="G385" t="str">
        <f>IF(ISBLANK('Master Submitted DPDs'!#REF!),"","Withdrawn")</f>
        <v>Withdrawn</v>
      </c>
      <c r="H385" s="2" t="e">
        <f>IF(ISBLANK('Master Submitted DPDs'!#REF!),"",'Master Submitted DPDs'!#REF!)</f>
        <v>#REF!</v>
      </c>
      <c r="I385" s="3"/>
      <c r="J385" s="3"/>
      <c r="K385" s="3"/>
      <c r="L385" s="2" t="e">
        <f>IF(ISBLANK('Master Submitted DPDs'!#REF!),"",'Master Submitted DPDs'!#REF!)</f>
        <v>#REF!</v>
      </c>
      <c r="M385" s="2" t="e">
        <f t="shared" si="10"/>
        <v>#REF!</v>
      </c>
      <c r="N385" s="2" t="e">
        <f>IF(ISBLANK('Master Submitted DPDs'!#REF!),IF(ISBLANK('Master Submitted DPDs'!#REF!),"",'Master Submitted DPDs'!#REF!),'Master Submitted DPDs'!#REF!)</f>
        <v>#REF!</v>
      </c>
      <c r="O385" s="2" t="e">
        <f>IF(ISBLANK('Master Submitted DPDs'!#REF!),"",'Master Submitted DPDs'!#REF!)</f>
        <v>#REF!</v>
      </c>
      <c r="P385" s="2" t="e">
        <f>IF(ISBLANK('Master Submitted DPDs'!#REF!),"",'Master Submitted DPDs'!#REF!)</f>
        <v>#REF!</v>
      </c>
      <c r="Q385" t="e">
        <f>IF(ISBLANK('Master Submitted DPDs'!#REF!),"",'Master Submitted DPDs'!#REF!)</f>
        <v>#REF!</v>
      </c>
      <c r="R385" t="e">
        <f t="shared" si="11"/>
        <v>#REF!</v>
      </c>
      <c r="S385" s="3"/>
      <c r="T385" t="e">
        <f>IF(ISBLANK('Master Submitted DPDs'!#REF!),"",'Master Submitted DPDs'!#REF!)</f>
        <v>#REF!</v>
      </c>
    </row>
    <row r="386" spans="1:20" ht="15" x14ac:dyDescent="0.2">
      <c r="A386" s="3" t="str">
        <f>IF(ISBLANK('Master Submitted DPDs'!#REF!),"","Local Plans")</f>
        <v>Local Plans</v>
      </c>
      <c r="B386" t="e">
        <f>IF(ISBLANK('Master Submitted DPDs'!#REF!),"",'Master Submitted DPDs'!#REF!)</f>
        <v>#REF!</v>
      </c>
      <c r="C386" s="3" t="str">
        <f>IF(ISBLANK('Master Submitted DPDs'!#REF!),"","IH")</f>
        <v>IH</v>
      </c>
      <c r="D386" s="3" t="e">
        <f>LOOKUP($F386,'fuzzy LPA lookup'!$E:$E,'fuzzy LPA lookup'!$A:$A)</f>
        <v>#REF!</v>
      </c>
      <c r="E386" s="3" t="e">
        <f>LOOKUP($F386,'fuzzy LPA lookup'!$E:$E,'fuzzy LPA lookup'!$D:$D)</f>
        <v>#REF!</v>
      </c>
      <c r="F386" s="8" t="e">
        <f>IF(ISBLANK('Master Submitted DPDs'!#REF!),"",'Master Submitted DPDs'!#REF!)</f>
        <v>#REF!</v>
      </c>
      <c r="G386" t="str">
        <f>IF(ISBLANK('Master Submitted DPDs'!#REF!),"","Withdrawn")</f>
        <v>Withdrawn</v>
      </c>
      <c r="H386" s="2" t="e">
        <f>IF(ISBLANK('Master Submitted DPDs'!#REF!),"",'Master Submitted DPDs'!#REF!)</f>
        <v>#REF!</v>
      </c>
      <c r="I386" s="3"/>
      <c r="J386" s="3"/>
      <c r="K386" s="3"/>
      <c r="L386" s="2" t="e">
        <f>IF(ISBLANK('Master Submitted DPDs'!#REF!),"",'Master Submitted DPDs'!#REF!)</f>
        <v>#REF!</v>
      </c>
      <c r="M386" s="2" t="e">
        <f t="shared" ref="M386:M449" si="12">L386</f>
        <v>#REF!</v>
      </c>
      <c r="N386" s="2" t="e">
        <f>IF(ISBLANK('Master Submitted DPDs'!#REF!),IF(ISBLANK('Master Submitted DPDs'!#REF!),"",'Master Submitted DPDs'!#REF!),'Master Submitted DPDs'!#REF!)</f>
        <v>#REF!</v>
      </c>
      <c r="O386" s="2" t="e">
        <f>IF(ISBLANK('Master Submitted DPDs'!#REF!),"",'Master Submitted DPDs'!#REF!)</f>
        <v>#REF!</v>
      </c>
      <c r="P386" s="2" t="e">
        <f>IF(ISBLANK('Master Submitted DPDs'!#REF!),"",'Master Submitted DPDs'!#REF!)</f>
        <v>#REF!</v>
      </c>
      <c r="Q386" t="e">
        <f>IF(ISBLANK('Master Submitted DPDs'!#REF!),"",'Master Submitted DPDs'!#REF!)</f>
        <v>#REF!</v>
      </c>
      <c r="R386" t="e">
        <f t="shared" ref="R386:R449" si="13">IF(F386="","",IF(AND(H386="",Q386&lt;&gt;"UNS",P386=""),"Open","Closed"))</f>
        <v>#REF!</v>
      </c>
      <c r="S386" s="3"/>
      <c r="T386" t="e">
        <f>IF(ISBLANK('Master Submitted DPDs'!#REF!),"",'Master Submitted DPDs'!#REF!)</f>
        <v>#REF!</v>
      </c>
    </row>
    <row r="387" spans="1:20" ht="15" x14ac:dyDescent="0.2">
      <c r="A387" s="3" t="str">
        <f>IF(ISBLANK('Master Submitted DPDs'!#REF!),"","Local Plans")</f>
        <v>Local Plans</v>
      </c>
      <c r="B387" t="e">
        <f>IF(ISBLANK('Master Submitted DPDs'!#REF!),"",'Master Submitted DPDs'!#REF!)</f>
        <v>#REF!</v>
      </c>
      <c r="C387" s="3" t="str">
        <f>IF(ISBLANK('Master Submitted DPDs'!#REF!),"","IH")</f>
        <v>IH</v>
      </c>
      <c r="D387" s="3" t="e">
        <f>LOOKUP($F387,'fuzzy LPA lookup'!$E:$E,'fuzzy LPA lookup'!$A:$A)</f>
        <v>#REF!</v>
      </c>
      <c r="E387" s="3" t="e">
        <f>LOOKUP($F387,'fuzzy LPA lookup'!$E:$E,'fuzzy LPA lookup'!$D:$D)</f>
        <v>#REF!</v>
      </c>
      <c r="F387" s="8" t="e">
        <f>IF(ISBLANK('Master Submitted DPDs'!#REF!),"",'Master Submitted DPDs'!#REF!)</f>
        <v>#REF!</v>
      </c>
      <c r="G387" t="str">
        <f>IF(ISBLANK('Master Submitted DPDs'!#REF!),"","Withdrawn")</f>
        <v>Withdrawn</v>
      </c>
      <c r="H387" s="2" t="e">
        <f>IF(ISBLANK('Master Submitted DPDs'!#REF!),"",'Master Submitted DPDs'!#REF!)</f>
        <v>#REF!</v>
      </c>
      <c r="I387" s="3"/>
      <c r="J387" s="3"/>
      <c r="K387" s="3"/>
      <c r="L387" s="2" t="e">
        <f>IF(ISBLANK('Master Submitted DPDs'!#REF!),"",'Master Submitted DPDs'!#REF!)</f>
        <v>#REF!</v>
      </c>
      <c r="M387" s="2" t="e">
        <f t="shared" si="12"/>
        <v>#REF!</v>
      </c>
      <c r="N387" s="2" t="e">
        <f>IF(ISBLANK('Master Submitted DPDs'!#REF!),IF(ISBLANK('Master Submitted DPDs'!#REF!),"",'Master Submitted DPDs'!#REF!),'Master Submitted DPDs'!#REF!)</f>
        <v>#REF!</v>
      </c>
      <c r="O387" s="2" t="e">
        <f>IF(ISBLANK('Master Submitted DPDs'!#REF!),"",'Master Submitted DPDs'!#REF!)</f>
        <v>#REF!</v>
      </c>
      <c r="P387" s="2" t="e">
        <f>IF(ISBLANK('Master Submitted DPDs'!#REF!),"",'Master Submitted DPDs'!#REF!)</f>
        <v>#REF!</v>
      </c>
      <c r="Q387" t="e">
        <f>IF(ISBLANK('Master Submitted DPDs'!#REF!),"",'Master Submitted DPDs'!#REF!)</f>
        <v>#REF!</v>
      </c>
      <c r="R387" t="e">
        <f t="shared" si="13"/>
        <v>#REF!</v>
      </c>
      <c r="S387" s="3"/>
      <c r="T387" t="e">
        <f>IF(ISBLANK('Master Submitted DPDs'!#REF!),"",'Master Submitted DPDs'!#REF!)</f>
        <v>#REF!</v>
      </c>
    </row>
    <row r="388" spans="1:20" ht="15" x14ac:dyDescent="0.2">
      <c r="A388" s="3" t="str">
        <f>IF(ISBLANK('Master Submitted DPDs'!#REF!),"","Local Plans")</f>
        <v>Local Plans</v>
      </c>
      <c r="B388" t="e">
        <f>IF(ISBLANK('Master Submitted DPDs'!#REF!),"",'Master Submitted DPDs'!#REF!)</f>
        <v>#REF!</v>
      </c>
      <c r="C388" s="3" t="str">
        <f>IF(ISBLANK('Master Submitted DPDs'!#REF!),"","IH")</f>
        <v>IH</v>
      </c>
      <c r="D388" s="3" t="e">
        <f>LOOKUP($F388,'fuzzy LPA lookup'!$E:$E,'fuzzy LPA lookup'!$A:$A)</f>
        <v>#REF!</v>
      </c>
      <c r="E388" s="3" t="e">
        <f>LOOKUP($F388,'fuzzy LPA lookup'!$E:$E,'fuzzy LPA lookup'!$D:$D)</f>
        <v>#REF!</v>
      </c>
      <c r="F388" s="8" t="e">
        <f>IF(ISBLANK('Master Submitted DPDs'!#REF!),"",'Master Submitted DPDs'!#REF!)</f>
        <v>#REF!</v>
      </c>
      <c r="G388" t="str">
        <f>IF(ISBLANK('Master Submitted DPDs'!#REF!),"","Withdrawn")</f>
        <v>Withdrawn</v>
      </c>
      <c r="H388" s="2" t="e">
        <f>IF(ISBLANK('Master Submitted DPDs'!#REF!),"",'Master Submitted DPDs'!#REF!)</f>
        <v>#REF!</v>
      </c>
      <c r="I388" s="3"/>
      <c r="J388" s="3"/>
      <c r="K388" s="3"/>
      <c r="L388" s="2" t="e">
        <f>IF(ISBLANK('Master Submitted DPDs'!#REF!),"",'Master Submitted DPDs'!#REF!)</f>
        <v>#REF!</v>
      </c>
      <c r="M388" s="2" t="e">
        <f t="shared" si="12"/>
        <v>#REF!</v>
      </c>
      <c r="N388" s="2" t="e">
        <f>IF(ISBLANK('Master Submitted DPDs'!#REF!),IF(ISBLANK('Master Submitted DPDs'!#REF!),"",'Master Submitted DPDs'!#REF!),'Master Submitted DPDs'!#REF!)</f>
        <v>#REF!</v>
      </c>
      <c r="O388" s="2" t="e">
        <f>IF(ISBLANK('Master Submitted DPDs'!#REF!),"",'Master Submitted DPDs'!#REF!)</f>
        <v>#REF!</v>
      </c>
      <c r="P388" s="2" t="e">
        <f>IF(ISBLANK('Master Submitted DPDs'!#REF!),"",'Master Submitted DPDs'!#REF!)</f>
        <v>#REF!</v>
      </c>
      <c r="Q388" t="e">
        <f>IF(ISBLANK('Master Submitted DPDs'!#REF!),"",'Master Submitted DPDs'!#REF!)</f>
        <v>#REF!</v>
      </c>
      <c r="R388" t="e">
        <f t="shared" si="13"/>
        <v>#REF!</v>
      </c>
      <c r="S388" s="3"/>
      <c r="T388" t="e">
        <f>IF(ISBLANK('Master Submitted DPDs'!#REF!),"",'Master Submitted DPDs'!#REF!)</f>
        <v>#REF!</v>
      </c>
    </row>
    <row r="389" spans="1:20" ht="15" x14ac:dyDescent="0.2">
      <c r="A389" s="3" t="str">
        <f>IF(ISBLANK('Master Submitted DPDs'!#REF!),"","Local Plans")</f>
        <v>Local Plans</v>
      </c>
      <c r="B389" t="e">
        <f>IF(ISBLANK('Master Submitted DPDs'!#REF!),"",'Master Submitted DPDs'!#REF!)</f>
        <v>#REF!</v>
      </c>
      <c r="C389" s="3" t="str">
        <f>IF(ISBLANK('Master Submitted DPDs'!#REF!),"","IH")</f>
        <v>IH</v>
      </c>
      <c r="D389" s="3" t="e">
        <f>LOOKUP($F389,'fuzzy LPA lookup'!$E:$E,'fuzzy LPA lookup'!$A:$A)</f>
        <v>#REF!</v>
      </c>
      <c r="E389" s="3" t="e">
        <f>LOOKUP($F389,'fuzzy LPA lookup'!$E:$E,'fuzzy LPA lookup'!$D:$D)</f>
        <v>#REF!</v>
      </c>
      <c r="F389" s="8" t="e">
        <f>IF(ISBLANK('Master Submitted DPDs'!#REF!),"",'Master Submitted DPDs'!#REF!)</f>
        <v>#REF!</v>
      </c>
      <c r="G389" t="str">
        <f>IF(ISBLANK('Master Submitted DPDs'!#REF!),"","Withdrawn")</f>
        <v>Withdrawn</v>
      </c>
      <c r="H389" s="2" t="e">
        <f>IF(ISBLANK('Master Submitted DPDs'!#REF!),"",'Master Submitted DPDs'!#REF!)</f>
        <v>#REF!</v>
      </c>
      <c r="I389" s="3"/>
      <c r="J389" s="3"/>
      <c r="K389" s="3"/>
      <c r="L389" s="2" t="e">
        <f>IF(ISBLANK('Master Submitted DPDs'!#REF!),"",'Master Submitted DPDs'!#REF!)</f>
        <v>#REF!</v>
      </c>
      <c r="M389" s="2" t="e">
        <f t="shared" si="12"/>
        <v>#REF!</v>
      </c>
      <c r="N389" s="2" t="e">
        <f>IF(ISBLANK('Master Submitted DPDs'!#REF!),IF(ISBLANK('Master Submitted DPDs'!#REF!),"",'Master Submitted DPDs'!#REF!),'Master Submitted DPDs'!#REF!)</f>
        <v>#REF!</v>
      </c>
      <c r="O389" s="2" t="e">
        <f>IF(ISBLANK('Master Submitted DPDs'!#REF!),"",'Master Submitted DPDs'!#REF!)</f>
        <v>#REF!</v>
      </c>
      <c r="P389" s="2" t="e">
        <f>IF(ISBLANK('Master Submitted DPDs'!#REF!),"",'Master Submitted DPDs'!#REF!)</f>
        <v>#REF!</v>
      </c>
      <c r="Q389" t="e">
        <f>IF(ISBLANK('Master Submitted DPDs'!#REF!),"",'Master Submitted DPDs'!#REF!)</f>
        <v>#REF!</v>
      </c>
      <c r="R389" t="e">
        <f t="shared" si="13"/>
        <v>#REF!</v>
      </c>
      <c r="S389" s="3"/>
      <c r="T389" t="e">
        <f>IF(ISBLANK('Master Submitted DPDs'!#REF!),"",'Master Submitted DPDs'!#REF!)</f>
        <v>#REF!</v>
      </c>
    </row>
    <row r="390" spans="1:20" ht="15" x14ac:dyDescent="0.2">
      <c r="A390" s="3" t="str">
        <f>IF(ISBLANK('Master Submitted DPDs'!#REF!),"","Local Plans")</f>
        <v>Local Plans</v>
      </c>
      <c r="B390" t="e">
        <f>IF(ISBLANK('Master Submitted DPDs'!#REF!),"",'Master Submitted DPDs'!#REF!)</f>
        <v>#REF!</v>
      </c>
      <c r="C390" s="3" t="str">
        <f>IF(ISBLANK('Master Submitted DPDs'!#REF!),"","IH")</f>
        <v>IH</v>
      </c>
      <c r="D390" s="3" t="e">
        <f>LOOKUP($F390,'fuzzy LPA lookup'!$E:$E,'fuzzy LPA lookup'!$A:$A)</f>
        <v>#REF!</v>
      </c>
      <c r="E390" s="3" t="e">
        <f>LOOKUP($F390,'fuzzy LPA lookup'!$E:$E,'fuzzy LPA lookup'!$D:$D)</f>
        <v>#REF!</v>
      </c>
      <c r="F390" s="8" t="e">
        <f>IF(ISBLANK('Master Submitted DPDs'!#REF!),"",'Master Submitted DPDs'!#REF!)</f>
        <v>#REF!</v>
      </c>
      <c r="G390" t="str">
        <f>IF(ISBLANK('Master Submitted DPDs'!#REF!),"","Withdrawn")</f>
        <v>Withdrawn</v>
      </c>
      <c r="H390" s="2" t="e">
        <f>IF(ISBLANK('Master Submitted DPDs'!#REF!),"",'Master Submitted DPDs'!#REF!)</f>
        <v>#REF!</v>
      </c>
      <c r="I390" s="3"/>
      <c r="J390" s="3"/>
      <c r="K390" s="3"/>
      <c r="L390" s="2" t="e">
        <f>IF(ISBLANK('Master Submitted DPDs'!#REF!),"",'Master Submitted DPDs'!#REF!)</f>
        <v>#REF!</v>
      </c>
      <c r="M390" s="2" t="e">
        <f t="shared" si="12"/>
        <v>#REF!</v>
      </c>
      <c r="N390" s="2" t="e">
        <f>IF(ISBLANK('Master Submitted DPDs'!#REF!),IF(ISBLANK('Master Submitted DPDs'!#REF!),"",'Master Submitted DPDs'!#REF!),'Master Submitted DPDs'!#REF!)</f>
        <v>#REF!</v>
      </c>
      <c r="O390" s="2" t="e">
        <f>IF(ISBLANK('Master Submitted DPDs'!#REF!),"",'Master Submitted DPDs'!#REF!)</f>
        <v>#REF!</v>
      </c>
      <c r="P390" s="2" t="e">
        <f>IF(ISBLANK('Master Submitted DPDs'!#REF!),"",'Master Submitted DPDs'!#REF!)</f>
        <v>#REF!</v>
      </c>
      <c r="Q390" t="e">
        <f>IF(ISBLANK('Master Submitted DPDs'!#REF!),"",'Master Submitted DPDs'!#REF!)</f>
        <v>#REF!</v>
      </c>
      <c r="R390" t="e">
        <f t="shared" si="13"/>
        <v>#REF!</v>
      </c>
      <c r="S390" s="3"/>
      <c r="T390" t="e">
        <f>IF(ISBLANK('Master Submitted DPDs'!#REF!),"",'Master Submitted DPDs'!#REF!)</f>
        <v>#REF!</v>
      </c>
    </row>
    <row r="391" spans="1:20" ht="15" x14ac:dyDescent="0.2">
      <c r="A391" s="3" t="str">
        <f>IF(ISBLANK('Master Submitted DPDs'!#REF!),"","Local Plans")</f>
        <v>Local Plans</v>
      </c>
      <c r="B391" t="e">
        <f>IF(ISBLANK('Master Submitted DPDs'!#REF!),"",'Master Submitted DPDs'!#REF!)</f>
        <v>#REF!</v>
      </c>
      <c r="C391" s="3" t="str">
        <f>IF(ISBLANK('Master Submitted DPDs'!#REF!),"","IH")</f>
        <v>IH</v>
      </c>
      <c r="D391" s="3" t="e">
        <f>LOOKUP($F391,'fuzzy LPA lookup'!$E:$E,'fuzzy LPA lookup'!$A:$A)</f>
        <v>#REF!</v>
      </c>
      <c r="E391" s="3" t="e">
        <f>LOOKUP($F391,'fuzzy LPA lookup'!$E:$E,'fuzzy LPA lookup'!$D:$D)</f>
        <v>#REF!</v>
      </c>
      <c r="F391" s="8" t="e">
        <f>IF(ISBLANK('Master Submitted DPDs'!#REF!),"",'Master Submitted DPDs'!#REF!)</f>
        <v>#REF!</v>
      </c>
      <c r="G391" t="str">
        <f>IF(ISBLANK('Master Submitted DPDs'!#REF!),"","Withdrawn")</f>
        <v>Withdrawn</v>
      </c>
      <c r="H391" s="2" t="e">
        <f>IF(ISBLANK('Master Submitted DPDs'!#REF!),"",'Master Submitted DPDs'!#REF!)</f>
        <v>#REF!</v>
      </c>
      <c r="I391" s="3"/>
      <c r="J391" s="3"/>
      <c r="K391" s="3"/>
      <c r="L391" s="2" t="e">
        <f>IF(ISBLANK('Master Submitted DPDs'!#REF!),"",'Master Submitted DPDs'!#REF!)</f>
        <v>#REF!</v>
      </c>
      <c r="M391" s="2" t="e">
        <f t="shared" si="12"/>
        <v>#REF!</v>
      </c>
      <c r="N391" s="2" t="e">
        <f>IF(ISBLANK('Master Submitted DPDs'!#REF!),IF(ISBLANK('Master Submitted DPDs'!#REF!),"",'Master Submitted DPDs'!#REF!),'Master Submitted DPDs'!#REF!)</f>
        <v>#REF!</v>
      </c>
      <c r="O391" s="2" t="e">
        <f>IF(ISBLANK('Master Submitted DPDs'!#REF!),"",'Master Submitted DPDs'!#REF!)</f>
        <v>#REF!</v>
      </c>
      <c r="P391" s="2" t="e">
        <f>IF(ISBLANK('Master Submitted DPDs'!#REF!),"",'Master Submitted DPDs'!#REF!)</f>
        <v>#REF!</v>
      </c>
      <c r="Q391" t="e">
        <f>IF(ISBLANK('Master Submitted DPDs'!#REF!),"",'Master Submitted DPDs'!#REF!)</f>
        <v>#REF!</v>
      </c>
      <c r="R391" t="e">
        <f t="shared" si="13"/>
        <v>#REF!</v>
      </c>
      <c r="S391" s="3"/>
      <c r="T391" t="e">
        <f>IF(ISBLANK('Master Submitted DPDs'!#REF!),"",'Master Submitted DPDs'!#REF!)</f>
        <v>#REF!</v>
      </c>
    </row>
    <row r="392" spans="1:20" ht="15" x14ac:dyDescent="0.2">
      <c r="A392" s="3" t="str">
        <f>IF(ISBLANK('Master Submitted DPDs'!#REF!),"","Local Plans")</f>
        <v>Local Plans</v>
      </c>
      <c r="B392" t="e">
        <f>IF(ISBLANK('Master Submitted DPDs'!#REF!),"",'Master Submitted DPDs'!#REF!)</f>
        <v>#REF!</v>
      </c>
      <c r="C392" s="3" t="str">
        <f>IF(ISBLANK('Master Submitted DPDs'!#REF!),"","IH")</f>
        <v>IH</v>
      </c>
      <c r="D392" s="3" t="e">
        <f>LOOKUP($F392,'fuzzy LPA lookup'!$E:$E,'fuzzy LPA lookup'!$A:$A)</f>
        <v>#REF!</v>
      </c>
      <c r="E392" s="3" t="e">
        <f>LOOKUP($F392,'fuzzy LPA lookup'!$E:$E,'fuzzy LPA lookup'!$D:$D)</f>
        <v>#REF!</v>
      </c>
      <c r="F392" s="8" t="e">
        <f>IF(ISBLANK('Master Submitted DPDs'!#REF!),"",'Master Submitted DPDs'!#REF!)</f>
        <v>#REF!</v>
      </c>
      <c r="G392" t="str">
        <f>IF(ISBLANK('Master Submitted DPDs'!#REF!),"","Withdrawn")</f>
        <v>Withdrawn</v>
      </c>
      <c r="H392" s="2" t="e">
        <f>IF(ISBLANK('Master Submitted DPDs'!#REF!),"",'Master Submitted DPDs'!#REF!)</f>
        <v>#REF!</v>
      </c>
      <c r="I392" s="3"/>
      <c r="J392" s="3"/>
      <c r="K392" s="3"/>
      <c r="L392" s="2" t="e">
        <f>IF(ISBLANK('Master Submitted DPDs'!#REF!),"",'Master Submitted DPDs'!#REF!)</f>
        <v>#REF!</v>
      </c>
      <c r="M392" s="2" t="e">
        <f t="shared" si="12"/>
        <v>#REF!</v>
      </c>
      <c r="N392" s="2" t="e">
        <f>IF(ISBLANK('Master Submitted DPDs'!#REF!),IF(ISBLANK('Master Submitted DPDs'!#REF!),"",'Master Submitted DPDs'!#REF!),'Master Submitted DPDs'!#REF!)</f>
        <v>#REF!</v>
      </c>
      <c r="O392" s="2" t="e">
        <f>IF(ISBLANK('Master Submitted DPDs'!#REF!),"",'Master Submitted DPDs'!#REF!)</f>
        <v>#REF!</v>
      </c>
      <c r="P392" s="2" t="e">
        <f>IF(ISBLANK('Master Submitted DPDs'!#REF!),"",'Master Submitted DPDs'!#REF!)</f>
        <v>#REF!</v>
      </c>
      <c r="Q392" t="e">
        <f>IF(ISBLANK('Master Submitted DPDs'!#REF!),"",'Master Submitted DPDs'!#REF!)</f>
        <v>#REF!</v>
      </c>
      <c r="R392" t="e">
        <f t="shared" si="13"/>
        <v>#REF!</v>
      </c>
      <c r="S392" s="3"/>
      <c r="T392" t="e">
        <f>IF(ISBLANK('Master Submitted DPDs'!#REF!),"",'Master Submitted DPDs'!#REF!)</f>
        <v>#REF!</v>
      </c>
    </row>
    <row r="393" spans="1:20" ht="15" x14ac:dyDescent="0.2">
      <c r="A393" s="3" t="str">
        <f>IF(ISBLANK('Master Submitted DPDs'!#REF!),"","Local Plans")</f>
        <v>Local Plans</v>
      </c>
      <c r="B393" t="e">
        <f>IF(ISBLANK('Master Submitted DPDs'!#REF!),"",'Master Submitted DPDs'!#REF!)</f>
        <v>#REF!</v>
      </c>
      <c r="C393" s="3" t="str">
        <f>IF(ISBLANK('Master Submitted DPDs'!#REF!),"","IH")</f>
        <v>IH</v>
      </c>
      <c r="D393" s="3" t="e">
        <f>LOOKUP($F393,'fuzzy LPA lookup'!$E:$E,'fuzzy LPA lookup'!$A:$A)</f>
        <v>#REF!</v>
      </c>
      <c r="E393" s="3" t="e">
        <f>LOOKUP($F393,'fuzzy LPA lookup'!$E:$E,'fuzzy LPA lookup'!$D:$D)</f>
        <v>#REF!</v>
      </c>
      <c r="F393" s="8" t="e">
        <f>IF(ISBLANK('Master Submitted DPDs'!#REF!),"",'Master Submitted DPDs'!#REF!)</f>
        <v>#REF!</v>
      </c>
      <c r="G393" t="str">
        <f>IF(ISBLANK('Master Submitted DPDs'!#REF!),"","Withdrawn")</f>
        <v>Withdrawn</v>
      </c>
      <c r="H393" s="2" t="e">
        <f>IF(ISBLANK('Master Submitted DPDs'!#REF!),"",'Master Submitted DPDs'!#REF!)</f>
        <v>#REF!</v>
      </c>
      <c r="I393" s="3"/>
      <c r="J393" s="3"/>
      <c r="K393" s="3"/>
      <c r="L393" s="2" t="e">
        <f>IF(ISBLANK('Master Submitted DPDs'!#REF!),"",'Master Submitted DPDs'!#REF!)</f>
        <v>#REF!</v>
      </c>
      <c r="M393" s="2" t="e">
        <f t="shared" si="12"/>
        <v>#REF!</v>
      </c>
      <c r="N393" s="2" t="e">
        <f>IF(ISBLANK('Master Submitted DPDs'!#REF!),IF(ISBLANK('Master Submitted DPDs'!#REF!),"",'Master Submitted DPDs'!#REF!),'Master Submitted DPDs'!#REF!)</f>
        <v>#REF!</v>
      </c>
      <c r="O393" s="2" t="e">
        <f>IF(ISBLANK('Master Submitted DPDs'!#REF!),"",'Master Submitted DPDs'!#REF!)</f>
        <v>#REF!</v>
      </c>
      <c r="P393" s="2" t="e">
        <f>IF(ISBLANK('Master Submitted DPDs'!#REF!),"",'Master Submitted DPDs'!#REF!)</f>
        <v>#REF!</v>
      </c>
      <c r="Q393" t="e">
        <f>IF(ISBLANK('Master Submitted DPDs'!#REF!),"",'Master Submitted DPDs'!#REF!)</f>
        <v>#REF!</v>
      </c>
      <c r="R393" t="e">
        <f t="shared" si="13"/>
        <v>#REF!</v>
      </c>
      <c r="S393" s="3"/>
      <c r="T393" t="e">
        <f>IF(ISBLANK('Master Submitted DPDs'!#REF!),"",'Master Submitted DPDs'!#REF!)</f>
        <v>#REF!</v>
      </c>
    </row>
    <row r="394" spans="1:20" ht="15" x14ac:dyDescent="0.2">
      <c r="A394" s="3" t="str">
        <f>IF(ISBLANK('Master Submitted DPDs'!#REF!),"","Local Plans")</f>
        <v>Local Plans</v>
      </c>
      <c r="B394" t="e">
        <f>IF(ISBLANK('Master Submitted DPDs'!#REF!),"",'Master Submitted DPDs'!#REF!)</f>
        <v>#REF!</v>
      </c>
      <c r="C394" s="3" t="str">
        <f>IF(ISBLANK('Master Submitted DPDs'!#REF!),"","IH")</f>
        <v>IH</v>
      </c>
      <c r="D394" s="3" t="e">
        <f>LOOKUP($F394,'fuzzy LPA lookup'!$E:$E,'fuzzy LPA lookup'!$A:$A)</f>
        <v>#REF!</v>
      </c>
      <c r="E394" s="3" t="e">
        <f>LOOKUP($F394,'fuzzy LPA lookup'!$E:$E,'fuzzy LPA lookup'!$D:$D)</f>
        <v>#REF!</v>
      </c>
      <c r="F394" s="8" t="e">
        <f>IF(ISBLANK('Master Submitted DPDs'!#REF!),"",'Master Submitted DPDs'!#REF!)</f>
        <v>#REF!</v>
      </c>
      <c r="G394" t="str">
        <f>IF(ISBLANK('Master Submitted DPDs'!#REF!),"","Withdrawn")</f>
        <v>Withdrawn</v>
      </c>
      <c r="H394" s="2" t="e">
        <f>IF(ISBLANK('Master Submitted DPDs'!#REF!),"",'Master Submitted DPDs'!#REF!)</f>
        <v>#REF!</v>
      </c>
      <c r="I394" s="3"/>
      <c r="J394" s="3"/>
      <c r="K394" s="3"/>
      <c r="L394" s="2" t="e">
        <f>IF(ISBLANK('Master Submitted DPDs'!#REF!),"",'Master Submitted DPDs'!#REF!)</f>
        <v>#REF!</v>
      </c>
      <c r="M394" s="2" t="e">
        <f t="shared" si="12"/>
        <v>#REF!</v>
      </c>
      <c r="N394" s="2" t="e">
        <f>IF(ISBLANK('Master Submitted DPDs'!#REF!),IF(ISBLANK('Master Submitted DPDs'!#REF!),"",'Master Submitted DPDs'!#REF!),'Master Submitted DPDs'!#REF!)</f>
        <v>#REF!</v>
      </c>
      <c r="O394" s="2" t="e">
        <f>IF(ISBLANK('Master Submitted DPDs'!#REF!),"",'Master Submitted DPDs'!#REF!)</f>
        <v>#REF!</v>
      </c>
      <c r="P394" s="2" t="e">
        <f>IF(ISBLANK('Master Submitted DPDs'!#REF!),"",'Master Submitted DPDs'!#REF!)</f>
        <v>#REF!</v>
      </c>
      <c r="Q394" t="e">
        <f>IF(ISBLANK('Master Submitted DPDs'!#REF!),"",'Master Submitted DPDs'!#REF!)</f>
        <v>#REF!</v>
      </c>
      <c r="R394" t="e">
        <f t="shared" si="13"/>
        <v>#REF!</v>
      </c>
      <c r="S394" s="3"/>
      <c r="T394" t="e">
        <f>IF(ISBLANK('Master Submitted DPDs'!#REF!),"",'Master Submitted DPDs'!#REF!)</f>
        <v>#REF!</v>
      </c>
    </row>
    <row r="395" spans="1:20" ht="15" x14ac:dyDescent="0.2">
      <c r="A395" s="3" t="str">
        <f>IF(ISBLANK('Master Submitted DPDs'!#REF!),"","Local Plans")</f>
        <v>Local Plans</v>
      </c>
      <c r="B395" t="e">
        <f>IF(ISBLANK('Master Submitted DPDs'!#REF!),"",'Master Submitted DPDs'!#REF!)</f>
        <v>#REF!</v>
      </c>
      <c r="C395" s="3" t="str">
        <f>IF(ISBLANK('Master Submitted DPDs'!#REF!),"","IH")</f>
        <v>IH</v>
      </c>
      <c r="D395" s="3" t="e">
        <f>LOOKUP($F395,'fuzzy LPA lookup'!$E:$E,'fuzzy LPA lookup'!$A:$A)</f>
        <v>#REF!</v>
      </c>
      <c r="E395" s="3" t="e">
        <f>LOOKUP($F395,'fuzzy LPA lookup'!$E:$E,'fuzzy LPA lookup'!$D:$D)</f>
        <v>#REF!</v>
      </c>
      <c r="F395" s="8" t="e">
        <f>IF(ISBLANK('Master Submitted DPDs'!#REF!),"",'Master Submitted DPDs'!#REF!)</f>
        <v>#REF!</v>
      </c>
      <c r="G395" t="str">
        <f>IF(ISBLANK('Master Submitted DPDs'!#REF!),"","Withdrawn")</f>
        <v>Withdrawn</v>
      </c>
      <c r="H395" s="2" t="e">
        <f>IF(ISBLANK('Master Submitted DPDs'!#REF!),"",'Master Submitted DPDs'!#REF!)</f>
        <v>#REF!</v>
      </c>
      <c r="I395" s="3"/>
      <c r="J395" s="3"/>
      <c r="K395" s="3"/>
      <c r="L395" s="2" t="e">
        <f>IF(ISBLANK('Master Submitted DPDs'!#REF!),"",'Master Submitted DPDs'!#REF!)</f>
        <v>#REF!</v>
      </c>
      <c r="M395" s="2" t="e">
        <f t="shared" si="12"/>
        <v>#REF!</v>
      </c>
      <c r="N395" s="2" t="e">
        <f>IF(ISBLANK('Master Submitted DPDs'!#REF!),IF(ISBLANK('Master Submitted DPDs'!#REF!),"",'Master Submitted DPDs'!#REF!),'Master Submitted DPDs'!#REF!)</f>
        <v>#REF!</v>
      </c>
      <c r="O395" s="2" t="e">
        <f>IF(ISBLANK('Master Submitted DPDs'!#REF!),"",'Master Submitted DPDs'!#REF!)</f>
        <v>#REF!</v>
      </c>
      <c r="P395" s="2" t="e">
        <f>IF(ISBLANK('Master Submitted DPDs'!#REF!),"",'Master Submitted DPDs'!#REF!)</f>
        <v>#REF!</v>
      </c>
      <c r="Q395" t="e">
        <f>IF(ISBLANK('Master Submitted DPDs'!#REF!),"",'Master Submitted DPDs'!#REF!)</f>
        <v>#REF!</v>
      </c>
      <c r="R395" t="e">
        <f t="shared" si="13"/>
        <v>#REF!</v>
      </c>
      <c r="S395" s="3"/>
      <c r="T395" t="e">
        <f>IF(ISBLANK('Master Submitted DPDs'!#REF!),"",'Master Submitted DPDs'!#REF!)</f>
        <v>#REF!</v>
      </c>
    </row>
    <row r="396" spans="1:20" ht="15" x14ac:dyDescent="0.2">
      <c r="A396" s="3" t="str">
        <f>IF(ISBLANK('Master Submitted DPDs'!#REF!),"","Local Plans")</f>
        <v>Local Plans</v>
      </c>
      <c r="B396" t="e">
        <f>IF(ISBLANK('Master Submitted DPDs'!#REF!),"",'Master Submitted DPDs'!#REF!)</f>
        <v>#REF!</v>
      </c>
      <c r="C396" s="3" t="str">
        <f>IF(ISBLANK('Master Submitted DPDs'!#REF!),"","IH")</f>
        <v>IH</v>
      </c>
      <c r="D396" s="3" t="e">
        <f>LOOKUP($F396,'fuzzy LPA lookup'!$E:$E,'fuzzy LPA lookup'!$A:$A)</f>
        <v>#REF!</v>
      </c>
      <c r="E396" s="3" t="e">
        <f>LOOKUP($F396,'fuzzy LPA lookup'!$E:$E,'fuzzy LPA lookup'!$D:$D)</f>
        <v>#REF!</v>
      </c>
      <c r="F396" s="8" t="e">
        <f>IF(ISBLANK('Master Submitted DPDs'!#REF!),"",'Master Submitted DPDs'!#REF!)</f>
        <v>#REF!</v>
      </c>
      <c r="G396" t="str">
        <f>IF(ISBLANK('Master Submitted DPDs'!#REF!),"","Withdrawn")</f>
        <v>Withdrawn</v>
      </c>
      <c r="H396" s="2" t="e">
        <f>IF(ISBLANK('Master Submitted DPDs'!#REF!),"",'Master Submitted DPDs'!#REF!)</f>
        <v>#REF!</v>
      </c>
      <c r="I396" s="3"/>
      <c r="J396" s="3"/>
      <c r="K396" s="3"/>
      <c r="L396" s="2" t="e">
        <f>IF(ISBLANK('Master Submitted DPDs'!#REF!),"",'Master Submitted DPDs'!#REF!)</f>
        <v>#REF!</v>
      </c>
      <c r="M396" s="2" t="e">
        <f t="shared" si="12"/>
        <v>#REF!</v>
      </c>
      <c r="N396" s="2" t="e">
        <f>IF(ISBLANK('Master Submitted DPDs'!#REF!),IF(ISBLANK('Master Submitted DPDs'!#REF!),"",'Master Submitted DPDs'!#REF!),'Master Submitted DPDs'!#REF!)</f>
        <v>#REF!</v>
      </c>
      <c r="O396" s="2" t="e">
        <f>IF(ISBLANK('Master Submitted DPDs'!#REF!),"",'Master Submitted DPDs'!#REF!)</f>
        <v>#REF!</v>
      </c>
      <c r="P396" s="2" t="e">
        <f>IF(ISBLANK('Master Submitted DPDs'!#REF!),"",'Master Submitted DPDs'!#REF!)</f>
        <v>#REF!</v>
      </c>
      <c r="Q396" t="e">
        <f>IF(ISBLANK('Master Submitted DPDs'!#REF!),"",'Master Submitted DPDs'!#REF!)</f>
        <v>#REF!</v>
      </c>
      <c r="R396" t="e">
        <f t="shared" si="13"/>
        <v>#REF!</v>
      </c>
      <c r="S396" s="3"/>
      <c r="T396" t="e">
        <f>IF(ISBLANK('Master Submitted DPDs'!#REF!),"",'Master Submitted DPDs'!#REF!)</f>
        <v>#REF!</v>
      </c>
    </row>
    <row r="397" spans="1:20" ht="15" x14ac:dyDescent="0.2">
      <c r="A397" s="3" t="str">
        <f>IF(ISBLANK('Master Submitted DPDs'!#REF!),"","Local Plans")</f>
        <v>Local Plans</v>
      </c>
      <c r="B397" t="e">
        <f>IF(ISBLANK('Master Submitted DPDs'!#REF!),"",'Master Submitted DPDs'!#REF!)</f>
        <v>#REF!</v>
      </c>
      <c r="C397" s="3" t="str">
        <f>IF(ISBLANK('Master Submitted DPDs'!#REF!),"","IH")</f>
        <v>IH</v>
      </c>
      <c r="D397" s="3" t="e">
        <f>LOOKUP($F397,'fuzzy LPA lookup'!$E:$E,'fuzzy LPA lookup'!$A:$A)</f>
        <v>#REF!</v>
      </c>
      <c r="E397" s="3" t="e">
        <f>LOOKUP($F397,'fuzzy LPA lookup'!$E:$E,'fuzzy LPA lookup'!$D:$D)</f>
        <v>#REF!</v>
      </c>
      <c r="F397" s="8" t="e">
        <f>IF(ISBLANK('Master Submitted DPDs'!#REF!),"",'Master Submitted DPDs'!#REF!)</f>
        <v>#REF!</v>
      </c>
      <c r="G397" t="str">
        <f>IF(ISBLANK('Master Submitted DPDs'!#REF!),"","Withdrawn")</f>
        <v>Withdrawn</v>
      </c>
      <c r="H397" s="2" t="e">
        <f>IF(ISBLANK('Master Submitted DPDs'!#REF!),"",'Master Submitted DPDs'!#REF!)</f>
        <v>#REF!</v>
      </c>
      <c r="I397" s="3"/>
      <c r="J397" s="3"/>
      <c r="K397" s="3"/>
      <c r="L397" s="2" t="e">
        <f>IF(ISBLANK('Master Submitted DPDs'!#REF!),"",'Master Submitted DPDs'!#REF!)</f>
        <v>#REF!</v>
      </c>
      <c r="M397" s="2" t="e">
        <f t="shared" si="12"/>
        <v>#REF!</v>
      </c>
      <c r="N397" s="2" t="e">
        <f>IF(ISBLANK('Master Submitted DPDs'!#REF!),IF(ISBLANK('Master Submitted DPDs'!#REF!),"",'Master Submitted DPDs'!#REF!),'Master Submitted DPDs'!#REF!)</f>
        <v>#REF!</v>
      </c>
      <c r="O397" s="2" t="e">
        <f>IF(ISBLANK('Master Submitted DPDs'!#REF!),"",'Master Submitted DPDs'!#REF!)</f>
        <v>#REF!</v>
      </c>
      <c r="P397" s="2" t="e">
        <f>IF(ISBLANK('Master Submitted DPDs'!#REF!),"",'Master Submitted DPDs'!#REF!)</f>
        <v>#REF!</v>
      </c>
      <c r="Q397" t="e">
        <f>IF(ISBLANK('Master Submitted DPDs'!#REF!),"",'Master Submitted DPDs'!#REF!)</f>
        <v>#REF!</v>
      </c>
      <c r="R397" t="e">
        <f t="shared" si="13"/>
        <v>#REF!</v>
      </c>
      <c r="S397" s="3"/>
      <c r="T397" t="e">
        <f>IF(ISBLANK('Master Submitted DPDs'!#REF!),"",'Master Submitted DPDs'!#REF!)</f>
        <v>#REF!</v>
      </c>
    </row>
    <row r="398" spans="1:20" ht="15" x14ac:dyDescent="0.2">
      <c r="A398" s="3" t="str">
        <f>IF(ISBLANK('Master Submitted DPDs'!#REF!),"","Local Plans")</f>
        <v>Local Plans</v>
      </c>
      <c r="B398" t="e">
        <f>IF(ISBLANK('Master Submitted DPDs'!#REF!),"",'Master Submitted DPDs'!#REF!)</f>
        <v>#REF!</v>
      </c>
      <c r="C398" s="3" t="str">
        <f>IF(ISBLANK('Master Submitted DPDs'!#REF!),"","IH")</f>
        <v>IH</v>
      </c>
      <c r="D398" s="3" t="e">
        <f>LOOKUP($F398,'fuzzy LPA lookup'!$E:$E,'fuzzy LPA lookup'!$A:$A)</f>
        <v>#REF!</v>
      </c>
      <c r="E398" s="3" t="e">
        <f>LOOKUP($F398,'fuzzy LPA lookup'!$E:$E,'fuzzy LPA lookup'!$D:$D)</f>
        <v>#REF!</v>
      </c>
      <c r="F398" s="8" t="e">
        <f>IF(ISBLANK('Master Submitted DPDs'!#REF!),"",'Master Submitted DPDs'!#REF!)</f>
        <v>#REF!</v>
      </c>
      <c r="G398" t="str">
        <f>IF(ISBLANK('Master Submitted DPDs'!#REF!),"","Withdrawn")</f>
        <v>Withdrawn</v>
      </c>
      <c r="H398" s="2" t="e">
        <f>IF(ISBLANK('Master Submitted DPDs'!#REF!),"",'Master Submitted DPDs'!#REF!)</f>
        <v>#REF!</v>
      </c>
      <c r="I398" s="3"/>
      <c r="J398" s="3"/>
      <c r="K398" s="3"/>
      <c r="L398" s="2" t="e">
        <f>IF(ISBLANK('Master Submitted DPDs'!#REF!),"",'Master Submitted DPDs'!#REF!)</f>
        <v>#REF!</v>
      </c>
      <c r="M398" s="2" t="e">
        <f t="shared" si="12"/>
        <v>#REF!</v>
      </c>
      <c r="N398" s="2" t="e">
        <f>IF(ISBLANK('Master Submitted DPDs'!#REF!),IF(ISBLANK('Master Submitted DPDs'!#REF!),"",'Master Submitted DPDs'!#REF!),'Master Submitted DPDs'!#REF!)</f>
        <v>#REF!</v>
      </c>
      <c r="O398" s="2" t="e">
        <f>IF(ISBLANK('Master Submitted DPDs'!#REF!),"",'Master Submitted DPDs'!#REF!)</f>
        <v>#REF!</v>
      </c>
      <c r="P398" s="2" t="e">
        <f>IF(ISBLANK('Master Submitted DPDs'!#REF!),"",'Master Submitted DPDs'!#REF!)</f>
        <v>#REF!</v>
      </c>
      <c r="Q398" t="e">
        <f>IF(ISBLANK('Master Submitted DPDs'!#REF!),"",'Master Submitted DPDs'!#REF!)</f>
        <v>#REF!</v>
      </c>
      <c r="R398" t="e">
        <f t="shared" si="13"/>
        <v>#REF!</v>
      </c>
      <c r="S398" s="3"/>
      <c r="T398" t="e">
        <f>IF(ISBLANK('Master Submitted DPDs'!#REF!),"",'Master Submitted DPDs'!#REF!)</f>
        <v>#REF!</v>
      </c>
    </row>
    <row r="399" spans="1:20" ht="15" x14ac:dyDescent="0.2">
      <c r="A399" s="3" t="str">
        <f>IF(ISBLANK('Master Submitted DPDs'!#REF!),"","Local Plans")</f>
        <v>Local Plans</v>
      </c>
      <c r="B399" t="e">
        <f>IF(ISBLANK('Master Submitted DPDs'!#REF!),"",'Master Submitted DPDs'!#REF!)</f>
        <v>#REF!</v>
      </c>
      <c r="C399" s="3" t="str">
        <f>IF(ISBLANK('Master Submitted DPDs'!#REF!),"","IH")</f>
        <v>IH</v>
      </c>
      <c r="D399" s="3" t="e">
        <f>LOOKUP($F399,'fuzzy LPA lookup'!$E:$E,'fuzzy LPA lookup'!$A:$A)</f>
        <v>#REF!</v>
      </c>
      <c r="E399" s="3" t="e">
        <f>LOOKUP($F399,'fuzzy LPA lookup'!$E:$E,'fuzzy LPA lookup'!$D:$D)</f>
        <v>#REF!</v>
      </c>
      <c r="F399" s="8" t="e">
        <f>IF(ISBLANK('Master Submitted DPDs'!#REF!),"",'Master Submitted DPDs'!#REF!)</f>
        <v>#REF!</v>
      </c>
      <c r="G399" t="str">
        <f>IF(ISBLANK('Master Submitted DPDs'!#REF!),"","Withdrawn")</f>
        <v>Withdrawn</v>
      </c>
      <c r="H399" s="2" t="e">
        <f>IF(ISBLANK('Master Submitted DPDs'!#REF!),"",'Master Submitted DPDs'!#REF!)</f>
        <v>#REF!</v>
      </c>
      <c r="I399" s="3"/>
      <c r="J399" s="3"/>
      <c r="K399" s="3"/>
      <c r="L399" s="2" t="e">
        <f>IF(ISBLANK('Master Submitted DPDs'!#REF!),"",'Master Submitted DPDs'!#REF!)</f>
        <v>#REF!</v>
      </c>
      <c r="M399" s="2" t="e">
        <f t="shared" si="12"/>
        <v>#REF!</v>
      </c>
      <c r="N399" s="2" t="e">
        <f>IF(ISBLANK('Master Submitted DPDs'!#REF!),IF(ISBLANK('Master Submitted DPDs'!#REF!),"",'Master Submitted DPDs'!#REF!),'Master Submitted DPDs'!#REF!)</f>
        <v>#REF!</v>
      </c>
      <c r="O399" s="2" t="e">
        <f>IF(ISBLANK('Master Submitted DPDs'!#REF!),"",'Master Submitted DPDs'!#REF!)</f>
        <v>#REF!</v>
      </c>
      <c r="P399" s="2" t="e">
        <f>IF(ISBLANK('Master Submitted DPDs'!#REF!),"",'Master Submitted DPDs'!#REF!)</f>
        <v>#REF!</v>
      </c>
      <c r="Q399" t="e">
        <f>IF(ISBLANK('Master Submitted DPDs'!#REF!),"",'Master Submitted DPDs'!#REF!)</f>
        <v>#REF!</v>
      </c>
      <c r="R399" t="e">
        <f t="shared" si="13"/>
        <v>#REF!</v>
      </c>
      <c r="S399" s="3"/>
      <c r="T399" t="e">
        <f>IF(ISBLANK('Master Submitted DPDs'!#REF!),"",'Master Submitted DPDs'!#REF!)</f>
        <v>#REF!</v>
      </c>
    </row>
    <row r="400" spans="1:20" ht="15" x14ac:dyDescent="0.2">
      <c r="A400" s="3" t="str">
        <f>IF(ISBLANK('Master Submitted DPDs'!#REF!),"","Local Plans")</f>
        <v>Local Plans</v>
      </c>
      <c r="B400" t="e">
        <f>IF(ISBLANK('Master Submitted DPDs'!#REF!),"",'Master Submitted DPDs'!#REF!)</f>
        <v>#REF!</v>
      </c>
      <c r="C400" s="3" t="str">
        <f>IF(ISBLANK('Master Submitted DPDs'!#REF!),"","IH")</f>
        <v>IH</v>
      </c>
      <c r="D400" s="3" t="e">
        <f>LOOKUP($F400,'fuzzy LPA lookup'!$E:$E,'fuzzy LPA lookup'!$A:$A)</f>
        <v>#REF!</v>
      </c>
      <c r="E400" s="3" t="e">
        <f>LOOKUP($F400,'fuzzy LPA lookup'!$E:$E,'fuzzy LPA lookup'!$D:$D)</f>
        <v>#REF!</v>
      </c>
      <c r="F400" s="8" t="e">
        <f>IF(ISBLANK('Master Submitted DPDs'!#REF!),"",'Master Submitted DPDs'!#REF!)</f>
        <v>#REF!</v>
      </c>
      <c r="G400" t="str">
        <f>IF(ISBLANK('Master Submitted DPDs'!#REF!),"","Withdrawn")</f>
        <v>Withdrawn</v>
      </c>
      <c r="H400" s="2" t="e">
        <f>IF(ISBLANK('Master Submitted DPDs'!#REF!),"",'Master Submitted DPDs'!#REF!)</f>
        <v>#REF!</v>
      </c>
      <c r="I400" s="3"/>
      <c r="J400" s="3"/>
      <c r="K400" s="3"/>
      <c r="L400" s="2" t="e">
        <f>IF(ISBLANK('Master Submitted DPDs'!#REF!),"",'Master Submitted DPDs'!#REF!)</f>
        <v>#REF!</v>
      </c>
      <c r="M400" s="2" t="e">
        <f t="shared" si="12"/>
        <v>#REF!</v>
      </c>
      <c r="N400" s="2" t="e">
        <f>IF(ISBLANK('Master Submitted DPDs'!#REF!),IF(ISBLANK('Master Submitted DPDs'!#REF!),"",'Master Submitted DPDs'!#REF!),'Master Submitted DPDs'!#REF!)</f>
        <v>#REF!</v>
      </c>
      <c r="O400" s="2" t="e">
        <f>IF(ISBLANK('Master Submitted DPDs'!#REF!),"",'Master Submitted DPDs'!#REF!)</f>
        <v>#REF!</v>
      </c>
      <c r="P400" s="2" t="e">
        <f>IF(ISBLANK('Master Submitted DPDs'!#REF!),"",'Master Submitted DPDs'!#REF!)</f>
        <v>#REF!</v>
      </c>
      <c r="Q400" t="e">
        <f>IF(ISBLANK('Master Submitted DPDs'!#REF!),"",'Master Submitted DPDs'!#REF!)</f>
        <v>#REF!</v>
      </c>
      <c r="R400" t="e">
        <f t="shared" si="13"/>
        <v>#REF!</v>
      </c>
      <c r="S400" s="3"/>
      <c r="T400" t="e">
        <f>IF(ISBLANK('Master Submitted DPDs'!#REF!),"",'Master Submitted DPDs'!#REF!)</f>
        <v>#REF!</v>
      </c>
    </row>
    <row r="401" spans="1:20" ht="15" x14ac:dyDescent="0.2">
      <c r="A401" s="3" t="str">
        <f>IF(ISBLANK('Master Submitted DPDs'!#REF!),"","Local Plans")</f>
        <v>Local Plans</v>
      </c>
      <c r="B401" t="e">
        <f>IF(ISBLANK('Master Submitted DPDs'!#REF!),"",'Master Submitted DPDs'!#REF!)</f>
        <v>#REF!</v>
      </c>
      <c r="C401" s="3" t="str">
        <f>IF(ISBLANK('Master Submitted DPDs'!#REF!),"","IH")</f>
        <v>IH</v>
      </c>
      <c r="D401" s="3" t="e">
        <f>LOOKUP($F401,'fuzzy LPA lookup'!$E:$E,'fuzzy LPA lookup'!$A:$A)</f>
        <v>#REF!</v>
      </c>
      <c r="E401" s="3" t="e">
        <f>LOOKUP($F401,'fuzzy LPA lookup'!$E:$E,'fuzzy LPA lookup'!$D:$D)</f>
        <v>#REF!</v>
      </c>
      <c r="F401" s="8" t="e">
        <f>IF(ISBLANK('Master Submitted DPDs'!#REF!),"",'Master Submitted DPDs'!#REF!)</f>
        <v>#REF!</v>
      </c>
      <c r="G401" t="str">
        <f>IF(ISBLANK('Master Submitted DPDs'!#REF!),"","Withdrawn")</f>
        <v>Withdrawn</v>
      </c>
      <c r="H401" s="2" t="e">
        <f>IF(ISBLANK('Master Submitted DPDs'!#REF!),"",'Master Submitted DPDs'!#REF!)</f>
        <v>#REF!</v>
      </c>
      <c r="I401" s="3"/>
      <c r="J401" s="3"/>
      <c r="K401" s="3"/>
      <c r="L401" s="2" t="e">
        <f>IF(ISBLANK('Master Submitted DPDs'!#REF!),"",'Master Submitted DPDs'!#REF!)</f>
        <v>#REF!</v>
      </c>
      <c r="M401" s="2" t="e">
        <f t="shared" si="12"/>
        <v>#REF!</v>
      </c>
      <c r="N401" s="2" t="e">
        <f>IF(ISBLANK('Master Submitted DPDs'!#REF!),IF(ISBLANK('Master Submitted DPDs'!#REF!),"",'Master Submitted DPDs'!#REF!),'Master Submitted DPDs'!#REF!)</f>
        <v>#REF!</v>
      </c>
      <c r="O401" s="2" t="e">
        <f>IF(ISBLANK('Master Submitted DPDs'!#REF!),"",'Master Submitted DPDs'!#REF!)</f>
        <v>#REF!</v>
      </c>
      <c r="P401" s="2" t="e">
        <f>IF(ISBLANK('Master Submitted DPDs'!#REF!),"",'Master Submitted DPDs'!#REF!)</f>
        <v>#REF!</v>
      </c>
      <c r="Q401" t="e">
        <f>IF(ISBLANK('Master Submitted DPDs'!#REF!),"",'Master Submitted DPDs'!#REF!)</f>
        <v>#REF!</v>
      </c>
      <c r="R401" t="e">
        <f t="shared" si="13"/>
        <v>#REF!</v>
      </c>
      <c r="S401" s="3"/>
      <c r="T401" t="e">
        <f>IF(ISBLANK('Master Submitted DPDs'!#REF!),"",'Master Submitted DPDs'!#REF!)</f>
        <v>#REF!</v>
      </c>
    </row>
    <row r="402" spans="1:20" ht="15" x14ac:dyDescent="0.2">
      <c r="A402" s="3" t="str">
        <f>IF(ISBLANK('Master Submitted DPDs'!#REF!),"","Local Plans")</f>
        <v>Local Plans</v>
      </c>
      <c r="B402" t="e">
        <f>IF(ISBLANK('Master Submitted DPDs'!#REF!),"",'Master Submitted DPDs'!#REF!)</f>
        <v>#REF!</v>
      </c>
      <c r="C402" s="3" t="str">
        <f>IF(ISBLANK('Master Submitted DPDs'!#REF!),"","IH")</f>
        <v>IH</v>
      </c>
      <c r="D402" s="3" t="e">
        <f>LOOKUP($F402,'fuzzy LPA lookup'!$E:$E,'fuzzy LPA lookup'!$A:$A)</f>
        <v>#REF!</v>
      </c>
      <c r="E402" s="3" t="e">
        <f>LOOKUP($F402,'fuzzy LPA lookup'!$E:$E,'fuzzy LPA lookup'!$D:$D)</f>
        <v>#REF!</v>
      </c>
      <c r="F402" s="8" t="e">
        <f>IF(ISBLANK('Master Submitted DPDs'!#REF!),"",'Master Submitted DPDs'!#REF!)</f>
        <v>#REF!</v>
      </c>
      <c r="G402" t="str">
        <f>IF(ISBLANK('Master Submitted DPDs'!#REF!),"","Withdrawn")</f>
        <v>Withdrawn</v>
      </c>
      <c r="H402" s="2" t="e">
        <f>IF(ISBLANK('Master Submitted DPDs'!#REF!),"",'Master Submitted DPDs'!#REF!)</f>
        <v>#REF!</v>
      </c>
      <c r="I402" s="3"/>
      <c r="J402" s="3"/>
      <c r="K402" s="3"/>
      <c r="L402" s="2" t="e">
        <f>IF(ISBLANK('Master Submitted DPDs'!#REF!),"",'Master Submitted DPDs'!#REF!)</f>
        <v>#REF!</v>
      </c>
      <c r="M402" s="2" t="e">
        <f t="shared" si="12"/>
        <v>#REF!</v>
      </c>
      <c r="N402" s="2" t="e">
        <f>IF(ISBLANK('Master Submitted DPDs'!#REF!),IF(ISBLANK('Master Submitted DPDs'!#REF!),"",'Master Submitted DPDs'!#REF!),'Master Submitted DPDs'!#REF!)</f>
        <v>#REF!</v>
      </c>
      <c r="O402" s="2" t="e">
        <f>IF(ISBLANK('Master Submitted DPDs'!#REF!),"",'Master Submitted DPDs'!#REF!)</f>
        <v>#REF!</v>
      </c>
      <c r="P402" s="2" t="e">
        <f>IF(ISBLANK('Master Submitted DPDs'!#REF!),"",'Master Submitted DPDs'!#REF!)</f>
        <v>#REF!</v>
      </c>
      <c r="Q402" t="e">
        <f>IF(ISBLANK('Master Submitted DPDs'!#REF!),"",'Master Submitted DPDs'!#REF!)</f>
        <v>#REF!</v>
      </c>
      <c r="R402" t="e">
        <f t="shared" si="13"/>
        <v>#REF!</v>
      </c>
      <c r="S402" s="3"/>
      <c r="T402" t="e">
        <f>IF(ISBLANK('Master Submitted DPDs'!#REF!),"",'Master Submitted DPDs'!#REF!)</f>
        <v>#REF!</v>
      </c>
    </row>
    <row r="403" spans="1:20" ht="15" x14ac:dyDescent="0.2">
      <c r="A403" s="3" t="str">
        <f>IF(ISBLANK('Master Submitted DPDs'!#REF!),"","Local Plans")</f>
        <v>Local Plans</v>
      </c>
      <c r="B403" t="e">
        <f>IF(ISBLANK('Master Submitted DPDs'!#REF!),"",'Master Submitted DPDs'!#REF!)</f>
        <v>#REF!</v>
      </c>
      <c r="C403" s="3" t="str">
        <f>IF(ISBLANK('Master Submitted DPDs'!#REF!),"","IH")</f>
        <v>IH</v>
      </c>
      <c r="D403" s="3" t="e">
        <f>LOOKUP($F403,'fuzzy LPA lookup'!$E:$E,'fuzzy LPA lookup'!$A:$A)</f>
        <v>#REF!</v>
      </c>
      <c r="E403" s="3" t="e">
        <f>LOOKUP($F403,'fuzzy LPA lookup'!$E:$E,'fuzzy LPA lookup'!$D:$D)</f>
        <v>#REF!</v>
      </c>
      <c r="F403" s="8" t="e">
        <f>IF(ISBLANK('Master Submitted DPDs'!#REF!),"",'Master Submitted DPDs'!#REF!)</f>
        <v>#REF!</v>
      </c>
      <c r="G403" t="str">
        <f>IF(ISBLANK('Master Submitted DPDs'!#REF!),"","Withdrawn")</f>
        <v>Withdrawn</v>
      </c>
      <c r="H403" s="2" t="e">
        <f>IF(ISBLANK('Master Submitted DPDs'!#REF!),"",'Master Submitted DPDs'!#REF!)</f>
        <v>#REF!</v>
      </c>
      <c r="I403" s="3"/>
      <c r="J403" s="3"/>
      <c r="K403" s="3"/>
      <c r="L403" s="2" t="e">
        <f>IF(ISBLANK('Master Submitted DPDs'!#REF!),"",'Master Submitted DPDs'!#REF!)</f>
        <v>#REF!</v>
      </c>
      <c r="M403" s="2" t="e">
        <f t="shared" si="12"/>
        <v>#REF!</v>
      </c>
      <c r="N403" s="2" t="e">
        <f>IF(ISBLANK('Master Submitted DPDs'!#REF!),IF(ISBLANK('Master Submitted DPDs'!#REF!),"",'Master Submitted DPDs'!#REF!),'Master Submitted DPDs'!#REF!)</f>
        <v>#REF!</v>
      </c>
      <c r="O403" s="2" t="e">
        <f>IF(ISBLANK('Master Submitted DPDs'!#REF!),"",'Master Submitted DPDs'!#REF!)</f>
        <v>#REF!</v>
      </c>
      <c r="P403" s="2" t="e">
        <f>IF(ISBLANK('Master Submitted DPDs'!#REF!),"",'Master Submitted DPDs'!#REF!)</f>
        <v>#REF!</v>
      </c>
      <c r="Q403" t="e">
        <f>IF(ISBLANK('Master Submitted DPDs'!#REF!),"",'Master Submitted DPDs'!#REF!)</f>
        <v>#REF!</v>
      </c>
      <c r="R403" t="e">
        <f t="shared" si="13"/>
        <v>#REF!</v>
      </c>
      <c r="S403" s="3"/>
      <c r="T403" t="e">
        <f>IF(ISBLANK('Master Submitted DPDs'!#REF!),"",'Master Submitted DPDs'!#REF!)</f>
        <v>#REF!</v>
      </c>
    </row>
    <row r="404" spans="1:20" ht="15" x14ac:dyDescent="0.2">
      <c r="A404" s="3" t="str">
        <f>IF(ISBLANK('Master Submitted DPDs'!#REF!),"","Local Plans")</f>
        <v>Local Plans</v>
      </c>
      <c r="B404" t="e">
        <f>IF(ISBLANK('Master Submitted DPDs'!#REF!),"",'Master Submitted DPDs'!#REF!)</f>
        <v>#REF!</v>
      </c>
      <c r="C404" s="3" t="str">
        <f>IF(ISBLANK('Master Submitted DPDs'!#REF!),"","IH")</f>
        <v>IH</v>
      </c>
      <c r="D404" s="3" t="e">
        <f>LOOKUP($F404,'fuzzy LPA lookup'!$E:$E,'fuzzy LPA lookup'!$A:$A)</f>
        <v>#REF!</v>
      </c>
      <c r="E404" s="3" t="e">
        <f>LOOKUP($F404,'fuzzy LPA lookup'!$E:$E,'fuzzy LPA lookup'!$D:$D)</f>
        <v>#REF!</v>
      </c>
      <c r="F404" s="8" t="e">
        <f>IF(ISBLANK('Master Submitted DPDs'!#REF!),"",'Master Submitted DPDs'!#REF!)</f>
        <v>#REF!</v>
      </c>
      <c r="G404" t="str">
        <f>IF(ISBLANK('Master Submitted DPDs'!#REF!),"","Withdrawn")</f>
        <v>Withdrawn</v>
      </c>
      <c r="H404" s="2" t="e">
        <f>IF(ISBLANK('Master Submitted DPDs'!#REF!),"",'Master Submitted DPDs'!#REF!)</f>
        <v>#REF!</v>
      </c>
      <c r="I404" s="3"/>
      <c r="J404" s="3"/>
      <c r="K404" s="3"/>
      <c r="L404" s="2" t="e">
        <f>IF(ISBLANK('Master Submitted DPDs'!#REF!),"",'Master Submitted DPDs'!#REF!)</f>
        <v>#REF!</v>
      </c>
      <c r="M404" s="2" t="e">
        <f t="shared" si="12"/>
        <v>#REF!</v>
      </c>
      <c r="N404" s="2" t="e">
        <f>IF(ISBLANK('Master Submitted DPDs'!#REF!),IF(ISBLANK('Master Submitted DPDs'!#REF!),"",'Master Submitted DPDs'!#REF!),'Master Submitted DPDs'!#REF!)</f>
        <v>#REF!</v>
      </c>
      <c r="O404" s="2" t="e">
        <f>IF(ISBLANK('Master Submitted DPDs'!#REF!),"",'Master Submitted DPDs'!#REF!)</f>
        <v>#REF!</v>
      </c>
      <c r="P404" s="2" t="e">
        <f>IF(ISBLANK('Master Submitted DPDs'!#REF!),"",'Master Submitted DPDs'!#REF!)</f>
        <v>#REF!</v>
      </c>
      <c r="Q404" t="e">
        <f>IF(ISBLANK('Master Submitted DPDs'!#REF!),"",'Master Submitted DPDs'!#REF!)</f>
        <v>#REF!</v>
      </c>
      <c r="R404" t="e">
        <f t="shared" si="13"/>
        <v>#REF!</v>
      </c>
      <c r="S404" s="3"/>
      <c r="T404" t="e">
        <f>IF(ISBLANK('Master Submitted DPDs'!#REF!),"",'Master Submitted DPDs'!#REF!)</f>
        <v>#REF!</v>
      </c>
    </row>
    <row r="405" spans="1:20" ht="15" x14ac:dyDescent="0.2">
      <c r="A405" s="3" t="str">
        <f>IF(ISBLANK('Master Submitted DPDs'!#REF!),"","Local Plans")</f>
        <v>Local Plans</v>
      </c>
      <c r="B405" t="e">
        <f>IF(ISBLANK('Master Submitted DPDs'!#REF!),"",'Master Submitted DPDs'!#REF!)</f>
        <v>#REF!</v>
      </c>
      <c r="C405" s="3" t="str">
        <f>IF(ISBLANK('Master Submitted DPDs'!#REF!),"","IH")</f>
        <v>IH</v>
      </c>
      <c r="D405" s="3" t="e">
        <f>LOOKUP($F405,'fuzzy LPA lookup'!$E:$E,'fuzzy LPA lookup'!$A:$A)</f>
        <v>#REF!</v>
      </c>
      <c r="E405" s="3" t="e">
        <f>LOOKUP($F405,'fuzzy LPA lookup'!$E:$E,'fuzzy LPA lookup'!$D:$D)</f>
        <v>#REF!</v>
      </c>
      <c r="F405" s="8" t="e">
        <f>IF(ISBLANK('Master Submitted DPDs'!#REF!),"",'Master Submitted DPDs'!#REF!)</f>
        <v>#REF!</v>
      </c>
      <c r="G405" t="str">
        <f>IF(ISBLANK('Master Submitted DPDs'!#REF!),"","Withdrawn")</f>
        <v>Withdrawn</v>
      </c>
      <c r="H405" s="2" t="e">
        <f>IF(ISBLANK('Master Submitted DPDs'!#REF!),"",'Master Submitted DPDs'!#REF!)</f>
        <v>#REF!</v>
      </c>
      <c r="I405" s="3"/>
      <c r="J405" s="3"/>
      <c r="K405" s="3"/>
      <c r="L405" s="2" t="e">
        <f>IF(ISBLANK('Master Submitted DPDs'!#REF!),"",'Master Submitted DPDs'!#REF!)</f>
        <v>#REF!</v>
      </c>
      <c r="M405" s="2" t="e">
        <f t="shared" si="12"/>
        <v>#REF!</v>
      </c>
      <c r="N405" s="2" t="e">
        <f>IF(ISBLANK('Master Submitted DPDs'!#REF!),IF(ISBLANK('Master Submitted DPDs'!#REF!),"",'Master Submitted DPDs'!#REF!),'Master Submitted DPDs'!#REF!)</f>
        <v>#REF!</v>
      </c>
      <c r="O405" s="2" t="e">
        <f>IF(ISBLANK('Master Submitted DPDs'!#REF!),"",'Master Submitted DPDs'!#REF!)</f>
        <v>#REF!</v>
      </c>
      <c r="P405" s="2" t="e">
        <f>IF(ISBLANK('Master Submitted DPDs'!#REF!),"",'Master Submitted DPDs'!#REF!)</f>
        <v>#REF!</v>
      </c>
      <c r="Q405" t="e">
        <f>IF(ISBLANK('Master Submitted DPDs'!#REF!),"",'Master Submitted DPDs'!#REF!)</f>
        <v>#REF!</v>
      </c>
      <c r="R405" t="e">
        <f t="shared" si="13"/>
        <v>#REF!</v>
      </c>
      <c r="S405" s="3"/>
      <c r="T405" t="e">
        <f>IF(ISBLANK('Master Submitted DPDs'!#REF!),"",'Master Submitted DPDs'!#REF!)</f>
        <v>#REF!</v>
      </c>
    </row>
    <row r="406" spans="1:20" ht="15" x14ac:dyDescent="0.2">
      <c r="A406" s="3" t="str">
        <f>IF(ISBLANK('Master Submitted DPDs'!#REF!),"","Local Plans")</f>
        <v>Local Plans</v>
      </c>
      <c r="B406" t="e">
        <f>IF(ISBLANK('Master Submitted DPDs'!#REF!),"",'Master Submitted DPDs'!#REF!)</f>
        <v>#REF!</v>
      </c>
      <c r="C406" s="3" t="str">
        <f>IF(ISBLANK('Master Submitted DPDs'!#REF!),"","IH")</f>
        <v>IH</v>
      </c>
      <c r="D406" s="3" t="e">
        <f>LOOKUP($F406,'fuzzy LPA lookup'!$E:$E,'fuzzy LPA lookup'!$A:$A)</f>
        <v>#REF!</v>
      </c>
      <c r="E406" s="3" t="e">
        <f>LOOKUP($F406,'fuzzy LPA lookup'!$E:$E,'fuzzy LPA lookup'!$D:$D)</f>
        <v>#REF!</v>
      </c>
      <c r="F406" s="8" t="e">
        <f>IF(ISBLANK('Master Submitted DPDs'!#REF!),"",'Master Submitted DPDs'!#REF!)</f>
        <v>#REF!</v>
      </c>
      <c r="G406" t="str">
        <f>IF(ISBLANK('Master Submitted DPDs'!#REF!),"","Withdrawn")</f>
        <v>Withdrawn</v>
      </c>
      <c r="H406" s="2" t="e">
        <f>IF(ISBLANK('Master Submitted DPDs'!#REF!),"",'Master Submitted DPDs'!#REF!)</f>
        <v>#REF!</v>
      </c>
      <c r="I406" s="3"/>
      <c r="J406" s="3"/>
      <c r="K406" s="3"/>
      <c r="L406" s="2" t="e">
        <f>IF(ISBLANK('Master Submitted DPDs'!#REF!),"",'Master Submitted DPDs'!#REF!)</f>
        <v>#REF!</v>
      </c>
      <c r="M406" s="2" t="e">
        <f t="shared" si="12"/>
        <v>#REF!</v>
      </c>
      <c r="N406" s="2" t="e">
        <f>IF(ISBLANK('Master Submitted DPDs'!#REF!),IF(ISBLANK('Master Submitted DPDs'!#REF!),"",'Master Submitted DPDs'!#REF!),'Master Submitted DPDs'!#REF!)</f>
        <v>#REF!</v>
      </c>
      <c r="O406" s="2" t="e">
        <f>IF(ISBLANK('Master Submitted DPDs'!#REF!),"",'Master Submitted DPDs'!#REF!)</f>
        <v>#REF!</v>
      </c>
      <c r="P406" s="2" t="e">
        <f>IF(ISBLANK('Master Submitted DPDs'!#REF!),"",'Master Submitted DPDs'!#REF!)</f>
        <v>#REF!</v>
      </c>
      <c r="Q406" t="e">
        <f>IF(ISBLANK('Master Submitted DPDs'!#REF!),"",'Master Submitted DPDs'!#REF!)</f>
        <v>#REF!</v>
      </c>
      <c r="R406" t="e">
        <f t="shared" si="13"/>
        <v>#REF!</v>
      </c>
      <c r="S406" s="3"/>
      <c r="T406" t="e">
        <f>IF(ISBLANK('Master Submitted DPDs'!#REF!),"",'Master Submitted DPDs'!#REF!)</f>
        <v>#REF!</v>
      </c>
    </row>
    <row r="407" spans="1:20" ht="15" x14ac:dyDescent="0.2">
      <c r="A407" s="3" t="str">
        <f>IF(ISBLANK('Master Submitted DPDs'!#REF!),"","Local Plans")</f>
        <v>Local Plans</v>
      </c>
      <c r="B407" t="e">
        <f>IF(ISBLANK('Master Submitted DPDs'!#REF!),"",'Master Submitted DPDs'!#REF!)</f>
        <v>#REF!</v>
      </c>
      <c r="C407" s="3" t="str">
        <f>IF(ISBLANK('Master Submitted DPDs'!#REF!),"","IH")</f>
        <v>IH</v>
      </c>
      <c r="D407" s="3" t="e">
        <f>LOOKUP($F407,'fuzzy LPA lookup'!$E:$E,'fuzzy LPA lookup'!$A:$A)</f>
        <v>#REF!</v>
      </c>
      <c r="E407" s="3" t="e">
        <f>LOOKUP($F407,'fuzzy LPA lookup'!$E:$E,'fuzzy LPA lookup'!$D:$D)</f>
        <v>#REF!</v>
      </c>
      <c r="F407" s="8" t="e">
        <f>IF(ISBLANK('Master Submitted DPDs'!#REF!),"",'Master Submitted DPDs'!#REF!)</f>
        <v>#REF!</v>
      </c>
      <c r="G407" t="str">
        <f>IF(ISBLANK('Master Submitted DPDs'!#REF!),"","Withdrawn")</f>
        <v>Withdrawn</v>
      </c>
      <c r="H407" s="2" t="e">
        <f>IF(ISBLANK('Master Submitted DPDs'!#REF!),"",'Master Submitted DPDs'!#REF!)</f>
        <v>#REF!</v>
      </c>
      <c r="I407" s="3"/>
      <c r="J407" s="3"/>
      <c r="K407" s="3"/>
      <c r="L407" s="2" t="e">
        <f>IF(ISBLANK('Master Submitted DPDs'!#REF!),"",'Master Submitted DPDs'!#REF!)</f>
        <v>#REF!</v>
      </c>
      <c r="M407" s="2" t="e">
        <f t="shared" si="12"/>
        <v>#REF!</v>
      </c>
      <c r="N407" s="2" t="e">
        <f>IF(ISBLANK('Master Submitted DPDs'!#REF!),IF(ISBLANK('Master Submitted DPDs'!#REF!),"",'Master Submitted DPDs'!#REF!),'Master Submitted DPDs'!#REF!)</f>
        <v>#REF!</v>
      </c>
      <c r="O407" s="2" t="e">
        <f>IF(ISBLANK('Master Submitted DPDs'!#REF!),"",'Master Submitted DPDs'!#REF!)</f>
        <v>#REF!</v>
      </c>
      <c r="P407" s="2" t="e">
        <f>IF(ISBLANK('Master Submitted DPDs'!#REF!),"",'Master Submitted DPDs'!#REF!)</f>
        <v>#REF!</v>
      </c>
      <c r="Q407" t="e">
        <f>IF(ISBLANK('Master Submitted DPDs'!#REF!),"",'Master Submitted DPDs'!#REF!)</f>
        <v>#REF!</v>
      </c>
      <c r="R407" t="e">
        <f t="shared" si="13"/>
        <v>#REF!</v>
      </c>
      <c r="S407" s="3"/>
      <c r="T407" t="e">
        <f>IF(ISBLANK('Master Submitted DPDs'!#REF!),"",'Master Submitted DPDs'!#REF!)</f>
        <v>#REF!</v>
      </c>
    </row>
    <row r="408" spans="1:20" ht="15" x14ac:dyDescent="0.2">
      <c r="A408" s="3" t="str">
        <f>IF(ISBLANK('Master Submitted DPDs'!#REF!),"","Local Plans")</f>
        <v>Local Plans</v>
      </c>
      <c r="B408" t="e">
        <f>IF(ISBLANK('Master Submitted DPDs'!#REF!),"",'Master Submitted DPDs'!#REF!)</f>
        <v>#REF!</v>
      </c>
      <c r="C408" s="3" t="str">
        <f>IF(ISBLANK('Master Submitted DPDs'!#REF!),"","IH")</f>
        <v>IH</v>
      </c>
      <c r="D408" s="3" t="e">
        <f>LOOKUP($F408,'fuzzy LPA lookup'!$E:$E,'fuzzy LPA lookup'!$A:$A)</f>
        <v>#REF!</v>
      </c>
      <c r="E408" s="3" t="e">
        <f>LOOKUP($F408,'fuzzy LPA lookup'!$E:$E,'fuzzy LPA lookup'!$D:$D)</f>
        <v>#REF!</v>
      </c>
      <c r="F408" s="8" t="e">
        <f>IF(ISBLANK('Master Submitted DPDs'!#REF!),"",'Master Submitted DPDs'!#REF!)</f>
        <v>#REF!</v>
      </c>
      <c r="G408" t="str">
        <f>IF(ISBLANK('Master Submitted DPDs'!#REF!),"","Withdrawn")</f>
        <v>Withdrawn</v>
      </c>
      <c r="H408" s="2" t="e">
        <f>IF(ISBLANK('Master Submitted DPDs'!#REF!),"",'Master Submitted DPDs'!#REF!)</f>
        <v>#REF!</v>
      </c>
      <c r="I408" s="3"/>
      <c r="J408" s="3"/>
      <c r="K408" s="3"/>
      <c r="L408" s="2" t="e">
        <f>IF(ISBLANK('Master Submitted DPDs'!#REF!),"",'Master Submitted DPDs'!#REF!)</f>
        <v>#REF!</v>
      </c>
      <c r="M408" s="2" t="e">
        <f t="shared" si="12"/>
        <v>#REF!</v>
      </c>
      <c r="N408" s="2" t="e">
        <f>IF(ISBLANK('Master Submitted DPDs'!#REF!),IF(ISBLANK('Master Submitted DPDs'!#REF!),"",'Master Submitted DPDs'!#REF!),'Master Submitted DPDs'!#REF!)</f>
        <v>#REF!</v>
      </c>
      <c r="O408" s="2" t="e">
        <f>IF(ISBLANK('Master Submitted DPDs'!#REF!),"",'Master Submitted DPDs'!#REF!)</f>
        <v>#REF!</v>
      </c>
      <c r="P408" s="2" t="e">
        <f>IF(ISBLANK('Master Submitted DPDs'!#REF!),"",'Master Submitted DPDs'!#REF!)</f>
        <v>#REF!</v>
      </c>
      <c r="Q408" t="e">
        <f>IF(ISBLANK('Master Submitted DPDs'!#REF!),"",'Master Submitted DPDs'!#REF!)</f>
        <v>#REF!</v>
      </c>
      <c r="R408" t="e">
        <f t="shared" si="13"/>
        <v>#REF!</v>
      </c>
      <c r="S408" s="3"/>
      <c r="T408" t="e">
        <f>IF(ISBLANK('Master Submitted DPDs'!#REF!),"",'Master Submitted DPDs'!#REF!)</f>
        <v>#REF!</v>
      </c>
    </row>
    <row r="409" spans="1:20" ht="15" x14ac:dyDescent="0.2">
      <c r="A409" s="3" t="str">
        <f>IF(ISBLANK('Master Submitted DPDs'!#REF!),"","Local Plans")</f>
        <v>Local Plans</v>
      </c>
      <c r="B409" t="e">
        <f>IF(ISBLANK('Master Submitted DPDs'!#REF!),"",'Master Submitted DPDs'!#REF!)</f>
        <v>#REF!</v>
      </c>
      <c r="C409" s="3" t="str">
        <f>IF(ISBLANK('Master Submitted DPDs'!#REF!),"","IH")</f>
        <v>IH</v>
      </c>
      <c r="D409" s="3" t="e">
        <f>LOOKUP($F409,'fuzzy LPA lookup'!$E:$E,'fuzzy LPA lookup'!$A:$A)</f>
        <v>#REF!</v>
      </c>
      <c r="E409" s="3" t="e">
        <f>LOOKUP($F409,'fuzzy LPA lookup'!$E:$E,'fuzzy LPA lookup'!$D:$D)</f>
        <v>#REF!</v>
      </c>
      <c r="F409" s="8" t="e">
        <f>IF(ISBLANK('Master Submitted DPDs'!#REF!),"",'Master Submitted DPDs'!#REF!)</f>
        <v>#REF!</v>
      </c>
      <c r="G409" t="str">
        <f>IF(ISBLANK('Master Submitted DPDs'!#REF!),"","Withdrawn")</f>
        <v>Withdrawn</v>
      </c>
      <c r="H409" s="2" t="e">
        <f>IF(ISBLANK('Master Submitted DPDs'!#REF!),"",'Master Submitted DPDs'!#REF!)</f>
        <v>#REF!</v>
      </c>
      <c r="I409" s="3"/>
      <c r="J409" s="3"/>
      <c r="K409" s="3"/>
      <c r="L409" s="2" t="e">
        <f>IF(ISBLANK('Master Submitted DPDs'!#REF!),"",'Master Submitted DPDs'!#REF!)</f>
        <v>#REF!</v>
      </c>
      <c r="M409" s="2" t="e">
        <f t="shared" si="12"/>
        <v>#REF!</v>
      </c>
      <c r="N409" s="2" t="e">
        <f>IF(ISBLANK('Master Submitted DPDs'!#REF!),IF(ISBLANK('Master Submitted DPDs'!#REF!),"",'Master Submitted DPDs'!#REF!),'Master Submitted DPDs'!#REF!)</f>
        <v>#REF!</v>
      </c>
      <c r="O409" s="2" t="e">
        <f>IF(ISBLANK('Master Submitted DPDs'!#REF!),"",'Master Submitted DPDs'!#REF!)</f>
        <v>#REF!</v>
      </c>
      <c r="P409" s="2" t="e">
        <f>IF(ISBLANK('Master Submitted DPDs'!#REF!),"",'Master Submitted DPDs'!#REF!)</f>
        <v>#REF!</v>
      </c>
      <c r="Q409" t="e">
        <f>IF(ISBLANK('Master Submitted DPDs'!#REF!),"",'Master Submitted DPDs'!#REF!)</f>
        <v>#REF!</v>
      </c>
      <c r="R409" t="e">
        <f t="shared" si="13"/>
        <v>#REF!</v>
      </c>
      <c r="S409" s="3"/>
      <c r="T409" t="e">
        <f>IF(ISBLANK('Master Submitted DPDs'!#REF!),"",'Master Submitted DPDs'!#REF!)</f>
        <v>#REF!</v>
      </c>
    </row>
    <row r="410" spans="1:20" ht="15" x14ac:dyDescent="0.2">
      <c r="A410" s="3" t="str">
        <f>IF(ISBLANK('Master Submitted DPDs'!#REF!),"","Local Plans")</f>
        <v>Local Plans</v>
      </c>
      <c r="B410" t="e">
        <f>IF(ISBLANK('Master Submitted DPDs'!#REF!),"",'Master Submitted DPDs'!#REF!)</f>
        <v>#REF!</v>
      </c>
      <c r="C410" s="3" t="str">
        <f>IF(ISBLANK('Master Submitted DPDs'!#REF!),"","IH")</f>
        <v>IH</v>
      </c>
      <c r="D410" s="3" t="e">
        <f>LOOKUP($F410,'fuzzy LPA lookup'!$E:$E,'fuzzy LPA lookup'!$A:$A)</f>
        <v>#REF!</v>
      </c>
      <c r="E410" s="3" t="e">
        <f>LOOKUP($F410,'fuzzy LPA lookup'!$E:$E,'fuzzy LPA lookup'!$D:$D)</f>
        <v>#REF!</v>
      </c>
      <c r="F410" s="8" t="e">
        <f>IF(ISBLANK('Master Submitted DPDs'!#REF!),"",'Master Submitted DPDs'!#REF!)</f>
        <v>#REF!</v>
      </c>
      <c r="G410" t="str">
        <f>IF(ISBLANK('Master Submitted DPDs'!#REF!),"","Withdrawn")</f>
        <v>Withdrawn</v>
      </c>
      <c r="H410" s="2" t="e">
        <f>IF(ISBLANK('Master Submitted DPDs'!#REF!),"",'Master Submitted DPDs'!#REF!)</f>
        <v>#REF!</v>
      </c>
      <c r="I410" s="3"/>
      <c r="J410" s="3"/>
      <c r="K410" s="3"/>
      <c r="L410" s="2" t="e">
        <f>IF(ISBLANK('Master Submitted DPDs'!#REF!),"",'Master Submitted DPDs'!#REF!)</f>
        <v>#REF!</v>
      </c>
      <c r="M410" s="2" t="e">
        <f t="shared" si="12"/>
        <v>#REF!</v>
      </c>
      <c r="N410" s="2" t="e">
        <f>IF(ISBLANK('Master Submitted DPDs'!#REF!),IF(ISBLANK('Master Submitted DPDs'!#REF!),"",'Master Submitted DPDs'!#REF!),'Master Submitted DPDs'!#REF!)</f>
        <v>#REF!</v>
      </c>
      <c r="O410" s="2" t="e">
        <f>IF(ISBLANK('Master Submitted DPDs'!#REF!),"",'Master Submitted DPDs'!#REF!)</f>
        <v>#REF!</v>
      </c>
      <c r="P410" s="2" t="e">
        <f>IF(ISBLANK('Master Submitted DPDs'!#REF!),"",'Master Submitted DPDs'!#REF!)</f>
        <v>#REF!</v>
      </c>
      <c r="Q410" t="e">
        <f>IF(ISBLANK('Master Submitted DPDs'!#REF!),"",'Master Submitted DPDs'!#REF!)</f>
        <v>#REF!</v>
      </c>
      <c r="R410" t="e">
        <f t="shared" si="13"/>
        <v>#REF!</v>
      </c>
      <c r="S410" s="3"/>
      <c r="T410" t="e">
        <f>IF(ISBLANK('Master Submitted DPDs'!#REF!),"",'Master Submitted DPDs'!#REF!)</f>
        <v>#REF!</v>
      </c>
    </row>
    <row r="411" spans="1:20" ht="15" x14ac:dyDescent="0.2">
      <c r="A411" s="3" t="str">
        <f>IF(ISBLANK('Master Submitted DPDs'!#REF!),"","Local Plans")</f>
        <v>Local Plans</v>
      </c>
      <c r="B411" t="e">
        <f>IF(ISBLANK('Master Submitted DPDs'!#REF!),"",'Master Submitted DPDs'!#REF!)</f>
        <v>#REF!</v>
      </c>
      <c r="C411" s="3" t="str">
        <f>IF(ISBLANK('Master Submitted DPDs'!#REF!),"","IH")</f>
        <v>IH</v>
      </c>
      <c r="D411" s="3" t="e">
        <f>LOOKUP($F411,'fuzzy LPA lookup'!$E:$E,'fuzzy LPA lookup'!$A:$A)</f>
        <v>#REF!</v>
      </c>
      <c r="E411" s="3" t="e">
        <f>LOOKUP($F411,'fuzzy LPA lookup'!$E:$E,'fuzzy LPA lookup'!$D:$D)</f>
        <v>#REF!</v>
      </c>
      <c r="F411" s="8" t="e">
        <f>IF(ISBLANK('Master Submitted DPDs'!#REF!),"",'Master Submitted DPDs'!#REF!)</f>
        <v>#REF!</v>
      </c>
      <c r="G411" t="str">
        <f>IF(ISBLANK('Master Submitted DPDs'!#REF!),"","Withdrawn")</f>
        <v>Withdrawn</v>
      </c>
      <c r="H411" s="2" t="e">
        <f>IF(ISBLANK('Master Submitted DPDs'!#REF!),"",'Master Submitted DPDs'!#REF!)</f>
        <v>#REF!</v>
      </c>
      <c r="I411" s="3"/>
      <c r="J411" s="3"/>
      <c r="K411" s="3"/>
      <c r="L411" s="2" t="e">
        <f>IF(ISBLANK('Master Submitted DPDs'!#REF!),"",'Master Submitted DPDs'!#REF!)</f>
        <v>#REF!</v>
      </c>
      <c r="M411" s="2" t="e">
        <f t="shared" si="12"/>
        <v>#REF!</v>
      </c>
      <c r="N411" s="2" t="e">
        <f>IF(ISBLANK('Master Submitted DPDs'!#REF!),IF(ISBLANK('Master Submitted DPDs'!#REF!),"",'Master Submitted DPDs'!#REF!),'Master Submitted DPDs'!#REF!)</f>
        <v>#REF!</v>
      </c>
      <c r="O411" s="2" t="e">
        <f>IF(ISBLANK('Master Submitted DPDs'!#REF!),"",'Master Submitted DPDs'!#REF!)</f>
        <v>#REF!</v>
      </c>
      <c r="P411" s="2" t="e">
        <f>IF(ISBLANK('Master Submitted DPDs'!#REF!),"",'Master Submitted DPDs'!#REF!)</f>
        <v>#REF!</v>
      </c>
      <c r="Q411" t="e">
        <f>IF(ISBLANK('Master Submitted DPDs'!#REF!),"",'Master Submitted DPDs'!#REF!)</f>
        <v>#REF!</v>
      </c>
      <c r="R411" t="e">
        <f t="shared" si="13"/>
        <v>#REF!</v>
      </c>
      <c r="S411" s="3"/>
      <c r="T411" t="e">
        <f>IF(ISBLANK('Master Submitted DPDs'!#REF!),"",'Master Submitted DPDs'!#REF!)</f>
        <v>#REF!</v>
      </c>
    </row>
    <row r="412" spans="1:20" ht="15" x14ac:dyDescent="0.2">
      <c r="A412" s="3" t="str">
        <f>IF(ISBLANK('Master Submitted DPDs'!#REF!),"","Local Plans")</f>
        <v>Local Plans</v>
      </c>
      <c r="B412" t="e">
        <f>IF(ISBLANK('Master Submitted DPDs'!#REF!),"",'Master Submitted DPDs'!#REF!)</f>
        <v>#REF!</v>
      </c>
      <c r="C412" s="3" t="str">
        <f>IF(ISBLANK('Master Submitted DPDs'!#REF!),"","IH")</f>
        <v>IH</v>
      </c>
      <c r="D412" s="3" t="e">
        <f>LOOKUP($F412,'fuzzy LPA lookup'!$E:$E,'fuzzy LPA lookup'!$A:$A)</f>
        <v>#REF!</v>
      </c>
      <c r="E412" s="3" t="e">
        <f>LOOKUP($F412,'fuzzy LPA lookup'!$E:$E,'fuzzy LPA lookup'!$D:$D)</f>
        <v>#REF!</v>
      </c>
      <c r="F412" s="8" t="e">
        <f>IF(ISBLANK('Master Submitted DPDs'!#REF!),"",'Master Submitted DPDs'!#REF!)</f>
        <v>#REF!</v>
      </c>
      <c r="G412" t="str">
        <f>IF(ISBLANK('Master Submitted DPDs'!#REF!),"","Withdrawn")</f>
        <v>Withdrawn</v>
      </c>
      <c r="H412" s="2" t="e">
        <f>IF(ISBLANK('Master Submitted DPDs'!#REF!),"",'Master Submitted DPDs'!#REF!)</f>
        <v>#REF!</v>
      </c>
      <c r="I412" s="3"/>
      <c r="J412" s="3"/>
      <c r="K412" s="3"/>
      <c r="L412" s="2" t="e">
        <f>IF(ISBLANK('Master Submitted DPDs'!#REF!),"",'Master Submitted DPDs'!#REF!)</f>
        <v>#REF!</v>
      </c>
      <c r="M412" s="2" t="e">
        <f t="shared" si="12"/>
        <v>#REF!</v>
      </c>
      <c r="N412" s="2" t="e">
        <f>IF(ISBLANK('Master Submitted DPDs'!#REF!),IF(ISBLANK('Master Submitted DPDs'!#REF!),"",'Master Submitted DPDs'!#REF!),'Master Submitted DPDs'!#REF!)</f>
        <v>#REF!</v>
      </c>
      <c r="O412" s="2" t="e">
        <f>IF(ISBLANK('Master Submitted DPDs'!#REF!),"",'Master Submitted DPDs'!#REF!)</f>
        <v>#REF!</v>
      </c>
      <c r="P412" s="2" t="e">
        <f>IF(ISBLANK('Master Submitted DPDs'!#REF!),"",'Master Submitted DPDs'!#REF!)</f>
        <v>#REF!</v>
      </c>
      <c r="Q412" t="e">
        <f>IF(ISBLANK('Master Submitted DPDs'!#REF!),"",'Master Submitted DPDs'!#REF!)</f>
        <v>#REF!</v>
      </c>
      <c r="R412" t="e">
        <f t="shared" si="13"/>
        <v>#REF!</v>
      </c>
      <c r="S412" s="3"/>
      <c r="T412" t="e">
        <f>IF(ISBLANK('Master Submitted DPDs'!#REF!),"",'Master Submitted DPDs'!#REF!)</f>
        <v>#REF!</v>
      </c>
    </row>
    <row r="413" spans="1:20" ht="15" x14ac:dyDescent="0.2">
      <c r="A413" s="3" t="str">
        <f>IF(ISBLANK('Master Submitted DPDs'!#REF!),"","Local Plans")</f>
        <v>Local Plans</v>
      </c>
      <c r="B413" t="e">
        <f>IF(ISBLANK('Master Submitted DPDs'!#REF!),"",'Master Submitted DPDs'!#REF!)</f>
        <v>#REF!</v>
      </c>
      <c r="C413" s="3" t="str">
        <f>IF(ISBLANK('Master Submitted DPDs'!#REF!),"","IH")</f>
        <v>IH</v>
      </c>
      <c r="D413" s="3" t="e">
        <f>LOOKUP($F413,'fuzzy LPA lookup'!$E:$E,'fuzzy LPA lookup'!$A:$A)</f>
        <v>#REF!</v>
      </c>
      <c r="E413" s="3" t="e">
        <f>LOOKUP($F413,'fuzzy LPA lookup'!$E:$E,'fuzzy LPA lookup'!$D:$D)</f>
        <v>#REF!</v>
      </c>
      <c r="F413" s="8" t="e">
        <f>IF(ISBLANK('Master Submitted DPDs'!#REF!),"",'Master Submitted DPDs'!#REF!)</f>
        <v>#REF!</v>
      </c>
      <c r="G413" t="str">
        <f>IF(ISBLANK('Master Submitted DPDs'!#REF!),"","Withdrawn")</f>
        <v>Withdrawn</v>
      </c>
      <c r="H413" s="2" t="e">
        <f>IF(ISBLANK('Master Submitted DPDs'!#REF!),"",'Master Submitted DPDs'!#REF!)</f>
        <v>#REF!</v>
      </c>
      <c r="I413" s="3"/>
      <c r="J413" s="3"/>
      <c r="K413" s="3"/>
      <c r="L413" s="2" t="e">
        <f>IF(ISBLANK('Master Submitted DPDs'!#REF!),"",'Master Submitted DPDs'!#REF!)</f>
        <v>#REF!</v>
      </c>
      <c r="M413" s="2" t="e">
        <f t="shared" si="12"/>
        <v>#REF!</v>
      </c>
      <c r="N413" s="2" t="e">
        <f>IF(ISBLANK('Master Submitted DPDs'!#REF!),IF(ISBLANK('Master Submitted DPDs'!#REF!),"",'Master Submitted DPDs'!#REF!),'Master Submitted DPDs'!#REF!)</f>
        <v>#REF!</v>
      </c>
      <c r="O413" s="2" t="e">
        <f>IF(ISBLANK('Master Submitted DPDs'!#REF!),"",'Master Submitted DPDs'!#REF!)</f>
        <v>#REF!</v>
      </c>
      <c r="P413" s="2" t="e">
        <f>IF(ISBLANK('Master Submitted DPDs'!#REF!),"",'Master Submitted DPDs'!#REF!)</f>
        <v>#REF!</v>
      </c>
      <c r="Q413" t="e">
        <f>IF(ISBLANK('Master Submitted DPDs'!#REF!),"",'Master Submitted DPDs'!#REF!)</f>
        <v>#REF!</v>
      </c>
      <c r="R413" t="e">
        <f t="shared" si="13"/>
        <v>#REF!</v>
      </c>
      <c r="S413" s="3"/>
      <c r="T413" t="e">
        <f>IF(ISBLANK('Master Submitted DPDs'!#REF!),"",'Master Submitted DPDs'!#REF!)</f>
        <v>#REF!</v>
      </c>
    </row>
    <row r="414" spans="1:20" ht="15" x14ac:dyDescent="0.2">
      <c r="A414" s="3" t="str">
        <f>IF(ISBLANK('Master Submitted DPDs'!#REF!),"","Local Plans")</f>
        <v>Local Plans</v>
      </c>
      <c r="B414" t="e">
        <f>IF(ISBLANK('Master Submitted DPDs'!#REF!),"",'Master Submitted DPDs'!#REF!)</f>
        <v>#REF!</v>
      </c>
      <c r="C414" s="3" t="str">
        <f>IF(ISBLANK('Master Submitted DPDs'!#REF!),"","IH")</f>
        <v>IH</v>
      </c>
      <c r="D414" s="3" t="e">
        <f>LOOKUP($F414,'fuzzy LPA lookup'!$E:$E,'fuzzy LPA lookup'!$A:$A)</f>
        <v>#REF!</v>
      </c>
      <c r="E414" s="3" t="e">
        <f>LOOKUP($F414,'fuzzy LPA lookup'!$E:$E,'fuzzy LPA lookup'!$D:$D)</f>
        <v>#REF!</v>
      </c>
      <c r="F414" s="8" t="e">
        <f>IF(ISBLANK('Master Submitted DPDs'!#REF!),"",'Master Submitted DPDs'!#REF!)</f>
        <v>#REF!</v>
      </c>
      <c r="G414" t="str">
        <f>IF(ISBLANK('Master Submitted DPDs'!#REF!),"","Withdrawn")</f>
        <v>Withdrawn</v>
      </c>
      <c r="H414" s="2" t="e">
        <f>IF(ISBLANK('Master Submitted DPDs'!#REF!),"",'Master Submitted DPDs'!#REF!)</f>
        <v>#REF!</v>
      </c>
      <c r="I414" s="3"/>
      <c r="J414" s="3"/>
      <c r="K414" s="3"/>
      <c r="L414" s="2" t="e">
        <f>IF(ISBLANK('Master Submitted DPDs'!#REF!),"",'Master Submitted DPDs'!#REF!)</f>
        <v>#REF!</v>
      </c>
      <c r="M414" s="2" t="e">
        <f t="shared" si="12"/>
        <v>#REF!</v>
      </c>
      <c r="N414" s="2" t="e">
        <f>IF(ISBLANK('Master Submitted DPDs'!#REF!),IF(ISBLANK('Master Submitted DPDs'!#REF!),"",'Master Submitted DPDs'!#REF!),'Master Submitted DPDs'!#REF!)</f>
        <v>#REF!</v>
      </c>
      <c r="O414" s="2" t="e">
        <f>IF(ISBLANK('Master Submitted DPDs'!#REF!),"",'Master Submitted DPDs'!#REF!)</f>
        <v>#REF!</v>
      </c>
      <c r="P414" s="2" t="e">
        <f>IF(ISBLANK('Master Submitted DPDs'!#REF!),"",'Master Submitted DPDs'!#REF!)</f>
        <v>#REF!</v>
      </c>
      <c r="Q414" t="e">
        <f>IF(ISBLANK('Master Submitted DPDs'!#REF!),"",'Master Submitted DPDs'!#REF!)</f>
        <v>#REF!</v>
      </c>
      <c r="R414" t="e">
        <f t="shared" si="13"/>
        <v>#REF!</v>
      </c>
      <c r="S414" s="3"/>
      <c r="T414" t="e">
        <f>IF(ISBLANK('Master Submitted DPDs'!#REF!),"",'Master Submitted DPDs'!#REF!)</f>
        <v>#REF!</v>
      </c>
    </row>
    <row r="415" spans="1:20" ht="15" x14ac:dyDescent="0.2">
      <c r="A415" s="3" t="str">
        <f>IF(ISBLANK('Master Submitted DPDs'!#REF!),"","Local Plans")</f>
        <v>Local Plans</v>
      </c>
      <c r="B415" t="e">
        <f>IF(ISBLANK('Master Submitted DPDs'!#REF!),"",'Master Submitted DPDs'!#REF!)</f>
        <v>#REF!</v>
      </c>
      <c r="C415" s="3" t="str">
        <f>IF(ISBLANK('Master Submitted DPDs'!#REF!),"","IH")</f>
        <v>IH</v>
      </c>
      <c r="D415" s="3" t="e">
        <f>LOOKUP($F415,'fuzzy LPA lookup'!$E:$E,'fuzzy LPA lookup'!$A:$A)</f>
        <v>#REF!</v>
      </c>
      <c r="E415" s="3" t="e">
        <f>LOOKUP($F415,'fuzzy LPA lookup'!$E:$E,'fuzzy LPA lookup'!$D:$D)</f>
        <v>#REF!</v>
      </c>
      <c r="F415" s="8" t="e">
        <f>IF(ISBLANK('Master Submitted DPDs'!#REF!),"",'Master Submitted DPDs'!#REF!)</f>
        <v>#REF!</v>
      </c>
      <c r="G415" t="str">
        <f>IF(ISBLANK('Master Submitted DPDs'!#REF!),"","Withdrawn")</f>
        <v>Withdrawn</v>
      </c>
      <c r="H415" s="2" t="e">
        <f>IF(ISBLANK('Master Submitted DPDs'!#REF!),"",'Master Submitted DPDs'!#REF!)</f>
        <v>#REF!</v>
      </c>
      <c r="I415" s="3"/>
      <c r="J415" s="3"/>
      <c r="K415" s="3"/>
      <c r="L415" s="2" t="e">
        <f>IF(ISBLANK('Master Submitted DPDs'!#REF!),"",'Master Submitted DPDs'!#REF!)</f>
        <v>#REF!</v>
      </c>
      <c r="M415" s="2" t="e">
        <f t="shared" si="12"/>
        <v>#REF!</v>
      </c>
      <c r="N415" s="2" t="e">
        <f>IF(ISBLANK('Master Submitted DPDs'!#REF!),IF(ISBLANK('Master Submitted DPDs'!#REF!),"",'Master Submitted DPDs'!#REF!),'Master Submitted DPDs'!#REF!)</f>
        <v>#REF!</v>
      </c>
      <c r="O415" s="2" t="e">
        <f>IF(ISBLANK('Master Submitted DPDs'!#REF!),"",'Master Submitted DPDs'!#REF!)</f>
        <v>#REF!</v>
      </c>
      <c r="P415" s="2" t="e">
        <f>IF(ISBLANK('Master Submitted DPDs'!#REF!),"",'Master Submitted DPDs'!#REF!)</f>
        <v>#REF!</v>
      </c>
      <c r="Q415" t="e">
        <f>IF(ISBLANK('Master Submitted DPDs'!#REF!),"",'Master Submitted DPDs'!#REF!)</f>
        <v>#REF!</v>
      </c>
      <c r="R415" t="e">
        <f t="shared" si="13"/>
        <v>#REF!</v>
      </c>
      <c r="S415" s="3"/>
      <c r="T415" t="e">
        <f>IF(ISBLANK('Master Submitted DPDs'!#REF!),"",'Master Submitted DPDs'!#REF!)</f>
        <v>#REF!</v>
      </c>
    </row>
    <row r="416" spans="1:20" ht="15" x14ac:dyDescent="0.2">
      <c r="A416" s="3" t="str">
        <f>IF(ISBLANK('Master Submitted DPDs'!#REF!),"","Local Plans")</f>
        <v>Local Plans</v>
      </c>
      <c r="B416" t="e">
        <f>IF(ISBLANK('Master Submitted DPDs'!#REF!),"",'Master Submitted DPDs'!#REF!)</f>
        <v>#REF!</v>
      </c>
      <c r="C416" s="3" t="str">
        <f>IF(ISBLANK('Master Submitted DPDs'!#REF!),"","IH")</f>
        <v>IH</v>
      </c>
      <c r="D416" s="3" t="e">
        <f>LOOKUP($F416,'fuzzy LPA lookup'!$E:$E,'fuzzy LPA lookup'!$A:$A)</f>
        <v>#REF!</v>
      </c>
      <c r="E416" s="3" t="e">
        <f>LOOKUP($F416,'fuzzy LPA lookup'!$E:$E,'fuzzy LPA lookup'!$D:$D)</f>
        <v>#REF!</v>
      </c>
      <c r="F416" s="8" t="e">
        <f>IF(ISBLANK('Master Submitted DPDs'!#REF!),"",'Master Submitted DPDs'!#REF!)</f>
        <v>#REF!</v>
      </c>
      <c r="G416" t="str">
        <f>IF(ISBLANK('Master Submitted DPDs'!#REF!),"","Withdrawn")</f>
        <v>Withdrawn</v>
      </c>
      <c r="H416" s="2" t="e">
        <f>IF(ISBLANK('Master Submitted DPDs'!#REF!),"",'Master Submitted DPDs'!#REF!)</f>
        <v>#REF!</v>
      </c>
      <c r="I416" s="3"/>
      <c r="J416" s="3"/>
      <c r="K416" s="3"/>
      <c r="L416" s="2" t="e">
        <f>IF(ISBLANK('Master Submitted DPDs'!#REF!),"",'Master Submitted DPDs'!#REF!)</f>
        <v>#REF!</v>
      </c>
      <c r="M416" s="2" t="e">
        <f t="shared" si="12"/>
        <v>#REF!</v>
      </c>
      <c r="N416" s="2" t="e">
        <f>IF(ISBLANK('Master Submitted DPDs'!#REF!),IF(ISBLANK('Master Submitted DPDs'!#REF!),"",'Master Submitted DPDs'!#REF!),'Master Submitted DPDs'!#REF!)</f>
        <v>#REF!</v>
      </c>
      <c r="O416" s="2" t="e">
        <f>IF(ISBLANK('Master Submitted DPDs'!#REF!),"",'Master Submitted DPDs'!#REF!)</f>
        <v>#REF!</v>
      </c>
      <c r="P416" s="2" t="e">
        <f>IF(ISBLANK('Master Submitted DPDs'!#REF!),"",'Master Submitted DPDs'!#REF!)</f>
        <v>#REF!</v>
      </c>
      <c r="Q416" t="e">
        <f>IF(ISBLANK('Master Submitted DPDs'!#REF!),"",'Master Submitted DPDs'!#REF!)</f>
        <v>#REF!</v>
      </c>
      <c r="R416" t="e">
        <f t="shared" si="13"/>
        <v>#REF!</v>
      </c>
      <c r="S416" s="3"/>
      <c r="T416" t="e">
        <f>IF(ISBLANK('Master Submitted DPDs'!#REF!),"",'Master Submitted DPDs'!#REF!)</f>
        <v>#REF!</v>
      </c>
    </row>
    <row r="417" spans="1:20" ht="15" x14ac:dyDescent="0.2">
      <c r="A417" s="3" t="str">
        <f>IF(ISBLANK('Master Submitted DPDs'!#REF!),"","Local Plans")</f>
        <v>Local Plans</v>
      </c>
      <c r="B417" t="e">
        <f>IF(ISBLANK('Master Submitted DPDs'!#REF!),"",'Master Submitted DPDs'!#REF!)</f>
        <v>#REF!</v>
      </c>
      <c r="C417" s="3" t="str">
        <f>IF(ISBLANK('Master Submitted DPDs'!#REF!),"","IH")</f>
        <v>IH</v>
      </c>
      <c r="D417" s="3" t="e">
        <f>LOOKUP($F417,'fuzzy LPA lookup'!$E:$E,'fuzzy LPA lookup'!$A:$A)</f>
        <v>#REF!</v>
      </c>
      <c r="E417" s="3" t="e">
        <f>LOOKUP($F417,'fuzzy LPA lookup'!$E:$E,'fuzzy LPA lookup'!$D:$D)</f>
        <v>#REF!</v>
      </c>
      <c r="F417" s="8" t="e">
        <f>IF(ISBLANK('Master Submitted DPDs'!#REF!),"",'Master Submitted DPDs'!#REF!)</f>
        <v>#REF!</v>
      </c>
      <c r="G417" t="str">
        <f>IF(ISBLANK('Master Submitted DPDs'!#REF!),"","Withdrawn")</f>
        <v>Withdrawn</v>
      </c>
      <c r="H417" s="2" t="e">
        <f>IF(ISBLANK('Master Submitted DPDs'!#REF!),"",'Master Submitted DPDs'!#REF!)</f>
        <v>#REF!</v>
      </c>
      <c r="I417" s="3"/>
      <c r="J417" s="3"/>
      <c r="K417" s="3"/>
      <c r="L417" s="2" t="e">
        <f>IF(ISBLANK('Master Submitted DPDs'!#REF!),"",'Master Submitted DPDs'!#REF!)</f>
        <v>#REF!</v>
      </c>
      <c r="M417" s="2" t="e">
        <f t="shared" si="12"/>
        <v>#REF!</v>
      </c>
      <c r="N417" s="2" t="e">
        <f>IF(ISBLANK('Master Submitted DPDs'!#REF!),IF(ISBLANK('Master Submitted DPDs'!#REF!),"",'Master Submitted DPDs'!#REF!),'Master Submitted DPDs'!#REF!)</f>
        <v>#REF!</v>
      </c>
      <c r="O417" s="2" t="e">
        <f>IF(ISBLANK('Master Submitted DPDs'!#REF!),"",'Master Submitted DPDs'!#REF!)</f>
        <v>#REF!</v>
      </c>
      <c r="P417" s="2" t="e">
        <f>IF(ISBLANK('Master Submitted DPDs'!#REF!),"",'Master Submitted DPDs'!#REF!)</f>
        <v>#REF!</v>
      </c>
      <c r="Q417" t="e">
        <f>IF(ISBLANK('Master Submitted DPDs'!#REF!),"",'Master Submitted DPDs'!#REF!)</f>
        <v>#REF!</v>
      </c>
      <c r="R417" t="e">
        <f t="shared" si="13"/>
        <v>#REF!</v>
      </c>
      <c r="S417" s="3"/>
      <c r="T417" t="e">
        <f>IF(ISBLANK('Master Submitted DPDs'!#REF!),"",'Master Submitted DPDs'!#REF!)</f>
        <v>#REF!</v>
      </c>
    </row>
    <row r="418" spans="1:20" ht="15" x14ac:dyDescent="0.2">
      <c r="A418" s="3" t="str">
        <f>IF(ISBLANK('Master Submitted DPDs'!#REF!),"","Local Plans")</f>
        <v>Local Plans</v>
      </c>
      <c r="B418" t="e">
        <f>IF(ISBLANK('Master Submitted DPDs'!#REF!),"",'Master Submitted DPDs'!#REF!)</f>
        <v>#REF!</v>
      </c>
      <c r="C418" s="3" t="str">
        <f>IF(ISBLANK('Master Submitted DPDs'!#REF!),"","IH")</f>
        <v>IH</v>
      </c>
      <c r="D418" s="3" t="e">
        <f>LOOKUP($F418,'fuzzy LPA lookup'!$E:$E,'fuzzy LPA lookup'!$A:$A)</f>
        <v>#REF!</v>
      </c>
      <c r="E418" s="3" t="e">
        <f>LOOKUP($F418,'fuzzy LPA lookup'!$E:$E,'fuzzy LPA lookup'!$D:$D)</f>
        <v>#REF!</v>
      </c>
      <c r="F418" s="8" t="e">
        <f>IF(ISBLANK('Master Submitted DPDs'!#REF!),"",'Master Submitted DPDs'!#REF!)</f>
        <v>#REF!</v>
      </c>
      <c r="G418" t="str">
        <f>IF(ISBLANK('Master Submitted DPDs'!#REF!),"","Withdrawn")</f>
        <v>Withdrawn</v>
      </c>
      <c r="H418" s="2" t="e">
        <f>IF(ISBLANK('Master Submitted DPDs'!#REF!),"",'Master Submitted DPDs'!#REF!)</f>
        <v>#REF!</v>
      </c>
      <c r="I418" s="3"/>
      <c r="J418" s="3"/>
      <c r="K418" s="3"/>
      <c r="L418" s="2" t="e">
        <f>IF(ISBLANK('Master Submitted DPDs'!#REF!),"",'Master Submitted DPDs'!#REF!)</f>
        <v>#REF!</v>
      </c>
      <c r="M418" s="2" t="e">
        <f t="shared" si="12"/>
        <v>#REF!</v>
      </c>
      <c r="N418" s="2" t="e">
        <f>IF(ISBLANK('Master Submitted DPDs'!#REF!),IF(ISBLANK('Master Submitted DPDs'!#REF!),"",'Master Submitted DPDs'!#REF!),'Master Submitted DPDs'!#REF!)</f>
        <v>#REF!</v>
      </c>
      <c r="O418" s="2" t="e">
        <f>IF(ISBLANK('Master Submitted DPDs'!#REF!),"",'Master Submitted DPDs'!#REF!)</f>
        <v>#REF!</v>
      </c>
      <c r="P418" s="2" t="e">
        <f>IF(ISBLANK('Master Submitted DPDs'!#REF!),"",'Master Submitted DPDs'!#REF!)</f>
        <v>#REF!</v>
      </c>
      <c r="Q418" t="e">
        <f>IF(ISBLANK('Master Submitted DPDs'!#REF!),"",'Master Submitted DPDs'!#REF!)</f>
        <v>#REF!</v>
      </c>
      <c r="R418" t="e">
        <f t="shared" si="13"/>
        <v>#REF!</v>
      </c>
      <c r="S418" s="3"/>
      <c r="T418" t="e">
        <f>IF(ISBLANK('Master Submitted DPDs'!#REF!),"",'Master Submitted DPDs'!#REF!)</f>
        <v>#REF!</v>
      </c>
    </row>
    <row r="419" spans="1:20" ht="15" x14ac:dyDescent="0.2">
      <c r="A419" s="3" t="str">
        <f>IF(ISBLANK('Master Submitted DPDs'!#REF!),"","Local Plans")</f>
        <v>Local Plans</v>
      </c>
      <c r="B419" t="e">
        <f>IF(ISBLANK('Master Submitted DPDs'!#REF!),"",'Master Submitted DPDs'!#REF!)</f>
        <v>#REF!</v>
      </c>
      <c r="C419" s="3" t="str">
        <f>IF(ISBLANK('Master Submitted DPDs'!#REF!),"","IH")</f>
        <v>IH</v>
      </c>
      <c r="D419" s="3" t="e">
        <f>LOOKUP($F419,'fuzzy LPA lookup'!$E:$E,'fuzzy LPA lookup'!$A:$A)</f>
        <v>#REF!</v>
      </c>
      <c r="E419" s="3" t="e">
        <f>LOOKUP($F419,'fuzzy LPA lookup'!$E:$E,'fuzzy LPA lookup'!$D:$D)</f>
        <v>#REF!</v>
      </c>
      <c r="F419" s="8" t="e">
        <f>IF(ISBLANK('Master Submitted DPDs'!#REF!),"",'Master Submitted DPDs'!#REF!)</f>
        <v>#REF!</v>
      </c>
      <c r="G419" t="str">
        <f>IF(ISBLANK('Master Submitted DPDs'!#REF!),"","Withdrawn")</f>
        <v>Withdrawn</v>
      </c>
      <c r="H419" s="2" t="e">
        <f>IF(ISBLANK('Master Submitted DPDs'!#REF!),"",'Master Submitted DPDs'!#REF!)</f>
        <v>#REF!</v>
      </c>
      <c r="I419" s="3"/>
      <c r="J419" s="3"/>
      <c r="K419" s="3"/>
      <c r="L419" s="2" t="e">
        <f>IF(ISBLANK('Master Submitted DPDs'!#REF!),"",'Master Submitted DPDs'!#REF!)</f>
        <v>#REF!</v>
      </c>
      <c r="M419" s="2" t="e">
        <f t="shared" si="12"/>
        <v>#REF!</v>
      </c>
      <c r="N419" s="2" t="e">
        <f>IF(ISBLANK('Master Submitted DPDs'!#REF!),IF(ISBLANK('Master Submitted DPDs'!#REF!),"",'Master Submitted DPDs'!#REF!),'Master Submitted DPDs'!#REF!)</f>
        <v>#REF!</v>
      </c>
      <c r="O419" s="2" t="e">
        <f>IF(ISBLANK('Master Submitted DPDs'!#REF!),"",'Master Submitted DPDs'!#REF!)</f>
        <v>#REF!</v>
      </c>
      <c r="P419" s="2" t="e">
        <f>IF(ISBLANK('Master Submitted DPDs'!#REF!),"",'Master Submitted DPDs'!#REF!)</f>
        <v>#REF!</v>
      </c>
      <c r="Q419" t="e">
        <f>IF(ISBLANK('Master Submitted DPDs'!#REF!),"",'Master Submitted DPDs'!#REF!)</f>
        <v>#REF!</v>
      </c>
      <c r="R419" t="e">
        <f t="shared" si="13"/>
        <v>#REF!</v>
      </c>
      <c r="S419" s="3"/>
      <c r="T419" t="e">
        <f>IF(ISBLANK('Master Submitted DPDs'!#REF!),"",'Master Submitted DPDs'!#REF!)</f>
        <v>#REF!</v>
      </c>
    </row>
    <row r="420" spans="1:20" ht="15" x14ac:dyDescent="0.2">
      <c r="A420" s="3" t="str">
        <f>IF(ISBLANK('Master Submitted DPDs'!#REF!),"","Local Plans")</f>
        <v>Local Plans</v>
      </c>
      <c r="B420" t="e">
        <f>IF(ISBLANK('Master Submitted DPDs'!#REF!),"",'Master Submitted DPDs'!#REF!)</f>
        <v>#REF!</v>
      </c>
      <c r="C420" s="3" t="str">
        <f>IF(ISBLANK('Master Submitted DPDs'!#REF!),"","IH")</f>
        <v>IH</v>
      </c>
      <c r="D420" s="3" t="e">
        <f>LOOKUP($F420,'fuzzy LPA lookup'!$E:$E,'fuzzy LPA lookup'!$A:$A)</f>
        <v>#REF!</v>
      </c>
      <c r="E420" s="3" t="e">
        <f>LOOKUP($F420,'fuzzy LPA lookup'!$E:$E,'fuzzy LPA lookup'!$D:$D)</f>
        <v>#REF!</v>
      </c>
      <c r="F420" s="8" t="e">
        <f>IF(ISBLANK('Master Submitted DPDs'!#REF!),"",'Master Submitted DPDs'!#REF!)</f>
        <v>#REF!</v>
      </c>
      <c r="G420" t="str">
        <f>IF(ISBLANK('Master Submitted DPDs'!#REF!),"","Withdrawn")</f>
        <v>Withdrawn</v>
      </c>
      <c r="H420" s="2" t="e">
        <f>IF(ISBLANK('Master Submitted DPDs'!#REF!),"",'Master Submitted DPDs'!#REF!)</f>
        <v>#REF!</v>
      </c>
      <c r="I420" s="3"/>
      <c r="J420" s="3"/>
      <c r="K420" s="3"/>
      <c r="L420" s="2" t="e">
        <f>IF(ISBLANK('Master Submitted DPDs'!#REF!),"",'Master Submitted DPDs'!#REF!)</f>
        <v>#REF!</v>
      </c>
      <c r="M420" s="2" t="e">
        <f t="shared" si="12"/>
        <v>#REF!</v>
      </c>
      <c r="N420" s="2" t="e">
        <f>IF(ISBLANK('Master Submitted DPDs'!#REF!),IF(ISBLANK('Master Submitted DPDs'!#REF!),"",'Master Submitted DPDs'!#REF!),'Master Submitted DPDs'!#REF!)</f>
        <v>#REF!</v>
      </c>
      <c r="O420" s="2" t="e">
        <f>IF(ISBLANK('Master Submitted DPDs'!#REF!),"",'Master Submitted DPDs'!#REF!)</f>
        <v>#REF!</v>
      </c>
      <c r="P420" s="2" t="e">
        <f>IF(ISBLANK('Master Submitted DPDs'!#REF!),"",'Master Submitted DPDs'!#REF!)</f>
        <v>#REF!</v>
      </c>
      <c r="Q420" t="e">
        <f>IF(ISBLANK('Master Submitted DPDs'!#REF!),"",'Master Submitted DPDs'!#REF!)</f>
        <v>#REF!</v>
      </c>
      <c r="R420" t="e">
        <f t="shared" si="13"/>
        <v>#REF!</v>
      </c>
      <c r="S420" s="3"/>
      <c r="T420" t="e">
        <f>IF(ISBLANK('Master Submitted DPDs'!#REF!),"",'Master Submitted DPDs'!#REF!)</f>
        <v>#REF!</v>
      </c>
    </row>
    <row r="421" spans="1:20" ht="15" x14ac:dyDescent="0.2">
      <c r="A421" s="3" t="str">
        <f>IF(ISBLANK('Master Submitted DPDs'!#REF!),"","Local Plans")</f>
        <v>Local Plans</v>
      </c>
      <c r="B421" t="e">
        <f>IF(ISBLANK('Master Submitted DPDs'!#REF!),"",'Master Submitted DPDs'!#REF!)</f>
        <v>#REF!</v>
      </c>
      <c r="C421" s="3" t="str">
        <f>IF(ISBLANK('Master Submitted DPDs'!#REF!),"","IH")</f>
        <v>IH</v>
      </c>
      <c r="D421" s="3" t="e">
        <f>LOOKUP($F421,'fuzzy LPA lookup'!$E:$E,'fuzzy LPA lookup'!$A:$A)</f>
        <v>#REF!</v>
      </c>
      <c r="E421" s="3" t="e">
        <f>LOOKUP($F421,'fuzzy LPA lookup'!$E:$E,'fuzzy LPA lookup'!$D:$D)</f>
        <v>#REF!</v>
      </c>
      <c r="F421" s="8" t="e">
        <f>IF(ISBLANK('Master Submitted DPDs'!#REF!),"",'Master Submitted DPDs'!#REF!)</f>
        <v>#REF!</v>
      </c>
      <c r="G421" t="str">
        <f>IF(ISBLANK('Master Submitted DPDs'!#REF!),"","Withdrawn")</f>
        <v>Withdrawn</v>
      </c>
      <c r="H421" s="2" t="e">
        <f>IF(ISBLANK('Master Submitted DPDs'!#REF!),"",'Master Submitted DPDs'!#REF!)</f>
        <v>#REF!</v>
      </c>
      <c r="I421" s="3"/>
      <c r="J421" s="3"/>
      <c r="K421" s="3"/>
      <c r="L421" s="2" t="e">
        <f>IF(ISBLANK('Master Submitted DPDs'!#REF!),"",'Master Submitted DPDs'!#REF!)</f>
        <v>#REF!</v>
      </c>
      <c r="M421" s="2" t="e">
        <f t="shared" si="12"/>
        <v>#REF!</v>
      </c>
      <c r="N421" s="2" t="e">
        <f>IF(ISBLANK('Master Submitted DPDs'!#REF!),IF(ISBLANK('Master Submitted DPDs'!#REF!),"",'Master Submitted DPDs'!#REF!),'Master Submitted DPDs'!#REF!)</f>
        <v>#REF!</v>
      </c>
      <c r="O421" s="2" t="e">
        <f>IF(ISBLANK('Master Submitted DPDs'!#REF!),"",'Master Submitted DPDs'!#REF!)</f>
        <v>#REF!</v>
      </c>
      <c r="P421" s="2" t="e">
        <f>IF(ISBLANK('Master Submitted DPDs'!#REF!),"",'Master Submitted DPDs'!#REF!)</f>
        <v>#REF!</v>
      </c>
      <c r="Q421" t="e">
        <f>IF(ISBLANK('Master Submitted DPDs'!#REF!),"",'Master Submitted DPDs'!#REF!)</f>
        <v>#REF!</v>
      </c>
      <c r="R421" t="e">
        <f t="shared" si="13"/>
        <v>#REF!</v>
      </c>
      <c r="S421" s="3"/>
      <c r="T421" t="e">
        <f>IF(ISBLANK('Master Submitted DPDs'!#REF!),"",'Master Submitted DPDs'!#REF!)</f>
        <v>#REF!</v>
      </c>
    </row>
    <row r="422" spans="1:20" ht="15" x14ac:dyDescent="0.2">
      <c r="A422" s="3" t="str">
        <f>IF(ISBLANK('Master Submitted DPDs'!#REF!),"","Local Plans")</f>
        <v>Local Plans</v>
      </c>
      <c r="B422" t="e">
        <f>IF(ISBLANK('Master Submitted DPDs'!#REF!),"",'Master Submitted DPDs'!#REF!)</f>
        <v>#REF!</v>
      </c>
      <c r="C422" s="3" t="str">
        <f>IF(ISBLANK('Master Submitted DPDs'!#REF!),"","IH")</f>
        <v>IH</v>
      </c>
      <c r="D422" s="3" t="e">
        <f>LOOKUP($F422,'fuzzy LPA lookup'!$E:$E,'fuzzy LPA lookup'!$A:$A)</f>
        <v>#REF!</v>
      </c>
      <c r="E422" s="3" t="e">
        <f>LOOKUP($F422,'fuzzy LPA lookup'!$E:$E,'fuzzy LPA lookup'!$D:$D)</f>
        <v>#REF!</v>
      </c>
      <c r="F422" s="8" t="e">
        <f>IF(ISBLANK('Master Submitted DPDs'!#REF!),"",'Master Submitted DPDs'!#REF!)</f>
        <v>#REF!</v>
      </c>
      <c r="G422" t="str">
        <f>IF(ISBLANK('Master Submitted DPDs'!#REF!),"","Withdrawn")</f>
        <v>Withdrawn</v>
      </c>
      <c r="H422" s="2" t="e">
        <f>IF(ISBLANK('Master Submitted DPDs'!#REF!),"",'Master Submitted DPDs'!#REF!)</f>
        <v>#REF!</v>
      </c>
      <c r="I422" s="3"/>
      <c r="J422" s="3"/>
      <c r="K422" s="3"/>
      <c r="L422" s="2" t="e">
        <f>IF(ISBLANK('Master Submitted DPDs'!#REF!),"",'Master Submitted DPDs'!#REF!)</f>
        <v>#REF!</v>
      </c>
      <c r="M422" s="2" t="e">
        <f t="shared" si="12"/>
        <v>#REF!</v>
      </c>
      <c r="N422" s="2" t="e">
        <f>IF(ISBLANK('Master Submitted DPDs'!#REF!),IF(ISBLANK('Master Submitted DPDs'!#REF!),"",'Master Submitted DPDs'!#REF!),'Master Submitted DPDs'!#REF!)</f>
        <v>#REF!</v>
      </c>
      <c r="O422" s="2" t="e">
        <f>IF(ISBLANK('Master Submitted DPDs'!#REF!),"",'Master Submitted DPDs'!#REF!)</f>
        <v>#REF!</v>
      </c>
      <c r="P422" s="2" t="e">
        <f>IF(ISBLANK('Master Submitted DPDs'!#REF!),"",'Master Submitted DPDs'!#REF!)</f>
        <v>#REF!</v>
      </c>
      <c r="Q422" t="e">
        <f>IF(ISBLANK('Master Submitted DPDs'!#REF!),"",'Master Submitted DPDs'!#REF!)</f>
        <v>#REF!</v>
      </c>
      <c r="R422" t="e">
        <f t="shared" si="13"/>
        <v>#REF!</v>
      </c>
      <c r="S422" s="3"/>
      <c r="T422" t="e">
        <f>IF(ISBLANK('Master Submitted DPDs'!#REF!),"",'Master Submitted DPDs'!#REF!)</f>
        <v>#REF!</v>
      </c>
    </row>
    <row r="423" spans="1:20" ht="15" x14ac:dyDescent="0.2">
      <c r="A423" s="3" t="str">
        <f>IF(ISBLANK('Master Submitted DPDs'!#REF!),"","Local Plans")</f>
        <v>Local Plans</v>
      </c>
      <c r="B423" t="e">
        <f>IF(ISBLANK('Master Submitted DPDs'!#REF!),"",'Master Submitted DPDs'!#REF!)</f>
        <v>#REF!</v>
      </c>
      <c r="C423" s="3" t="str">
        <f>IF(ISBLANK('Master Submitted DPDs'!#REF!),"","IH")</f>
        <v>IH</v>
      </c>
      <c r="D423" s="3" t="e">
        <f>LOOKUP($F423,'fuzzy LPA lookup'!$E:$E,'fuzzy LPA lookup'!$A:$A)</f>
        <v>#REF!</v>
      </c>
      <c r="E423" s="3" t="e">
        <f>LOOKUP($F423,'fuzzy LPA lookup'!$E:$E,'fuzzy LPA lookup'!$D:$D)</f>
        <v>#REF!</v>
      </c>
      <c r="F423" s="8" t="e">
        <f>IF(ISBLANK('Master Submitted DPDs'!#REF!),"",'Master Submitted DPDs'!#REF!)</f>
        <v>#REF!</v>
      </c>
      <c r="G423" t="str">
        <f>IF(ISBLANK('Master Submitted DPDs'!#REF!),"","Withdrawn")</f>
        <v>Withdrawn</v>
      </c>
      <c r="H423" s="2" t="e">
        <f>IF(ISBLANK('Master Submitted DPDs'!#REF!),"",'Master Submitted DPDs'!#REF!)</f>
        <v>#REF!</v>
      </c>
      <c r="I423" s="3"/>
      <c r="J423" s="3"/>
      <c r="K423" s="3"/>
      <c r="L423" s="2" t="e">
        <f>IF(ISBLANK('Master Submitted DPDs'!#REF!),"",'Master Submitted DPDs'!#REF!)</f>
        <v>#REF!</v>
      </c>
      <c r="M423" s="2" t="e">
        <f t="shared" si="12"/>
        <v>#REF!</v>
      </c>
      <c r="N423" s="2" t="e">
        <f>IF(ISBLANK('Master Submitted DPDs'!#REF!),IF(ISBLANK('Master Submitted DPDs'!#REF!),"",'Master Submitted DPDs'!#REF!),'Master Submitted DPDs'!#REF!)</f>
        <v>#REF!</v>
      </c>
      <c r="O423" s="2" t="e">
        <f>IF(ISBLANK('Master Submitted DPDs'!#REF!),"",'Master Submitted DPDs'!#REF!)</f>
        <v>#REF!</v>
      </c>
      <c r="P423" s="2" t="e">
        <f>IF(ISBLANK('Master Submitted DPDs'!#REF!),"",'Master Submitted DPDs'!#REF!)</f>
        <v>#REF!</v>
      </c>
      <c r="Q423" t="e">
        <f>IF(ISBLANK('Master Submitted DPDs'!#REF!),"",'Master Submitted DPDs'!#REF!)</f>
        <v>#REF!</v>
      </c>
      <c r="R423" t="e">
        <f t="shared" si="13"/>
        <v>#REF!</v>
      </c>
      <c r="S423" s="3"/>
      <c r="T423" t="e">
        <f>IF(ISBLANK('Master Submitted DPDs'!#REF!),"",'Master Submitted DPDs'!#REF!)</f>
        <v>#REF!</v>
      </c>
    </row>
    <row r="424" spans="1:20" ht="15" x14ac:dyDescent="0.2">
      <c r="A424" s="3" t="str">
        <f>IF(ISBLANK('Master Submitted DPDs'!#REF!),"","Local Plans")</f>
        <v>Local Plans</v>
      </c>
      <c r="B424" t="e">
        <f>IF(ISBLANK('Master Submitted DPDs'!#REF!),"",'Master Submitted DPDs'!#REF!)</f>
        <v>#REF!</v>
      </c>
      <c r="C424" s="3" t="str">
        <f>IF(ISBLANK('Master Submitted DPDs'!#REF!),"","IH")</f>
        <v>IH</v>
      </c>
      <c r="D424" s="3" t="e">
        <f>LOOKUP($F424,'fuzzy LPA lookup'!$E:$E,'fuzzy LPA lookup'!$A:$A)</f>
        <v>#REF!</v>
      </c>
      <c r="E424" s="3" t="e">
        <f>LOOKUP($F424,'fuzzy LPA lookup'!$E:$E,'fuzzy LPA lookup'!$D:$D)</f>
        <v>#REF!</v>
      </c>
      <c r="F424" s="8" t="e">
        <f>IF(ISBLANK('Master Submitted DPDs'!#REF!),"",'Master Submitted DPDs'!#REF!)</f>
        <v>#REF!</v>
      </c>
      <c r="G424" t="str">
        <f>IF(ISBLANK('Master Submitted DPDs'!#REF!),"","Withdrawn")</f>
        <v>Withdrawn</v>
      </c>
      <c r="H424" s="2" t="e">
        <f>IF(ISBLANK('Master Submitted DPDs'!#REF!),"",'Master Submitted DPDs'!#REF!)</f>
        <v>#REF!</v>
      </c>
      <c r="I424" s="3"/>
      <c r="J424" s="3"/>
      <c r="K424" s="3"/>
      <c r="L424" s="2" t="e">
        <f>IF(ISBLANK('Master Submitted DPDs'!#REF!),"",'Master Submitted DPDs'!#REF!)</f>
        <v>#REF!</v>
      </c>
      <c r="M424" s="2" t="e">
        <f t="shared" si="12"/>
        <v>#REF!</v>
      </c>
      <c r="N424" s="2" t="e">
        <f>IF(ISBLANK('Master Submitted DPDs'!#REF!),IF(ISBLANK('Master Submitted DPDs'!#REF!),"",'Master Submitted DPDs'!#REF!),'Master Submitted DPDs'!#REF!)</f>
        <v>#REF!</v>
      </c>
      <c r="O424" s="2" t="e">
        <f>IF(ISBLANK('Master Submitted DPDs'!#REF!),"",'Master Submitted DPDs'!#REF!)</f>
        <v>#REF!</v>
      </c>
      <c r="P424" s="2" t="e">
        <f>IF(ISBLANK('Master Submitted DPDs'!#REF!),"",'Master Submitted DPDs'!#REF!)</f>
        <v>#REF!</v>
      </c>
      <c r="Q424" t="e">
        <f>IF(ISBLANK('Master Submitted DPDs'!#REF!),"",'Master Submitted DPDs'!#REF!)</f>
        <v>#REF!</v>
      </c>
      <c r="R424" t="e">
        <f t="shared" si="13"/>
        <v>#REF!</v>
      </c>
      <c r="S424" s="3"/>
      <c r="T424" t="e">
        <f>IF(ISBLANK('Master Submitted DPDs'!#REF!),"",'Master Submitted DPDs'!#REF!)</f>
        <v>#REF!</v>
      </c>
    </row>
    <row r="425" spans="1:20" ht="15" x14ac:dyDescent="0.2">
      <c r="A425" s="3" t="str">
        <f>IF(ISBLANK('Master Submitted DPDs'!#REF!),"","Local Plans")</f>
        <v>Local Plans</v>
      </c>
      <c r="B425" t="e">
        <f>IF(ISBLANK('Master Submitted DPDs'!#REF!),"",'Master Submitted DPDs'!#REF!)</f>
        <v>#REF!</v>
      </c>
      <c r="C425" s="3" t="str">
        <f>IF(ISBLANK('Master Submitted DPDs'!#REF!),"","IH")</f>
        <v>IH</v>
      </c>
      <c r="D425" s="3" t="e">
        <f>LOOKUP($F425,'fuzzy LPA lookup'!$E:$E,'fuzzy LPA lookup'!$A:$A)</f>
        <v>#REF!</v>
      </c>
      <c r="E425" s="3" t="e">
        <f>LOOKUP($F425,'fuzzy LPA lookup'!$E:$E,'fuzzy LPA lookup'!$D:$D)</f>
        <v>#REF!</v>
      </c>
      <c r="F425" s="8" t="e">
        <f>IF(ISBLANK('Master Submitted DPDs'!#REF!),"",'Master Submitted DPDs'!#REF!)</f>
        <v>#REF!</v>
      </c>
      <c r="G425" t="str">
        <f>IF(ISBLANK('Master Submitted DPDs'!#REF!),"","Withdrawn")</f>
        <v>Withdrawn</v>
      </c>
      <c r="H425" s="2" t="e">
        <f>IF(ISBLANK('Master Submitted DPDs'!#REF!),"",'Master Submitted DPDs'!#REF!)</f>
        <v>#REF!</v>
      </c>
      <c r="I425" s="3"/>
      <c r="J425" s="3"/>
      <c r="K425" s="3"/>
      <c r="L425" s="2" t="e">
        <f>IF(ISBLANK('Master Submitted DPDs'!#REF!),"",'Master Submitted DPDs'!#REF!)</f>
        <v>#REF!</v>
      </c>
      <c r="M425" s="2" t="e">
        <f t="shared" si="12"/>
        <v>#REF!</v>
      </c>
      <c r="N425" s="2" t="e">
        <f>IF(ISBLANK('Master Submitted DPDs'!#REF!),IF(ISBLANK('Master Submitted DPDs'!#REF!),"",'Master Submitted DPDs'!#REF!),'Master Submitted DPDs'!#REF!)</f>
        <v>#REF!</v>
      </c>
      <c r="O425" s="2" t="e">
        <f>IF(ISBLANK('Master Submitted DPDs'!#REF!),"",'Master Submitted DPDs'!#REF!)</f>
        <v>#REF!</v>
      </c>
      <c r="P425" s="2" t="e">
        <f>IF(ISBLANK('Master Submitted DPDs'!#REF!),"",'Master Submitted DPDs'!#REF!)</f>
        <v>#REF!</v>
      </c>
      <c r="Q425" t="e">
        <f>IF(ISBLANK('Master Submitted DPDs'!#REF!),"",'Master Submitted DPDs'!#REF!)</f>
        <v>#REF!</v>
      </c>
      <c r="R425" t="e">
        <f t="shared" si="13"/>
        <v>#REF!</v>
      </c>
      <c r="S425" s="3"/>
      <c r="T425" t="e">
        <f>IF(ISBLANK('Master Submitted DPDs'!#REF!),"",'Master Submitted DPDs'!#REF!)</f>
        <v>#REF!</v>
      </c>
    </row>
    <row r="426" spans="1:20" ht="15" x14ac:dyDescent="0.2">
      <c r="A426" s="3" t="str">
        <f>IF(ISBLANK('Master Submitted DPDs'!#REF!),"","Local Plans")</f>
        <v>Local Plans</v>
      </c>
      <c r="B426" t="e">
        <f>IF(ISBLANK('Master Submitted DPDs'!#REF!),"",'Master Submitted DPDs'!#REF!)</f>
        <v>#REF!</v>
      </c>
      <c r="C426" s="3" t="str">
        <f>IF(ISBLANK('Master Submitted DPDs'!#REF!),"","IH")</f>
        <v>IH</v>
      </c>
      <c r="D426" s="3" t="e">
        <f>LOOKUP($F426,'fuzzy LPA lookup'!$E:$E,'fuzzy LPA lookup'!$A:$A)</f>
        <v>#REF!</v>
      </c>
      <c r="E426" s="3" t="e">
        <f>LOOKUP($F426,'fuzzy LPA lookup'!$E:$E,'fuzzy LPA lookup'!$D:$D)</f>
        <v>#REF!</v>
      </c>
      <c r="F426" s="8" t="e">
        <f>IF(ISBLANK('Master Submitted DPDs'!#REF!),"",'Master Submitted DPDs'!#REF!)</f>
        <v>#REF!</v>
      </c>
      <c r="G426" t="str">
        <f>IF(ISBLANK('Master Submitted DPDs'!#REF!),"","Withdrawn")</f>
        <v>Withdrawn</v>
      </c>
      <c r="H426" s="2" t="e">
        <f>IF(ISBLANK('Master Submitted DPDs'!#REF!),"",'Master Submitted DPDs'!#REF!)</f>
        <v>#REF!</v>
      </c>
      <c r="I426" s="3"/>
      <c r="J426" s="3"/>
      <c r="K426" s="3"/>
      <c r="L426" s="2" t="e">
        <f>IF(ISBLANK('Master Submitted DPDs'!#REF!),"",'Master Submitted DPDs'!#REF!)</f>
        <v>#REF!</v>
      </c>
      <c r="M426" s="2" t="e">
        <f t="shared" si="12"/>
        <v>#REF!</v>
      </c>
      <c r="N426" s="2" t="e">
        <f>IF(ISBLANK('Master Submitted DPDs'!#REF!),IF(ISBLANK('Master Submitted DPDs'!#REF!),"",'Master Submitted DPDs'!#REF!),'Master Submitted DPDs'!#REF!)</f>
        <v>#REF!</v>
      </c>
      <c r="O426" s="2" t="e">
        <f>IF(ISBLANK('Master Submitted DPDs'!#REF!),"",'Master Submitted DPDs'!#REF!)</f>
        <v>#REF!</v>
      </c>
      <c r="P426" s="2" t="e">
        <f>IF(ISBLANK('Master Submitted DPDs'!#REF!),"",'Master Submitted DPDs'!#REF!)</f>
        <v>#REF!</v>
      </c>
      <c r="Q426" t="e">
        <f>IF(ISBLANK('Master Submitted DPDs'!#REF!),"",'Master Submitted DPDs'!#REF!)</f>
        <v>#REF!</v>
      </c>
      <c r="R426" t="e">
        <f t="shared" si="13"/>
        <v>#REF!</v>
      </c>
      <c r="S426" s="3"/>
      <c r="T426" t="e">
        <f>IF(ISBLANK('Master Submitted DPDs'!#REF!),"",'Master Submitted DPDs'!#REF!)</f>
        <v>#REF!</v>
      </c>
    </row>
    <row r="427" spans="1:20" ht="15" x14ac:dyDescent="0.2">
      <c r="A427" s="3" t="str">
        <f>IF(ISBLANK('Master Submitted DPDs'!#REF!),"","Local Plans")</f>
        <v>Local Plans</v>
      </c>
      <c r="B427" t="e">
        <f>IF(ISBLANK('Master Submitted DPDs'!#REF!),"",'Master Submitted DPDs'!#REF!)</f>
        <v>#REF!</v>
      </c>
      <c r="C427" s="3" t="str">
        <f>IF(ISBLANK('Master Submitted DPDs'!#REF!),"","IH")</f>
        <v>IH</v>
      </c>
      <c r="D427" s="3" t="e">
        <f>LOOKUP($F427,'fuzzy LPA lookup'!$E:$E,'fuzzy LPA lookup'!$A:$A)</f>
        <v>#REF!</v>
      </c>
      <c r="E427" s="3" t="e">
        <f>LOOKUP($F427,'fuzzy LPA lookup'!$E:$E,'fuzzy LPA lookup'!$D:$D)</f>
        <v>#REF!</v>
      </c>
      <c r="F427" s="8" t="e">
        <f>IF(ISBLANK('Master Submitted DPDs'!#REF!),"",'Master Submitted DPDs'!#REF!)</f>
        <v>#REF!</v>
      </c>
      <c r="G427" t="str">
        <f>IF(ISBLANK('Master Submitted DPDs'!#REF!),"","Withdrawn")</f>
        <v>Withdrawn</v>
      </c>
      <c r="H427" s="2" t="e">
        <f>IF(ISBLANK('Master Submitted DPDs'!#REF!),"",'Master Submitted DPDs'!#REF!)</f>
        <v>#REF!</v>
      </c>
      <c r="I427" s="3"/>
      <c r="J427" s="3"/>
      <c r="K427" s="3"/>
      <c r="L427" s="2" t="e">
        <f>IF(ISBLANK('Master Submitted DPDs'!#REF!),"",'Master Submitted DPDs'!#REF!)</f>
        <v>#REF!</v>
      </c>
      <c r="M427" s="2" t="e">
        <f t="shared" si="12"/>
        <v>#REF!</v>
      </c>
      <c r="N427" s="2" t="e">
        <f>IF(ISBLANK('Master Submitted DPDs'!#REF!),IF(ISBLANK('Master Submitted DPDs'!#REF!),"",'Master Submitted DPDs'!#REF!),'Master Submitted DPDs'!#REF!)</f>
        <v>#REF!</v>
      </c>
      <c r="O427" s="2" t="e">
        <f>IF(ISBLANK('Master Submitted DPDs'!#REF!),"",'Master Submitted DPDs'!#REF!)</f>
        <v>#REF!</v>
      </c>
      <c r="P427" s="2" t="e">
        <f>IF(ISBLANK('Master Submitted DPDs'!#REF!),"",'Master Submitted DPDs'!#REF!)</f>
        <v>#REF!</v>
      </c>
      <c r="Q427" t="e">
        <f>IF(ISBLANK('Master Submitted DPDs'!#REF!),"",'Master Submitted DPDs'!#REF!)</f>
        <v>#REF!</v>
      </c>
      <c r="R427" t="e">
        <f t="shared" si="13"/>
        <v>#REF!</v>
      </c>
      <c r="S427" s="3"/>
      <c r="T427" t="e">
        <f>IF(ISBLANK('Master Submitted DPDs'!#REF!),"",'Master Submitted DPDs'!#REF!)</f>
        <v>#REF!</v>
      </c>
    </row>
    <row r="428" spans="1:20" ht="15" x14ac:dyDescent="0.2">
      <c r="A428" s="3" t="str">
        <f>IF(ISBLANK('Master Submitted DPDs'!#REF!),"","Local Plans")</f>
        <v>Local Plans</v>
      </c>
      <c r="B428" t="e">
        <f>IF(ISBLANK('Master Submitted DPDs'!#REF!),"",'Master Submitted DPDs'!#REF!)</f>
        <v>#REF!</v>
      </c>
      <c r="C428" s="3" t="str">
        <f>IF(ISBLANK('Master Submitted DPDs'!#REF!),"","IH")</f>
        <v>IH</v>
      </c>
      <c r="D428" s="3" t="e">
        <f>LOOKUP($F428,'fuzzy LPA lookup'!$E:$E,'fuzzy LPA lookup'!$A:$A)</f>
        <v>#REF!</v>
      </c>
      <c r="E428" s="3" t="e">
        <f>LOOKUP($F428,'fuzzy LPA lookup'!$E:$E,'fuzzy LPA lookup'!$D:$D)</f>
        <v>#REF!</v>
      </c>
      <c r="F428" s="8" t="e">
        <f>IF(ISBLANK('Master Submitted DPDs'!#REF!),"",'Master Submitted DPDs'!#REF!)</f>
        <v>#REF!</v>
      </c>
      <c r="G428" t="str">
        <f>IF(ISBLANK('Master Submitted DPDs'!#REF!),"","Withdrawn")</f>
        <v>Withdrawn</v>
      </c>
      <c r="H428" s="2" t="e">
        <f>IF(ISBLANK('Master Submitted DPDs'!#REF!),"",'Master Submitted DPDs'!#REF!)</f>
        <v>#REF!</v>
      </c>
      <c r="I428" s="3"/>
      <c r="J428" s="3"/>
      <c r="K428" s="3"/>
      <c r="L428" s="2" t="e">
        <f>IF(ISBLANK('Master Submitted DPDs'!#REF!),"",'Master Submitted DPDs'!#REF!)</f>
        <v>#REF!</v>
      </c>
      <c r="M428" s="2" t="e">
        <f t="shared" si="12"/>
        <v>#REF!</v>
      </c>
      <c r="N428" s="2" t="e">
        <f>IF(ISBLANK('Master Submitted DPDs'!#REF!),IF(ISBLANK('Master Submitted DPDs'!#REF!),"",'Master Submitted DPDs'!#REF!),'Master Submitted DPDs'!#REF!)</f>
        <v>#REF!</v>
      </c>
      <c r="O428" s="2" t="e">
        <f>IF(ISBLANK('Master Submitted DPDs'!#REF!),"",'Master Submitted DPDs'!#REF!)</f>
        <v>#REF!</v>
      </c>
      <c r="P428" s="2" t="e">
        <f>IF(ISBLANK('Master Submitted DPDs'!#REF!),"",'Master Submitted DPDs'!#REF!)</f>
        <v>#REF!</v>
      </c>
      <c r="Q428" t="e">
        <f>IF(ISBLANK('Master Submitted DPDs'!#REF!),"",'Master Submitted DPDs'!#REF!)</f>
        <v>#REF!</v>
      </c>
      <c r="R428" t="e">
        <f t="shared" si="13"/>
        <v>#REF!</v>
      </c>
      <c r="S428" s="3"/>
      <c r="T428" t="e">
        <f>IF(ISBLANK('Master Submitted DPDs'!#REF!),"",'Master Submitted DPDs'!#REF!)</f>
        <v>#REF!</v>
      </c>
    </row>
    <row r="429" spans="1:20" ht="15" x14ac:dyDescent="0.2">
      <c r="A429" s="3" t="str">
        <f>IF(ISBLANK('Master Submitted DPDs'!#REF!),"","Local Plans")</f>
        <v>Local Plans</v>
      </c>
      <c r="B429" t="e">
        <f>IF(ISBLANK('Master Submitted DPDs'!#REF!),"",'Master Submitted DPDs'!#REF!)</f>
        <v>#REF!</v>
      </c>
      <c r="C429" s="3" t="str">
        <f>IF(ISBLANK('Master Submitted DPDs'!#REF!),"","IH")</f>
        <v>IH</v>
      </c>
      <c r="D429" s="3" t="e">
        <f>LOOKUP($F429,'fuzzy LPA lookup'!$E:$E,'fuzzy LPA lookup'!$A:$A)</f>
        <v>#REF!</v>
      </c>
      <c r="E429" s="3" t="e">
        <f>LOOKUP($F429,'fuzzy LPA lookup'!$E:$E,'fuzzy LPA lookup'!$D:$D)</f>
        <v>#REF!</v>
      </c>
      <c r="F429" s="8" t="e">
        <f>IF(ISBLANK('Master Submitted DPDs'!#REF!),"",'Master Submitted DPDs'!#REF!)</f>
        <v>#REF!</v>
      </c>
      <c r="G429" t="str">
        <f>IF(ISBLANK('Master Submitted DPDs'!#REF!),"","Withdrawn")</f>
        <v>Withdrawn</v>
      </c>
      <c r="H429" s="2" t="e">
        <f>IF(ISBLANK('Master Submitted DPDs'!#REF!),"",'Master Submitted DPDs'!#REF!)</f>
        <v>#REF!</v>
      </c>
      <c r="I429" s="3"/>
      <c r="J429" s="3"/>
      <c r="K429" s="3"/>
      <c r="L429" s="2" t="e">
        <f>IF(ISBLANK('Master Submitted DPDs'!#REF!),"",'Master Submitted DPDs'!#REF!)</f>
        <v>#REF!</v>
      </c>
      <c r="M429" s="2" t="e">
        <f t="shared" si="12"/>
        <v>#REF!</v>
      </c>
      <c r="N429" s="2" t="e">
        <f>IF(ISBLANK('Master Submitted DPDs'!#REF!),IF(ISBLANK('Master Submitted DPDs'!#REF!),"",'Master Submitted DPDs'!#REF!),'Master Submitted DPDs'!#REF!)</f>
        <v>#REF!</v>
      </c>
      <c r="O429" s="2" t="e">
        <f>IF(ISBLANK('Master Submitted DPDs'!#REF!),"",'Master Submitted DPDs'!#REF!)</f>
        <v>#REF!</v>
      </c>
      <c r="P429" s="2" t="e">
        <f>IF(ISBLANK('Master Submitted DPDs'!#REF!),"",'Master Submitted DPDs'!#REF!)</f>
        <v>#REF!</v>
      </c>
      <c r="Q429" t="e">
        <f>IF(ISBLANK('Master Submitted DPDs'!#REF!),"",'Master Submitted DPDs'!#REF!)</f>
        <v>#REF!</v>
      </c>
      <c r="R429" t="e">
        <f t="shared" si="13"/>
        <v>#REF!</v>
      </c>
      <c r="S429" s="3"/>
      <c r="T429" t="e">
        <f>IF(ISBLANK('Master Submitted DPDs'!#REF!),"",'Master Submitted DPDs'!#REF!)</f>
        <v>#REF!</v>
      </c>
    </row>
    <row r="430" spans="1:20" ht="15" x14ac:dyDescent="0.2">
      <c r="A430" s="3" t="str">
        <f>IF(ISBLANK('Master Submitted DPDs'!#REF!),"","Local Plans")</f>
        <v>Local Plans</v>
      </c>
      <c r="B430" t="e">
        <f>IF(ISBLANK('Master Submitted DPDs'!#REF!),"",'Master Submitted DPDs'!#REF!)</f>
        <v>#REF!</v>
      </c>
      <c r="C430" s="3" t="str">
        <f>IF(ISBLANK('Master Submitted DPDs'!#REF!),"","IH")</f>
        <v>IH</v>
      </c>
      <c r="D430" s="3" t="e">
        <f>LOOKUP($F430,'fuzzy LPA lookup'!$E:$E,'fuzzy LPA lookup'!$A:$A)</f>
        <v>#REF!</v>
      </c>
      <c r="E430" s="3" t="e">
        <f>LOOKUP($F430,'fuzzy LPA lookup'!$E:$E,'fuzzy LPA lookup'!$D:$D)</f>
        <v>#REF!</v>
      </c>
      <c r="F430" s="8" t="e">
        <f>IF(ISBLANK('Master Submitted DPDs'!#REF!),"",'Master Submitted DPDs'!#REF!)</f>
        <v>#REF!</v>
      </c>
      <c r="G430" t="str">
        <f>IF(ISBLANK('Master Submitted DPDs'!#REF!),"","Withdrawn")</f>
        <v>Withdrawn</v>
      </c>
      <c r="H430" s="2" t="e">
        <f>IF(ISBLANK('Master Submitted DPDs'!#REF!),"",'Master Submitted DPDs'!#REF!)</f>
        <v>#REF!</v>
      </c>
      <c r="I430" s="3"/>
      <c r="J430" s="3"/>
      <c r="K430" s="3"/>
      <c r="L430" s="2" t="e">
        <f>IF(ISBLANK('Master Submitted DPDs'!#REF!),"",'Master Submitted DPDs'!#REF!)</f>
        <v>#REF!</v>
      </c>
      <c r="M430" s="2" t="e">
        <f t="shared" si="12"/>
        <v>#REF!</v>
      </c>
      <c r="N430" s="2" t="e">
        <f>IF(ISBLANK('Master Submitted DPDs'!#REF!),IF(ISBLANK('Master Submitted DPDs'!#REF!),"",'Master Submitted DPDs'!#REF!),'Master Submitted DPDs'!#REF!)</f>
        <v>#REF!</v>
      </c>
      <c r="O430" s="2" t="e">
        <f>IF(ISBLANK('Master Submitted DPDs'!#REF!),"",'Master Submitted DPDs'!#REF!)</f>
        <v>#REF!</v>
      </c>
      <c r="P430" s="2" t="e">
        <f>IF(ISBLANK('Master Submitted DPDs'!#REF!),"",'Master Submitted DPDs'!#REF!)</f>
        <v>#REF!</v>
      </c>
      <c r="Q430" t="e">
        <f>IF(ISBLANK('Master Submitted DPDs'!#REF!),"",'Master Submitted DPDs'!#REF!)</f>
        <v>#REF!</v>
      </c>
      <c r="R430" t="e">
        <f t="shared" si="13"/>
        <v>#REF!</v>
      </c>
      <c r="S430" s="3"/>
      <c r="T430" t="e">
        <f>IF(ISBLANK('Master Submitted DPDs'!#REF!),"",'Master Submitted DPDs'!#REF!)</f>
        <v>#REF!</v>
      </c>
    </row>
    <row r="431" spans="1:20" ht="15" x14ac:dyDescent="0.2">
      <c r="A431" s="3" t="str">
        <f>IF(ISBLANK('Master Submitted DPDs'!#REF!),"","Local Plans")</f>
        <v>Local Plans</v>
      </c>
      <c r="B431" t="e">
        <f>IF(ISBLANK('Master Submitted DPDs'!#REF!),"",'Master Submitted DPDs'!#REF!)</f>
        <v>#REF!</v>
      </c>
      <c r="C431" s="3" t="str">
        <f>IF(ISBLANK('Master Submitted DPDs'!#REF!),"","IH")</f>
        <v>IH</v>
      </c>
      <c r="D431" s="3" t="e">
        <f>LOOKUP($F431,'fuzzy LPA lookup'!$E:$E,'fuzzy LPA lookup'!$A:$A)</f>
        <v>#REF!</v>
      </c>
      <c r="E431" s="3" t="e">
        <f>LOOKUP($F431,'fuzzy LPA lookup'!$E:$E,'fuzzy LPA lookup'!$D:$D)</f>
        <v>#REF!</v>
      </c>
      <c r="F431" s="8" t="e">
        <f>IF(ISBLANK('Master Submitted DPDs'!#REF!),"",'Master Submitted DPDs'!#REF!)</f>
        <v>#REF!</v>
      </c>
      <c r="G431" t="str">
        <f>IF(ISBLANK('Master Submitted DPDs'!#REF!),"","Withdrawn")</f>
        <v>Withdrawn</v>
      </c>
      <c r="H431" s="2" t="e">
        <f>IF(ISBLANK('Master Submitted DPDs'!#REF!),"",'Master Submitted DPDs'!#REF!)</f>
        <v>#REF!</v>
      </c>
      <c r="I431" s="3"/>
      <c r="J431" s="3"/>
      <c r="K431" s="3"/>
      <c r="L431" s="2" t="e">
        <f>IF(ISBLANK('Master Submitted DPDs'!#REF!),"",'Master Submitted DPDs'!#REF!)</f>
        <v>#REF!</v>
      </c>
      <c r="M431" s="2" t="e">
        <f t="shared" si="12"/>
        <v>#REF!</v>
      </c>
      <c r="N431" s="2" t="e">
        <f>IF(ISBLANK('Master Submitted DPDs'!#REF!),IF(ISBLANK('Master Submitted DPDs'!#REF!),"",'Master Submitted DPDs'!#REF!),'Master Submitted DPDs'!#REF!)</f>
        <v>#REF!</v>
      </c>
      <c r="O431" s="2" t="e">
        <f>IF(ISBLANK('Master Submitted DPDs'!#REF!),"",'Master Submitted DPDs'!#REF!)</f>
        <v>#REF!</v>
      </c>
      <c r="P431" s="2" t="e">
        <f>IF(ISBLANK('Master Submitted DPDs'!#REF!),"",'Master Submitted DPDs'!#REF!)</f>
        <v>#REF!</v>
      </c>
      <c r="Q431" t="e">
        <f>IF(ISBLANK('Master Submitted DPDs'!#REF!),"",'Master Submitted DPDs'!#REF!)</f>
        <v>#REF!</v>
      </c>
      <c r="R431" t="e">
        <f t="shared" si="13"/>
        <v>#REF!</v>
      </c>
      <c r="S431" s="3"/>
      <c r="T431" t="e">
        <f>IF(ISBLANK('Master Submitted DPDs'!#REF!),"",'Master Submitted DPDs'!#REF!)</f>
        <v>#REF!</v>
      </c>
    </row>
    <row r="432" spans="1:20" ht="15" x14ac:dyDescent="0.2">
      <c r="A432" s="3" t="str">
        <f>IF(ISBLANK('Master Submitted DPDs'!#REF!),"","Local Plans")</f>
        <v>Local Plans</v>
      </c>
      <c r="B432" t="e">
        <f>IF(ISBLANK('Master Submitted DPDs'!#REF!),"",'Master Submitted DPDs'!#REF!)</f>
        <v>#REF!</v>
      </c>
      <c r="C432" s="3" t="str">
        <f>IF(ISBLANK('Master Submitted DPDs'!#REF!),"","IH")</f>
        <v>IH</v>
      </c>
      <c r="D432" s="3" t="e">
        <f>LOOKUP($F432,'fuzzy LPA lookup'!$E:$E,'fuzzy LPA lookup'!$A:$A)</f>
        <v>#REF!</v>
      </c>
      <c r="E432" s="3" t="e">
        <f>LOOKUP($F432,'fuzzy LPA lookup'!$E:$E,'fuzzy LPA lookup'!$D:$D)</f>
        <v>#REF!</v>
      </c>
      <c r="F432" s="8" t="e">
        <f>IF(ISBLANK('Master Submitted DPDs'!#REF!),"",'Master Submitted DPDs'!#REF!)</f>
        <v>#REF!</v>
      </c>
      <c r="G432" t="str">
        <f>IF(ISBLANK('Master Submitted DPDs'!#REF!),"","Withdrawn")</f>
        <v>Withdrawn</v>
      </c>
      <c r="H432" s="2" t="e">
        <f>IF(ISBLANK('Master Submitted DPDs'!#REF!),"",'Master Submitted DPDs'!#REF!)</f>
        <v>#REF!</v>
      </c>
      <c r="I432" s="3"/>
      <c r="J432" s="3"/>
      <c r="K432" s="3"/>
      <c r="L432" s="2" t="e">
        <f>IF(ISBLANK('Master Submitted DPDs'!#REF!),"",'Master Submitted DPDs'!#REF!)</f>
        <v>#REF!</v>
      </c>
      <c r="M432" s="2" t="e">
        <f t="shared" si="12"/>
        <v>#REF!</v>
      </c>
      <c r="N432" s="2" t="e">
        <f>IF(ISBLANK('Master Submitted DPDs'!#REF!),IF(ISBLANK('Master Submitted DPDs'!#REF!),"",'Master Submitted DPDs'!#REF!),'Master Submitted DPDs'!#REF!)</f>
        <v>#REF!</v>
      </c>
      <c r="O432" s="2" t="e">
        <f>IF(ISBLANK('Master Submitted DPDs'!#REF!),"",'Master Submitted DPDs'!#REF!)</f>
        <v>#REF!</v>
      </c>
      <c r="P432" s="2" t="e">
        <f>IF(ISBLANK('Master Submitted DPDs'!#REF!),"",'Master Submitted DPDs'!#REF!)</f>
        <v>#REF!</v>
      </c>
      <c r="Q432" t="e">
        <f>IF(ISBLANK('Master Submitted DPDs'!#REF!),"",'Master Submitted DPDs'!#REF!)</f>
        <v>#REF!</v>
      </c>
      <c r="R432" t="e">
        <f t="shared" si="13"/>
        <v>#REF!</v>
      </c>
      <c r="S432" s="3"/>
      <c r="T432" t="e">
        <f>IF(ISBLANK('Master Submitted DPDs'!#REF!),"",'Master Submitted DPDs'!#REF!)</f>
        <v>#REF!</v>
      </c>
    </row>
    <row r="433" spans="1:20" ht="15" x14ac:dyDescent="0.2">
      <c r="A433" s="3" t="str">
        <f>IF(ISBLANK('Master Submitted DPDs'!#REF!),"","Local Plans")</f>
        <v>Local Plans</v>
      </c>
      <c r="B433" t="e">
        <f>IF(ISBLANK('Master Submitted DPDs'!#REF!),"",'Master Submitted DPDs'!#REF!)</f>
        <v>#REF!</v>
      </c>
      <c r="C433" s="3" t="str">
        <f>IF(ISBLANK('Master Submitted DPDs'!#REF!),"","IH")</f>
        <v>IH</v>
      </c>
      <c r="D433" s="3" t="e">
        <f>LOOKUP($F433,'fuzzy LPA lookup'!$E:$E,'fuzzy LPA lookup'!$A:$A)</f>
        <v>#REF!</v>
      </c>
      <c r="E433" s="3" t="e">
        <f>LOOKUP($F433,'fuzzy LPA lookup'!$E:$E,'fuzzy LPA lookup'!$D:$D)</f>
        <v>#REF!</v>
      </c>
      <c r="F433" s="8" t="e">
        <f>IF(ISBLANK('Master Submitted DPDs'!#REF!),"",'Master Submitted DPDs'!#REF!)</f>
        <v>#REF!</v>
      </c>
      <c r="G433" t="str">
        <f>IF(ISBLANK('Master Submitted DPDs'!#REF!),"","Withdrawn")</f>
        <v>Withdrawn</v>
      </c>
      <c r="H433" s="2" t="e">
        <f>IF(ISBLANK('Master Submitted DPDs'!#REF!),"",'Master Submitted DPDs'!#REF!)</f>
        <v>#REF!</v>
      </c>
      <c r="I433" s="3"/>
      <c r="J433" s="3"/>
      <c r="K433" s="3"/>
      <c r="L433" s="2" t="e">
        <f>IF(ISBLANK('Master Submitted DPDs'!#REF!),"",'Master Submitted DPDs'!#REF!)</f>
        <v>#REF!</v>
      </c>
      <c r="M433" s="2" t="e">
        <f t="shared" si="12"/>
        <v>#REF!</v>
      </c>
      <c r="N433" s="2" t="e">
        <f>IF(ISBLANK('Master Submitted DPDs'!#REF!),IF(ISBLANK('Master Submitted DPDs'!#REF!),"",'Master Submitted DPDs'!#REF!),'Master Submitted DPDs'!#REF!)</f>
        <v>#REF!</v>
      </c>
      <c r="O433" s="2" t="e">
        <f>IF(ISBLANK('Master Submitted DPDs'!#REF!),"",'Master Submitted DPDs'!#REF!)</f>
        <v>#REF!</v>
      </c>
      <c r="P433" s="2" t="e">
        <f>IF(ISBLANK('Master Submitted DPDs'!#REF!),"",'Master Submitted DPDs'!#REF!)</f>
        <v>#REF!</v>
      </c>
      <c r="Q433" t="e">
        <f>IF(ISBLANK('Master Submitted DPDs'!#REF!),"",'Master Submitted DPDs'!#REF!)</f>
        <v>#REF!</v>
      </c>
      <c r="R433" t="e">
        <f t="shared" si="13"/>
        <v>#REF!</v>
      </c>
      <c r="S433" s="3"/>
      <c r="T433" t="e">
        <f>IF(ISBLANK('Master Submitted DPDs'!#REF!),"",'Master Submitted DPDs'!#REF!)</f>
        <v>#REF!</v>
      </c>
    </row>
    <row r="434" spans="1:20" ht="15" x14ac:dyDescent="0.2">
      <c r="A434" s="3" t="str">
        <f>IF(ISBLANK('Master Submitted DPDs'!#REF!),"","Local Plans")</f>
        <v>Local Plans</v>
      </c>
      <c r="B434" t="e">
        <f>IF(ISBLANK('Master Submitted DPDs'!#REF!),"",'Master Submitted DPDs'!#REF!)</f>
        <v>#REF!</v>
      </c>
      <c r="C434" s="3" t="str">
        <f>IF(ISBLANK('Master Submitted DPDs'!#REF!),"","IH")</f>
        <v>IH</v>
      </c>
      <c r="D434" s="3" t="e">
        <f>LOOKUP($F434,'fuzzy LPA lookup'!$E:$E,'fuzzy LPA lookup'!$A:$A)</f>
        <v>#REF!</v>
      </c>
      <c r="E434" s="3" t="e">
        <f>LOOKUP($F434,'fuzzy LPA lookup'!$E:$E,'fuzzy LPA lookup'!$D:$D)</f>
        <v>#REF!</v>
      </c>
      <c r="F434" s="8" t="e">
        <f>IF(ISBLANK('Master Submitted DPDs'!#REF!),"",'Master Submitted DPDs'!#REF!)</f>
        <v>#REF!</v>
      </c>
      <c r="G434" t="str">
        <f>IF(ISBLANK('Master Submitted DPDs'!#REF!),"","Withdrawn")</f>
        <v>Withdrawn</v>
      </c>
      <c r="H434" s="2" t="e">
        <f>IF(ISBLANK('Master Submitted DPDs'!#REF!),"",'Master Submitted DPDs'!#REF!)</f>
        <v>#REF!</v>
      </c>
      <c r="I434" s="3"/>
      <c r="J434" s="3"/>
      <c r="K434" s="3"/>
      <c r="L434" s="2" t="e">
        <f>IF(ISBLANK('Master Submitted DPDs'!#REF!),"",'Master Submitted DPDs'!#REF!)</f>
        <v>#REF!</v>
      </c>
      <c r="M434" s="2" t="e">
        <f t="shared" si="12"/>
        <v>#REF!</v>
      </c>
      <c r="N434" s="2" t="e">
        <f>IF(ISBLANK('Master Submitted DPDs'!#REF!),IF(ISBLANK('Master Submitted DPDs'!#REF!),"",'Master Submitted DPDs'!#REF!),'Master Submitted DPDs'!#REF!)</f>
        <v>#REF!</v>
      </c>
      <c r="O434" s="2" t="e">
        <f>IF(ISBLANK('Master Submitted DPDs'!#REF!),"",'Master Submitted DPDs'!#REF!)</f>
        <v>#REF!</v>
      </c>
      <c r="P434" s="2" t="e">
        <f>IF(ISBLANK('Master Submitted DPDs'!#REF!),"",'Master Submitted DPDs'!#REF!)</f>
        <v>#REF!</v>
      </c>
      <c r="Q434" t="e">
        <f>IF(ISBLANK('Master Submitted DPDs'!#REF!),"",'Master Submitted DPDs'!#REF!)</f>
        <v>#REF!</v>
      </c>
      <c r="R434" t="e">
        <f t="shared" si="13"/>
        <v>#REF!</v>
      </c>
      <c r="S434" s="3"/>
      <c r="T434" t="e">
        <f>IF(ISBLANK('Master Submitted DPDs'!#REF!),"",'Master Submitted DPDs'!#REF!)</f>
        <v>#REF!</v>
      </c>
    </row>
    <row r="435" spans="1:20" ht="15" x14ac:dyDescent="0.2">
      <c r="A435" s="3" t="str">
        <f>IF(ISBLANK('Master Submitted DPDs'!#REF!),"","Local Plans")</f>
        <v>Local Plans</v>
      </c>
      <c r="B435" t="e">
        <f>IF(ISBLANK('Master Submitted DPDs'!#REF!),"",'Master Submitted DPDs'!#REF!)</f>
        <v>#REF!</v>
      </c>
      <c r="C435" s="3" t="str">
        <f>IF(ISBLANK('Master Submitted DPDs'!#REF!),"","IH")</f>
        <v>IH</v>
      </c>
      <c r="D435" s="3" t="e">
        <f>LOOKUP($F435,'fuzzy LPA lookup'!$E:$E,'fuzzy LPA lookup'!$A:$A)</f>
        <v>#REF!</v>
      </c>
      <c r="E435" s="3" t="e">
        <f>LOOKUP($F435,'fuzzy LPA lookup'!$E:$E,'fuzzy LPA lookup'!$D:$D)</f>
        <v>#REF!</v>
      </c>
      <c r="F435" s="8" t="e">
        <f>IF(ISBLANK('Master Submitted DPDs'!#REF!),"",'Master Submitted DPDs'!#REF!)</f>
        <v>#REF!</v>
      </c>
      <c r="G435" t="str">
        <f>IF(ISBLANK('Master Submitted DPDs'!#REF!),"","Withdrawn")</f>
        <v>Withdrawn</v>
      </c>
      <c r="H435" s="2" t="e">
        <f>IF(ISBLANK('Master Submitted DPDs'!#REF!),"",'Master Submitted DPDs'!#REF!)</f>
        <v>#REF!</v>
      </c>
      <c r="I435" s="3"/>
      <c r="J435" s="3"/>
      <c r="K435" s="3"/>
      <c r="L435" s="2" t="e">
        <f>IF(ISBLANK('Master Submitted DPDs'!#REF!),"",'Master Submitted DPDs'!#REF!)</f>
        <v>#REF!</v>
      </c>
      <c r="M435" s="2" t="e">
        <f t="shared" si="12"/>
        <v>#REF!</v>
      </c>
      <c r="N435" s="2" t="e">
        <f>IF(ISBLANK('Master Submitted DPDs'!#REF!),IF(ISBLANK('Master Submitted DPDs'!#REF!),"",'Master Submitted DPDs'!#REF!),'Master Submitted DPDs'!#REF!)</f>
        <v>#REF!</v>
      </c>
      <c r="O435" s="2" t="e">
        <f>IF(ISBLANK('Master Submitted DPDs'!#REF!),"",'Master Submitted DPDs'!#REF!)</f>
        <v>#REF!</v>
      </c>
      <c r="P435" s="2" t="e">
        <f>IF(ISBLANK('Master Submitted DPDs'!#REF!),"",'Master Submitted DPDs'!#REF!)</f>
        <v>#REF!</v>
      </c>
      <c r="Q435" t="e">
        <f>IF(ISBLANK('Master Submitted DPDs'!#REF!),"",'Master Submitted DPDs'!#REF!)</f>
        <v>#REF!</v>
      </c>
      <c r="R435" t="e">
        <f t="shared" si="13"/>
        <v>#REF!</v>
      </c>
      <c r="S435" s="3"/>
      <c r="T435" t="e">
        <f>IF(ISBLANK('Master Submitted DPDs'!#REF!),"",'Master Submitted DPDs'!#REF!)</f>
        <v>#REF!</v>
      </c>
    </row>
    <row r="436" spans="1:20" ht="15" x14ac:dyDescent="0.2">
      <c r="A436" s="3" t="str">
        <f>IF(ISBLANK('Master Submitted DPDs'!#REF!),"","Local Plans")</f>
        <v>Local Plans</v>
      </c>
      <c r="B436" t="e">
        <f>IF(ISBLANK('Master Submitted DPDs'!#REF!),"",'Master Submitted DPDs'!#REF!)</f>
        <v>#REF!</v>
      </c>
      <c r="C436" s="3" t="str">
        <f>IF(ISBLANK('Master Submitted DPDs'!#REF!),"","IH")</f>
        <v>IH</v>
      </c>
      <c r="D436" s="3" t="e">
        <f>LOOKUP($F436,'fuzzy LPA lookup'!$E:$E,'fuzzy LPA lookup'!$A:$A)</f>
        <v>#REF!</v>
      </c>
      <c r="E436" s="3" t="e">
        <f>LOOKUP($F436,'fuzzy LPA lookup'!$E:$E,'fuzzy LPA lookup'!$D:$D)</f>
        <v>#REF!</v>
      </c>
      <c r="F436" s="8" t="e">
        <f>IF(ISBLANK('Master Submitted DPDs'!#REF!),"",'Master Submitted DPDs'!#REF!)</f>
        <v>#REF!</v>
      </c>
      <c r="G436" t="str">
        <f>IF(ISBLANK('Master Submitted DPDs'!#REF!),"","Withdrawn")</f>
        <v>Withdrawn</v>
      </c>
      <c r="H436" s="2" t="e">
        <f>IF(ISBLANK('Master Submitted DPDs'!#REF!),"",'Master Submitted DPDs'!#REF!)</f>
        <v>#REF!</v>
      </c>
      <c r="I436" s="3"/>
      <c r="J436" s="3"/>
      <c r="K436" s="3"/>
      <c r="L436" s="2" t="e">
        <f>IF(ISBLANK('Master Submitted DPDs'!#REF!),"",'Master Submitted DPDs'!#REF!)</f>
        <v>#REF!</v>
      </c>
      <c r="M436" s="2" t="e">
        <f t="shared" si="12"/>
        <v>#REF!</v>
      </c>
      <c r="N436" s="2" t="e">
        <f>IF(ISBLANK('Master Submitted DPDs'!#REF!),IF(ISBLANK('Master Submitted DPDs'!#REF!),"",'Master Submitted DPDs'!#REF!),'Master Submitted DPDs'!#REF!)</f>
        <v>#REF!</v>
      </c>
      <c r="O436" s="2" t="e">
        <f>IF(ISBLANK('Master Submitted DPDs'!#REF!),"",'Master Submitted DPDs'!#REF!)</f>
        <v>#REF!</v>
      </c>
      <c r="P436" s="2" t="e">
        <f>IF(ISBLANK('Master Submitted DPDs'!#REF!),"",'Master Submitted DPDs'!#REF!)</f>
        <v>#REF!</v>
      </c>
      <c r="Q436" t="e">
        <f>IF(ISBLANK('Master Submitted DPDs'!#REF!),"",'Master Submitted DPDs'!#REF!)</f>
        <v>#REF!</v>
      </c>
      <c r="R436" t="e">
        <f t="shared" si="13"/>
        <v>#REF!</v>
      </c>
      <c r="S436" s="3"/>
      <c r="T436" t="e">
        <f>IF(ISBLANK('Master Submitted DPDs'!#REF!),"",'Master Submitted DPDs'!#REF!)</f>
        <v>#REF!</v>
      </c>
    </row>
    <row r="437" spans="1:20" ht="15" x14ac:dyDescent="0.2">
      <c r="A437" s="3" t="str">
        <f>IF(ISBLANK('Master Submitted DPDs'!#REF!),"","Local Plans")</f>
        <v>Local Plans</v>
      </c>
      <c r="B437" t="e">
        <f>IF(ISBLANK('Master Submitted DPDs'!#REF!),"",'Master Submitted DPDs'!#REF!)</f>
        <v>#REF!</v>
      </c>
      <c r="C437" s="3" t="str">
        <f>IF(ISBLANK('Master Submitted DPDs'!#REF!),"","IH")</f>
        <v>IH</v>
      </c>
      <c r="D437" s="3" t="e">
        <f>LOOKUP($F437,'fuzzy LPA lookup'!$E:$E,'fuzzy LPA lookup'!$A:$A)</f>
        <v>#REF!</v>
      </c>
      <c r="E437" s="3" t="e">
        <f>LOOKUP($F437,'fuzzy LPA lookup'!$E:$E,'fuzzy LPA lookup'!$D:$D)</f>
        <v>#REF!</v>
      </c>
      <c r="F437" s="8" t="e">
        <f>IF(ISBLANK('Master Submitted DPDs'!#REF!),"",'Master Submitted DPDs'!#REF!)</f>
        <v>#REF!</v>
      </c>
      <c r="G437" t="str">
        <f>IF(ISBLANK('Master Submitted DPDs'!#REF!),"","Withdrawn")</f>
        <v>Withdrawn</v>
      </c>
      <c r="H437" s="2" t="e">
        <f>IF(ISBLANK('Master Submitted DPDs'!#REF!),"",'Master Submitted DPDs'!#REF!)</f>
        <v>#REF!</v>
      </c>
      <c r="I437" s="3"/>
      <c r="J437" s="3"/>
      <c r="K437" s="3"/>
      <c r="L437" s="2" t="e">
        <f>IF(ISBLANK('Master Submitted DPDs'!#REF!),"",'Master Submitted DPDs'!#REF!)</f>
        <v>#REF!</v>
      </c>
      <c r="M437" s="2" t="e">
        <f t="shared" si="12"/>
        <v>#REF!</v>
      </c>
      <c r="N437" s="2" t="e">
        <f>IF(ISBLANK('Master Submitted DPDs'!#REF!),IF(ISBLANK('Master Submitted DPDs'!#REF!),"",'Master Submitted DPDs'!#REF!),'Master Submitted DPDs'!#REF!)</f>
        <v>#REF!</v>
      </c>
      <c r="O437" s="2" t="e">
        <f>IF(ISBLANK('Master Submitted DPDs'!#REF!),"",'Master Submitted DPDs'!#REF!)</f>
        <v>#REF!</v>
      </c>
      <c r="P437" s="2" t="e">
        <f>IF(ISBLANK('Master Submitted DPDs'!#REF!),"",'Master Submitted DPDs'!#REF!)</f>
        <v>#REF!</v>
      </c>
      <c r="Q437" t="e">
        <f>IF(ISBLANK('Master Submitted DPDs'!#REF!),"",'Master Submitted DPDs'!#REF!)</f>
        <v>#REF!</v>
      </c>
      <c r="R437" t="e">
        <f t="shared" si="13"/>
        <v>#REF!</v>
      </c>
      <c r="S437" s="3"/>
      <c r="T437" t="e">
        <f>IF(ISBLANK('Master Submitted DPDs'!#REF!),"",'Master Submitted DPDs'!#REF!)</f>
        <v>#REF!</v>
      </c>
    </row>
    <row r="438" spans="1:20" ht="15" x14ac:dyDescent="0.2">
      <c r="A438" s="3" t="str">
        <f>IF(ISBLANK('Master Submitted DPDs'!#REF!),"","Local Plans")</f>
        <v>Local Plans</v>
      </c>
      <c r="B438" t="e">
        <f>IF(ISBLANK('Master Submitted DPDs'!#REF!),"",'Master Submitted DPDs'!#REF!)</f>
        <v>#REF!</v>
      </c>
      <c r="C438" s="3" t="str">
        <f>IF(ISBLANK('Master Submitted DPDs'!#REF!),"","IH")</f>
        <v>IH</v>
      </c>
      <c r="D438" s="3" t="e">
        <f>LOOKUP($F438,'fuzzy LPA lookup'!$E:$E,'fuzzy LPA lookup'!$A:$A)</f>
        <v>#REF!</v>
      </c>
      <c r="E438" s="3" t="e">
        <f>LOOKUP($F438,'fuzzy LPA lookup'!$E:$E,'fuzzy LPA lookup'!$D:$D)</f>
        <v>#REF!</v>
      </c>
      <c r="F438" s="8" t="e">
        <f>IF(ISBLANK('Master Submitted DPDs'!#REF!),"",'Master Submitted DPDs'!#REF!)</f>
        <v>#REF!</v>
      </c>
      <c r="G438" t="str">
        <f>IF(ISBLANK('Master Submitted DPDs'!#REF!),"","Withdrawn")</f>
        <v>Withdrawn</v>
      </c>
      <c r="H438" s="2" t="e">
        <f>IF(ISBLANK('Master Submitted DPDs'!#REF!),"",'Master Submitted DPDs'!#REF!)</f>
        <v>#REF!</v>
      </c>
      <c r="I438" s="3"/>
      <c r="J438" s="3"/>
      <c r="K438" s="3"/>
      <c r="L438" s="2" t="e">
        <f>IF(ISBLANK('Master Submitted DPDs'!#REF!),"",'Master Submitted DPDs'!#REF!)</f>
        <v>#REF!</v>
      </c>
      <c r="M438" s="2" t="e">
        <f t="shared" si="12"/>
        <v>#REF!</v>
      </c>
      <c r="N438" s="2" t="e">
        <f>IF(ISBLANK('Master Submitted DPDs'!#REF!),IF(ISBLANK('Master Submitted DPDs'!#REF!),"",'Master Submitted DPDs'!#REF!),'Master Submitted DPDs'!#REF!)</f>
        <v>#REF!</v>
      </c>
      <c r="O438" s="2" t="e">
        <f>IF(ISBLANK('Master Submitted DPDs'!#REF!),"",'Master Submitted DPDs'!#REF!)</f>
        <v>#REF!</v>
      </c>
      <c r="P438" s="2" t="e">
        <f>IF(ISBLANK('Master Submitted DPDs'!#REF!),"",'Master Submitted DPDs'!#REF!)</f>
        <v>#REF!</v>
      </c>
      <c r="Q438" t="e">
        <f>IF(ISBLANK('Master Submitted DPDs'!#REF!),"",'Master Submitted DPDs'!#REF!)</f>
        <v>#REF!</v>
      </c>
      <c r="R438" t="e">
        <f t="shared" si="13"/>
        <v>#REF!</v>
      </c>
      <c r="S438" s="3"/>
      <c r="T438" t="e">
        <f>IF(ISBLANK('Master Submitted DPDs'!#REF!),"",'Master Submitted DPDs'!#REF!)</f>
        <v>#REF!</v>
      </c>
    </row>
    <row r="439" spans="1:20" ht="15" x14ac:dyDescent="0.2">
      <c r="A439" s="3" t="str">
        <f>IF(ISBLANK('Master Submitted DPDs'!#REF!),"","Local Plans")</f>
        <v>Local Plans</v>
      </c>
      <c r="B439" t="e">
        <f>IF(ISBLANK('Master Submitted DPDs'!#REF!),"",'Master Submitted DPDs'!#REF!)</f>
        <v>#REF!</v>
      </c>
      <c r="C439" s="3" t="str">
        <f>IF(ISBLANK('Master Submitted DPDs'!#REF!),"","IH")</f>
        <v>IH</v>
      </c>
      <c r="D439" s="3" t="e">
        <f>LOOKUP($F439,'fuzzy LPA lookup'!$E:$E,'fuzzy LPA lookup'!$A:$A)</f>
        <v>#REF!</v>
      </c>
      <c r="E439" s="3" t="e">
        <f>LOOKUP($F439,'fuzzy LPA lookup'!$E:$E,'fuzzy LPA lookup'!$D:$D)</f>
        <v>#REF!</v>
      </c>
      <c r="F439" s="8" t="e">
        <f>IF(ISBLANK('Master Submitted DPDs'!#REF!),"",'Master Submitted DPDs'!#REF!)</f>
        <v>#REF!</v>
      </c>
      <c r="G439" t="str">
        <f>IF(ISBLANK('Master Submitted DPDs'!#REF!),"","Withdrawn")</f>
        <v>Withdrawn</v>
      </c>
      <c r="H439" s="2" t="e">
        <f>IF(ISBLANK('Master Submitted DPDs'!#REF!),"",'Master Submitted DPDs'!#REF!)</f>
        <v>#REF!</v>
      </c>
      <c r="I439" s="3"/>
      <c r="J439" s="3"/>
      <c r="K439" s="3"/>
      <c r="L439" s="2" t="e">
        <f>IF(ISBLANK('Master Submitted DPDs'!#REF!),"",'Master Submitted DPDs'!#REF!)</f>
        <v>#REF!</v>
      </c>
      <c r="M439" s="2" t="e">
        <f t="shared" si="12"/>
        <v>#REF!</v>
      </c>
      <c r="N439" s="2" t="e">
        <f>IF(ISBLANK('Master Submitted DPDs'!#REF!),IF(ISBLANK('Master Submitted DPDs'!#REF!),"",'Master Submitted DPDs'!#REF!),'Master Submitted DPDs'!#REF!)</f>
        <v>#REF!</v>
      </c>
      <c r="O439" s="2" t="e">
        <f>IF(ISBLANK('Master Submitted DPDs'!#REF!),"",'Master Submitted DPDs'!#REF!)</f>
        <v>#REF!</v>
      </c>
      <c r="P439" s="2" t="e">
        <f>IF(ISBLANK('Master Submitted DPDs'!#REF!),"",'Master Submitted DPDs'!#REF!)</f>
        <v>#REF!</v>
      </c>
      <c r="Q439" t="e">
        <f>IF(ISBLANK('Master Submitted DPDs'!#REF!),"",'Master Submitted DPDs'!#REF!)</f>
        <v>#REF!</v>
      </c>
      <c r="R439" t="e">
        <f t="shared" si="13"/>
        <v>#REF!</v>
      </c>
      <c r="S439" s="3"/>
      <c r="T439" t="e">
        <f>IF(ISBLANK('Master Submitted DPDs'!#REF!),"",'Master Submitted DPDs'!#REF!)</f>
        <v>#REF!</v>
      </c>
    </row>
    <row r="440" spans="1:20" ht="15" x14ac:dyDescent="0.2">
      <c r="A440" s="3" t="str">
        <f>IF(ISBLANK('Master Submitted DPDs'!#REF!),"","Local Plans")</f>
        <v>Local Plans</v>
      </c>
      <c r="B440" t="e">
        <f>IF(ISBLANK('Master Submitted DPDs'!#REF!),"",'Master Submitted DPDs'!#REF!)</f>
        <v>#REF!</v>
      </c>
      <c r="C440" s="3" t="str">
        <f>IF(ISBLANK('Master Submitted DPDs'!#REF!),"","IH")</f>
        <v>IH</v>
      </c>
      <c r="D440" s="3" t="e">
        <f>LOOKUP($F440,'fuzzy LPA lookup'!$E:$E,'fuzzy LPA lookup'!$A:$A)</f>
        <v>#REF!</v>
      </c>
      <c r="E440" s="3" t="e">
        <f>LOOKUP($F440,'fuzzy LPA lookup'!$E:$E,'fuzzy LPA lookup'!$D:$D)</f>
        <v>#REF!</v>
      </c>
      <c r="F440" s="8" t="e">
        <f>IF(ISBLANK('Master Submitted DPDs'!#REF!),"",'Master Submitted DPDs'!#REF!)</f>
        <v>#REF!</v>
      </c>
      <c r="G440" t="str">
        <f>IF(ISBLANK('Master Submitted DPDs'!#REF!),"","Withdrawn")</f>
        <v>Withdrawn</v>
      </c>
      <c r="H440" s="2" t="e">
        <f>IF(ISBLANK('Master Submitted DPDs'!#REF!),"",'Master Submitted DPDs'!#REF!)</f>
        <v>#REF!</v>
      </c>
      <c r="I440" s="3"/>
      <c r="J440" s="3"/>
      <c r="K440" s="3"/>
      <c r="L440" s="2" t="e">
        <f>IF(ISBLANK('Master Submitted DPDs'!#REF!),"",'Master Submitted DPDs'!#REF!)</f>
        <v>#REF!</v>
      </c>
      <c r="M440" s="2" t="e">
        <f t="shared" si="12"/>
        <v>#REF!</v>
      </c>
      <c r="N440" s="2" t="e">
        <f>IF(ISBLANK('Master Submitted DPDs'!#REF!),IF(ISBLANK('Master Submitted DPDs'!#REF!),"",'Master Submitted DPDs'!#REF!),'Master Submitted DPDs'!#REF!)</f>
        <v>#REF!</v>
      </c>
      <c r="O440" s="2" t="e">
        <f>IF(ISBLANK('Master Submitted DPDs'!#REF!),"",'Master Submitted DPDs'!#REF!)</f>
        <v>#REF!</v>
      </c>
      <c r="P440" s="2" t="e">
        <f>IF(ISBLANK('Master Submitted DPDs'!#REF!),"",'Master Submitted DPDs'!#REF!)</f>
        <v>#REF!</v>
      </c>
      <c r="Q440" t="e">
        <f>IF(ISBLANK('Master Submitted DPDs'!#REF!),"",'Master Submitted DPDs'!#REF!)</f>
        <v>#REF!</v>
      </c>
      <c r="R440" t="e">
        <f t="shared" si="13"/>
        <v>#REF!</v>
      </c>
      <c r="S440" s="3"/>
      <c r="T440" t="e">
        <f>IF(ISBLANK('Master Submitted DPDs'!#REF!),"",'Master Submitted DPDs'!#REF!)</f>
        <v>#REF!</v>
      </c>
    </row>
    <row r="441" spans="1:20" ht="15" x14ac:dyDescent="0.2">
      <c r="A441" s="3" t="str">
        <f>IF(ISBLANK('Master Submitted DPDs'!#REF!),"","Local Plans")</f>
        <v>Local Plans</v>
      </c>
      <c r="B441" t="e">
        <f>IF(ISBLANK('Master Submitted DPDs'!#REF!),"",'Master Submitted DPDs'!#REF!)</f>
        <v>#REF!</v>
      </c>
      <c r="C441" s="3" t="str">
        <f>IF(ISBLANK('Master Submitted DPDs'!#REF!),"","IH")</f>
        <v>IH</v>
      </c>
      <c r="D441" s="3" t="e">
        <f>LOOKUP($F441,'fuzzy LPA lookup'!$E:$E,'fuzzy LPA lookup'!$A:$A)</f>
        <v>#REF!</v>
      </c>
      <c r="E441" s="3" t="e">
        <f>LOOKUP($F441,'fuzzy LPA lookup'!$E:$E,'fuzzy LPA lookup'!$D:$D)</f>
        <v>#REF!</v>
      </c>
      <c r="F441" s="8" t="e">
        <f>IF(ISBLANK('Master Submitted DPDs'!#REF!),"",'Master Submitted DPDs'!#REF!)</f>
        <v>#REF!</v>
      </c>
      <c r="G441" t="str">
        <f>IF(ISBLANK('Master Submitted DPDs'!#REF!),"","Withdrawn")</f>
        <v>Withdrawn</v>
      </c>
      <c r="H441" s="2" t="e">
        <f>IF(ISBLANK('Master Submitted DPDs'!#REF!),"",'Master Submitted DPDs'!#REF!)</f>
        <v>#REF!</v>
      </c>
      <c r="I441" s="3"/>
      <c r="J441" s="3"/>
      <c r="K441" s="3"/>
      <c r="L441" s="2" t="e">
        <f>IF(ISBLANK('Master Submitted DPDs'!#REF!),"",'Master Submitted DPDs'!#REF!)</f>
        <v>#REF!</v>
      </c>
      <c r="M441" s="2" t="e">
        <f t="shared" si="12"/>
        <v>#REF!</v>
      </c>
      <c r="N441" s="2" t="e">
        <f>IF(ISBLANK('Master Submitted DPDs'!#REF!),IF(ISBLANK('Master Submitted DPDs'!#REF!),"",'Master Submitted DPDs'!#REF!),'Master Submitted DPDs'!#REF!)</f>
        <v>#REF!</v>
      </c>
      <c r="O441" s="2" t="e">
        <f>IF(ISBLANK('Master Submitted DPDs'!#REF!),"",'Master Submitted DPDs'!#REF!)</f>
        <v>#REF!</v>
      </c>
      <c r="P441" s="2" t="e">
        <f>IF(ISBLANK('Master Submitted DPDs'!#REF!),"",'Master Submitted DPDs'!#REF!)</f>
        <v>#REF!</v>
      </c>
      <c r="Q441" t="e">
        <f>IF(ISBLANK('Master Submitted DPDs'!#REF!),"",'Master Submitted DPDs'!#REF!)</f>
        <v>#REF!</v>
      </c>
      <c r="R441" t="e">
        <f t="shared" si="13"/>
        <v>#REF!</v>
      </c>
      <c r="S441" s="3"/>
      <c r="T441" t="e">
        <f>IF(ISBLANK('Master Submitted DPDs'!#REF!),"",'Master Submitted DPDs'!#REF!)</f>
        <v>#REF!</v>
      </c>
    </row>
    <row r="442" spans="1:20" ht="15" x14ac:dyDescent="0.2">
      <c r="A442" s="3" t="str">
        <f>IF(ISBLANK('Master Submitted DPDs'!#REF!),"","Local Plans")</f>
        <v>Local Plans</v>
      </c>
      <c r="B442" t="e">
        <f>IF(ISBLANK('Master Submitted DPDs'!#REF!),"",'Master Submitted DPDs'!#REF!)</f>
        <v>#REF!</v>
      </c>
      <c r="C442" s="3" t="str">
        <f>IF(ISBLANK('Master Submitted DPDs'!#REF!),"","IH")</f>
        <v>IH</v>
      </c>
      <c r="D442" s="3" t="e">
        <f>LOOKUP($F442,'fuzzy LPA lookup'!$E:$E,'fuzzy LPA lookup'!$A:$A)</f>
        <v>#REF!</v>
      </c>
      <c r="E442" s="3" t="e">
        <f>LOOKUP($F442,'fuzzy LPA lookup'!$E:$E,'fuzzy LPA lookup'!$D:$D)</f>
        <v>#REF!</v>
      </c>
      <c r="F442" s="8" t="e">
        <f>IF(ISBLANK('Master Submitted DPDs'!#REF!),"",'Master Submitted DPDs'!#REF!)</f>
        <v>#REF!</v>
      </c>
      <c r="G442" t="str">
        <f>IF(ISBLANK('Master Submitted DPDs'!#REF!),"","Withdrawn")</f>
        <v>Withdrawn</v>
      </c>
      <c r="H442" s="2" t="e">
        <f>IF(ISBLANK('Master Submitted DPDs'!#REF!),"",'Master Submitted DPDs'!#REF!)</f>
        <v>#REF!</v>
      </c>
      <c r="I442" s="3"/>
      <c r="J442" s="3"/>
      <c r="K442" s="3"/>
      <c r="L442" s="2" t="e">
        <f>IF(ISBLANK('Master Submitted DPDs'!#REF!),"",'Master Submitted DPDs'!#REF!)</f>
        <v>#REF!</v>
      </c>
      <c r="M442" s="2" t="e">
        <f t="shared" si="12"/>
        <v>#REF!</v>
      </c>
      <c r="N442" s="2" t="e">
        <f>IF(ISBLANK('Master Submitted DPDs'!#REF!),IF(ISBLANK('Master Submitted DPDs'!#REF!),"",'Master Submitted DPDs'!#REF!),'Master Submitted DPDs'!#REF!)</f>
        <v>#REF!</v>
      </c>
      <c r="O442" s="2" t="e">
        <f>IF(ISBLANK('Master Submitted DPDs'!#REF!),"",'Master Submitted DPDs'!#REF!)</f>
        <v>#REF!</v>
      </c>
      <c r="P442" s="2" t="e">
        <f>IF(ISBLANK('Master Submitted DPDs'!#REF!),"",'Master Submitted DPDs'!#REF!)</f>
        <v>#REF!</v>
      </c>
      <c r="Q442" t="e">
        <f>IF(ISBLANK('Master Submitted DPDs'!#REF!),"",'Master Submitted DPDs'!#REF!)</f>
        <v>#REF!</v>
      </c>
      <c r="R442" t="e">
        <f t="shared" si="13"/>
        <v>#REF!</v>
      </c>
      <c r="S442" s="3"/>
      <c r="T442" t="e">
        <f>IF(ISBLANK('Master Submitted DPDs'!#REF!),"",'Master Submitted DPDs'!#REF!)</f>
        <v>#REF!</v>
      </c>
    </row>
    <row r="443" spans="1:20" ht="15" x14ac:dyDescent="0.2">
      <c r="A443" s="3" t="str">
        <f>IF(ISBLANK('Master Submitted DPDs'!#REF!),"","Local Plans")</f>
        <v>Local Plans</v>
      </c>
      <c r="B443" t="e">
        <f>IF(ISBLANK('Master Submitted DPDs'!#REF!),"",'Master Submitted DPDs'!#REF!)</f>
        <v>#REF!</v>
      </c>
      <c r="C443" s="3" t="str">
        <f>IF(ISBLANK('Master Submitted DPDs'!#REF!),"","IH")</f>
        <v>IH</v>
      </c>
      <c r="D443" s="3" t="e">
        <f>LOOKUP($F443,'fuzzy LPA lookup'!$E:$E,'fuzzy LPA lookup'!$A:$A)</f>
        <v>#REF!</v>
      </c>
      <c r="E443" s="3" t="e">
        <f>LOOKUP($F443,'fuzzy LPA lookup'!$E:$E,'fuzzy LPA lookup'!$D:$D)</f>
        <v>#REF!</v>
      </c>
      <c r="F443" s="8" t="e">
        <f>IF(ISBLANK('Master Submitted DPDs'!#REF!),"",'Master Submitted DPDs'!#REF!)</f>
        <v>#REF!</v>
      </c>
      <c r="G443" t="str">
        <f>IF(ISBLANK('Master Submitted DPDs'!#REF!),"","Withdrawn")</f>
        <v>Withdrawn</v>
      </c>
      <c r="H443" s="2" t="e">
        <f>IF(ISBLANK('Master Submitted DPDs'!#REF!),"",'Master Submitted DPDs'!#REF!)</f>
        <v>#REF!</v>
      </c>
      <c r="I443" s="3"/>
      <c r="J443" s="3"/>
      <c r="K443" s="3"/>
      <c r="L443" s="2" t="e">
        <f>IF(ISBLANK('Master Submitted DPDs'!#REF!),"",'Master Submitted DPDs'!#REF!)</f>
        <v>#REF!</v>
      </c>
      <c r="M443" s="2" t="e">
        <f t="shared" si="12"/>
        <v>#REF!</v>
      </c>
      <c r="N443" s="2" t="e">
        <f>IF(ISBLANK('Master Submitted DPDs'!#REF!),IF(ISBLANK('Master Submitted DPDs'!#REF!),"",'Master Submitted DPDs'!#REF!),'Master Submitted DPDs'!#REF!)</f>
        <v>#REF!</v>
      </c>
      <c r="O443" s="2" t="e">
        <f>IF(ISBLANK('Master Submitted DPDs'!#REF!),"",'Master Submitted DPDs'!#REF!)</f>
        <v>#REF!</v>
      </c>
      <c r="P443" s="2" t="e">
        <f>IF(ISBLANK('Master Submitted DPDs'!#REF!),"",'Master Submitted DPDs'!#REF!)</f>
        <v>#REF!</v>
      </c>
      <c r="Q443" t="e">
        <f>IF(ISBLANK('Master Submitted DPDs'!#REF!),"",'Master Submitted DPDs'!#REF!)</f>
        <v>#REF!</v>
      </c>
      <c r="R443" t="e">
        <f t="shared" si="13"/>
        <v>#REF!</v>
      </c>
      <c r="S443" s="3"/>
      <c r="T443" t="e">
        <f>IF(ISBLANK('Master Submitted DPDs'!#REF!),"",'Master Submitted DPDs'!#REF!)</f>
        <v>#REF!</v>
      </c>
    </row>
    <row r="444" spans="1:20" ht="15" x14ac:dyDescent="0.2">
      <c r="A444" s="3" t="str">
        <f>IF(ISBLANK('Master Submitted DPDs'!#REF!),"","Local Plans")</f>
        <v>Local Plans</v>
      </c>
      <c r="B444" t="e">
        <f>IF(ISBLANK('Master Submitted DPDs'!#REF!),"",'Master Submitted DPDs'!#REF!)</f>
        <v>#REF!</v>
      </c>
      <c r="C444" s="3" t="str">
        <f>IF(ISBLANK('Master Submitted DPDs'!#REF!),"","IH")</f>
        <v>IH</v>
      </c>
      <c r="D444" s="3" t="e">
        <f>LOOKUP($F444,'fuzzy LPA lookup'!$E:$E,'fuzzy LPA lookup'!$A:$A)</f>
        <v>#REF!</v>
      </c>
      <c r="E444" s="3" t="e">
        <f>LOOKUP($F444,'fuzzy LPA lookup'!$E:$E,'fuzzy LPA lookup'!$D:$D)</f>
        <v>#REF!</v>
      </c>
      <c r="F444" s="8" t="e">
        <f>IF(ISBLANK('Master Submitted DPDs'!#REF!),"",'Master Submitted DPDs'!#REF!)</f>
        <v>#REF!</v>
      </c>
      <c r="G444" t="str">
        <f>IF(ISBLANK('Master Submitted DPDs'!#REF!),"","Withdrawn")</f>
        <v>Withdrawn</v>
      </c>
      <c r="H444" s="2" t="e">
        <f>IF(ISBLANK('Master Submitted DPDs'!#REF!),"",'Master Submitted DPDs'!#REF!)</f>
        <v>#REF!</v>
      </c>
      <c r="I444" s="3"/>
      <c r="J444" s="3"/>
      <c r="K444" s="3"/>
      <c r="L444" s="2" t="e">
        <f>IF(ISBLANK('Master Submitted DPDs'!#REF!),"",'Master Submitted DPDs'!#REF!)</f>
        <v>#REF!</v>
      </c>
      <c r="M444" s="2" t="e">
        <f t="shared" si="12"/>
        <v>#REF!</v>
      </c>
      <c r="N444" s="2" t="e">
        <f>IF(ISBLANK('Master Submitted DPDs'!#REF!),IF(ISBLANK('Master Submitted DPDs'!#REF!),"",'Master Submitted DPDs'!#REF!),'Master Submitted DPDs'!#REF!)</f>
        <v>#REF!</v>
      </c>
      <c r="O444" s="2" t="e">
        <f>IF(ISBLANK('Master Submitted DPDs'!#REF!),"",'Master Submitted DPDs'!#REF!)</f>
        <v>#REF!</v>
      </c>
      <c r="P444" s="2" t="e">
        <f>IF(ISBLANK('Master Submitted DPDs'!#REF!),"",'Master Submitted DPDs'!#REF!)</f>
        <v>#REF!</v>
      </c>
      <c r="Q444" t="e">
        <f>IF(ISBLANK('Master Submitted DPDs'!#REF!),"",'Master Submitted DPDs'!#REF!)</f>
        <v>#REF!</v>
      </c>
      <c r="R444" t="e">
        <f t="shared" si="13"/>
        <v>#REF!</v>
      </c>
      <c r="S444" s="3"/>
      <c r="T444" t="e">
        <f>IF(ISBLANK('Master Submitted DPDs'!#REF!),"",'Master Submitted DPDs'!#REF!)</f>
        <v>#REF!</v>
      </c>
    </row>
    <row r="445" spans="1:20" ht="15" x14ac:dyDescent="0.2">
      <c r="A445" s="3" t="str">
        <f>IF(ISBLANK('Master Submitted DPDs'!#REF!),"","Local Plans")</f>
        <v>Local Plans</v>
      </c>
      <c r="B445" t="e">
        <f>IF(ISBLANK('Master Submitted DPDs'!#REF!),"",'Master Submitted DPDs'!#REF!)</f>
        <v>#REF!</v>
      </c>
      <c r="C445" s="3" t="str">
        <f>IF(ISBLANK('Master Submitted DPDs'!#REF!),"","IH")</f>
        <v>IH</v>
      </c>
      <c r="D445" s="3" t="e">
        <f>LOOKUP($F445,'fuzzy LPA lookup'!$E:$E,'fuzzy LPA lookup'!$A:$A)</f>
        <v>#REF!</v>
      </c>
      <c r="E445" s="3" t="e">
        <f>LOOKUP($F445,'fuzzy LPA lookup'!$E:$E,'fuzzy LPA lookup'!$D:$D)</f>
        <v>#REF!</v>
      </c>
      <c r="F445" s="8" t="e">
        <f>IF(ISBLANK('Master Submitted DPDs'!#REF!),"",'Master Submitted DPDs'!#REF!)</f>
        <v>#REF!</v>
      </c>
      <c r="G445" t="str">
        <f>IF(ISBLANK('Master Submitted DPDs'!#REF!),"","Withdrawn")</f>
        <v>Withdrawn</v>
      </c>
      <c r="H445" s="2" t="e">
        <f>IF(ISBLANK('Master Submitted DPDs'!#REF!),"",'Master Submitted DPDs'!#REF!)</f>
        <v>#REF!</v>
      </c>
      <c r="I445" s="3"/>
      <c r="J445" s="3"/>
      <c r="K445" s="3"/>
      <c r="L445" s="2" t="e">
        <f>IF(ISBLANK('Master Submitted DPDs'!#REF!),"",'Master Submitted DPDs'!#REF!)</f>
        <v>#REF!</v>
      </c>
      <c r="M445" s="2" t="e">
        <f t="shared" si="12"/>
        <v>#REF!</v>
      </c>
      <c r="N445" s="2" t="e">
        <f>IF(ISBLANK('Master Submitted DPDs'!#REF!),IF(ISBLANK('Master Submitted DPDs'!#REF!),"",'Master Submitted DPDs'!#REF!),'Master Submitted DPDs'!#REF!)</f>
        <v>#REF!</v>
      </c>
      <c r="O445" s="2" t="e">
        <f>IF(ISBLANK('Master Submitted DPDs'!#REF!),"",'Master Submitted DPDs'!#REF!)</f>
        <v>#REF!</v>
      </c>
      <c r="P445" s="2" t="e">
        <f>IF(ISBLANK('Master Submitted DPDs'!#REF!),"",'Master Submitted DPDs'!#REF!)</f>
        <v>#REF!</v>
      </c>
      <c r="Q445" t="e">
        <f>IF(ISBLANK('Master Submitted DPDs'!#REF!),"",'Master Submitted DPDs'!#REF!)</f>
        <v>#REF!</v>
      </c>
      <c r="R445" t="e">
        <f t="shared" si="13"/>
        <v>#REF!</v>
      </c>
      <c r="S445" s="3"/>
      <c r="T445" t="e">
        <f>IF(ISBLANK('Master Submitted DPDs'!#REF!),"",'Master Submitted DPDs'!#REF!)</f>
        <v>#REF!</v>
      </c>
    </row>
    <row r="446" spans="1:20" ht="15" x14ac:dyDescent="0.2">
      <c r="A446" s="3" t="str">
        <f>IF(ISBLANK('Master Submitted DPDs'!#REF!),"","Local Plans")</f>
        <v>Local Plans</v>
      </c>
      <c r="B446" t="e">
        <f>IF(ISBLANK('Master Submitted DPDs'!#REF!),"",'Master Submitted DPDs'!#REF!)</f>
        <v>#REF!</v>
      </c>
      <c r="C446" s="3" t="str">
        <f>IF(ISBLANK('Master Submitted DPDs'!#REF!),"","IH")</f>
        <v>IH</v>
      </c>
      <c r="D446" s="3" t="e">
        <f>LOOKUP($F446,'fuzzy LPA lookup'!$E:$E,'fuzzy LPA lookup'!$A:$A)</f>
        <v>#REF!</v>
      </c>
      <c r="E446" s="3" t="e">
        <f>LOOKUP($F446,'fuzzy LPA lookup'!$E:$E,'fuzzy LPA lookup'!$D:$D)</f>
        <v>#REF!</v>
      </c>
      <c r="F446" s="8" t="e">
        <f>IF(ISBLANK('Master Submitted DPDs'!#REF!),"",'Master Submitted DPDs'!#REF!)</f>
        <v>#REF!</v>
      </c>
      <c r="G446" t="str">
        <f>IF(ISBLANK('Master Submitted DPDs'!#REF!),"","Withdrawn")</f>
        <v>Withdrawn</v>
      </c>
      <c r="H446" s="2" t="e">
        <f>IF(ISBLANK('Master Submitted DPDs'!#REF!),"",'Master Submitted DPDs'!#REF!)</f>
        <v>#REF!</v>
      </c>
      <c r="I446" s="3"/>
      <c r="J446" s="3"/>
      <c r="K446" s="3"/>
      <c r="L446" s="2" t="e">
        <f>IF(ISBLANK('Master Submitted DPDs'!#REF!),"",'Master Submitted DPDs'!#REF!)</f>
        <v>#REF!</v>
      </c>
      <c r="M446" s="2" t="e">
        <f t="shared" si="12"/>
        <v>#REF!</v>
      </c>
      <c r="N446" s="2" t="e">
        <f>IF(ISBLANK('Master Submitted DPDs'!#REF!),IF(ISBLANK('Master Submitted DPDs'!#REF!),"",'Master Submitted DPDs'!#REF!),'Master Submitted DPDs'!#REF!)</f>
        <v>#REF!</v>
      </c>
      <c r="O446" s="2" t="e">
        <f>IF(ISBLANK('Master Submitted DPDs'!#REF!),"",'Master Submitted DPDs'!#REF!)</f>
        <v>#REF!</v>
      </c>
      <c r="P446" s="2" t="e">
        <f>IF(ISBLANK('Master Submitted DPDs'!#REF!),"",'Master Submitted DPDs'!#REF!)</f>
        <v>#REF!</v>
      </c>
      <c r="Q446" t="e">
        <f>IF(ISBLANK('Master Submitted DPDs'!#REF!),"",'Master Submitted DPDs'!#REF!)</f>
        <v>#REF!</v>
      </c>
      <c r="R446" t="e">
        <f t="shared" si="13"/>
        <v>#REF!</v>
      </c>
      <c r="S446" s="3"/>
      <c r="T446" t="e">
        <f>IF(ISBLANK('Master Submitted DPDs'!#REF!),"",'Master Submitted DPDs'!#REF!)</f>
        <v>#REF!</v>
      </c>
    </row>
    <row r="447" spans="1:20" ht="15" x14ac:dyDescent="0.2">
      <c r="A447" s="3" t="str">
        <f>IF(ISBLANK('Master Submitted DPDs'!#REF!),"","Local Plans")</f>
        <v>Local Plans</v>
      </c>
      <c r="B447" t="e">
        <f>IF(ISBLANK('Master Submitted DPDs'!#REF!),"",'Master Submitted DPDs'!#REF!)</f>
        <v>#REF!</v>
      </c>
      <c r="C447" s="3" t="str">
        <f>IF(ISBLANK('Master Submitted DPDs'!#REF!),"","IH")</f>
        <v>IH</v>
      </c>
      <c r="D447" s="3" t="e">
        <f>LOOKUP($F447,'fuzzy LPA lookup'!$E:$E,'fuzzy LPA lookup'!$A:$A)</f>
        <v>#REF!</v>
      </c>
      <c r="E447" s="3" t="e">
        <f>LOOKUP($F447,'fuzzy LPA lookup'!$E:$E,'fuzzy LPA lookup'!$D:$D)</f>
        <v>#REF!</v>
      </c>
      <c r="F447" s="8" t="e">
        <f>IF(ISBLANK('Master Submitted DPDs'!#REF!),"",'Master Submitted DPDs'!#REF!)</f>
        <v>#REF!</v>
      </c>
      <c r="G447" t="str">
        <f>IF(ISBLANK('Master Submitted DPDs'!#REF!),"","Withdrawn")</f>
        <v>Withdrawn</v>
      </c>
      <c r="H447" s="2" t="e">
        <f>IF(ISBLANK('Master Submitted DPDs'!#REF!),"",'Master Submitted DPDs'!#REF!)</f>
        <v>#REF!</v>
      </c>
      <c r="I447" s="3"/>
      <c r="J447" s="3"/>
      <c r="K447" s="3"/>
      <c r="L447" s="2" t="e">
        <f>IF(ISBLANK('Master Submitted DPDs'!#REF!),"",'Master Submitted DPDs'!#REF!)</f>
        <v>#REF!</v>
      </c>
      <c r="M447" s="2" t="e">
        <f t="shared" si="12"/>
        <v>#REF!</v>
      </c>
      <c r="N447" s="2" t="e">
        <f>IF(ISBLANK('Master Submitted DPDs'!#REF!),IF(ISBLANK('Master Submitted DPDs'!#REF!),"",'Master Submitted DPDs'!#REF!),'Master Submitted DPDs'!#REF!)</f>
        <v>#REF!</v>
      </c>
      <c r="O447" s="2" t="e">
        <f>IF(ISBLANK('Master Submitted DPDs'!#REF!),"",'Master Submitted DPDs'!#REF!)</f>
        <v>#REF!</v>
      </c>
      <c r="P447" s="2" t="e">
        <f>IF(ISBLANK('Master Submitted DPDs'!#REF!),"",'Master Submitted DPDs'!#REF!)</f>
        <v>#REF!</v>
      </c>
      <c r="Q447" t="e">
        <f>IF(ISBLANK('Master Submitted DPDs'!#REF!),"",'Master Submitted DPDs'!#REF!)</f>
        <v>#REF!</v>
      </c>
      <c r="R447" t="e">
        <f t="shared" si="13"/>
        <v>#REF!</v>
      </c>
      <c r="S447" s="3"/>
      <c r="T447" t="e">
        <f>IF(ISBLANK('Master Submitted DPDs'!#REF!),"",'Master Submitted DPDs'!#REF!)</f>
        <v>#REF!</v>
      </c>
    </row>
    <row r="448" spans="1:20" ht="15" x14ac:dyDescent="0.2">
      <c r="A448" s="3" t="str">
        <f>IF(ISBLANK('Master Submitted DPDs'!#REF!),"","Local Plans")</f>
        <v>Local Plans</v>
      </c>
      <c r="B448" t="e">
        <f>IF(ISBLANK('Master Submitted DPDs'!#REF!),"",'Master Submitted DPDs'!#REF!)</f>
        <v>#REF!</v>
      </c>
      <c r="C448" s="3" t="str">
        <f>IF(ISBLANK('Master Submitted DPDs'!#REF!),"","IH")</f>
        <v>IH</v>
      </c>
      <c r="D448" s="3" t="e">
        <f>LOOKUP($F448,'fuzzy LPA lookup'!$E:$E,'fuzzy LPA lookup'!$A:$A)</f>
        <v>#REF!</v>
      </c>
      <c r="E448" s="3" t="e">
        <f>LOOKUP($F448,'fuzzy LPA lookup'!$E:$E,'fuzzy LPA lookup'!$D:$D)</f>
        <v>#REF!</v>
      </c>
      <c r="F448" s="8" t="e">
        <f>IF(ISBLANK('Master Submitted DPDs'!#REF!),"",'Master Submitted DPDs'!#REF!)</f>
        <v>#REF!</v>
      </c>
      <c r="G448" t="str">
        <f>IF(ISBLANK('Master Submitted DPDs'!#REF!),"","Withdrawn")</f>
        <v>Withdrawn</v>
      </c>
      <c r="H448" s="2" t="e">
        <f>IF(ISBLANK('Master Submitted DPDs'!#REF!),"",'Master Submitted DPDs'!#REF!)</f>
        <v>#REF!</v>
      </c>
      <c r="I448" s="3"/>
      <c r="J448" s="3"/>
      <c r="K448" s="3"/>
      <c r="L448" s="2" t="e">
        <f>IF(ISBLANK('Master Submitted DPDs'!#REF!),"",'Master Submitted DPDs'!#REF!)</f>
        <v>#REF!</v>
      </c>
      <c r="M448" s="2" t="e">
        <f t="shared" si="12"/>
        <v>#REF!</v>
      </c>
      <c r="N448" s="2" t="e">
        <f>IF(ISBLANK('Master Submitted DPDs'!#REF!),IF(ISBLANK('Master Submitted DPDs'!#REF!),"",'Master Submitted DPDs'!#REF!),'Master Submitted DPDs'!#REF!)</f>
        <v>#REF!</v>
      </c>
      <c r="O448" s="2" t="e">
        <f>IF(ISBLANK('Master Submitted DPDs'!#REF!),"",'Master Submitted DPDs'!#REF!)</f>
        <v>#REF!</v>
      </c>
      <c r="P448" s="2" t="e">
        <f>IF(ISBLANK('Master Submitted DPDs'!#REF!),"",'Master Submitted DPDs'!#REF!)</f>
        <v>#REF!</v>
      </c>
      <c r="Q448" t="e">
        <f>IF(ISBLANK('Master Submitted DPDs'!#REF!),"",'Master Submitted DPDs'!#REF!)</f>
        <v>#REF!</v>
      </c>
      <c r="R448" t="e">
        <f t="shared" si="13"/>
        <v>#REF!</v>
      </c>
      <c r="S448" s="3"/>
      <c r="T448" t="e">
        <f>IF(ISBLANK('Master Submitted DPDs'!#REF!),"",'Master Submitted DPDs'!#REF!)</f>
        <v>#REF!</v>
      </c>
    </row>
    <row r="449" spans="1:20" ht="15" x14ac:dyDescent="0.2">
      <c r="A449" s="3" t="str">
        <f>IF(ISBLANK('Master Submitted DPDs'!#REF!),"","Local Plans")</f>
        <v>Local Plans</v>
      </c>
      <c r="B449" t="e">
        <f>IF(ISBLANK('Master Submitted DPDs'!#REF!),"",'Master Submitted DPDs'!#REF!)</f>
        <v>#REF!</v>
      </c>
      <c r="C449" s="3" t="str">
        <f>IF(ISBLANK('Master Submitted DPDs'!#REF!),"","IH")</f>
        <v>IH</v>
      </c>
      <c r="D449" s="3" t="e">
        <f>LOOKUP($F449,'fuzzy LPA lookup'!$E:$E,'fuzzy LPA lookup'!$A:$A)</f>
        <v>#REF!</v>
      </c>
      <c r="E449" s="3" t="e">
        <f>LOOKUP($F449,'fuzzy LPA lookup'!$E:$E,'fuzzy LPA lookup'!$D:$D)</f>
        <v>#REF!</v>
      </c>
      <c r="F449" s="8" t="e">
        <f>IF(ISBLANK('Master Submitted DPDs'!#REF!),"",'Master Submitted DPDs'!#REF!)</f>
        <v>#REF!</v>
      </c>
      <c r="G449" t="str">
        <f>IF(ISBLANK('Master Submitted DPDs'!#REF!),"","Withdrawn")</f>
        <v>Withdrawn</v>
      </c>
      <c r="H449" s="2" t="e">
        <f>IF(ISBLANK('Master Submitted DPDs'!#REF!),"",'Master Submitted DPDs'!#REF!)</f>
        <v>#REF!</v>
      </c>
      <c r="I449" s="3"/>
      <c r="J449" s="3"/>
      <c r="K449" s="3"/>
      <c r="L449" s="2" t="e">
        <f>IF(ISBLANK('Master Submitted DPDs'!#REF!),"",'Master Submitted DPDs'!#REF!)</f>
        <v>#REF!</v>
      </c>
      <c r="M449" s="2" t="e">
        <f t="shared" si="12"/>
        <v>#REF!</v>
      </c>
      <c r="N449" s="2" t="e">
        <f>IF(ISBLANK('Master Submitted DPDs'!#REF!),IF(ISBLANK('Master Submitted DPDs'!#REF!),"",'Master Submitted DPDs'!#REF!),'Master Submitted DPDs'!#REF!)</f>
        <v>#REF!</v>
      </c>
      <c r="O449" s="2" t="e">
        <f>IF(ISBLANK('Master Submitted DPDs'!#REF!),"",'Master Submitted DPDs'!#REF!)</f>
        <v>#REF!</v>
      </c>
      <c r="P449" s="2" t="e">
        <f>IF(ISBLANK('Master Submitted DPDs'!#REF!),"",'Master Submitted DPDs'!#REF!)</f>
        <v>#REF!</v>
      </c>
      <c r="Q449" t="e">
        <f>IF(ISBLANK('Master Submitted DPDs'!#REF!),"",'Master Submitted DPDs'!#REF!)</f>
        <v>#REF!</v>
      </c>
      <c r="R449" t="e">
        <f t="shared" si="13"/>
        <v>#REF!</v>
      </c>
      <c r="S449" s="3"/>
      <c r="T449" t="e">
        <f>IF(ISBLANK('Master Submitted DPDs'!#REF!),"",'Master Submitted DPDs'!#REF!)</f>
        <v>#REF!</v>
      </c>
    </row>
    <row r="450" spans="1:20" ht="15" x14ac:dyDescent="0.2">
      <c r="A450" s="3" t="str">
        <f>IF(ISBLANK('Master Submitted DPDs'!#REF!),"","Local Plans")</f>
        <v>Local Plans</v>
      </c>
      <c r="B450" t="e">
        <f>IF(ISBLANK('Master Submitted DPDs'!#REF!),"",'Master Submitted DPDs'!#REF!)</f>
        <v>#REF!</v>
      </c>
      <c r="C450" s="3" t="str">
        <f>IF(ISBLANK('Master Submitted DPDs'!#REF!),"","IH")</f>
        <v>IH</v>
      </c>
      <c r="D450" s="3" t="e">
        <f>LOOKUP($F450,'fuzzy LPA lookup'!$E:$E,'fuzzy LPA lookup'!$A:$A)</f>
        <v>#REF!</v>
      </c>
      <c r="E450" s="3" t="e">
        <f>LOOKUP($F450,'fuzzy LPA lookup'!$E:$E,'fuzzy LPA lookup'!$D:$D)</f>
        <v>#REF!</v>
      </c>
      <c r="F450" s="8" t="e">
        <f>IF(ISBLANK('Master Submitted DPDs'!#REF!),"",'Master Submitted DPDs'!#REF!)</f>
        <v>#REF!</v>
      </c>
      <c r="G450" t="str">
        <f>IF(ISBLANK('Master Submitted DPDs'!#REF!),"","Withdrawn")</f>
        <v>Withdrawn</v>
      </c>
      <c r="H450" s="2" t="e">
        <f>IF(ISBLANK('Master Submitted DPDs'!#REF!),"",'Master Submitted DPDs'!#REF!)</f>
        <v>#REF!</v>
      </c>
      <c r="I450" s="3"/>
      <c r="J450" s="3"/>
      <c r="K450" s="3"/>
      <c r="L450" s="2" t="e">
        <f>IF(ISBLANK('Master Submitted DPDs'!#REF!),"",'Master Submitted DPDs'!#REF!)</f>
        <v>#REF!</v>
      </c>
      <c r="M450" s="2" t="e">
        <f t="shared" ref="M450:M513" si="14">L450</f>
        <v>#REF!</v>
      </c>
      <c r="N450" s="2" t="e">
        <f>IF(ISBLANK('Master Submitted DPDs'!#REF!),IF(ISBLANK('Master Submitted DPDs'!#REF!),"",'Master Submitted DPDs'!#REF!),'Master Submitted DPDs'!#REF!)</f>
        <v>#REF!</v>
      </c>
      <c r="O450" s="2" t="e">
        <f>IF(ISBLANK('Master Submitted DPDs'!#REF!),"",'Master Submitted DPDs'!#REF!)</f>
        <v>#REF!</v>
      </c>
      <c r="P450" s="2" t="e">
        <f>IF(ISBLANK('Master Submitted DPDs'!#REF!),"",'Master Submitted DPDs'!#REF!)</f>
        <v>#REF!</v>
      </c>
      <c r="Q450" t="e">
        <f>IF(ISBLANK('Master Submitted DPDs'!#REF!),"",'Master Submitted DPDs'!#REF!)</f>
        <v>#REF!</v>
      </c>
      <c r="R450" t="e">
        <f t="shared" ref="R450:R513" si="15">IF(F450="","",IF(AND(H450="",Q450&lt;&gt;"UNS",P450=""),"Open","Closed"))</f>
        <v>#REF!</v>
      </c>
      <c r="S450" s="3"/>
      <c r="T450" t="e">
        <f>IF(ISBLANK('Master Submitted DPDs'!#REF!),"",'Master Submitted DPDs'!#REF!)</f>
        <v>#REF!</v>
      </c>
    </row>
    <row r="451" spans="1:20" ht="15" x14ac:dyDescent="0.2">
      <c r="A451" s="3" t="str">
        <f>IF(ISBLANK('Master Submitted DPDs'!#REF!),"","Local Plans")</f>
        <v>Local Plans</v>
      </c>
      <c r="B451" t="e">
        <f>IF(ISBLANK('Master Submitted DPDs'!#REF!),"",'Master Submitted DPDs'!#REF!)</f>
        <v>#REF!</v>
      </c>
      <c r="C451" s="3" t="str">
        <f>IF(ISBLANK('Master Submitted DPDs'!#REF!),"","IH")</f>
        <v>IH</v>
      </c>
      <c r="D451" s="3" t="e">
        <f>LOOKUP($F451,'fuzzy LPA lookup'!$E:$E,'fuzzy LPA lookup'!$A:$A)</f>
        <v>#REF!</v>
      </c>
      <c r="E451" s="3" t="e">
        <f>LOOKUP($F451,'fuzzy LPA lookup'!$E:$E,'fuzzy LPA lookup'!$D:$D)</f>
        <v>#REF!</v>
      </c>
      <c r="F451" s="8" t="e">
        <f>IF(ISBLANK('Master Submitted DPDs'!#REF!),"",'Master Submitted DPDs'!#REF!)</f>
        <v>#REF!</v>
      </c>
      <c r="G451" t="str">
        <f>IF(ISBLANK('Master Submitted DPDs'!#REF!),"","Withdrawn")</f>
        <v>Withdrawn</v>
      </c>
      <c r="H451" s="2" t="e">
        <f>IF(ISBLANK('Master Submitted DPDs'!#REF!),"",'Master Submitted DPDs'!#REF!)</f>
        <v>#REF!</v>
      </c>
      <c r="I451" s="3"/>
      <c r="J451" s="3"/>
      <c r="K451" s="3"/>
      <c r="L451" s="2" t="e">
        <f>IF(ISBLANK('Master Submitted DPDs'!#REF!),"",'Master Submitted DPDs'!#REF!)</f>
        <v>#REF!</v>
      </c>
      <c r="M451" s="2" t="e">
        <f t="shared" si="14"/>
        <v>#REF!</v>
      </c>
      <c r="N451" s="2" t="e">
        <f>IF(ISBLANK('Master Submitted DPDs'!#REF!),IF(ISBLANK('Master Submitted DPDs'!#REF!),"",'Master Submitted DPDs'!#REF!),'Master Submitted DPDs'!#REF!)</f>
        <v>#REF!</v>
      </c>
      <c r="O451" s="2" t="e">
        <f>IF(ISBLANK('Master Submitted DPDs'!#REF!),"",'Master Submitted DPDs'!#REF!)</f>
        <v>#REF!</v>
      </c>
      <c r="P451" s="2" t="e">
        <f>IF(ISBLANK('Master Submitted DPDs'!#REF!),"",'Master Submitted DPDs'!#REF!)</f>
        <v>#REF!</v>
      </c>
      <c r="Q451" t="e">
        <f>IF(ISBLANK('Master Submitted DPDs'!#REF!),"",'Master Submitted DPDs'!#REF!)</f>
        <v>#REF!</v>
      </c>
      <c r="R451" t="e">
        <f t="shared" si="15"/>
        <v>#REF!</v>
      </c>
      <c r="S451" s="3"/>
      <c r="T451" t="e">
        <f>IF(ISBLANK('Master Submitted DPDs'!#REF!),"",'Master Submitted DPDs'!#REF!)</f>
        <v>#REF!</v>
      </c>
    </row>
    <row r="452" spans="1:20" ht="15" x14ac:dyDescent="0.2">
      <c r="A452" s="3" t="str">
        <f>IF(ISBLANK('Master Submitted DPDs'!#REF!),"","Local Plans")</f>
        <v>Local Plans</v>
      </c>
      <c r="B452" t="e">
        <f>IF(ISBLANK('Master Submitted DPDs'!#REF!),"",'Master Submitted DPDs'!#REF!)</f>
        <v>#REF!</v>
      </c>
      <c r="C452" s="3" t="str">
        <f>IF(ISBLANK('Master Submitted DPDs'!#REF!),"","IH")</f>
        <v>IH</v>
      </c>
      <c r="D452" s="3" t="e">
        <f>LOOKUP($F452,'fuzzy LPA lookup'!$E:$E,'fuzzy LPA lookup'!$A:$A)</f>
        <v>#REF!</v>
      </c>
      <c r="E452" s="3" t="e">
        <f>LOOKUP($F452,'fuzzy LPA lookup'!$E:$E,'fuzzy LPA lookup'!$D:$D)</f>
        <v>#REF!</v>
      </c>
      <c r="F452" s="8" t="e">
        <f>IF(ISBLANK('Master Submitted DPDs'!#REF!),"",'Master Submitted DPDs'!#REF!)</f>
        <v>#REF!</v>
      </c>
      <c r="G452" t="str">
        <f>IF(ISBLANK('Master Submitted DPDs'!#REF!),"","Withdrawn")</f>
        <v>Withdrawn</v>
      </c>
      <c r="H452" s="2" t="e">
        <f>IF(ISBLANK('Master Submitted DPDs'!#REF!),"",'Master Submitted DPDs'!#REF!)</f>
        <v>#REF!</v>
      </c>
      <c r="I452" s="3"/>
      <c r="J452" s="3"/>
      <c r="K452" s="3"/>
      <c r="L452" s="2" t="e">
        <f>IF(ISBLANK('Master Submitted DPDs'!#REF!),"",'Master Submitted DPDs'!#REF!)</f>
        <v>#REF!</v>
      </c>
      <c r="M452" s="2" t="e">
        <f t="shared" si="14"/>
        <v>#REF!</v>
      </c>
      <c r="N452" s="2" t="e">
        <f>IF(ISBLANK('Master Submitted DPDs'!#REF!),IF(ISBLANK('Master Submitted DPDs'!#REF!),"",'Master Submitted DPDs'!#REF!),'Master Submitted DPDs'!#REF!)</f>
        <v>#REF!</v>
      </c>
      <c r="O452" s="2" t="e">
        <f>IF(ISBLANK('Master Submitted DPDs'!#REF!),"",'Master Submitted DPDs'!#REF!)</f>
        <v>#REF!</v>
      </c>
      <c r="P452" s="2" t="e">
        <f>IF(ISBLANK('Master Submitted DPDs'!#REF!),"",'Master Submitted DPDs'!#REF!)</f>
        <v>#REF!</v>
      </c>
      <c r="Q452" t="e">
        <f>IF(ISBLANK('Master Submitted DPDs'!#REF!),"",'Master Submitted DPDs'!#REF!)</f>
        <v>#REF!</v>
      </c>
      <c r="R452" t="e">
        <f t="shared" si="15"/>
        <v>#REF!</v>
      </c>
      <c r="S452" s="3"/>
      <c r="T452" t="e">
        <f>IF(ISBLANK('Master Submitted DPDs'!#REF!),"",'Master Submitted DPDs'!#REF!)</f>
        <v>#REF!</v>
      </c>
    </row>
    <row r="453" spans="1:20" ht="15" x14ac:dyDescent="0.2">
      <c r="A453" s="3" t="str">
        <f>IF(ISBLANK('Master Submitted DPDs'!#REF!),"","Local Plans")</f>
        <v>Local Plans</v>
      </c>
      <c r="B453" t="e">
        <f>IF(ISBLANK('Master Submitted DPDs'!#REF!),"",'Master Submitted DPDs'!#REF!)</f>
        <v>#REF!</v>
      </c>
      <c r="C453" s="3" t="str">
        <f>IF(ISBLANK('Master Submitted DPDs'!#REF!),"","IH")</f>
        <v>IH</v>
      </c>
      <c r="D453" s="3" t="e">
        <f>LOOKUP($F453,'fuzzy LPA lookup'!$E:$E,'fuzzy LPA lookup'!$A:$A)</f>
        <v>#REF!</v>
      </c>
      <c r="E453" s="3" t="e">
        <f>LOOKUP($F453,'fuzzy LPA lookup'!$E:$E,'fuzzy LPA lookup'!$D:$D)</f>
        <v>#REF!</v>
      </c>
      <c r="F453" s="8" t="e">
        <f>IF(ISBLANK('Master Submitted DPDs'!#REF!),"",'Master Submitted DPDs'!#REF!)</f>
        <v>#REF!</v>
      </c>
      <c r="G453" t="str">
        <f>IF(ISBLANK('Master Submitted DPDs'!#REF!),"","Withdrawn")</f>
        <v>Withdrawn</v>
      </c>
      <c r="H453" s="2" t="e">
        <f>IF(ISBLANK('Master Submitted DPDs'!#REF!),"",'Master Submitted DPDs'!#REF!)</f>
        <v>#REF!</v>
      </c>
      <c r="I453" s="3"/>
      <c r="J453" s="3"/>
      <c r="K453" s="3"/>
      <c r="L453" s="2" t="e">
        <f>IF(ISBLANK('Master Submitted DPDs'!#REF!),"",'Master Submitted DPDs'!#REF!)</f>
        <v>#REF!</v>
      </c>
      <c r="M453" s="2" t="e">
        <f t="shared" si="14"/>
        <v>#REF!</v>
      </c>
      <c r="N453" s="2" t="e">
        <f>IF(ISBLANK('Master Submitted DPDs'!#REF!),IF(ISBLANK('Master Submitted DPDs'!#REF!),"",'Master Submitted DPDs'!#REF!),'Master Submitted DPDs'!#REF!)</f>
        <v>#REF!</v>
      </c>
      <c r="O453" s="2" t="e">
        <f>IF(ISBLANK('Master Submitted DPDs'!#REF!),"",'Master Submitted DPDs'!#REF!)</f>
        <v>#REF!</v>
      </c>
      <c r="P453" s="2" t="e">
        <f>IF(ISBLANK('Master Submitted DPDs'!#REF!),"",'Master Submitted DPDs'!#REF!)</f>
        <v>#REF!</v>
      </c>
      <c r="Q453" t="e">
        <f>IF(ISBLANK('Master Submitted DPDs'!#REF!),"",'Master Submitted DPDs'!#REF!)</f>
        <v>#REF!</v>
      </c>
      <c r="R453" t="e">
        <f t="shared" si="15"/>
        <v>#REF!</v>
      </c>
      <c r="S453" s="3"/>
      <c r="T453" t="e">
        <f>IF(ISBLANK('Master Submitted DPDs'!#REF!),"",'Master Submitted DPDs'!#REF!)</f>
        <v>#REF!</v>
      </c>
    </row>
    <row r="454" spans="1:20" ht="15" x14ac:dyDescent="0.2">
      <c r="A454" s="3" t="str">
        <f>IF(ISBLANK('Master Submitted DPDs'!#REF!),"","Local Plans")</f>
        <v>Local Plans</v>
      </c>
      <c r="B454" t="e">
        <f>IF(ISBLANK('Master Submitted DPDs'!#REF!),"",'Master Submitted DPDs'!#REF!)</f>
        <v>#REF!</v>
      </c>
      <c r="C454" s="3" t="str">
        <f>IF(ISBLANK('Master Submitted DPDs'!#REF!),"","IH")</f>
        <v>IH</v>
      </c>
      <c r="D454" s="3" t="e">
        <f>LOOKUP($F454,'fuzzy LPA lookup'!$E:$E,'fuzzy LPA lookup'!$A:$A)</f>
        <v>#REF!</v>
      </c>
      <c r="E454" s="3" t="e">
        <f>LOOKUP($F454,'fuzzy LPA lookup'!$E:$E,'fuzzy LPA lookup'!$D:$D)</f>
        <v>#REF!</v>
      </c>
      <c r="F454" s="8" t="e">
        <f>IF(ISBLANK('Master Submitted DPDs'!#REF!),"",'Master Submitted DPDs'!#REF!)</f>
        <v>#REF!</v>
      </c>
      <c r="G454" t="str">
        <f>IF(ISBLANK('Master Submitted DPDs'!#REF!),"","Withdrawn")</f>
        <v>Withdrawn</v>
      </c>
      <c r="H454" s="2" t="e">
        <f>IF(ISBLANK('Master Submitted DPDs'!#REF!),"",'Master Submitted DPDs'!#REF!)</f>
        <v>#REF!</v>
      </c>
      <c r="I454" s="3"/>
      <c r="J454" s="3"/>
      <c r="K454" s="3"/>
      <c r="L454" s="2" t="e">
        <f>IF(ISBLANK('Master Submitted DPDs'!#REF!),"",'Master Submitted DPDs'!#REF!)</f>
        <v>#REF!</v>
      </c>
      <c r="M454" s="2" t="e">
        <f t="shared" si="14"/>
        <v>#REF!</v>
      </c>
      <c r="N454" s="2" t="e">
        <f>IF(ISBLANK('Master Submitted DPDs'!#REF!),IF(ISBLANK('Master Submitted DPDs'!#REF!),"",'Master Submitted DPDs'!#REF!),'Master Submitted DPDs'!#REF!)</f>
        <v>#REF!</v>
      </c>
      <c r="O454" s="2" t="e">
        <f>IF(ISBLANK('Master Submitted DPDs'!#REF!),"",'Master Submitted DPDs'!#REF!)</f>
        <v>#REF!</v>
      </c>
      <c r="P454" s="2" t="e">
        <f>IF(ISBLANK('Master Submitted DPDs'!#REF!),"",'Master Submitted DPDs'!#REF!)</f>
        <v>#REF!</v>
      </c>
      <c r="Q454" t="e">
        <f>IF(ISBLANK('Master Submitted DPDs'!#REF!),"",'Master Submitted DPDs'!#REF!)</f>
        <v>#REF!</v>
      </c>
      <c r="R454" t="e">
        <f t="shared" si="15"/>
        <v>#REF!</v>
      </c>
      <c r="S454" s="3"/>
      <c r="T454" t="e">
        <f>IF(ISBLANK('Master Submitted DPDs'!#REF!),"",'Master Submitted DPDs'!#REF!)</f>
        <v>#REF!</v>
      </c>
    </row>
    <row r="455" spans="1:20" ht="15" x14ac:dyDescent="0.2">
      <c r="A455" s="3" t="str">
        <f>IF(ISBLANK('Master Submitted DPDs'!#REF!),"","Local Plans")</f>
        <v>Local Plans</v>
      </c>
      <c r="B455" t="e">
        <f>IF(ISBLANK('Master Submitted DPDs'!#REF!),"",'Master Submitted DPDs'!#REF!)</f>
        <v>#REF!</v>
      </c>
      <c r="C455" s="3" t="str">
        <f>IF(ISBLANK('Master Submitted DPDs'!#REF!),"","IH")</f>
        <v>IH</v>
      </c>
      <c r="D455" s="3" t="e">
        <f>LOOKUP($F455,'fuzzy LPA lookup'!$E:$E,'fuzzy LPA lookup'!$A:$A)</f>
        <v>#REF!</v>
      </c>
      <c r="E455" s="3" t="e">
        <f>LOOKUP($F455,'fuzzy LPA lookup'!$E:$E,'fuzzy LPA lookup'!$D:$D)</f>
        <v>#REF!</v>
      </c>
      <c r="F455" s="8" t="e">
        <f>IF(ISBLANK('Master Submitted DPDs'!#REF!),"",'Master Submitted DPDs'!#REF!)</f>
        <v>#REF!</v>
      </c>
      <c r="G455" t="str">
        <f>IF(ISBLANK('Master Submitted DPDs'!#REF!),"","Withdrawn")</f>
        <v>Withdrawn</v>
      </c>
      <c r="H455" s="2" t="e">
        <f>IF(ISBLANK('Master Submitted DPDs'!#REF!),"",'Master Submitted DPDs'!#REF!)</f>
        <v>#REF!</v>
      </c>
      <c r="I455" s="3"/>
      <c r="J455" s="3"/>
      <c r="K455" s="3"/>
      <c r="L455" s="2" t="e">
        <f>IF(ISBLANK('Master Submitted DPDs'!#REF!),"",'Master Submitted DPDs'!#REF!)</f>
        <v>#REF!</v>
      </c>
      <c r="M455" s="2" t="e">
        <f t="shared" si="14"/>
        <v>#REF!</v>
      </c>
      <c r="N455" s="2" t="e">
        <f>IF(ISBLANK('Master Submitted DPDs'!#REF!),IF(ISBLANK('Master Submitted DPDs'!#REF!),"",'Master Submitted DPDs'!#REF!),'Master Submitted DPDs'!#REF!)</f>
        <v>#REF!</v>
      </c>
      <c r="O455" s="2" t="e">
        <f>IF(ISBLANK('Master Submitted DPDs'!#REF!),"",'Master Submitted DPDs'!#REF!)</f>
        <v>#REF!</v>
      </c>
      <c r="P455" s="2" t="e">
        <f>IF(ISBLANK('Master Submitted DPDs'!#REF!),"",'Master Submitted DPDs'!#REF!)</f>
        <v>#REF!</v>
      </c>
      <c r="Q455" t="e">
        <f>IF(ISBLANK('Master Submitted DPDs'!#REF!),"",'Master Submitted DPDs'!#REF!)</f>
        <v>#REF!</v>
      </c>
      <c r="R455" t="e">
        <f t="shared" si="15"/>
        <v>#REF!</v>
      </c>
      <c r="S455" s="3"/>
      <c r="T455" t="e">
        <f>IF(ISBLANK('Master Submitted DPDs'!#REF!),"",'Master Submitted DPDs'!#REF!)</f>
        <v>#REF!</v>
      </c>
    </row>
    <row r="456" spans="1:20" ht="15" x14ac:dyDescent="0.2">
      <c r="A456" s="3" t="str">
        <f>IF(ISBLANK('Master Submitted DPDs'!#REF!),"","Local Plans")</f>
        <v>Local Plans</v>
      </c>
      <c r="B456" t="e">
        <f>IF(ISBLANK('Master Submitted DPDs'!#REF!),"",'Master Submitted DPDs'!#REF!)</f>
        <v>#REF!</v>
      </c>
      <c r="C456" s="3" t="str">
        <f>IF(ISBLANK('Master Submitted DPDs'!#REF!),"","IH")</f>
        <v>IH</v>
      </c>
      <c r="D456" s="3" t="e">
        <f>LOOKUP($F456,'fuzzy LPA lookup'!$E:$E,'fuzzy LPA lookup'!$A:$A)</f>
        <v>#REF!</v>
      </c>
      <c r="E456" s="3" t="e">
        <f>LOOKUP($F456,'fuzzy LPA lookup'!$E:$E,'fuzzy LPA lookup'!$D:$D)</f>
        <v>#REF!</v>
      </c>
      <c r="F456" s="8" t="e">
        <f>IF(ISBLANK('Master Submitted DPDs'!#REF!),"",'Master Submitted DPDs'!#REF!)</f>
        <v>#REF!</v>
      </c>
      <c r="G456" t="str">
        <f>IF(ISBLANK('Master Submitted DPDs'!#REF!),"","Withdrawn")</f>
        <v>Withdrawn</v>
      </c>
      <c r="H456" s="2" t="e">
        <f>IF(ISBLANK('Master Submitted DPDs'!#REF!),"",'Master Submitted DPDs'!#REF!)</f>
        <v>#REF!</v>
      </c>
      <c r="I456" s="3"/>
      <c r="J456" s="3"/>
      <c r="K456" s="3"/>
      <c r="L456" s="2" t="e">
        <f>IF(ISBLANK('Master Submitted DPDs'!#REF!),"",'Master Submitted DPDs'!#REF!)</f>
        <v>#REF!</v>
      </c>
      <c r="M456" s="2" t="e">
        <f t="shared" si="14"/>
        <v>#REF!</v>
      </c>
      <c r="N456" s="2" t="e">
        <f>IF(ISBLANK('Master Submitted DPDs'!#REF!),IF(ISBLANK('Master Submitted DPDs'!#REF!),"",'Master Submitted DPDs'!#REF!),'Master Submitted DPDs'!#REF!)</f>
        <v>#REF!</v>
      </c>
      <c r="O456" s="2" t="e">
        <f>IF(ISBLANK('Master Submitted DPDs'!#REF!),"",'Master Submitted DPDs'!#REF!)</f>
        <v>#REF!</v>
      </c>
      <c r="P456" s="2" t="e">
        <f>IF(ISBLANK('Master Submitted DPDs'!#REF!),"",'Master Submitted DPDs'!#REF!)</f>
        <v>#REF!</v>
      </c>
      <c r="Q456" t="e">
        <f>IF(ISBLANK('Master Submitted DPDs'!#REF!),"",'Master Submitted DPDs'!#REF!)</f>
        <v>#REF!</v>
      </c>
      <c r="R456" t="e">
        <f t="shared" si="15"/>
        <v>#REF!</v>
      </c>
      <c r="S456" s="3"/>
      <c r="T456" t="e">
        <f>IF(ISBLANK('Master Submitted DPDs'!#REF!),"",'Master Submitted DPDs'!#REF!)</f>
        <v>#REF!</v>
      </c>
    </row>
    <row r="457" spans="1:20" ht="15" x14ac:dyDescent="0.2">
      <c r="A457" s="3" t="str">
        <f>IF(ISBLANK('Master Submitted DPDs'!#REF!),"","Local Plans")</f>
        <v>Local Plans</v>
      </c>
      <c r="B457" t="e">
        <f>IF(ISBLANK('Master Submitted DPDs'!#REF!),"",'Master Submitted DPDs'!#REF!)</f>
        <v>#REF!</v>
      </c>
      <c r="C457" s="3" t="str">
        <f>IF(ISBLANK('Master Submitted DPDs'!#REF!),"","IH")</f>
        <v>IH</v>
      </c>
      <c r="D457" s="3" t="e">
        <f>LOOKUP($F457,'fuzzy LPA lookup'!$E:$E,'fuzzy LPA lookup'!$A:$A)</f>
        <v>#REF!</v>
      </c>
      <c r="E457" s="3" t="e">
        <f>LOOKUP($F457,'fuzzy LPA lookup'!$E:$E,'fuzzy LPA lookup'!$D:$D)</f>
        <v>#REF!</v>
      </c>
      <c r="F457" s="8" t="e">
        <f>IF(ISBLANK('Master Submitted DPDs'!#REF!),"",'Master Submitted DPDs'!#REF!)</f>
        <v>#REF!</v>
      </c>
      <c r="G457" t="str">
        <f>IF(ISBLANK('Master Submitted DPDs'!#REF!),"","Withdrawn")</f>
        <v>Withdrawn</v>
      </c>
      <c r="H457" s="2" t="e">
        <f>IF(ISBLANK('Master Submitted DPDs'!#REF!),"",'Master Submitted DPDs'!#REF!)</f>
        <v>#REF!</v>
      </c>
      <c r="I457" s="3"/>
      <c r="J457" s="3"/>
      <c r="K457" s="3"/>
      <c r="L457" s="2" t="e">
        <f>IF(ISBLANK('Master Submitted DPDs'!#REF!),"",'Master Submitted DPDs'!#REF!)</f>
        <v>#REF!</v>
      </c>
      <c r="M457" s="2" t="e">
        <f t="shared" si="14"/>
        <v>#REF!</v>
      </c>
      <c r="N457" s="2" t="e">
        <f>IF(ISBLANK('Master Submitted DPDs'!#REF!),IF(ISBLANK('Master Submitted DPDs'!#REF!),"",'Master Submitted DPDs'!#REF!),'Master Submitted DPDs'!#REF!)</f>
        <v>#REF!</v>
      </c>
      <c r="O457" s="2" t="e">
        <f>IF(ISBLANK('Master Submitted DPDs'!#REF!),"",'Master Submitted DPDs'!#REF!)</f>
        <v>#REF!</v>
      </c>
      <c r="P457" s="2" t="e">
        <f>IF(ISBLANK('Master Submitted DPDs'!#REF!),"",'Master Submitted DPDs'!#REF!)</f>
        <v>#REF!</v>
      </c>
      <c r="Q457" t="e">
        <f>IF(ISBLANK('Master Submitted DPDs'!#REF!),"",'Master Submitted DPDs'!#REF!)</f>
        <v>#REF!</v>
      </c>
      <c r="R457" t="e">
        <f t="shared" si="15"/>
        <v>#REF!</v>
      </c>
      <c r="S457" s="3"/>
      <c r="T457" t="e">
        <f>IF(ISBLANK('Master Submitted DPDs'!#REF!),"",'Master Submitted DPDs'!#REF!)</f>
        <v>#REF!</v>
      </c>
    </row>
    <row r="458" spans="1:20" ht="15" x14ac:dyDescent="0.2">
      <c r="A458" s="3" t="str">
        <f>IF(ISBLANK('Master Submitted DPDs'!#REF!),"","Local Plans")</f>
        <v>Local Plans</v>
      </c>
      <c r="B458" t="e">
        <f>IF(ISBLANK('Master Submitted DPDs'!#REF!),"",'Master Submitted DPDs'!#REF!)</f>
        <v>#REF!</v>
      </c>
      <c r="C458" s="3" t="str">
        <f>IF(ISBLANK('Master Submitted DPDs'!#REF!),"","IH")</f>
        <v>IH</v>
      </c>
      <c r="D458" s="3" t="e">
        <f>LOOKUP($F458,'fuzzy LPA lookup'!$E:$E,'fuzzy LPA lookup'!$A:$A)</f>
        <v>#REF!</v>
      </c>
      <c r="E458" s="3" t="e">
        <f>LOOKUP($F458,'fuzzy LPA lookup'!$E:$E,'fuzzy LPA lookup'!$D:$D)</f>
        <v>#REF!</v>
      </c>
      <c r="F458" s="8" t="e">
        <f>IF(ISBLANK('Master Submitted DPDs'!#REF!),"",'Master Submitted DPDs'!#REF!)</f>
        <v>#REF!</v>
      </c>
      <c r="G458" t="str">
        <f>IF(ISBLANK('Master Submitted DPDs'!#REF!),"","Withdrawn")</f>
        <v>Withdrawn</v>
      </c>
      <c r="H458" s="2" t="e">
        <f>IF(ISBLANK('Master Submitted DPDs'!#REF!),"",'Master Submitted DPDs'!#REF!)</f>
        <v>#REF!</v>
      </c>
      <c r="I458" s="3"/>
      <c r="J458" s="3"/>
      <c r="K458" s="3"/>
      <c r="L458" s="2" t="e">
        <f>IF(ISBLANK('Master Submitted DPDs'!#REF!),"",'Master Submitted DPDs'!#REF!)</f>
        <v>#REF!</v>
      </c>
      <c r="M458" s="2" t="e">
        <f t="shared" si="14"/>
        <v>#REF!</v>
      </c>
      <c r="N458" s="2" t="e">
        <f>IF(ISBLANK('Master Submitted DPDs'!#REF!),IF(ISBLANK('Master Submitted DPDs'!#REF!),"",'Master Submitted DPDs'!#REF!),'Master Submitted DPDs'!#REF!)</f>
        <v>#REF!</v>
      </c>
      <c r="O458" s="2" t="e">
        <f>IF(ISBLANK('Master Submitted DPDs'!#REF!),"",'Master Submitted DPDs'!#REF!)</f>
        <v>#REF!</v>
      </c>
      <c r="P458" s="2" t="e">
        <f>IF(ISBLANK('Master Submitted DPDs'!#REF!),"",'Master Submitted DPDs'!#REF!)</f>
        <v>#REF!</v>
      </c>
      <c r="Q458" t="e">
        <f>IF(ISBLANK('Master Submitted DPDs'!#REF!),"",'Master Submitted DPDs'!#REF!)</f>
        <v>#REF!</v>
      </c>
      <c r="R458" t="e">
        <f t="shared" si="15"/>
        <v>#REF!</v>
      </c>
      <c r="S458" s="3"/>
      <c r="T458" t="e">
        <f>IF(ISBLANK('Master Submitted DPDs'!#REF!),"",'Master Submitted DPDs'!#REF!)</f>
        <v>#REF!</v>
      </c>
    </row>
    <row r="459" spans="1:20" ht="15" x14ac:dyDescent="0.2">
      <c r="A459" s="3" t="str">
        <f>IF(ISBLANK('Master Submitted DPDs'!#REF!),"","Local Plans")</f>
        <v>Local Plans</v>
      </c>
      <c r="B459" t="e">
        <f>IF(ISBLANK('Master Submitted DPDs'!#REF!),"",'Master Submitted DPDs'!#REF!)</f>
        <v>#REF!</v>
      </c>
      <c r="C459" s="3" t="str">
        <f>IF(ISBLANK('Master Submitted DPDs'!#REF!),"","IH")</f>
        <v>IH</v>
      </c>
      <c r="D459" s="3" t="e">
        <f>LOOKUP($F459,'fuzzy LPA lookup'!$E:$E,'fuzzy LPA lookup'!$A:$A)</f>
        <v>#REF!</v>
      </c>
      <c r="E459" s="3" t="e">
        <f>LOOKUP($F459,'fuzzy LPA lookup'!$E:$E,'fuzzy LPA lookup'!$D:$D)</f>
        <v>#REF!</v>
      </c>
      <c r="F459" s="8" t="e">
        <f>IF(ISBLANK('Master Submitted DPDs'!#REF!),"",'Master Submitted DPDs'!#REF!)</f>
        <v>#REF!</v>
      </c>
      <c r="G459" t="str">
        <f>IF(ISBLANK('Master Submitted DPDs'!#REF!),"","Withdrawn")</f>
        <v>Withdrawn</v>
      </c>
      <c r="H459" s="2" t="e">
        <f>IF(ISBLANK('Master Submitted DPDs'!#REF!),"",'Master Submitted DPDs'!#REF!)</f>
        <v>#REF!</v>
      </c>
      <c r="I459" s="3"/>
      <c r="J459" s="3"/>
      <c r="K459" s="3"/>
      <c r="L459" s="2" t="e">
        <f>IF(ISBLANK('Master Submitted DPDs'!#REF!),"",'Master Submitted DPDs'!#REF!)</f>
        <v>#REF!</v>
      </c>
      <c r="M459" s="2" t="e">
        <f t="shared" si="14"/>
        <v>#REF!</v>
      </c>
      <c r="N459" s="2" t="e">
        <f>IF(ISBLANK('Master Submitted DPDs'!#REF!),IF(ISBLANK('Master Submitted DPDs'!#REF!),"",'Master Submitted DPDs'!#REF!),'Master Submitted DPDs'!#REF!)</f>
        <v>#REF!</v>
      </c>
      <c r="O459" s="2" t="e">
        <f>IF(ISBLANK('Master Submitted DPDs'!#REF!),"",'Master Submitted DPDs'!#REF!)</f>
        <v>#REF!</v>
      </c>
      <c r="P459" s="2" t="e">
        <f>IF(ISBLANK('Master Submitted DPDs'!#REF!),"",'Master Submitted DPDs'!#REF!)</f>
        <v>#REF!</v>
      </c>
      <c r="Q459" t="e">
        <f>IF(ISBLANK('Master Submitted DPDs'!#REF!),"",'Master Submitted DPDs'!#REF!)</f>
        <v>#REF!</v>
      </c>
      <c r="R459" t="e">
        <f t="shared" si="15"/>
        <v>#REF!</v>
      </c>
      <c r="S459" s="3"/>
      <c r="T459" t="e">
        <f>IF(ISBLANK('Master Submitted DPDs'!#REF!),"",'Master Submitted DPDs'!#REF!)</f>
        <v>#REF!</v>
      </c>
    </row>
    <row r="460" spans="1:20" ht="15" x14ac:dyDescent="0.2">
      <c r="A460" s="3" t="str">
        <f>IF(ISBLANK('Master Submitted DPDs'!#REF!),"","Local Plans")</f>
        <v>Local Plans</v>
      </c>
      <c r="B460" t="e">
        <f>IF(ISBLANK('Master Submitted DPDs'!#REF!),"",'Master Submitted DPDs'!#REF!)</f>
        <v>#REF!</v>
      </c>
      <c r="C460" s="3" t="str">
        <f>IF(ISBLANK('Master Submitted DPDs'!#REF!),"","IH")</f>
        <v>IH</v>
      </c>
      <c r="D460" s="3" t="e">
        <f>LOOKUP($F460,'fuzzy LPA lookup'!$E:$E,'fuzzy LPA lookup'!$A:$A)</f>
        <v>#REF!</v>
      </c>
      <c r="E460" s="3" t="e">
        <f>LOOKUP($F460,'fuzzy LPA lookup'!$E:$E,'fuzzy LPA lookup'!$D:$D)</f>
        <v>#REF!</v>
      </c>
      <c r="F460" s="8" t="e">
        <f>IF(ISBLANK('Master Submitted DPDs'!#REF!),"",'Master Submitted DPDs'!#REF!)</f>
        <v>#REF!</v>
      </c>
      <c r="G460" t="str">
        <f>IF(ISBLANK('Master Submitted DPDs'!#REF!),"","Withdrawn")</f>
        <v>Withdrawn</v>
      </c>
      <c r="H460" s="2" t="e">
        <f>IF(ISBLANK('Master Submitted DPDs'!#REF!),"",'Master Submitted DPDs'!#REF!)</f>
        <v>#REF!</v>
      </c>
      <c r="I460" s="3"/>
      <c r="J460" s="3"/>
      <c r="K460" s="3"/>
      <c r="L460" s="2" t="e">
        <f>IF(ISBLANK('Master Submitted DPDs'!#REF!),"",'Master Submitted DPDs'!#REF!)</f>
        <v>#REF!</v>
      </c>
      <c r="M460" s="2" t="e">
        <f t="shared" si="14"/>
        <v>#REF!</v>
      </c>
      <c r="N460" s="2" t="e">
        <f>IF(ISBLANK('Master Submitted DPDs'!#REF!),IF(ISBLANK('Master Submitted DPDs'!#REF!),"",'Master Submitted DPDs'!#REF!),'Master Submitted DPDs'!#REF!)</f>
        <v>#REF!</v>
      </c>
      <c r="O460" s="2" t="e">
        <f>IF(ISBLANK('Master Submitted DPDs'!#REF!),"",'Master Submitted DPDs'!#REF!)</f>
        <v>#REF!</v>
      </c>
      <c r="P460" s="2" t="e">
        <f>IF(ISBLANK('Master Submitted DPDs'!#REF!),"",'Master Submitted DPDs'!#REF!)</f>
        <v>#REF!</v>
      </c>
      <c r="Q460" t="e">
        <f>IF(ISBLANK('Master Submitted DPDs'!#REF!),"",'Master Submitted DPDs'!#REF!)</f>
        <v>#REF!</v>
      </c>
      <c r="R460" t="e">
        <f t="shared" si="15"/>
        <v>#REF!</v>
      </c>
      <c r="S460" s="3"/>
      <c r="T460" t="e">
        <f>IF(ISBLANK('Master Submitted DPDs'!#REF!),"",'Master Submitted DPDs'!#REF!)</f>
        <v>#REF!</v>
      </c>
    </row>
    <row r="461" spans="1:20" ht="15" x14ac:dyDescent="0.2">
      <c r="A461" s="3" t="str">
        <f>IF(ISBLANK('Master Submitted DPDs'!#REF!),"","Local Plans")</f>
        <v>Local Plans</v>
      </c>
      <c r="B461" t="e">
        <f>IF(ISBLANK('Master Submitted DPDs'!#REF!),"",'Master Submitted DPDs'!#REF!)</f>
        <v>#REF!</v>
      </c>
      <c r="C461" s="3" t="str">
        <f>IF(ISBLANK('Master Submitted DPDs'!#REF!),"","IH")</f>
        <v>IH</v>
      </c>
      <c r="D461" s="3" t="e">
        <f>LOOKUP($F461,'fuzzy LPA lookup'!$E:$E,'fuzzy LPA lookup'!$A:$A)</f>
        <v>#REF!</v>
      </c>
      <c r="E461" s="3" t="e">
        <f>LOOKUP($F461,'fuzzy LPA lookup'!$E:$E,'fuzzy LPA lookup'!$D:$D)</f>
        <v>#REF!</v>
      </c>
      <c r="F461" s="8" t="e">
        <f>IF(ISBLANK('Master Submitted DPDs'!#REF!),"",'Master Submitted DPDs'!#REF!)</f>
        <v>#REF!</v>
      </c>
      <c r="G461" t="str">
        <f>IF(ISBLANK('Master Submitted DPDs'!#REF!),"","Withdrawn")</f>
        <v>Withdrawn</v>
      </c>
      <c r="H461" s="2" t="e">
        <f>IF(ISBLANK('Master Submitted DPDs'!#REF!),"",'Master Submitted DPDs'!#REF!)</f>
        <v>#REF!</v>
      </c>
      <c r="I461" s="3"/>
      <c r="J461" s="3"/>
      <c r="K461" s="3"/>
      <c r="L461" s="2" t="e">
        <f>IF(ISBLANK('Master Submitted DPDs'!#REF!),"",'Master Submitted DPDs'!#REF!)</f>
        <v>#REF!</v>
      </c>
      <c r="M461" s="2" t="e">
        <f t="shared" si="14"/>
        <v>#REF!</v>
      </c>
      <c r="N461" s="2" t="e">
        <f>IF(ISBLANK('Master Submitted DPDs'!#REF!),IF(ISBLANK('Master Submitted DPDs'!#REF!),"",'Master Submitted DPDs'!#REF!),'Master Submitted DPDs'!#REF!)</f>
        <v>#REF!</v>
      </c>
      <c r="O461" s="2" t="e">
        <f>IF(ISBLANK('Master Submitted DPDs'!#REF!),"",'Master Submitted DPDs'!#REF!)</f>
        <v>#REF!</v>
      </c>
      <c r="P461" s="2" t="e">
        <f>IF(ISBLANK('Master Submitted DPDs'!#REF!),"",'Master Submitted DPDs'!#REF!)</f>
        <v>#REF!</v>
      </c>
      <c r="Q461" t="e">
        <f>IF(ISBLANK('Master Submitted DPDs'!#REF!),"",'Master Submitted DPDs'!#REF!)</f>
        <v>#REF!</v>
      </c>
      <c r="R461" t="e">
        <f t="shared" si="15"/>
        <v>#REF!</v>
      </c>
      <c r="S461" s="3"/>
      <c r="T461" t="e">
        <f>IF(ISBLANK('Master Submitted DPDs'!#REF!),"",'Master Submitted DPDs'!#REF!)</f>
        <v>#REF!</v>
      </c>
    </row>
    <row r="462" spans="1:20" ht="15" x14ac:dyDescent="0.2">
      <c r="A462" s="3" t="str">
        <f>IF(ISBLANK('Master Submitted DPDs'!#REF!),"","Local Plans")</f>
        <v>Local Plans</v>
      </c>
      <c r="B462" t="e">
        <f>IF(ISBLANK('Master Submitted DPDs'!#REF!),"",'Master Submitted DPDs'!#REF!)</f>
        <v>#REF!</v>
      </c>
      <c r="C462" s="3" t="str">
        <f>IF(ISBLANK('Master Submitted DPDs'!#REF!),"","IH")</f>
        <v>IH</v>
      </c>
      <c r="D462" s="3" t="e">
        <f>LOOKUP($F462,'fuzzy LPA lookup'!$E:$E,'fuzzy LPA lookup'!$A:$A)</f>
        <v>#REF!</v>
      </c>
      <c r="E462" s="3" t="e">
        <f>LOOKUP($F462,'fuzzy LPA lookup'!$E:$E,'fuzzy LPA lookup'!$D:$D)</f>
        <v>#REF!</v>
      </c>
      <c r="F462" s="8" t="e">
        <f>IF(ISBLANK('Master Submitted DPDs'!#REF!),"",'Master Submitted DPDs'!#REF!)</f>
        <v>#REF!</v>
      </c>
      <c r="G462" t="str">
        <f>IF(ISBLANK('Master Submitted DPDs'!#REF!),"","Withdrawn")</f>
        <v>Withdrawn</v>
      </c>
      <c r="H462" s="2" t="e">
        <f>IF(ISBLANK('Master Submitted DPDs'!#REF!),"",'Master Submitted DPDs'!#REF!)</f>
        <v>#REF!</v>
      </c>
      <c r="I462" s="3"/>
      <c r="J462" s="3"/>
      <c r="K462" s="3"/>
      <c r="L462" s="2" t="e">
        <f>IF(ISBLANK('Master Submitted DPDs'!#REF!),"",'Master Submitted DPDs'!#REF!)</f>
        <v>#REF!</v>
      </c>
      <c r="M462" s="2" t="e">
        <f t="shared" si="14"/>
        <v>#REF!</v>
      </c>
      <c r="N462" s="2" t="e">
        <f>IF(ISBLANK('Master Submitted DPDs'!#REF!),IF(ISBLANK('Master Submitted DPDs'!#REF!),"",'Master Submitted DPDs'!#REF!),'Master Submitted DPDs'!#REF!)</f>
        <v>#REF!</v>
      </c>
      <c r="O462" s="2" t="e">
        <f>IF(ISBLANK('Master Submitted DPDs'!#REF!),"",'Master Submitted DPDs'!#REF!)</f>
        <v>#REF!</v>
      </c>
      <c r="P462" s="2" t="e">
        <f>IF(ISBLANK('Master Submitted DPDs'!#REF!),"",'Master Submitted DPDs'!#REF!)</f>
        <v>#REF!</v>
      </c>
      <c r="Q462" t="e">
        <f>IF(ISBLANK('Master Submitted DPDs'!#REF!),"",'Master Submitted DPDs'!#REF!)</f>
        <v>#REF!</v>
      </c>
      <c r="R462" t="e">
        <f t="shared" si="15"/>
        <v>#REF!</v>
      </c>
      <c r="S462" s="3"/>
      <c r="T462" t="e">
        <f>IF(ISBLANK('Master Submitted DPDs'!#REF!),"",'Master Submitted DPDs'!#REF!)</f>
        <v>#REF!</v>
      </c>
    </row>
    <row r="463" spans="1:20" ht="15" x14ac:dyDescent="0.2">
      <c r="A463" s="3" t="str">
        <f>IF(ISBLANK('Master Submitted DPDs'!#REF!),"","Local Plans")</f>
        <v>Local Plans</v>
      </c>
      <c r="B463" t="e">
        <f>IF(ISBLANK('Master Submitted DPDs'!#REF!),"",'Master Submitted DPDs'!#REF!)</f>
        <v>#REF!</v>
      </c>
      <c r="C463" s="3" t="str">
        <f>IF(ISBLANK('Master Submitted DPDs'!#REF!),"","IH")</f>
        <v>IH</v>
      </c>
      <c r="D463" s="3" t="e">
        <f>LOOKUP($F463,'fuzzy LPA lookup'!$E:$E,'fuzzy LPA lookup'!$A:$A)</f>
        <v>#REF!</v>
      </c>
      <c r="E463" s="3" t="e">
        <f>LOOKUP($F463,'fuzzy LPA lookup'!$E:$E,'fuzzy LPA lookup'!$D:$D)</f>
        <v>#REF!</v>
      </c>
      <c r="F463" s="8" t="e">
        <f>IF(ISBLANK('Master Submitted DPDs'!#REF!),"",'Master Submitted DPDs'!#REF!)</f>
        <v>#REF!</v>
      </c>
      <c r="G463" t="str">
        <f>IF(ISBLANK('Master Submitted DPDs'!#REF!),"","Withdrawn")</f>
        <v>Withdrawn</v>
      </c>
      <c r="H463" s="2" t="e">
        <f>IF(ISBLANK('Master Submitted DPDs'!#REF!),"",'Master Submitted DPDs'!#REF!)</f>
        <v>#REF!</v>
      </c>
      <c r="I463" s="3"/>
      <c r="J463" s="3"/>
      <c r="K463" s="3"/>
      <c r="L463" s="2" t="e">
        <f>IF(ISBLANK('Master Submitted DPDs'!#REF!),"",'Master Submitted DPDs'!#REF!)</f>
        <v>#REF!</v>
      </c>
      <c r="M463" s="2" t="e">
        <f t="shared" si="14"/>
        <v>#REF!</v>
      </c>
      <c r="N463" s="2" t="e">
        <f>IF(ISBLANK('Master Submitted DPDs'!#REF!),IF(ISBLANK('Master Submitted DPDs'!#REF!),"",'Master Submitted DPDs'!#REF!),'Master Submitted DPDs'!#REF!)</f>
        <v>#REF!</v>
      </c>
      <c r="O463" s="2" t="e">
        <f>IF(ISBLANK('Master Submitted DPDs'!#REF!),"",'Master Submitted DPDs'!#REF!)</f>
        <v>#REF!</v>
      </c>
      <c r="P463" s="2" t="e">
        <f>IF(ISBLANK('Master Submitted DPDs'!#REF!),"",'Master Submitted DPDs'!#REF!)</f>
        <v>#REF!</v>
      </c>
      <c r="Q463" t="e">
        <f>IF(ISBLANK('Master Submitted DPDs'!#REF!),"",'Master Submitted DPDs'!#REF!)</f>
        <v>#REF!</v>
      </c>
      <c r="R463" t="e">
        <f t="shared" si="15"/>
        <v>#REF!</v>
      </c>
      <c r="S463" s="3"/>
      <c r="T463" t="e">
        <f>IF(ISBLANK('Master Submitted DPDs'!#REF!),"",'Master Submitted DPDs'!#REF!)</f>
        <v>#REF!</v>
      </c>
    </row>
    <row r="464" spans="1:20" ht="15" x14ac:dyDescent="0.2">
      <c r="A464" s="3" t="str">
        <f>IF(ISBLANK('Master Submitted DPDs'!#REF!),"","Local Plans")</f>
        <v>Local Plans</v>
      </c>
      <c r="B464" t="e">
        <f>IF(ISBLANK('Master Submitted DPDs'!#REF!),"",'Master Submitted DPDs'!#REF!)</f>
        <v>#REF!</v>
      </c>
      <c r="C464" s="3" t="str">
        <f>IF(ISBLANK('Master Submitted DPDs'!#REF!),"","IH")</f>
        <v>IH</v>
      </c>
      <c r="D464" s="3" t="e">
        <f>LOOKUP($F464,'fuzzy LPA lookup'!$E:$E,'fuzzy LPA lookup'!$A:$A)</f>
        <v>#REF!</v>
      </c>
      <c r="E464" s="3" t="e">
        <f>LOOKUP($F464,'fuzzy LPA lookup'!$E:$E,'fuzzy LPA lookup'!$D:$D)</f>
        <v>#REF!</v>
      </c>
      <c r="F464" s="8" t="e">
        <f>IF(ISBLANK('Master Submitted DPDs'!#REF!),"",'Master Submitted DPDs'!#REF!)</f>
        <v>#REF!</v>
      </c>
      <c r="G464" t="str">
        <f>IF(ISBLANK('Master Submitted DPDs'!#REF!),"","Withdrawn")</f>
        <v>Withdrawn</v>
      </c>
      <c r="H464" s="2" t="e">
        <f>IF(ISBLANK('Master Submitted DPDs'!#REF!),"",'Master Submitted DPDs'!#REF!)</f>
        <v>#REF!</v>
      </c>
      <c r="I464" s="3"/>
      <c r="J464" s="3"/>
      <c r="K464" s="3"/>
      <c r="L464" s="2" t="e">
        <f>IF(ISBLANK('Master Submitted DPDs'!#REF!),"",'Master Submitted DPDs'!#REF!)</f>
        <v>#REF!</v>
      </c>
      <c r="M464" s="2" t="e">
        <f t="shared" si="14"/>
        <v>#REF!</v>
      </c>
      <c r="N464" s="2" t="e">
        <f>IF(ISBLANK('Master Submitted DPDs'!#REF!),IF(ISBLANK('Master Submitted DPDs'!#REF!),"",'Master Submitted DPDs'!#REF!),'Master Submitted DPDs'!#REF!)</f>
        <v>#REF!</v>
      </c>
      <c r="O464" s="2" t="e">
        <f>IF(ISBLANK('Master Submitted DPDs'!#REF!),"",'Master Submitted DPDs'!#REF!)</f>
        <v>#REF!</v>
      </c>
      <c r="P464" s="2" t="e">
        <f>IF(ISBLANK('Master Submitted DPDs'!#REF!),"",'Master Submitted DPDs'!#REF!)</f>
        <v>#REF!</v>
      </c>
      <c r="Q464" t="e">
        <f>IF(ISBLANK('Master Submitted DPDs'!#REF!),"",'Master Submitted DPDs'!#REF!)</f>
        <v>#REF!</v>
      </c>
      <c r="R464" t="e">
        <f t="shared" si="15"/>
        <v>#REF!</v>
      </c>
      <c r="S464" s="3"/>
      <c r="T464" t="e">
        <f>IF(ISBLANK('Master Submitted DPDs'!#REF!),"",'Master Submitted DPDs'!#REF!)</f>
        <v>#REF!</v>
      </c>
    </row>
    <row r="465" spans="1:20" ht="15" x14ac:dyDescent="0.2">
      <c r="A465" s="3" t="str">
        <f>IF(ISBLANK('Master Submitted DPDs'!#REF!),"","Local Plans")</f>
        <v>Local Plans</v>
      </c>
      <c r="B465" t="e">
        <f>IF(ISBLANK('Master Submitted DPDs'!#REF!),"",'Master Submitted DPDs'!#REF!)</f>
        <v>#REF!</v>
      </c>
      <c r="C465" s="3" t="str">
        <f>IF(ISBLANK('Master Submitted DPDs'!#REF!),"","IH")</f>
        <v>IH</v>
      </c>
      <c r="D465" s="3" t="e">
        <f>LOOKUP($F465,'fuzzy LPA lookup'!$E:$E,'fuzzy LPA lookup'!$A:$A)</f>
        <v>#REF!</v>
      </c>
      <c r="E465" s="3" t="e">
        <f>LOOKUP($F465,'fuzzy LPA lookup'!$E:$E,'fuzzy LPA lookup'!$D:$D)</f>
        <v>#REF!</v>
      </c>
      <c r="F465" s="8" t="e">
        <f>IF(ISBLANK('Master Submitted DPDs'!#REF!),"",'Master Submitted DPDs'!#REF!)</f>
        <v>#REF!</v>
      </c>
      <c r="G465" t="str">
        <f>IF(ISBLANK('Master Submitted DPDs'!#REF!),"","Withdrawn")</f>
        <v>Withdrawn</v>
      </c>
      <c r="H465" s="2" t="e">
        <f>IF(ISBLANK('Master Submitted DPDs'!#REF!),"",'Master Submitted DPDs'!#REF!)</f>
        <v>#REF!</v>
      </c>
      <c r="I465" s="3"/>
      <c r="J465" s="3"/>
      <c r="K465" s="3"/>
      <c r="L465" s="2" t="e">
        <f>IF(ISBLANK('Master Submitted DPDs'!#REF!),"",'Master Submitted DPDs'!#REF!)</f>
        <v>#REF!</v>
      </c>
      <c r="M465" s="2" t="e">
        <f t="shared" si="14"/>
        <v>#REF!</v>
      </c>
      <c r="N465" s="2" t="e">
        <f>IF(ISBLANK('Master Submitted DPDs'!#REF!),IF(ISBLANK('Master Submitted DPDs'!#REF!),"",'Master Submitted DPDs'!#REF!),'Master Submitted DPDs'!#REF!)</f>
        <v>#REF!</v>
      </c>
      <c r="O465" s="2" t="e">
        <f>IF(ISBLANK('Master Submitted DPDs'!#REF!),"",'Master Submitted DPDs'!#REF!)</f>
        <v>#REF!</v>
      </c>
      <c r="P465" s="2" t="e">
        <f>IF(ISBLANK('Master Submitted DPDs'!#REF!),"",'Master Submitted DPDs'!#REF!)</f>
        <v>#REF!</v>
      </c>
      <c r="Q465" t="e">
        <f>IF(ISBLANK('Master Submitted DPDs'!#REF!),"",'Master Submitted DPDs'!#REF!)</f>
        <v>#REF!</v>
      </c>
      <c r="R465" t="e">
        <f t="shared" si="15"/>
        <v>#REF!</v>
      </c>
      <c r="S465" s="3"/>
      <c r="T465" t="e">
        <f>IF(ISBLANK('Master Submitted DPDs'!#REF!),"",'Master Submitted DPDs'!#REF!)</f>
        <v>#REF!</v>
      </c>
    </row>
    <row r="466" spans="1:20" ht="15" x14ac:dyDescent="0.2">
      <c r="A466" s="3" t="str">
        <f>IF(ISBLANK('Master Submitted DPDs'!#REF!),"","Local Plans")</f>
        <v>Local Plans</v>
      </c>
      <c r="B466" t="e">
        <f>IF(ISBLANK('Master Submitted DPDs'!#REF!),"",'Master Submitted DPDs'!#REF!)</f>
        <v>#REF!</v>
      </c>
      <c r="C466" s="3" t="str">
        <f>IF(ISBLANK('Master Submitted DPDs'!#REF!),"","IH")</f>
        <v>IH</v>
      </c>
      <c r="D466" s="3" t="e">
        <f>LOOKUP($F466,'fuzzy LPA lookup'!$E:$E,'fuzzy LPA lookup'!$A:$A)</f>
        <v>#REF!</v>
      </c>
      <c r="E466" s="3" t="e">
        <f>LOOKUP($F466,'fuzzy LPA lookup'!$E:$E,'fuzzy LPA lookup'!$D:$D)</f>
        <v>#REF!</v>
      </c>
      <c r="F466" s="8" t="e">
        <f>IF(ISBLANK('Master Submitted DPDs'!#REF!),"",'Master Submitted DPDs'!#REF!)</f>
        <v>#REF!</v>
      </c>
      <c r="G466" t="str">
        <f>IF(ISBLANK('Master Submitted DPDs'!#REF!),"","Withdrawn")</f>
        <v>Withdrawn</v>
      </c>
      <c r="H466" s="2" t="e">
        <f>IF(ISBLANK('Master Submitted DPDs'!#REF!),"",'Master Submitted DPDs'!#REF!)</f>
        <v>#REF!</v>
      </c>
      <c r="I466" s="3"/>
      <c r="J466" s="3"/>
      <c r="K466" s="3"/>
      <c r="L466" s="2" t="e">
        <f>IF(ISBLANK('Master Submitted DPDs'!#REF!),"",'Master Submitted DPDs'!#REF!)</f>
        <v>#REF!</v>
      </c>
      <c r="M466" s="2" t="e">
        <f t="shared" si="14"/>
        <v>#REF!</v>
      </c>
      <c r="N466" s="2" t="e">
        <f>IF(ISBLANK('Master Submitted DPDs'!#REF!),IF(ISBLANK('Master Submitted DPDs'!#REF!),"",'Master Submitted DPDs'!#REF!),'Master Submitted DPDs'!#REF!)</f>
        <v>#REF!</v>
      </c>
      <c r="O466" s="2" t="e">
        <f>IF(ISBLANK('Master Submitted DPDs'!#REF!),"",'Master Submitted DPDs'!#REF!)</f>
        <v>#REF!</v>
      </c>
      <c r="P466" s="2" t="e">
        <f>IF(ISBLANK('Master Submitted DPDs'!#REF!),"",'Master Submitted DPDs'!#REF!)</f>
        <v>#REF!</v>
      </c>
      <c r="Q466" t="e">
        <f>IF(ISBLANK('Master Submitted DPDs'!#REF!),"",'Master Submitted DPDs'!#REF!)</f>
        <v>#REF!</v>
      </c>
      <c r="R466" t="e">
        <f t="shared" si="15"/>
        <v>#REF!</v>
      </c>
      <c r="S466" s="3"/>
      <c r="T466" t="e">
        <f>IF(ISBLANK('Master Submitted DPDs'!#REF!),"",'Master Submitted DPDs'!#REF!)</f>
        <v>#REF!</v>
      </c>
    </row>
    <row r="467" spans="1:20" ht="15" x14ac:dyDescent="0.2">
      <c r="A467" s="3" t="str">
        <f>IF(ISBLANK('Master Submitted DPDs'!#REF!),"","Local Plans")</f>
        <v>Local Plans</v>
      </c>
      <c r="B467" t="e">
        <f>IF(ISBLANK('Master Submitted DPDs'!#REF!),"",'Master Submitted DPDs'!#REF!)</f>
        <v>#REF!</v>
      </c>
      <c r="C467" s="3" t="str">
        <f>IF(ISBLANK('Master Submitted DPDs'!#REF!),"","IH")</f>
        <v>IH</v>
      </c>
      <c r="D467" s="3" t="e">
        <f>LOOKUP($F467,'fuzzy LPA lookup'!$E:$E,'fuzzy LPA lookup'!$A:$A)</f>
        <v>#REF!</v>
      </c>
      <c r="E467" s="3" t="e">
        <f>LOOKUP($F467,'fuzzy LPA lookup'!$E:$E,'fuzzy LPA lookup'!$D:$D)</f>
        <v>#REF!</v>
      </c>
      <c r="F467" s="8" t="e">
        <f>IF(ISBLANK('Master Submitted DPDs'!#REF!),"",'Master Submitted DPDs'!#REF!)</f>
        <v>#REF!</v>
      </c>
      <c r="G467" t="str">
        <f>IF(ISBLANK('Master Submitted DPDs'!#REF!),"","Withdrawn")</f>
        <v>Withdrawn</v>
      </c>
      <c r="H467" s="2" t="e">
        <f>IF(ISBLANK('Master Submitted DPDs'!#REF!),"",'Master Submitted DPDs'!#REF!)</f>
        <v>#REF!</v>
      </c>
      <c r="I467" s="3"/>
      <c r="J467" s="3"/>
      <c r="K467" s="3"/>
      <c r="L467" s="2" t="e">
        <f>IF(ISBLANK('Master Submitted DPDs'!#REF!),"",'Master Submitted DPDs'!#REF!)</f>
        <v>#REF!</v>
      </c>
      <c r="M467" s="2" t="e">
        <f t="shared" si="14"/>
        <v>#REF!</v>
      </c>
      <c r="N467" s="2" t="e">
        <f>IF(ISBLANK('Master Submitted DPDs'!#REF!),IF(ISBLANK('Master Submitted DPDs'!#REF!),"",'Master Submitted DPDs'!#REF!),'Master Submitted DPDs'!#REF!)</f>
        <v>#REF!</v>
      </c>
      <c r="O467" s="2" t="e">
        <f>IF(ISBLANK('Master Submitted DPDs'!#REF!),"",'Master Submitted DPDs'!#REF!)</f>
        <v>#REF!</v>
      </c>
      <c r="P467" s="2" t="e">
        <f>IF(ISBLANK('Master Submitted DPDs'!#REF!),"",'Master Submitted DPDs'!#REF!)</f>
        <v>#REF!</v>
      </c>
      <c r="Q467" t="e">
        <f>IF(ISBLANK('Master Submitted DPDs'!#REF!),"",'Master Submitted DPDs'!#REF!)</f>
        <v>#REF!</v>
      </c>
      <c r="R467" t="e">
        <f t="shared" si="15"/>
        <v>#REF!</v>
      </c>
      <c r="S467" s="3"/>
      <c r="T467" t="e">
        <f>IF(ISBLANK('Master Submitted DPDs'!#REF!),"",'Master Submitted DPDs'!#REF!)</f>
        <v>#REF!</v>
      </c>
    </row>
    <row r="468" spans="1:20" ht="15" x14ac:dyDescent="0.2">
      <c r="A468" s="3" t="str">
        <f>IF(ISBLANK('Master Submitted DPDs'!#REF!),"","Local Plans")</f>
        <v>Local Plans</v>
      </c>
      <c r="B468" t="e">
        <f>IF(ISBLANK('Master Submitted DPDs'!#REF!),"",'Master Submitted DPDs'!#REF!)</f>
        <v>#REF!</v>
      </c>
      <c r="C468" s="3" t="str">
        <f>IF(ISBLANK('Master Submitted DPDs'!#REF!),"","IH")</f>
        <v>IH</v>
      </c>
      <c r="D468" s="3" t="e">
        <f>LOOKUP($F468,'fuzzy LPA lookup'!$E:$E,'fuzzy LPA lookup'!$A:$A)</f>
        <v>#REF!</v>
      </c>
      <c r="E468" s="3" t="e">
        <f>LOOKUP($F468,'fuzzy LPA lookup'!$E:$E,'fuzzy LPA lookup'!$D:$D)</f>
        <v>#REF!</v>
      </c>
      <c r="F468" s="8" t="e">
        <f>IF(ISBLANK('Master Submitted DPDs'!#REF!),"",'Master Submitted DPDs'!#REF!)</f>
        <v>#REF!</v>
      </c>
      <c r="G468" t="str">
        <f>IF(ISBLANK('Master Submitted DPDs'!#REF!),"","Withdrawn")</f>
        <v>Withdrawn</v>
      </c>
      <c r="H468" s="2" t="e">
        <f>IF(ISBLANK('Master Submitted DPDs'!#REF!),"",'Master Submitted DPDs'!#REF!)</f>
        <v>#REF!</v>
      </c>
      <c r="I468" s="3"/>
      <c r="J468" s="3"/>
      <c r="K468" s="3"/>
      <c r="L468" s="2" t="e">
        <f>IF(ISBLANK('Master Submitted DPDs'!#REF!),"",'Master Submitted DPDs'!#REF!)</f>
        <v>#REF!</v>
      </c>
      <c r="M468" s="2" t="e">
        <f t="shared" si="14"/>
        <v>#REF!</v>
      </c>
      <c r="N468" s="2" t="e">
        <f>IF(ISBLANK('Master Submitted DPDs'!#REF!),IF(ISBLANK('Master Submitted DPDs'!#REF!),"",'Master Submitted DPDs'!#REF!),'Master Submitted DPDs'!#REF!)</f>
        <v>#REF!</v>
      </c>
      <c r="O468" s="2" t="e">
        <f>IF(ISBLANK('Master Submitted DPDs'!#REF!),"",'Master Submitted DPDs'!#REF!)</f>
        <v>#REF!</v>
      </c>
      <c r="P468" s="2" t="e">
        <f>IF(ISBLANK('Master Submitted DPDs'!#REF!),"",'Master Submitted DPDs'!#REF!)</f>
        <v>#REF!</v>
      </c>
      <c r="Q468" t="e">
        <f>IF(ISBLANK('Master Submitted DPDs'!#REF!),"",'Master Submitted DPDs'!#REF!)</f>
        <v>#REF!</v>
      </c>
      <c r="R468" t="e">
        <f t="shared" si="15"/>
        <v>#REF!</v>
      </c>
      <c r="S468" s="3"/>
      <c r="T468" t="e">
        <f>IF(ISBLANK('Master Submitted DPDs'!#REF!),"",'Master Submitted DPDs'!#REF!)</f>
        <v>#REF!</v>
      </c>
    </row>
    <row r="469" spans="1:20" ht="15" x14ac:dyDescent="0.2">
      <c r="A469" s="3" t="str">
        <f>IF(ISBLANK('Master Submitted DPDs'!#REF!),"","Local Plans")</f>
        <v>Local Plans</v>
      </c>
      <c r="B469" t="e">
        <f>IF(ISBLANK('Master Submitted DPDs'!#REF!),"",'Master Submitted DPDs'!#REF!)</f>
        <v>#REF!</v>
      </c>
      <c r="C469" s="3" t="str">
        <f>IF(ISBLANK('Master Submitted DPDs'!#REF!),"","IH")</f>
        <v>IH</v>
      </c>
      <c r="D469" s="3" t="e">
        <f>LOOKUP($F469,'fuzzy LPA lookup'!$E:$E,'fuzzy LPA lookup'!$A:$A)</f>
        <v>#REF!</v>
      </c>
      <c r="E469" s="3" t="e">
        <f>LOOKUP($F469,'fuzzy LPA lookup'!$E:$E,'fuzzy LPA lookup'!$D:$D)</f>
        <v>#REF!</v>
      </c>
      <c r="F469" s="8" t="e">
        <f>IF(ISBLANK('Master Submitted DPDs'!#REF!),"",'Master Submitted DPDs'!#REF!)</f>
        <v>#REF!</v>
      </c>
      <c r="G469" t="str">
        <f>IF(ISBLANK('Master Submitted DPDs'!#REF!),"","Withdrawn")</f>
        <v>Withdrawn</v>
      </c>
      <c r="H469" s="2" t="e">
        <f>IF(ISBLANK('Master Submitted DPDs'!#REF!),"",'Master Submitted DPDs'!#REF!)</f>
        <v>#REF!</v>
      </c>
      <c r="I469" s="3"/>
      <c r="J469" s="3"/>
      <c r="K469" s="3"/>
      <c r="L469" s="2" t="e">
        <f>IF(ISBLANK('Master Submitted DPDs'!#REF!),"",'Master Submitted DPDs'!#REF!)</f>
        <v>#REF!</v>
      </c>
      <c r="M469" s="2" t="e">
        <f t="shared" si="14"/>
        <v>#REF!</v>
      </c>
      <c r="N469" s="2" t="e">
        <f>IF(ISBLANK('Master Submitted DPDs'!#REF!),IF(ISBLANK('Master Submitted DPDs'!#REF!),"",'Master Submitted DPDs'!#REF!),'Master Submitted DPDs'!#REF!)</f>
        <v>#REF!</v>
      </c>
      <c r="O469" s="2" t="e">
        <f>IF(ISBLANK('Master Submitted DPDs'!#REF!),"",'Master Submitted DPDs'!#REF!)</f>
        <v>#REF!</v>
      </c>
      <c r="P469" s="2" t="e">
        <f>IF(ISBLANK('Master Submitted DPDs'!#REF!),"",'Master Submitted DPDs'!#REF!)</f>
        <v>#REF!</v>
      </c>
      <c r="Q469" t="e">
        <f>IF(ISBLANK('Master Submitted DPDs'!#REF!),"",'Master Submitted DPDs'!#REF!)</f>
        <v>#REF!</v>
      </c>
      <c r="R469" t="e">
        <f t="shared" si="15"/>
        <v>#REF!</v>
      </c>
      <c r="S469" s="3"/>
      <c r="T469" t="e">
        <f>IF(ISBLANK('Master Submitted DPDs'!#REF!),"",'Master Submitted DPDs'!#REF!)</f>
        <v>#REF!</v>
      </c>
    </row>
    <row r="470" spans="1:20" ht="15" x14ac:dyDescent="0.2">
      <c r="A470" s="3" t="str">
        <f>IF(ISBLANK('Master Submitted DPDs'!#REF!),"","Local Plans")</f>
        <v>Local Plans</v>
      </c>
      <c r="B470" t="e">
        <f>IF(ISBLANK('Master Submitted DPDs'!#REF!),"",'Master Submitted DPDs'!#REF!)</f>
        <v>#REF!</v>
      </c>
      <c r="C470" s="3" t="str">
        <f>IF(ISBLANK('Master Submitted DPDs'!#REF!),"","IH")</f>
        <v>IH</v>
      </c>
      <c r="D470" s="3" t="e">
        <f>LOOKUP($F470,'fuzzy LPA lookup'!$E:$E,'fuzzy LPA lookup'!$A:$A)</f>
        <v>#REF!</v>
      </c>
      <c r="E470" s="3" t="e">
        <f>LOOKUP($F470,'fuzzy LPA lookup'!$E:$E,'fuzzy LPA lookup'!$D:$D)</f>
        <v>#REF!</v>
      </c>
      <c r="F470" s="8" t="e">
        <f>IF(ISBLANK('Master Submitted DPDs'!#REF!),"",'Master Submitted DPDs'!#REF!)</f>
        <v>#REF!</v>
      </c>
      <c r="G470" t="str">
        <f>IF(ISBLANK('Master Submitted DPDs'!#REF!),"","Withdrawn")</f>
        <v>Withdrawn</v>
      </c>
      <c r="H470" s="2" t="e">
        <f>IF(ISBLANK('Master Submitted DPDs'!#REF!),"",'Master Submitted DPDs'!#REF!)</f>
        <v>#REF!</v>
      </c>
      <c r="I470" s="3"/>
      <c r="J470" s="3"/>
      <c r="K470" s="3"/>
      <c r="L470" s="2" t="e">
        <f>IF(ISBLANK('Master Submitted DPDs'!#REF!),"",'Master Submitted DPDs'!#REF!)</f>
        <v>#REF!</v>
      </c>
      <c r="M470" s="2" t="e">
        <f t="shared" si="14"/>
        <v>#REF!</v>
      </c>
      <c r="N470" s="2" t="e">
        <f>IF(ISBLANK('Master Submitted DPDs'!#REF!),IF(ISBLANK('Master Submitted DPDs'!#REF!),"",'Master Submitted DPDs'!#REF!),'Master Submitted DPDs'!#REF!)</f>
        <v>#REF!</v>
      </c>
      <c r="O470" s="2" t="e">
        <f>IF(ISBLANK('Master Submitted DPDs'!#REF!),"",'Master Submitted DPDs'!#REF!)</f>
        <v>#REF!</v>
      </c>
      <c r="P470" s="2" t="e">
        <f>IF(ISBLANK('Master Submitted DPDs'!#REF!),"",'Master Submitted DPDs'!#REF!)</f>
        <v>#REF!</v>
      </c>
      <c r="Q470" t="e">
        <f>IF(ISBLANK('Master Submitted DPDs'!#REF!),"",'Master Submitted DPDs'!#REF!)</f>
        <v>#REF!</v>
      </c>
      <c r="R470" t="e">
        <f t="shared" si="15"/>
        <v>#REF!</v>
      </c>
      <c r="S470" s="3"/>
      <c r="T470" t="e">
        <f>IF(ISBLANK('Master Submitted DPDs'!#REF!),"",'Master Submitted DPDs'!#REF!)</f>
        <v>#REF!</v>
      </c>
    </row>
    <row r="471" spans="1:20" ht="15" x14ac:dyDescent="0.2">
      <c r="A471" s="3" t="str">
        <f>IF(ISBLANK('Master Submitted DPDs'!#REF!),"","Local Plans")</f>
        <v>Local Plans</v>
      </c>
      <c r="B471" t="e">
        <f>IF(ISBLANK('Master Submitted DPDs'!#REF!),"",'Master Submitted DPDs'!#REF!)</f>
        <v>#REF!</v>
      </c>
      <c r="C471" s="3" t="str">
        <f>IF(ISBLANK('Master Submitted DPDs'!#REF!),"","IH")</f>
        <v>IH</v>
      </c>
      <c r="D471" s="3" t="e">
        <f>LOOKUP($F471,'fuzzy LPA lookup'!$E:$E,'fuzzy LPA lookup'!$A:$A)</f>
        <v>#REF!</v>
      </c>
      <c r="E471" s="3" t="e">
        <f>LOOKUP($F471,'fuzzy LPA lookup'!$E:$E,'fuzzy LPA lookup'!$D:$D)</f>
        <v>#REF!</v>
      </c>
      <c r="F471" s="8" t="e">
        <f>IF(ISBLANK('Master Submitted DPDs'!#REF!),"",'Master Submitted DPDs'!#REF!)</f>
        <v>#REF!</v>
      </c>
      <c r="G471" t="str">
        <f>IF(ISBLANK('Master Submitted DPDs'!#REF!),"","Withdrawn")</f>
        <v>Withdrawn</v>
      </c>
      <c r="H471" s="2" t="e">
        <f>IF(ISBLANK('Master Submitted DPDs'!#REF!),"",'Master Submitted DPDs'!#REF!)</f>
        <v>#REF!</v>
      </c>
      <c r="I471" s="3"/>
      <c r="J471" s="3"/>
      <c r="K471" s="3"/>
      <c r="L471" s="2" t="e">
        <f>IF(ISBLANK('Master Submitted DPDs'!#REF!),"",'Master Submitted DPDs'!#REF!)</f>
        <v>#REF!</v>
      </c>
      <c r="M471" s="2" t="e">
        <f t="shared" si="14"/>
        <v>#REF!</v>
      </c>
      <c r="N471" s="2" t="e">
        <f>IF(ISBLANK('Master Submitted DPDs'!#REF!),IF(ISBLANK('Master Submitted DPDs'!#REF!),"",'Master Submitted DPDs'!#REF!),'Master Submitted DPDs'!#REF!)</f>
        <v>#REF!</v>
      </c>
      <c r="O471" s="2" t="e">
        <f>IF(ISBLANK('Master Submitted DPDs'!#REF!),"",'Master Submitted DPDs'!#REF!)</f>
        <v>#REF!</v>
      </c>
      <c r="P471" s="2" t="e">
        <f>IF(ISBLANK('Master Submitted DPDs'!#REF!),"",'Master Submitted DPDs'!#REF!)</f>
        <v>#REF!</v>
      </c>
      <c r="Q471" t="e">
        <f>IF(ISBLANK('Master Submitted DPDs'!#REF!),"",'Master Submitted DPDs'!#REF!)</f>
        <v>#REF!</v>
      </c>
      <c r="R471" t="e">
        <f t="shared" si="15"/>
        <v>#REF!</v>
      </c>
      <c r="S471" s="3"/>
      <c r="T471" t="e">
        <f>IF(ISBLANK('Master Submitted DPDs'!#REF!),"",'Master Submitted DPDs'!#REF!)</f>
        <v>#REF!</v>
      </c>
    </row>
    <row r="472" spans="1:20" ht="15" x14ac:dyDescent="0.2">
      <c r="A472" s="3" t="str">
        <f>IF(ISBLANK('Master Submitted DPDs'!#REF!),"","Local Plans")</f>
        <v>Local Plans</v>
      </c>
      <c r="B472" t="e">
        <f>IF(ISBLANK('Master Submitted DPDs'!#REF!),"",'Master Submitted DPDs'!#REF!)</f>
        <v>#REF!</v>
      </c>
      <c r="C472" s="3" t="str">
        <f>IF(ISBLANK('Master Submitted DPDs'!#REF!),"","IH")</f>
        <v>IH</v>
      </c>
      <c r="D472" s="3" t="e">
        <f>LOOKUP($F472,'fuzzy LPA lookup'!$E:$E,'fuzzy LPA lookup'!$A:$A)</f>
        <v>#REF!</v>
      </c>
      <c r="E472" s="3" t="e">
        <f>LOOKUP($F472,'fuzzy LPA lookup'!$E:$E,'fuzzy LPA lookup'!$D:$D)</f>
        <v>#REF!</v>
      </c>
      <c r="F472" s="8" t="e">
        <f>IF(ISBLANK('Master Submitted DPDs'!#REF!),"",'Master Submitted DPDs'!#REF!)</f>
        <v>#REF!</v>
      </c>
      <c r="G472" t="str">
        <f>IF(ISBLANK('Master Submitted DPDs'!#REF!),"","Withdrawn")</f>
        <v>Withdrawn</v>
      </c>
      <c r="H472" s="2" t="e">
        <f>IF(ISBLANK('Master Submitted DPDs'!#REF!),"",'Master Submitted DPDs'!#REF!)</f>
        <v>#REF!</v>
      </c>
      <c r="I472" s="3"/>
      <c r="J472" s="3"/>
      <c r="K472" s="3"/>
      <c r="L472" s="2" t="e">
        <f>IF(ISBLANK('Master Submitted DPDs'!#REF!),"",'Master Submitted DPDs'!#REF!)</f>
        <v>#REF!</v>
      </c>
      <c r="M472" s="2" t="e">
        <f t="shared" si="14"/>
        <v>#REF!</v>
      </c>
      <c r="N472" s="2" t="e">
        <f>IF(ISBLANK('Master Submitted DPDs'!#REF!),IF(ISBLANK('Master Submitted DPDs'!#REF!),"",'Master Submitted DPDs'!#REF!),'Master Submitted DPDs'!#REF!)</f>
        <v>#REF!</v>
      </c>
      <c r="O472" s="2" t="e">
        <f>IF(ISBLANK('Master Submitted DPDs'!#REF!),"",'Master Submitted DPDs'!#REF!)</f>
        <v>#REF!</v>
      </c>
      <c r="P472" s="2" t="e">
        <f>IF(ISBLANK('Master Submitted DPDs'!#REF!),"",'Master Submitted DPDs'!#REF!)</f>
        <v>#REF!</v>
      </c>
      <c r="Q472" t="e">
        <f>IF(ISBLANK('Master Submitted DPDs'!#REF!),"",'Master Submitted DPDs'!#REF!)</f>
        <v>#REF!</v>
      </c>
      <c r="R472" t="e">
        <f t="shared" si="15"/>
        <v>#REF!</v>
      </c>
      <c r="S472" s="3"/>
      <c r="T472" t="e">
        <f>IF(ISBLANK('Master Submitted DPDs'!#REF!),"",'Master Submitted DPDs'!#REF!)</f>
        <v>#REF!</v>
      </c>
    </row>
    <row r="473" spans="1:20" ht="15" x14ac:dyDescent="0.2">
      <c r="A473" s="3" t="str">
        <f>IF(ISBLANK('Master Submitted DPDs'!#REF!),"","Local Plans")</f>
        <v>Local Plans</v>
      </c>
      <c r="B473" t="e">
        <f>IF(ISBLANK('Master Submitted DPDs'!#REF!),"",'Master Submitted DPDs'!#REF!)</f>
        <v>#REF!</v>
      </c>
      <c r="C473" s="3" t="str">
        <f>IF(ISBLANK('Master Submitted DPDs'!#REF!),"","IH")</f>
        <v>IH</v>
      </c>
      <c r="D473" s="3" t="e">
        <f>LOOKUP($F473,'fuzzy LPA lookup'!$E:$E,'fuzzy LPA lookup'!$A:$A)</f>
        <v>#REF!</v>
      </c>
      <c r="E473" s="3" t="e">
        <f>LOOKUP($F473,'fuzzy LPA lookup'!$E:$E,'fuzzy LPA lookup'!$D:$D)</f>
        <v>#REF!</v>
      </c>
      <c r="F473" s="8" t="e">
        <f>IF(ISBLANK('Master Submitted DPDs'!#REF!),"",'Master Submitted DPDs'!#REF!)</f>
        <v>#REF!</v>
      </c>
      <c r="G473" t="str">
        <f>IF(ISBLANK('Master Submitted DPDs'!#REF!),"","Withdrawn")</f>
        <v>Withdrawn</v>
      </c>
      <c r="H473" s="2" t="e">
        <f>IF(ISBLANK('Master Submitted DPDs'!#REF!),"",'Master Submitted DPDs'!#REF!)</f>
        <v>#REF!</v>
      </c>
      <c r="I473" s="3"/>
      <c r="J473" s="3"/>
      <c r="K473" s="3"/>
      <c r="L473" s="2" t="e">
        <f>IF(ISBLANK('Master Submitted DPDs'!#REF!),"",'Master Submitted DPDs'!#REF!)</f>
        <v>#REF!</v>
      </c>
      <c r="M473" s="2" t="e">
        <f t="shared" si="14"/>
        <v>#REF!</v>
      </c>
      <c r="N473" s="2" t="e">
        <f>IF(ISBLANK('Master Submitted DPDs'!#REF!),IF(ISBLANK('Master Submitted DPDs'!#REF!),"",'Master Submitted DPDs'!#REF!),'Master Submitted DPDs'!#REF!)</f>
        <v>#REF!</v>
      </c>
      <c r="O473" s="2" t="e">
        <f>IF(ISBLANK('Master Submitted DPDs'!#REF!),"",'Master Submitted DPDs'!#REF!)</f>
        <v>#REF!</v>
      </c>
      <c r="P473" s="2" t="e">
        <f>IF(ISBLANK('Master Submitted DPDs'!#REF!),"",'Master Submitted DPDs'!#REF!)</f>
        <v>#REF!</v>
      </c>
      <c r="Q473" t="e">
        <f>IF(ISBLANK('Master Submitted DPDs'!#REF!),"",'Master Submitted DPDs'!#REF!)</f>
        <v>#REF!</v>
      </c>
      <c r="R473" t="e">
        <f t="shared" si="15"/>
        <v>#REF!</v>
      </c>
      <c r="S473" s="3"/>
      <c r="T473" t="e">
        <f>IF(ISBLANK('Master Submitted DPDs'!#REF!),"",'Master Submitted DPDs'!#REF!)</f>
        <v>#REF!</v>
      </c>
    </row>
    <row r="474" spans="1:20" ht="15" x14ac:dyDescent="0.2">
      <c r="A474" s="3" t="str">
        <f>IF(ISBLANK('Master Submitted DPDs'!#REF!),"","Local Plans")</f>
        <v>Local Plans</v>
      </c>
      <c r="B474" t="e">
        <f>IF(ISBLANK('Master Submitted DPDs'!#REF!),"",'Master Submitted DPDs'!#REF!)</f>
        <v>#REF!</v>
      </c>
      <c r="C474" s="3" t="str">
        <f>IF(ISBLANK('Master Submitted DPDs'!#REF!),"","IH")</f>
        <v>IH</v>
      </c>
      <c r="D474" s="3" t="e">
        <f>LOOKUP($F474,'fuzzy LPA lookup'!$E:$E,'fuzzy LPA lookup'!$A:$A)</f>
        <v>#REF!</v>
      </c>
      <c r="E474" s="3" t="e">
        <f>LOOKUP($F474,'fuzzy LPA lookup'!$E:$E,'fuzzy LPA lookup'!$D:$D)</f>
        <v>#REF!</v>
      </c>
      <c r="F474" s="8" t="e">
        <f>IF(ISBLANK('Master Submitted DPDs'!#REF!),"",'Master Submitted DPDs'!#REF!)</f>
        <v>#REF!</v>
      </c>
      <c r="G474" t="str">
        <f>IF(ISBLANK('Master Submitted DPDs'!#REF!),"","Withdrawn")</f>
        <v>Withdrawn</v>
      </c>
      <c r="H474" s="2" t="e">
        <f>IF(ISBLANK('Master Submitted DPDs'!#REF!),"",'Master Submitted DPDs'!#REF!)</f>
        <v>#REF!</v>
      </c>
      <c r="I474" s="3"/>
      <c r="J474" s="3"/>
      <c r="K474" s="3"/>
      <c r="L474" s="2" t="e">
        <f>IF(ISBLANK('Master Submitted DPDs'!#REF!),"",'Master Submitted DPDs'!#REF!)</f>
        <v>#REF!</v>
      </c>
      <c r="M474" s="2" t="e">
        <f t="shared" si="14"/>
        <v>#REF!</v>
      </c>
      <c r="N474" s="2" t="e">
        <f>IF(ISBLANK('Master Submitted DPDs'!#REF!),IF(ISBLANK('Master Submitted DPDs'!#REF!),"",'Master Submitted DPDs'!#REF!),'Master Submitted DPDs'!#REF!)</f>
        <v>#REF!</v>
      </c>
      <c r="O474" s="2" t="e">
        <f>IF(ISBLANK('Master Submitted DPDs'!#REF!),"",'Master Submitted DPDs'!#REF!)</f>
        <v>#REF!</v>
      </c>
      <c r="P474" s="2" t="e">
        <f>IF(ISBLANK('Master Submitted DPDs'!#REF!),"",'Master Submitted DPDs'!#REF!)</f>
        <v>#REF!</v>
      </c>
      <c r="Q474" t="e">
        <f>IF(ISBLANK('Master Submitted DPDs'!#REF!),"",'Master Submitted DPDs'!#REF!)</f>
        <v>#REF!</v>
      </c>
      <c r="R474" t="e">
        <f t="shared" si="15"/>
        <v>#REF!</v>
      </c>
      <c r="S474" s="3"/>
      <c r="T474" t="e">
        <f>IF(ISBLANK('Master Submitted DPDs'!#REF!),"",'Master Submitted DPDs'!#REF!)</f>
        <v>#REF!</v>
      </c>
    </row>
    <row r="475" spans="1:20" ht="15" x14ac:dyDescent="0.2">
      <c r="A475" s="3" t="str">
        <f>IF(ISBLANK('Master Submitted DPDs'!#REF!),"","Local Plans")</f>
        <v>Local Plans</v>
      </c>
      <c r="B475" t="e">
        <f>IF(ISBLANK('Master Submitted DPDs'!#REF!),"",'Master Submitted DPDs'!#REF!)</f>
        <v>#REF!</v>
      </c>
      <c r="C475" s="3" t="str">
        <f>IF(ISBLANK('Master Submitted DPDs'!#REF!),"","IH")</f>
        <v>IH</v>
      </c>
      <c r="D475" s="3" t="e">
        <f>LOOKUP($F475,'fuzzy LPA lookup'!$E:$E,'fuzzy LPA lookup'!$A:$A)</f>
        <v>#REF!</v>
      </c>
      <c r="E475" s="3" t="e">
        <f>LOOKUP($F475,'fuzzy LPA lookup'!$E:$E,'fuzzy LPA lookup'!$D:$D)</f>
        <v>#REF!</v>
      </c>
      <c r="F475" s="8" t="e">
        <f>IF(ISBLANK('Master Submitted DPDs'!#REF!),"",'Master Submitted DPDs'!#REF!)</f>
        <v>#REF!</v>
      </c>
      <c r="G475" t="str">
        <f>IF(ISBLANK('Master Submitted DPDs'!#REF!),"","Withdrawn")</f>
        <v>Withdrawn</v>
      </c>
      <c r="H475" s="2" t="e">
        <f>IF(ISBLANK('Master Submitted DPDs'!#REF!),"",'Master Submitted DPDs'!#REF!)</f>
        <v>#REF!</v>
      </c>
      <c r="I475" s="3"/>
      <c r="J475" s="3"/>
      <c r="K475" s="3"/>
      <c r="L475" s="2" t="e">
        <f>IF(ISBLANK('Master Submitted DPDs'!#REF!),"",'Master Submitted DPDs'!#REF!)</f>
        <v>#REF!</v>
      </c>
      <c r="M475" s="2" t="e">
        <f t="shared" si="14"/>
        <v>#REF!</v>
      </c>
      <c r="N475" s="2" t="e">
        <f>IF(ISBLANK('Master Submitted DPDs'!#REF!),IF(ISBLANK('Master Submitted DPDs'!#REF!),"",'Master Submitted DPDs'!#REF!),'Master Submitted DPDs'!#REF!)</f>
        <v>#REF!</v>
      </c>
      <c r="O475" s="2" t="e">
        <f>IF(ISBLANK('Master Submitted DPDs'!#REF!),"",'Master Submitted DPDs'!#REF!)</f>
        <v>#REF!</v>
      </c>
      <c r="P475" s="2" t="e">
        <f>IF(ISBLANK('Master Submitted DPDs'!#REF!),"",'Master Submitted DPDs'!#REF!)</f>
        <v>#REF!</v>
      </c>
      <c r="Q475" t="e">
        <f>IF(ISBLANK('Master Submitted DPDs'!#REF!),"",'Master Submitted DPDs'!#REF!)</f>
        <v>#REF!</v>
      </c>
      <c r="R475" t="e">
        <f t="shared" si="15"/>
        <v>#REF!</v>
      </c>
      <c r="S475" s="3"/>
      <c r="T475" t="e">
        <f>IF(ISBLANK('Master Submitted DPDs'!#REF!),"",'Master Submitted DPDs'!#REF!)</f>
        <v>#REF!</v>
      </c>
    </row>
    <row r="476" spans="1:20" ht="15" x14ac:dyDescent="0.2">
      <c r="A476" s="3" t="str">
        <f>IF(ISBLANK('Master Submitted DPDs'!#REF!),"","Local Plans")</f>
        <v>Local Plans</v>
      </c>
      <c r="B476" t="e">
        <f>IF(ISBLANK('Master Submitted DPDs'!#REF!),"",'Master Submitted DPDs'!#REF!)</f>
        <v>#REF!</v>
      </c>
      <c r="C476" s="3" t="str">
        <f>IF(ISBLANK('Master Submitted DPDs'!#REF!),"","IH")</f>
        <v>IH</v>
      </c>
      <c r="D476" s="3" t="e">
        <f>LOOKUP($F476,'fuzzy LPA lookup'!$E:$E,'fuzzy LPA lookup'!$A:$A)</f>
        <v>#REF!</v>
      </c>
      <c r="E476" s="3" t="e">
        <f>LOOKUP($F476,'fuzzy LPA lookup'!$E:$E,'fuzzy LPA lookup'!$D:$D)</f>
        <v>#REF!</v>
      </c>
      <c r="F476" s="8" t="e">
        <f>IF(ISBLANK('Master Submitted DPDs'!#REF!),"",'Master Submitted DPDs'!#REF!)</f>
        <v>#REF!</v>
      </c>
      <c r="G476" t="str">
        <f>IF(ISBLANK('Master Submitted DPDs'!#REF!),"","Withdrawn")</f>
        <v>Withdrawn</v>
      </c>
      <c r="H476" s="2" t="e">
        <f>IF(ISBLANK('Master Submitted DPDs'!#REF!),"",'Master Submitted DPDs'!#REF!)</f>
        <v>#REF!</v>
      </c>
      <c r="I476" s="3"/>
      <c r="J476" s="3"/>
      <c r="K476" s="3"/>
      <c r="L476" s="2" t="e">
        <f>IF(ISBLANK('Master Submitted DPDs'!#REF!),"",'Master Submitted DPDs'!#REF!)</f>
        <v>#REF!</v>
      </c>
      <c r="M476" s="2" t="e">
        <f t="shared" si="14"/>
        <v>#REF!</v>
      </c>
      <c r="N476" s="2" t="e">
        <f>IF(ISBLANK('Master Submitted DPDs'!#REF!),IF(ISBLANK('Master Submitted DPDs'!#REF!),"",'Master Submitted DPDs'!#REF!),'Master Submitted DPDs'!#REF!)</f>
        <v>#REF!</v>
      </c>
      <c r="O476" s="2" t="e">
        <f>IF(ISBLANK('Master Submitted DPDs'!#REF!),"",'Master Submitted DPDs'!#REF!)</f>
        <v>#REF!</v>
      </c>
      <c r="P476" s="2" t="e">
        <f>IF(ISBLANK('Master Submitted DPDs'!#REF!),"",'Master Submitted DPDs'!#REF!)</f>
        <v>#REF!</v>
      </c>
      <c r="Q476" t="e">
        <f>IF(ISBLANK('Master Submitted DPDs'!#REF!),"",'Master Submitted DPDs'!#REF!)</f>
        <v>#REF!</v>
      </c>
      <c r="R476" t="e">
        <f t="shared" si="15"/>
        <v>#REF!</v>
      </c>
      <c r="S476" s="3"/>
      <c r="T476" t="e">
        <f>IF(ISBLANK('Master Submitted DPDs'!#REF!),"",'Master Submitted DPDs'!#REF!)</f>
        <v>#REF!</v>
      </c>
    </row>
    <row r="477" spans="1:20" ht="15" x14ac:dyDescent="0.2">
      <c r="A477" s="3" t="str">
        <f>IF(ISBLANK('Master Submitted DPDs'!#REF!),"","Local Plans")</f>
        <v>Local Plans</v>
      </c>
      <c r="B477" t="e">
        <f>IF(ISBLANK('Master Submitted DPDs'!#REF!),"",'Master Submitted DPDs'!#REF!)</f>
        <v>#REF!</v>
      </c>
      <c r="C477" s="3" t="str">
        <f>IF(ISBLANK('Master Submitted DPDs'!#REF!),"","IH")</f>
        <v>IH</v>
      </c>
      <c r="D477" s="3" t="e">
        <f>LOOKUP($F477,'fuzzy LPA lookup'!$E:$E,'fuzzy LPA lookup'!$A:$A)</f>
        <v>#REF!</v>
      </c>
      <c r="E477" s="3" t="e">
        <f>LOOKUP($F477,'fuzzy LPA lookup'!$E:$E,'fuzzy LPA lookup'!$D:$D)</f>
        <v>#REF!</v>
      </c>
      <c r="F477" s="8" t="e">
        <f>IF(ISBLANK('Master Submitted DPDs'!#REF!),"",'Master Submitted DPDs'!#REF!)</f>
        <v>#REF!</v>
      </c>
      <c r="G477" t="str">
        <f>IF(ISBLANK('Master Submitted DPDs'!#REF!),"","Withdrawn")</f>
        <v>Withdrawn</v>
      </c>
      <c r="H477" s="2" t="e">
        <f>IF(ISBLANK('Master Submitted DPDs'!#REF!),"",'Master Submitted DPDs'!#REF!)</f>
        <v>#REF!</v>
      </c>
      <c r="I477" s="3"/>
      <c r="J477" s="3"/>
      <c r="K477" s="3"/>
      <c r="L477" s="2" t="e">
        <f>IF(ISBLANK('Master Submitted DPDs'!#REF!),"",'Master Submitted DPDs'!#REF!)</f>
        <v>#REF!</v>
      </c>
      <c r="M477" s="2" t="e">
        <f t="shared" si="14"/>
        <v>#REF!</v>
      </c>
      <c r="N477" s="2" t="e">
        <f>IF(ISBLANK('Master Submitted DPDs'!#REF!),IF(ISBLANK('Master Submitted DPDs'!#REF!),"",'Master Submitted DPDs'!#REF!),'Master Submitted DPDs'!#REF!)</f>
        <v>#REF!</v>
      </c>
      <c r="O477" s="2" t="e">
        <f>IF(ISBLANK('Master Submitted DPDs'!#REF!),"",'Master Submitted DPDs'!#REF!)</f>
        <v>#REF!</v>
      </c>
      <c r="P477" s="2" t="e">
        <f>IF(ISBLANK('Master Submitted DPDs'!#REF!),"",'Master Submitted DPDs'!#REF!)</f>
        <v>#REF!</v>
      </c>
      <c r="Q477" t="e">
        <f>IF(ISBLANK('Master Submitted DPDs'!#REF!),"",'Master Submitted DPDs'!#REF!)</f>
        <v>#REF!</v>
      </c>
      <c r="R477" t="e">
        <f t="shared" si="15"/>
        <v>#REF!</v>
      </c>
      <c r="S477" s="3"/>
      <c r="T477" t="e">
        <f>IF(ISBLANK('Master Submitted DPDs'!#REF!),"",'Master Submitted DPDs'!#REF!)</f>
        <v>#REF!</v>
      </c>
    </row>
    <row r="478" spans="1:20" ht="15" x14ac:dyDescent="0.2">
      <c r="A478" s="3" t="str">
        <f>IF(ISBLANK('Master Submitted DPDs'!#REF!),"","Local Plans")</f>
        <v>Local Plans</v>
      </c>
      <c r="B478" t="e">
        <f>IF(ISBLANK('Master Submitted DPDs'!#REF!),"",'Master Submitted DPDs'!#REF!)</f>
        <v>#REF!</v>
      </c>
      <c r="C478" s="3" t="str">
        <f>IF(ISBLANK('Master Submitted DPDs'!#REF!),"","IH")</f>
        <v>IH</v>
      </c>
      <c r="D478" s="3" t="e">
        <f>LOOKUP($F478,'fuzzy LPA lookup'!$E:$E,'fuzzy LPA lookup'!$A:$A)</f>
        <v>#REF!</v>
      </c>
      <c r="E478" s="3" t="e">
        <f>LOOKUP($F478,'fuzzy LPA lookup'!$E:$E,'fuzzy LPA lookup'!$D:$D)</f>
        <v>#REF!</v>
      </c>
      <c r="F478" s="8" t="e">
        <f>IF(ISBLANK('Master Submitted DPDs'!#REF!),"",'Master Submitted DPDs'!#REF!)</f>
        <v>#REF!</v>
      </c>
      <c r="G478" t="str">
        <f>IF(ISBLANK('Master Submitted DPDs'!#REF!),"","Withdrawn")</f>
        <v>Withdrawn</v>
      </c>
      <c r="H478" s="2" t="e">
        <f>IF(ISBLANK('Master Submitted DPDs'!#REF!),"",'Master Submitted DPDs'!#REF!)</f>
        <v>#REF!</v>
      </c>
      <c r="I478" s="3"/>
      <c r="J478" s="3"/>
      <c r="K478" s="3"/>
      <c r="L478" s="2" t="e">
        <f>IF(ISBLANK('Master Submitted DPDs'!#REF!),"",'Master Submitted DPDs'!#REF!)</f>
        <v>#REF!</v>
      </c>
      <c r="M478" s="2" t="e">
        <f t="shared" si="14"/>
        <v>#REF!</v>
      </c>
      <c r="N478" s="2" t="e">
        <f>IF(ISBLANK('Master Submitted DPDs'!#REF!),IF(ISBLANK('Master Submitted DPDs'!#REF!),"",'Master Submitted DPDs'!#REF!),'Master Submitted DPDs'!#REF!)</f>
        <v>#REF!</v>
      </c>
      <c r="O478" s="2" t="e">
        <f>IF(ISBLANK('Master Submitted DPDs'!#REF!),"",'Master Submitted DPDs'!#REF!)</f>
        <v>#REF!</v>
      </c>
      <c r="P478" s="2" t="e">
        <f>IF(ISBLANK('Master Submitted DPDs'!#REF!),"",'Master Submitted DPDs'!#REF!)</f>
        <v>#REF!</v>
      </c>
      <c r="Q478" t="e">
        <f>IF(ISBLANK('Master Submitted DPDs'!#REF!),"",'Master Submitted DPDs'!#REF!)</f>
        <v>#REF!</v>
      </c>
      <c r="R478" t="e">
        <f t="shared" si="15"/>
        <v>#REF!</v>
      </c>
      <c r="S478" s="3"/>
      <c r="T478" t="e">
        <f>IF(ISBLANK('Master Submitted DPDs'!#REF!),"",'Master Submitted DPDs'!#REF!)</f>
        <v>#REF!</v>
      </c>
    </row>
    <row r="479" spans="1:20" ht="15" x14ac:dyDescent="0.2">
      <c r="A479" s="3" t="str">
        <f>IF(ISBLANK('Master Submitted DPDs'!#REF!),"","Local Plans")</f>
        <v>Local Plans</v>
      </c>
      <c r="B479" t="e">
        <f>IF(ISBLANK('Master Submitted DPDs'!#REF!),"",'Master Submitted DPDs'!#REF!)</f>
        <v>#REF!</v>
      </c>
      <c r="C479" s="3" t="str">
        <f>IF(ISBLANK('Master Submitted DPDs'!#REF!),"","IH")</f>
        <v>IH</v>
      </c>
      <c r="D479" s="3" t="e">
        <f>LOOKUP($F479,'fuzzy LPA lookup'!$E:$E,'fuzzy LPA lookup'!$A:$A)</f>
        <v>#REF!</v>
      </c>
      <c r="E479" s="3" t="e">
        <f>LOOKUP($F479,'fuzzy LPA lookup'!$E:$E,'fuzzy LPA lookup'!$D:$D)</f>
        <v>#REF!</v>
      </c>
      <c r="F479" s="8" t="e">
        <f>IF(ISBLANK('Master Submitted DPDs'!#REF!),"",'Master Submitted DPDs'!#REF!)</f>
        <v>#REF!</v>
      </c>
      <c r="G479" t="str">
        <f>IF(ISBLANK('Master Submitted DPDs'!#REF!),"","Withdrawn")</f>
        <v>Withdrawn</v>
      </c>
      <c r="H479" s="2" t="e">
        <f>IF(ISBLANK('Master Submitted DPDs'!#REF!),"",'Master Submitted DPDs'!#REF!)</f>
        <v>#REF!</v>
      </c>
      <c r="I479" s="3"/>
      <c r="J479" s="3"/>
      <c r="K479" s="3"/>
      <c r="L479" s="2" t="e">
        <f>IF(ISBLANK('Master Submitted DPDs'!#REF!),"",'Master Submitted DPDs'!#REF!)</f>
        <v>#REF!</v>
      </c>
      <c r="M479" s="2" t="e">
        <f t="shared" si="14"/>
        <v>#REF!</v>
      </c>
      <c r="N479" s="2" t="e">
        <f>IF(ISBLANK('Master Submitted DPDs'!#REF!),IF(ISBLANK('Master Submitted DPDs'!#REF!),"",'Master Submitted DPDs'!#REF!),'Master Submitted DPDs'!#REF!)</f>
        <v>#REF!</v>
      </c>
      <c r="O479" s="2" t="e">
        <f>IF(ISBLANK('Master Submitted DPDs'!#REF!),"",'Master Submitted DPDs'!#REF!)</f>
        <v>#REF!</v>
      </c>
      <c r="P479" s="2" t="e">
        <f>IF(ISBLANK('Master Submitted DPDs'!#REF!),"",'Master Submitted DPDs'!#REF!)</f>
        <v>#REF!</v>
      </c>
      <c r="Q479" t="e">
        <f>IF(ISBLANK('Master Submitted DPDs'!#REF!),"",'Master Submitted DPDs'!#REF!)</f>
        <v>#REF!</v>
      </c>
      <c r="R479" t="e">
        <f t="shared" si="15"/>
        <v>#REF!</v>
      </c>
      <c r="S479" s="3"/>
      <c r="T479" t="e">
        <f>IF(ISBLANK('Master Submitted DPDs'!#REF!),"",'Master Submitted DPDs'!#REF!)</f>
        <v>#REF!</v>
      </c>
    </row>
    <row r="480" spans="1:20" ht="15" x14ac:dyDescent="0.2">
      <c r="A480" s="3" t="str">
        <f>IF(ISBLANK('Master Submitted DPDs'!#REF!),"","Local Plans")</f>
        <v>Local Plans</v>
      </c>
      <c r="B480" t="e">
        <f>IF(ISBLANK('Master Submitted DPDs'!#REF!),"",'Master Submitted DPDs'!#REF!)</f>
        <v>#REF!</v>
      </c>
      <c r="C480" s="3" t="str">
        <f>IF(ISBLANK('Master Submitted DPDs'!#REF!),"","IH")</f>
        <v>IH</v>
      </c>
      <c r="D480" s="3" t="e">
        <f>LOOKUP($F480,'fuzzy LPA lookup'!$E:$E,'fuzzy LPA lookup'!$A:$A)</f>
        <v>#REF!</v>
      </c>
      <c r="E480" s="3" t="e">
        <f>LOOKUP($F480,'fuzzy LPA lookup'!$E:$E,'fuzzy LPA lookup'!$D:$D)</f>
        <v>#REF!</v>
      </c>
      <c r="F480" s="8" t="e">
        <f>IF(ISBLANK('Master Submitted DPDs'!#REF!),"",'Master Submitted DPDs'!#REF!)</f>
        <v>#REF!</v>
      </c>
      <c r="G480" t="str">
        <f>IF(ISBLANK('Master Submitted DPDs'!#REF!),"","Withdrawn")</f>
        <v>Withdrawn</v>
      </c>
      <c r="H480" s="2" t="e">
        <f>IF(ISBLANK('Master Submitted DPDs'!#REF!),"",'Master Submitted DPDs'!#REF!)</f>
        <v>#REF!</v>
      </c>
      <c r="I480" s="3"/>
      <c r="J480" s="3"/>
      <c r="K480" s="3"/>
      <c r="L480" s="2" t="e">
        <f>IF(ISBLANK('Master Submitted DPDs'!#REF!),"",'Master Submitted DPDs'!#REF!)</f>
        <v>#REF!</v>
      </c>
      <c r="M480" s="2" t="e">
        <f t="shared" si="14"/>
        <v>#REF!</v>
      </c>
      <c r="N480" s="2" t="e">
        <f>IF(ISBLANK('Master Submitted DPDs'!#REF!),IF(ISBLANK('Master Submitted DPDs'!#REF!),"",'Master Submitted DPDs'!#REF!),'Master Submitted DPDs'!#REF!)</f>
        <v>#REF!</v>
      </c>
      <c r="O480" s="2" t="e">
        <f>IF(ISBLANK('Master Submitted DPDs'!#REF!),"",'Master Submitted DPDs'!#REF!)</f>
        <v>#REF!</v>
      </c>
      <c r="P480" s="2" t="e">
        <f>IF(ISBLANK('Master Submitted DPDs'!#REF!),"",'Master Submitted DPDs'!#REF!)</f>
        <v>#REF!</v>
      </c>
      <c r="Q480" t="e">
        <f>IF(ISBLANK('Master Submitted DPDs'!#REF!),"",'Master Submitted DPDs'!#REF!)</f>
        <v>#REF!</v>
      </c>
      <c r="R480" t="e">
        <f t="shared" si="15"/>
        <v>#REF!</v>
      </c>
      <c r="S480" s="3"/>
      <c r="T480" t="e">
        <f>IF(ISBLANK('Master Submitted DPDs'!#REF!),"",'Master Submitted DPDs'!#REF!)</f>
        <v>#REF!</v>
      </c>
    </row>
    <row r="481" spans="1:20" ht="15" x14ac:dyDescent="0.2">
      <c r="A481" s="3" t="str">
        <f>IF(ISBLANK('Master Submitted DPDs'!#REF!),"","Local Plans")</f>
        <v>Local Plans</v>
      </c>
      <c r="B481" t="e">
        <f>IF(ISBLANK('Master Submitted DPDs'!#REF!),"",'Master Submitted DPDs'!#REF!)</f>
        <v>#REF!</v>
      </c>
      <c r="C481" s="3" t="str">
        <f>IF(ISBLANK('Master Submitted DPDs'!#REF!),"","IH")</f>
        <v>IH</v>
      </c>
      <c r="D481" s="3" t="e">
        <f>LOOKUP($F481,'fuzzy LPA lookup'!$E:$E,'fuzzy LPA lookup'!$A:$A)</f>
        <v>#REF!</v>
      </c>
      <c r="E481" s="3" t="e">
        <f>LOOKUP($F481,'fuzzy LPA lookup'!$E:$E,'fuzzy LPA lookup'!$D:$D)</f>
        <v>#REF!</v>
      </c>
      <c r="F481" s="8" t="e">
        <f>IF(ISBLANK('Master Submitted DPDs'!#REF!),"",'Master Submitted DPDs'!#REF!)</f>
        <v>#REF!</v>
      </c>
      <c r="G481" t="str">
        <f>IF(ISBLANK('Master Submitted DPDs'!#REF!),"","Withdrawn")</f>
        <v>Withdrawn</v>
      </c>
      <c r="H481" s="2" t="e">
        <f>IF(ISBLANK('Master Submitted DPDs'!#REF!),"",'Master Submitted DPDs'!#REF!)</f>
        <v>#REF!</v>
      </c>
      <c r="I481" s="3"/>
      <c r="J481" s="3"/>
      <c r="K481" s="3"/>
      <c r="L481" s="2" t="e">
        <f>IF(ISBLANK('Master Submitted DPDs'!#REF!),"",'Master Submitted DPDs'!#REF!)</f>
        <v>#REF!</v>
      </c>
      <c r="M481" s="2" t="e">
        <f t="shared" si="14"/>
        <v>#REF!</v>
      </c>
      <c r="N481" s="2" t="e">
        <f>IF(ISBLANK('Master Submitted DPDs'!#REF!),IF(ISBLANK('Master Submitted DPDs'!#REF!),"",'Master Submitted DPDs'!#REF!),'Master Submitted DPDs'!#REF!)</f>
        <v>#REF!</v>
      </c>
      <c r="O481" s="2" t="e">
        <f>IF(ISBLANK('Master Submitted DPDs'!#REF!),"",'Master Submitted DPDs'!#REF!)</f>
        <v>#REF!</v>
      </c>
      <c r="P481" s="2" t="e">
        <f>IF(ISBLANK('Master Submitted DPDs'!#REF!),"",'Master Submitted DPDs'!#REF!)</f>
        <v>#REF!</v>
      </c>
      <c r="Q481" t="e">
        <f>IF(ISBLANK('Master Submitted DPDs'!#REF!),"",'Master Submitted DPDs'!#REF!)</f>
        <v>#REF!</v>
      </c>
      <c r="R481" t="e">
        <f t="shared" si="15"/>
        <v>#REF!</v>
      </c>
      <c r="S481" s="3"/>
      <c r="T481" t="e">
        <f>IF(ISBLANK('Master Submitted DPDs'!#REF!),"",'Master Submitted DPDs'!#REF!)</f>
        <v>#REF!</v>
      </c>
    </row>
    <row r="482" spans="1:20" ht="15" x14ac:dyDescent="0.2">
      <c r="A482" s="3" t="str">
        <f>IF(ISBLANK('Master Submitted DPDs'!#REF!),"","Local Plans")</f>
        <v>Local Plans</v>
      </c>
      <c r="B482" t="e">
        <f>IF(ISBLANK('Master Submitted DPDs'!#REF!),"",'Master Submitted DPDs'!#REF!)</f>
        <v>#REF!</v>
      </c>
      <c r="C482" s="3" t="str">
        <f>IF(ISBLANK('Master Submitted DPDs'!#REF!),"","IH")</f>
        <v>IH</v>
      </c>
      <c r="D482" s="3" t="e">
        <f>LOOKUP($F482,'fuzzy LPA lookup'!$E:$E,'fuzzy LPA lookup'!$A:$A)</f>
        <v>#REF!</v>
      </c>
      <c r="E482" s="3" t="e">
        <f>LOOKUP($F482,'fuzzy LPA lookup'!$E:$E,'fuzzy LPA lookup'!$D:$D)</f>
        <v>#REF!</v>
      </c>
      <c r="F482" s="8" t="e">
        <f>IF(ISBLANK('Master Submitted DPDs'!#REF!),"",'Master Submitted DPDs'!#REF!)</f>
        <v>#REF!</v>
      </c>
      <c r="G482" t="str">
        <f>IF(ISBLANK('Master Submitted DPDs'!#REF!),"","Withdrawn")</f>
        <v>Withdrawn</v>
      </c>
      <c r="H482" s="2" t="e">
        <f>IF(ISBLANK('Master Submitted DPDs'!#REF!),"",'Master Submitted DPDs'!#REF!)</f>
        <v>#REF!</v>
      </c>
      <c r="I482" s="3"/>
      <c r="J482" s="3"/>
      <c r="K482" s="3"/>
      <c r="L482" s="2" t="e">
        <f>IF(ISBLANK('Master Submitted DPDs'!#REF!),"",'Master Submitted DPDs'!#REF!)</f>
        <v>#REF!</v>
      </c>
      <c r="M482" s="2" t="e">
        <f t="shared" si="14"/>
        <v>#REF!</v>
      </c>
      <c r="N482" s="2" t="e">
        <f>IF(ISBLANK('Master Submitted DPDs'!#REF!),IF(ISBLANK('Master Submitted DPDs'!#REF!),"",'Master Submitted DPDs'!#REF!),'Master Submitted DPDs'!#REF!)</f>
        <v>#REF!</v>
      </c>
      <c r="O482" s="2" t="e">
        <f>IF(ISBLANK('Master Submitted DPDs'!#REF!),"",'Master Submitted DPDs'!#REF!)</f>
        <v>#REF!</v>
      </c>
      <c r="P482" s="2" t="e">
        <f>IF(ISBLANK('Master Submitted DPDs'!#REF!),"",'Master Submitted DPDs'!#REF!)</f>
        <v>#REF!</v>
      </c>
      <c r="Q482" t="e">
        <f>IF(ISBLANK('Master Submitted DPDs'!#REF!),"",'Master Submitted DPDs'!#REF!)</f>
        <v>#REF!</v>
      </c>
      <c r="R482" t="e">
        <f t="shared" si="15"/>
        <v>#REF!</v>
      </c>
      <c r="S482" s="3"/>
      <c r="T482" t="e">
        <f>IF(ISBLANK('Master Submitted DPDs'!#REF!),"",'Master Submitted DPDs'!#REF!)</f>
        <v>#REF!</v>
      </c>
    </row>
    <row r="483" spans="1:20" ht="15" x14ac:dyDescent="0.2">
      <c r="A483" s="3" t="str">
        <f>IF(ISBLANK('Master Submitted DPDs'!#REF!),"","Local Plans")</f>
        <v>Local Plans</v>
      </c>
      <c r="B483" t="e">
        <f>IF(ISBLANK('Master Submitted DPDs'!#REF!),"",'Master Submitted DPDs'!#REF!)</f>
        <v>#REF!</v>
      </c>
      <c r="C483" s="3" t="str">
        <f>IF(ISBLANK('Master Submitted DPDs'!#REF!),"","IH")</f>
        <v>IH</v>
      </c>
      <c r="D483" s="3" t="e">
        <f>LOOKUP($F483,'fuzzy LPA lookup'!$E:$E,'fuzzy LPA lookup'!$A:$A)</f>
        <v>#REF!</v>
      </c>
      <c r="E483" s="3" t="e">
        <f>LOOKUP($F483,'fuzzy LPA lookup'!$E:$E,'fuzzy LPA lookup'!$D:$D)</f>
        <v>#REF!</v>
      </c>
      <c r="F483" s="8" t="e">
        <f>IF(ISBLANK('Master Submitted DPDs'!#REF!),"",'Master Submitted DPDs'!#REF!)</f>
        <v>#REF!</v>
      </c>
      <c r="G483" t="str">
        <f>IF(ISBLANK('Master Submitted DPDs'!#REF!),"","Withdrawn")</f>
        <v>Withdrawn</v>
      </c>
      <c r="H483" s="2" t="e">
        <f>IF(ISBLANK('Master Submitted DPDs'!#REF!),"",'Master Submitted DPDs'!#REF!)</f>
        <v>#REF!</v>
      </c>
      <c r="I483" s="3"/>
      <c r="J483" s="3"/>
      <c r="K483" s="3"/>
      <c r="L483" s="2" t="e">
        <f>IF(ISBLANK('Master Submitted DPDs'!#REF!),"",'Master Submitted DPDs'!#REF!)</f>
        <v>#REF!</v>
      </c>
      <c r="M483" s="2" t="e">
        <f t="shared" si="14"/>
        <v>#REF!</v>
      </c>
      <c r="N483" s="2" t="e">
        <f>IF(ISBLANK('Master Submitted DPDs'!#REF!),IF(ISBLANK('Master Submitted DPDs'!#REF!),"",'Master Submitted DPDs'!#REF!),'Master Submitted DPDs'!#REF!)</f>
        <v>#REF!</v>
      </c>
      <c r="O483" s="2" t="e">
        <f>IF(ISBLANK('Master Submitted DPDs'!#REF!),"",'Master Submitted DPDs'!#REF!)</f>
        <v>#REF!</v>
      </c>
      <c r="P483" s="2" t="e">
        <f>IF(ISBLANK('Master Submitted DPDs'!#REF!),"",'Master Submitted DPDs'!#REF!)</f>
        <v>#REF!</v>
      </c>
      <c r="Q483" t="e">
        <f>IF(ISBLANK('Master Submitted DPDs'!#REF!),"",'Master Submitted DPDs'!#REF!)</f>
        <v>#REF!</v>
      </c>
      <c r="R483" t="e">
        <f t="shared" si="15"/>
        <v>#REF!</v>
      </c>
      <c r="S483" s="3"/>
      <c r="T483" t="e">
        <f>IF(ISBLANK('Master Submitted DPDs'!#REF!),"",'Master Submitted DPDs'!#REF!)</f>
        <v>#REF!</v>
      </c>
    </row>
    <row r="484" spans="1:20" ht="15" x14ac:dyDescent="0.2">
      <c r="A484" s="3" t="str">
        <f>IF(ISBLANK('Master Submitted DPDs'!#REF!),"","Local Plans")</f>
        <v>Local Plans</v>
      </c>
      <c r="B484" t="e">
        <f>IF(ISBLANK('Master Submitted DPDs'!#REF!),"",'Master Submitted DPDs'!#REF!)</f>
        <v>#REF!</v>
      </c>
      <c r="C484" s="3" t="str">
        <f>IF(ISBLANK('Master Submitted DPDs'!#REF!),"","IH")</f>
        <v>IH</v>
      </c>
      <c r="D484" s="3" t="e">
        <f>LOOKUP($F484,'fuzzy LPA lookup'!$E:$E,'fuzzy LPA lookup'!$A:$A)</f>
        <v>#REF!</v>
      </c>
      <c r="E484" s="3" t="e">
        <f>LOOKUP($F484,'fuzzy LPA lookup'!$E:$E,'fuzzy LPA lookup'!$D:$D)</f>
        <v>#REF!</v>
      </c>
      <c r="F484" s="8" t="e">
        <f>IF(ISBLANK('Master Submitted DPDs'!#REF!),"",'Master Submitted DPDs'!#REF!)</f>
        <v>#REF!</v>
      </c>
      <c r="G484" t="str">
        <f>IF(ISBLANK('Master Submitted DPDs'!#REF!),"","Withdrawn")</f>
        <v>Withdrawn</v>
      </c>
      <c r="H484" s="2" t="e">
        <f>IF(ISBLANK('Master Submitted DPDs'!#REF!),"",'Master Submitted DPDs'!#REF!)</f>
        <v>#REF!</v>
      </c>
      <c r="I484" s="3"/>
      <c r="J484" s="3"/>
      <c r="K484" s="3"/>
      <c r="L484" s="2" t="e">
        <f>IF(ISBLANK('Master Submitted DPDs'!#REF!),"",'Master Submitted DPDs'!#REF!)</f>
        <v>#REF!</v>
      </c>
      <c r="M484" s="2" t="e">
        <f t="shared" si="14"/>
        <v>#REF!</v>
      </c>
      <c r="N484" s="2" t="e">
        <f>IF(ISBLANK('Master Submitted DPDs'!#REF!),IF(ISBLANK('Master Submitted DPDs'!#REF!),"",'Master Submitted DPDs'!#REF!),'Master Submitted DPDs'!#REF!)</f>
        <v>#REF!</v>
      </c>
      <c r="O484" s="2" t="e">
        <f>IF(ISBLANK('Master Submitted DPDs'!#REF!),"",'Master Submitted DPDs'!#REF!)</f>
        <v>#REF!</v>
      </c>
      <c r="P484" s="2" t="e">
        <f>IF(ISBLANK('Master Submitted DPDs'!#REF!),"",'Master Submitted DPDs'!#REF!)</f>
        <v>#REF!</v>
      </c>
      <c r="Q484" t="e">
        <f>IF(ISBLANK('Master Submitted DPDs'!#REF!),"",'Master Submitted DPDs'!#REF!)</f>
        <v>#REF!</v>
      </c>
      <c r="R484" t="e">
        <f t="shared" si="15"/>
        <v>#REF!</v>
      </c>
      <c r="S484" s="3"/>
      <c r="T484" t="e">
        <f>IF(ISBLANK('Master Submitted DPDs'!#REF!),"",'Master Submitted DPDs'!#REF!)</f>
        <v>#REF!</v>
      </c>
    </row>
    <row r="485" spans="1:20" ht="15" x14ac:dyDescent="0.2">
      <c r="A485" s="3" t="str">
        <f>IF(ISBLANK('Master Submitted DPDs'!#REF!),"","Local Plans")</f>
        <v>Local Plans</v>
      </c>
      <c r="B485" t="e">
        <f>IF(ISBLANK('Master Submitted DPDs'!#REF!),"",'Master Submitted DPDs'!#REF!)</f>
        <v>#REF!</v>
      </c>
      <c r="C485" s="3" t="str">
        <f>IF(ISBLANK('Master Submitted DPDs'!#REF!),"","IH")</f>
        <v>IH</v>
      </c>
      <c r="D485" s="3" t="e">
        <f>LOOKUP($F485,'fuzzy LPA lookup'!$E:$E,'fuzzy LPA lookup'!$A:$A)</f>
        <v>#REF!</v>
      </c>
      <c r="E485" s="3" t="e">
        <f>LOOKUP($F485,'fuzzy LPA lookup'!$E:$E,'fuzzy LPA lookup'!$D:$D)</f>
        <v>#REF!</v>
      </c>
      <c r="F485" s="8" t="e">
        <f>IF(ISBLANK('Master Submitted DPDs'!#REF!),"",'Master Submitted DPDs'!#REF!)</f>
        <v>#REF!</v>
      </c>
      <c r="G485" t="str">
        <f>IF(ISBLANK('Master Submitted DPDs'!#REF!),"","Withdrawn")</f>
        <v>Withdrawn</v>
      </c>
      <c r="H485" s="2" t="e">
        <f>IF(ISBLANK('Master Submitted DPDs'!#REF!),"",'Master Submitted DPDs'!#REF!)</f>
        <v>#REF!</v>
      </c>
      <c r="I485" s="3"/>
      <c r="J485" s="3"/>
      <c r="K485" s="3"/>
      <c r="L485" s="2" t="e">
        <f>IF(ISBLANK('Master Submitted DPDs'!#REF!),"",'Master Submitted DPDs'!#REF!)</f>
        <v>#REF!</v>
      </c>
      <c r="M485" s="2" t="e">
        <f t="shared" si="14"/>
        <v>#REF!</v>
      </c>
      <c r="N485" s="2" t="e">
        <f>IF(ISBLANK('Master Submitted DPDs'!#REF!),IF(ISBLANK('Master Submitted DPDs'!#REF!),"",'Master Submitted DPDs'!#REF!),'Master Submitted DPDs'!#REF!)</f>
        <v>#REF!</v>
      </c>
      <c r="O485" s="2" t="e">
        <f>IF(ISBLANK('Master Submitted DPDs'!#REF!),"",'Master Submitted DPDs'!#REF!)</f>
        <v>#REF!</v>
      </c>
      <c r="P485" s="2" t="e">
        <f>IF(ISBLANK('Master Submitted DPDs'!#REF!),"",'Master Submitted DPDs'!#REF!)</f>
        <v>#REF!</v>
      </c>
      <c r="Q485" t="e">
        <f>IF(ISBLANK('Master Submitted DPDs'!#REF!),"",'Master Submitted DPDs'!#REF!)</f>
        <v>#REF!</v>
      </c>
      <c r="R485" t="e">
        <f t="shared" si="15"/>
        <v>#REF!</v>
      </c>
      <c r="S485" s="3"/>
      <c r="T485" t="e">
        <f>IF(ISBLANK('Master Submitted DPDs'!#REF!),"",'Master Submitted DPDs'!#REF!)</f>
        <v>#REF!</v>
      </c>
    </row>
    <row r="486" spans="1:20" ht="15" x14ac:dyDescent="0.2">
      <c r="A486" s="3" t="str">
        <f>IF(ISBLANK('Master Submitted DPDs'!#REF!),"","Local Plans")</f>
        <v>Local Plans</v>
      </c>
      <c r="B486" t="e">
        <f>IF(ISBLANK('Master Submitted DPDs'!#REF!),"",'Master Submitted DPDs'!#REF!)</f>
        <v>#REF!</v>
      </c>
      <c r="C486" s="3" t="str">
        <f>IF(ISBLANK('Master Submitted DPDs'!#REF!),"","IH")</f>
        <v>IH</v>
      </c>
      <c r="D486" s="3" t="e">
        <f>LOOKUP($F486,'fuzzy LPA lookup'!$E:$E,'fuzzy LPA lookup'!$A:$A)</f>
        <v>#REF!</v>
      </c>
      <c r="E486" s="3" t="e">
        <f>LOOKUP($F486,'fuzzy LPA lookup'!$E:$E,'fuzzy LPA lookup'!$D:$D)</f>
        <v>#REF!</v>
      </c>
      <c r="F486" s="8" t="e">
        <f>IF(ISBLANK('Master Submitted DPDs'!#REF!),"",'Master Submitted DPDs'!#REF!)</f>
        <v>#REF!</v>
      </c>
      <c r="G486" t="str">
        <f>IF(ISBLANK('Master Submitted DPDs'!#REF!),"","Withdrawn")</f>
        <v>Withdrawn</v>
      </c>
      <c r="H486" s="2" t="e">
        <f>IF(ISBLANK('Master Submitted DPDs'!#REF!),"",'Master Submitted DPDs'!#REF!)</f>
        <v>#REF!</v>
      </c>
      <c r="I486" s="3"/>
      <c r="J486" s="3"/>
      <c r="K486" s="3"/>
      <c r="L486" s="2" t="e">
        <f>IF(ISBLANK('Master Submitted DPDs'!#REF!),"",'Master Submitted DPDs'!#REF!)</f>
        <v>#REF!</v>
      </c>
      <c r="M486" s="2" t="e">
        <f t="shared" si="14"/>
        <v>#REF!</v>
      </c>
      <c r="N486" s="2" t="e">
        <f>IF(ISBLANK('Master Submitted DPDs'!#REF!),IF(ISBLANK('Master Submitted DPDs'!#REF!),"",'Master Submitted DPDs'!#REF!),'Master Submitted DPDs'!#REF!)</f>
        <v>#REF!</v>
      </c>
      <c r="O486" s="2" t="e">
        <f>IF(ISBLANK('Master Submitted DPDs'!#REF!),"",'Master Submitted DPDs'!#REF!)</f>
        <v>#REF!</v>
      </c>
      <c r="P486" s="2" t="e">
        <f>IF(ISBLANK('Master Submitted DPDs'!#REF!),"",'Master Submitted DPDs'!#REF!)</f>
        <v>#REF!</v>
      </c>
      <c r="Q486" t="e">
        <f>IF(ISBLANK('Master Submitted DPDs'!#REF!),"",'Master Submitted DPDs'!#REF!)</f>
        <v>#REF!</v>
      </c>
      <c r="R486" t="e">
        <f t="shared" si="15"/>
        <v>#REF!</v>
      </c>
      <c r="S486" s="3"/>
      <c r="T486" t="e">
        <f>IF(ISBLANK('Master Submitted DPDs'!#REF!),"",'Master Submitted DPDs'!#REF!)</f>
        <v>#REF!</v>
      </c>
    </row>
    <row r="487" spans="1:20" ht="15" x14ac:dyDescent="0.2">
      <c r="A487" s="3" t="str">
        <f>IF(ISBLANK('Master Submitted DPDs'!#REF!),"","Local Plans")</f>
        <v>Local Plans</v>
      </c>
      <c r="B487" t="e">
        <f>IF(ISBLANK('Master Submitted DPDs'!#REF!),"",'Master Submitted DPDs'!#REF!)</f>
        <v>#REF!</v>
      </c>
      <c r="C487" s="3" t="str">
        <f>IF(ISBLANK('Master Submitted DPDs'!#REF!),"","IH")</f>
        <v>IH</v>
      </c>
      <c r="D487" s="3" t="e">
        <f>LOOKUP($F487,'fuzzy LPA lookup'!$E:$E,'fuzzy LPA lookup'!$A:$A)</f>
        <v>#REF!</v>
      </c>
      <c r="E487" s="3" t="e">
        <f>LOOKUP($F487,'fuzzy LPA lookup'!$E:$E,'fuzzy LPA lookup'!$D:$D)</f>
        <v>#REF!</v>
      </c>
      <c r="F487" s="8" t="e">
        <f>IF(ISBLANK('Master Submitted DPDs'!#REF!),"",'Master Submitted DPDs'!#REF!)</f>
        <v>#REF!</v>
      </c>
      <c r="G487" t="str">
        <f>IF(ISBLANK('Master Submitted DPDs'!#REF!),"","Withdrawn")</f>
        <v>Withdrawn</v>
      </c>
      <c r="H487" s="2" t="e">
        <f>IF(ISBLANK('Master Submitted DPDs'!#REF!),"",'Master Submitted DPDs'!#REF!)</f>
        <v>#REF!</v>
      </c>
      <c r="I487" s="3"/>
      <c r="J487" s="3"/>
      <c r="K487" s="3"/>
      <c r="L487" s="2" t="e">
        <f>IF(ISBLANK('Master Submitted DPDs'!#REF!),"",'Master Submitted DPDs'!#REF!)</f>
        <v>#REF!</v>
      </c>
      <c r="M487" s="2" t="e">
        <f t="shared" si="14"/>
        <v>#REF!</v>
      </c>
      <c r="N487" s="2" t="e">
        <f>IF(ISBLANK('Master Submitted DPDs'!#REF!),IF(ISBLANK('Master Submitted DPDs'!#REF!),"",'Master Submitted DPDs'!#REF!),'Master Submitted DPDs'!#REF!)</f>
        <v>#REF!</v>
      </c>
      <c r="O487" s="2" t="e">
        <f>IF(ISBLANK('Master Submitted DPDs'!#REF!),"",'Master Submitted DPDs'!#REF!)</f>
        <v>#REF!</v>
      </c>
      <c r="P487" s="2" t="e">
        <f>IF(ISBLANK('Master Submitted DPDs'!#REF!),"",'Master Submitted DPDs'!#REF!)</f>
        <v>#REF!</v>
      </c>
      <c r="Q487" t="e">
        <f>IF(ISBLANK('Master Submitted DPDs'!#REF!),"",'Master Submitted DPDs'!#REF!)</f>
        <v>#REF!</v>
      </c>
      <c r="R487" t="e">
        <f t="shared" si="15"/>
        <v>#REF!</v>
      </c>
      <c r="S487" s="3"/>
      <c r="T487" t="e">
        <f>IF(ISBLANK('Master Submitted DPDs'!#REF!),"",'Master Submitted DPDs'!#REF!)</f>
        <v>#REF!</v>
      </c>
    </row>
    <row r="488" spans="1:20" ht="15" x14ac:dyDescent="0.2">
      <c r="A488" s="3" t="str">
        <f>IF(ISBLANK('Master Submitted DPDs'!#REF!),"","Local Plans")</f>
        <v>Local Plans</v>
      </c>
      <c r="B488" t="e">
        <f>IF(ISBLANK('Master Submitted DPDs'!#REF!),"",'Master Submitted DPDs'!#REF!)</f>
        <v>#REF!</v>
      </c>
      <c r="C488" s="3" t="str">
        <f>IF(ISBLANK('Master Submitted DPDs'!#REF!),"","IH")</f>
        <v>IH</v>
      </c>
      <c r="D488" s="3" t="e">
        <f>LOOKUP($F488,'fuzzy LPA lookup'!$E:$E,'fuzzy LPA lookup'!$A:$A)</f>
        <v>#REF!</v>
      </c>
      <c r="E488" s="3" t="e">
        <f>LOOKUP($F488,'fuzzy LPA lookup'!$E:$E,'fuzzy LPA lookup'!$D:$D)</f>
        <v>#REF!</v>
      </c>
      <c r="F488" s="8" t="e">
        <f>IF(ISBLANK('Master Submitted DPDs'!#REF!),"",'Master Submitted DPDs'!#REF!)</f>
        <v>#REF!</v>
      </c>
      <c r="G488" t="str">
        <f>IF(ISBLANK('Master Submitted DPDs'!#REF!),"","Withdrawn")</f>
        <v>Withdrawn</v>
      </c>
      <c r="H488" s="2" t="e">
        <f>IF(ISBLANK('Master Submitted DPDs'!#REF!),"",'Master Submitted DPDs'!#REF!)</f>
        <v>#REF!</v>
      </c>
      <c r="I488" s="3"/>
      <c r="J488" s="3"/>
      <c r="K488" s="3"/>
      <c r="L488" s="2" t="e">
        <f>IF(ISBLANK('Master Submitted DPDs'!#REF!),"",'Master Submitted DPDs'!#REF!)</f>
        <v>#REF!</v>
      </c>
      <c r="M488" s="2" t="e">
        <f t="shared" si="14"/>
        <v>#REF!</v>
      </c>
      <c r="N488" s="2" t="e">
        <f>IF(ISBLANK('Master Submitted DPDs'!#REF!),IF(ISBLANK('Master Submitted DPDs'!#REF!),"",'Master Submitted DPDs'!#REF!),'Master Submitted DPDs'!#REF!)</f>
        <v>#REF!</v>
      </c>
      <c r="O488" s="2" t="e">
        <f>IF(ISBLANK('Master Submitted DPDs'!#REF!),"",'Master Submitted DPDs'!#REF!)</f>
        <v>#REF!</v>
      </c>
      <c r="P488" s="2" t="e">
        <f>IF(ISBLANK('Master Submitted DPDs'!#REF!),"",'Master Submitted DPDs'!#REF!)</f>
        <v>#REF!</v>
      </c>
      <c r="Q488" t="e">
        <f>IF(ISBLANK('Master Submitted DPDs'!#REF!),"",'Master Submitted DPDs'!#REF!)</f>
        <v>#REF!</v>
      </c>
      <c r="R488" t="e">
        <f t="shared" si="15"/>
        <v>#REF!</v>
      </c>
      <c r="S488" s="3"/>
      <c r="T488" t="e">
        <f>IF(ISBLANK('Master Submitted DPDs'!#REF!),"",'Master Submitted DPDs'!#REF!)</f>
        <v>#REF!</v>
      </c>
    </row>
    <row r="489" spans="1:20" ht="15" x14ac:dyDescent="0.2">
      <c r="A489" s="3" t="str">
        <f>IF(ISBLANK('Master Submitted DPDs'!#REF!),"","Local Plans")</f>
        <v>Local Plans</v>
      </c>
      <c r="B489" t="e">
        <f>IF(ISBLANK('Master Submitted DPDs'!#REF!),"",'Master Submitted DPDs'!#REF!)</f>
        <v>#REF!</v>
      </c>
      <c r="C489" s="3" t="str">
        <f>IF(ISBLANK('Master Submitted DPDs'!#REF!),"","IH")</f>
        <v>IH</v>
      </c>
      <c r="D489" s="3" t="e">
        <f>LOOKUP($F489,'fuzzy LPA lookup'!$E:$E,'fuzzy LPA lookup'!$A:$A)</f>
        <v>#REF!</v>
      </c>
      <c r="E489" s="3" t="e">
        <f>LOOKUP($F489,'fuzzy LPA lookup'!$E:$E,'fuzzy LPA lookup'!$D:$D)</f>
        <v>#REF!</v>
      </c>
      <c r="F489" s="8" t="e">
        <f>IF(ISBLANK('Master Submitted DPDs'!#REF!),"",'Master Submitted DPDs'!#REF!)</f>
        <v>#REF!</v>
      </c>
      <c r="G489" t="str">
        <f>IF(ISBLANK('Master Submitted DPDs'!#REF!),"","Withdrawn")</f>
        <v>Withdrawn</v>
      </c>
      <c r="H489" s="2" t="e">
        <f>IF(ISBLANK('Master Submitted DPDs'!#REF!),"",'Master Submitted DPDs'!#REF!)</f>
        <v>#REF!</v>
      </c>
      <c r="I489" s="3"/>
      <c r="J489" s="3"/>
      <c r="K489" s="3"/>
      <c r="L489" s="2" t="e">
        <f>IF(ISBLANK('Master Submitted DPDs'!#REF!),"",'Master Submitted DPDs'!#REF!)</f>
        <v>#REF!</v>
      </c>
      <c r="M489" s="2" t="e">
        <f t="shared" si="14"/>
        <v>#REF!</v>
      </c>
      <c r="N489" s="2" t="e">
        <f>IF(ISBLANK('Master Submitted DPDs'!#REF!),IF(ISBLANK('Master Submitted DPDs'!#REF!),"",'Master Submitted DPDs'!#REF!),'Master Submitted DPDs'!#REF!)</f>
        <v>#REF!</v>
      </c>
      <c r="O489" s="2" t="e">
        <f>IF(ISBLANK('Master Submitted DPDs'!#REF!),"",'Master Submitted DPDs'!#REF!)</f>
        <v>#REF!</v>
      </c>
      <c r="P489" s="2" t="e">
        <f>IF(ISBLANK('Master Submitted DPDs'!#REF!),"",'Master Submitted DPDs'!#REF!)</f>
        <v>#REF!</v>
      </c>
      <c r="Q489" t="e">
        <f>IF(ISBLANK('Master Submitted DPDs'!#REF!),"",'Master Submitted DPDs'!#REF!)</f>
        <v>#REF!</v>
      </c>
      <c r="R489" t="e">
        <f t="shared" si="15"/>
        <v>#REF!</v>
      </c>
      <c r="S489" s="3"/>
      <c r="T489" t="e">
        <f>IF(ISBLANK('Master Submitted DPDs'!#REF!),"",'Master Submitted DPDs'!#REF!)</f>
        <v>#REF!</v>
      </c>
    </row>
    <row r="490" spans="1:20" ht="15" x14ac:dyDescent="0.2">
      <c r="A490" s="3" t="str">
        <f>IF(ISBLANK('Master Submitted DPDs'!#REF!),"","Local Plans")</f>
        <v>Local Plans</v>
      </c>
      <c r="B490" t="e">
        <f>IF(ISBLANK('Master Submitted DPDs'!#REF!),"",'Master Submitted DPDs'!#REF!)</f>
        <v>#REF!</v>
      </c>
      <c r="C490" s="3" t="str">
        <f>IF(ISBLANK('Master Submitted DPDs'!#REF!),"","IH")</f>
        <v>IH</v>
      </c>
      <c r="D490" s="3" t="e">
        <f>LOOKUP($F490,'fuzzy LPA lookup'!$E:$E,'fuzzy LPA lookup'!$A:$A)</f>
        <v>#REF!</v>
      </c>
      <c r="E490" s="3" t="e">
        <f>LOOKUP($F490,'fuzzy LPA lookup'!$E:$E,'fuzzy LPA lookup'!$D:$D)</f>
        <v>#REF!</v>
      </c>
      <c r="F490" s="8" t="e">
        <f>IF(ISBLANK('Master Submitted DPDs'!#REF!),"",'Master Submitted DPDs'!#REF!)</f>
        <v>#REF!</v>
      </c>
      <c r="G490" t="str">
        <f>IF(ISBLANK('Master Submitted DPDs'!#REF!),"","Withdrawn")</f>
        <v>Withdrawn</v>
      </c>
      <c r="H490" s="2" t="e">
        <f>IF(ISBLANK('Master Submitted DPDs'!#REF!),"",'Master Submitted DPDs'!#REF!)</f>
        <v>#REF!</v>
      </c>
      <c r="I490" s="3"/>
      <c r="J490" s="3"/>
      <c r="K490" s="3"/>
      <c r="L490" s="2" t="e">
        <f>IF(ISBLANK('Master Submitted DPDs'!#REF!),"",'Master Submitted DPDs'!#REF!)</f>
        <v>#REF!</v>
      </c>
      <c r="M490" s="2" t="e">
        <f t="shared" si="14"/>
        <v>#REF!</v>
      </c>
      <c r="N490" s="2" t="e">
        <f>IF(ISBLANK('Master Submitted DPDs'!#REF!),IF(ISBLANK('Master Submitted DPDs'!#REF!),"",'Master Submitted DPDs'!#REF!),'Master Submitted DPDs'!#REF!)</f>
        <v>#REF!</v>
      </c>
      <c r="O490" s="2" t="e">
        <f>IF(ISBLANK('Master Submitted DPDs'!#REF!),"",'Master Submitted DPDs'!#REF!)</f>
        <v>#REF!</v>
      </c>
      <c r="P490" s="2" t="e">
        <f>IF(ISBLANK('Master Submitted DPDs'!#REF!),"",'Master Submitted DPDs'!#REF!)</f>
        <v>#REF!</v>
      </c>
      <c r="Q490" t="e">
        <f>IF(ISBLANK('Master Submitted DPDs'!#REF!),"",'Master Submitted DPDs'!#REF!)</f>
        <v>#REF!</v>
      </c>
      <c r="R490" t="e">
        <f t="shared" si="15"/>
        <v>#REF!</v>
      </c>
      <c r="S490" s="3"/>
      <c r="T490" t="e">
        <f>IF(ISBLANK('Master Submitted DPDs'!#REF!),"",'Master Submitted DPDs'!#REF!)</f>
        <v>#REF!</v>
      </c>
    </row>
    <row r="491" spans="1:20" ht="15" x14ac:dyDescent="0.2">
      <c r="A491" s="3" t="str">
        <f>IF(ISBLANK('Master Submitted DPDs'!#REF!),"","Local Plans")</f>
        <v>Local Plans</v>
      </c>
      <c r="B491" t="e">
        <f>IF(ISBLANK('Master Submitted DPDs'!#REF!),"",'Master Submitted DPDs'!#REF!)</f>
        <v>#REF!</v>
      </c>
      <c r="C491" s="3" t="str">
        <f>IF(ISBLANK('Master Submitted DPDs'!#REF!),"","IH")</f>
        <v>IH</v>
      </c>
      <c r="D491" s="3" t="e">
        <f>LOOKUP($F491,'fuzzy LPA lookup'!$E:$E,'fuzzy LPA lookup'!$A:$A)</f>
        <v>#REF!</v>
      </c>
      <c r="E491" s="3" t="e">
        <f>LOOKUP($F491,'fuzzy LPA lookup'!$E:$E,'fuzzy LPA lookup'!$D:$D)</f>
        <v>#REF!</v>
      </c>
      <c r="F491" s="8" t="e">
        <f>IF(ISBLANK('Master Submitted DPDs'!#REF!),"",'Master Submitted DPDs'!#REF!)</f>
        <v>#REF!</v>
      </c>
      <c r="G491" t="str">
        <f>IF(ISBLANK('Master Submitted DPDs'!#REF!),"","Withdrawn")</f>
        <v>Withdrawn</v>
      </c>
      <c r="H491" s="2" t="e">
        <f>IF(ISBLANK('Master Submitted DPDs'!#REF!),"",'Master Submitted DPDs'!#REF!)</f>
        <v>#REF!</v>
      </c>
      <c r="I491" s="3"/>
      <c r="J491" s="3"/>
      <c r="K491" s="3"/>
      <c r="L491" s="2" t="e">
        <f>IF(ISBLANK('Master Submitted DPDs'!#REF!),"",'Master Submitted DPDs'!#REF!)</f>
        <v>#REF!</v>
      </c>
      <c r="M491" s="2" t="e">
        <f t="shared" si="14"/>
        <v>#REF!</v>
      </c>
      <c r="N491" s="2" t="e">
        <f>IF(ISBLANK('Master Submitted DPDs'!#REF!),IF(ISBLANK('Master Submitted DPDs'!#REF!),"",'Master Submitted DPDs'!#REF!),'Master Submitted DPDs'!#REF!)</f>
        <v>#REF!</v>
      </c>
      <c r="O491" s="2" t="e">
        <f>IF(ISBLANK('Master Submitted DPDs'!#REF!),"",'Master Submitted DPDs'!#REF!)</f>
        <v>#REF!</v>
      </c>
      <c r="P491" s="2" t="e">
        <f>IF(ISBLANK('Master Submitted DPDs'!#REF!),"",'Master Submitted DPDs'!#REF!)</f>
        <v>#REF!</v>
      </c>
      <c r="Q491" t="e">
        <f>IF(ISBLANK('Master Submitted DPDs'!#REF!),"",'Master Submitted DPDs'!#REF!)</f>
        <v>#REF!</v>
      </c>
      <c r="R491" t="e">
        <f t="shared" si="15"/>
        <v>#REF!</v>
      </c>
      <c r="S491" s="3"/>
      <c r="T491" t="e">
        <f>IF(ISBLANK('Master Submitted DPDs'!#REF!),"",'Master Submitted DPDs'!#REF!)</f>
        <v>#REF!</v>
      </c>
    </row>
    <row r="492" spans="1:20" ht="15" x14ac:dyDescent="0.2">
      <c r="A492" s="3" t="str">
        <f>IF(ISBLANK('Master Submitted DPDs'!#REF!),"","Local Plans")</f>
        <v>Local Plans</v>
      </c>
      <c r="B492" t="e">
        <f>IF(ISBLANK('Master Submitted DPDs'!#REF!),"",'Master Submitted DPDs'!#REF!)</f>
        <v>#REF!</v>
      </c>
      <c r="C492" s="3" t="str">
        <f>IF(ISBLANK('Master Submitted DPDs'!#REF!),"","IH")</f>
        <v>IH</v>
      </c>
      <c r="D492" s="3" t="e">
        <f>LOOKUP($F492,'fuzzy LPA lookup'!$E:$E,'fuzzy LPA lookup'!$A:$A)</f>
        <v>#REF!</v>
      </c>
      <c r="E492" s="3" t="e">
        <f>LOOKUP($F492,'fuzzy LPA lookup'!$E:$E,'fuzzy LPA lookup'!$D:$D)</f>
        <v>#REF!</v>
      </c>
      <c r="F492" s="8" t="e">
        <f>IF(ISBLANK('Master Submitted DPDs'!#REF!),"",'Master Submitted DPDs'!#REF!)</f>
        <v>#REF!</v>
      </c>
      <c r="G492" t="str">
        <f>IF(ISBLANK('Master Submitted DPDs'!#REF!),"","Withdrawn")</f>
        <v>Withdrawn</v>
      </c>
      <c r="H492" s="2" t="e">
        <f>IF(ISBLANK('Master Submitted DPDs'!#REF!),"",'Master Submitted DPDs'!#REF!)</f>
        <v>#REF!</v>
      </c>
      <c r="I492" s="3"/>
      <c r="J492" s="3"/>
      <c r="K492" s="3"/>
      <c r="L492" s="2" t="e">
        <f>IF(ISBLANK('Master Submitted DPDs'!#REF!),"",'Master Submitted DPDs'!#REF!)</f>
        <v>#REF!</v>
      </c>
      <c r="M492" s="2" t="e">
        <f t="shared" si="14"/>
        <v>#REF!</v>
      </c>
      <c r="N492" s="2" t="e">
        <f>IF(ISBLANK('Master Submitted DPDs'!#REF!),IF(ISBLANK('Master Submitted DPDs'!#REF!),"",'Master Submitted DPDs'!#REF!),'Master Submitted DPDs'!#REF!)</f>
        <v>#REF!</v>
      </c>
      <c r="O492" s="2" t="e">
        <f>IF(ISBLANK('Master Submitted DPDs'!#REF!),"",'Master Submitted DPDs'!#REF!)</f>
        <v>#REF!</v>
      </c>
      <c r="P492" s="2" t="e">
        <f>IF(ISBLANK('Master Submitted DPDs'!#REF!),"",'Master Submitted DPDs'!#REF!)</f>
        <v>#REF!</v>
      </c>
      <c r="Q492" t="e">
        <f>IF(ISBLANK('Master Submitted DPDs'!#REF!),"",'Master Submitted DPDs'!#REF!)</f>
        <v>#REF!</v>
      </c>
      <c r="R492" t="e">
        <f t="shared" si="15"/>
        <v>#REF!</v>
      </c>
      <c r="S492" s="3"/>
      <c r="T492" t="e">
        <f>IF(ISBLANK('Master Submitted DPDs'!#REF!),"",'Master Submitted DPDs'!#REF!)</f>
        <v>#REF!</v>
      </c>
    </row>
    <row r="493" spans="1:20" ht="15" x14ac:dyDescent="0.2">
      <c r="A493" s="3" t="str">
        <f>IF(ISBLANK('Master Submitted DPDs'!#REF!),"","Local Plans")</f>
        <v>Local Plans</v>
      </c>
      <c r="B493" t="e">
        <f>IF(ISBLANK('Master Submitted DPDs'!#REF!),"",'Master Submitted DPDs'!#REF!)</f>
        <v>#REF!</v>
      </c>
      <c r="C493" s="3" t="str">
        <f>IF(ISBLANK('Master Submitted DPDs'!#REF!),"","IH")</f>
        <v>IH</v>
      </c>
      <c r="D493" s="3" t="e">
        <f>LOOKUP($F493,'fuzzy LPA lookup'!$E:$E,'fuzzy LPA lookup'!$A:$A)</f>
        <v>#REF!</v>
      </c>
      <c r="E493" s="3" t="e">
        <f>LOOKUP($F493,'fuzzy LPA lookup'!$E:$E,'fuzzy LPA lookup'!$D:$D)</f>
        <v>#REF!</v>
      </c>
      <c r="F493" s="8" t="e">
        <f>IF(ISBLANK('Master Submitted DPDs'!#REF!),"",'Master Submitted DPDs'!#REF!)</f>
        <v>#REF!</v>
      </c>
      <c r="G493" t="str">
        <f>IF(ISBLANK('Master Submitted DPDs'!#REF!),"","Withdrawn")</f>
        <v>Withdrawn</v>
      </c>
      <c r="H493" s="2" t="e">
        <f>IF(ISBLANK('Master Submitted DPDs'!#REF!),"",'Master Submitted DPDs'!#REF!)</f>
        <v>#REF!</v>
      </c>
      <c r="I493" s="3"/>
      <c r="J493" s="3"/>
      <c r="K493" s="3"/>
      <c r="L493" s="2" t="e">
        <f>IF(ISBLANK('Master Submitted DPDs'!#REF!),"",'Master Submitted DPDs'!#REF!)</f>
        <v>#REF!</v>
      </c>
      <c r="M493" s="2" t="e">
        <f t="shared" si="14"/>
        <v>#REF!</v>
      </c>
      <c r="N493" s="2" t="e">
        <f>IF(ISBLANK('Master Submitted DPDs'!#REF!),IF(ISBLANK('Master Submitted DPDs'!#REF!),"",'Master Submitted DPDs'!#REF!),'Master Submitted DPDs'!#REF!)</f>
        <v>#REF!</v>
      </c>
      <c r="O493" s="2" t="e">
        <f>IF(ISBLANK('Master Submitted DPDs'!#REF!),"",'Master Submitted DPDs'!#REF!)</f>
        <v>#REF!</v>
      </c>
      <c r="P493" s="2" t="e">
        <f>IF(ISBLANK('Master Submitted DPDs'!#REF!),"",'Master Submitted DPDs'!#REF!)</f>
        <v>#REF!</v>
      </c>
      <c r="Q493" t="e">
        <f>IF(ISBLANK('Master Submitted DPDs'!#REF!),"",'Master Submitted DPDs'!#REF!)</f>
        <v>#REF!</v>
      </c>
      <c r="R493" t="e">
        <f t="shared" si="15"/>
        <v>#REF!</v>
      </c>
      <c r="S493" s="3"/>
      <c r="T493" t="e">
        <f>IF(ISBLANK('Master Submitted DPDs'!#REF!),"",'Master Submitted DPDs'!#REF!)</f>
        <v>#REF!</v>
      </c>
    </row>
    <row r="494" spans="1:20" ht="15" x14ac:dyDescent="0.2">
      <c r="A494" s="3" t="str">
        <f>IF(ISBLANK('Master Submitted DPDs'!#REF!),"","Local Plans")</f>
        <v>Local Plans</v>
      </c>
      <c r="B494" t="e">
        <f>IF(ISBLANK('Master Submitted DPDs'!#REF!),"",'Master Submitted DPDs'!#REF!)</f>
        <v>#REF!</v>
      </c>
      <c r="C494" s="3" t="str">
        <f>IF(ISBLANK('Master Submitted DPDs'!#REF!),"","IH")</f>
        <v>IH</v>
      </c>
      <c r="D494" s="3" t="e">
        <f>LOOKUP($F494,'fuzzy LPA lookup'!$E:$E,'fuzzy LPA lookup'!$A:$A)</f>
        <v>#REF!</v>
      </c>
      <c r="E494" s="3" t="e">
        <f>LOOKUP($F494,'fuzzy LPA lookup'!$E:$E,'fuzzy LPA lookup'!$D:$D)</f>
        <v>#REF!</v>
      </c>
      <c r="F494" s="8" t="e">
        <f>IF(ISBLANK('Master Submitted DPDs'!#REF!),"",'Master Submitted DPDs'!#REF!)</f>
        <v>#REF!</v>
      </c>
      <c r="G494" t="str">
        <f>IF(ISBLANK('Master Submitted DPDs'!#REF!),"","Withdrawn")</f>
        <v>Withdrawn</v>
      </c>
      <c r="H494" s="2" t="e">
        <f>IF(ISBLANK('Master Submitted DPDs'!#REF!),"",'Master Submitted DPDs'!#REF!)</f>
        <v>#REF!</v>
      </c>
      <c r="I494" s="3"/>
      <c r="J494" s="3"/>
      <c r="K494" s="3"/>
      <c r="L494" s="2" t="e">
        <f>IF(ISBLANK('Master Submitted DPDs'!#REF!),"",'Master Submitted DPDs'!#REF!)</f>
        <v>#REF!</v>
      </c>
      <c r="M494" s="2" t="e">
        <f t="shared" si="14"/>
        <v>#REF!</v>
      </c>
      <c r="N494" s="2" t="e">
        <f>IF(ISBLANK('Master Submitted DPDs'!#REF!),IF(ISBLANK('Master Submitted DPDs'!#REF!),"",'Master Submitted DPDs'!#REF!),'Master Submitted DPDs'!#REF!)</f>
        <v>#REF!</v>
      </c>
      <c r="O494" s="2" t="e">
        <f>IF(ISBLANK('Master Submitted DPDs'!#REF!),"",'Master Submitted DPDs'!#REF!)</f>
        <v>#REF!</v>
      </c>
      <c r="P494" s="2" t="e">
        <f>IF(ISBLANK('Master Submitted DPDs'!#REF!),"",'Master Submitted DPDs'!#REF!)</f>
        <v>#REF!</v>
      </c>
      <c r="Q494" t="e">
        <f>IF(ISBLANK('Master Submitted DPDs'!#REF!),"",'Master Submitted DPDs'!#REF!)</f>
        <v>#REF!</v>
      </c>
      <c r="R494" t="e">
        <f t="shared" si="15"/>
        <v>#REF!</v>
      </c>
      <c r="S494" s="3"/>
      <c r="T494" t="e">
        <f>IF(ISBLANK('Master Submitted DPDs'!#REF!),"",'Master Submitted DPDs'!#REF!)</f>
        <v>#REF!</v>
      </c>
    </row>
    <row r="495" spans="1:20" ht="15" x14ac:dyDescent="0.2">
      <c r="A495" s="3" t="str">
        <f>IF(ISBLANK('Master Submitted DPDs'!#REF!),"","Local Plans")</f>
        <v>Local Plans</v>
      </c>
      <c r="B495" t="e">
        <f>IF(ISBLANK('Master Submitted DPDs'!#REF!),"",'Master Submitted DPDs'!#REF!)</f>
        <v>#REF!</v>
      </c>
      <c r="C495" s="3" t="str">
        <f>IF(ISBLANK('Master Submitted DPDs'!#REF!),"","IH")</f>
        <v>IH</v>
      </c>
      <c r="D495" s="3" t="e">
        <f>LOOKUP($F495,'fuzzy LPA lookup'!$E:$E,'fuzzy LPA lookup'!$A:$A)</f>
        <v>#REF!</v>
      </c>
      <c r="E495" s="3" t="e">
        <f>LOOKUP($F495,'fuzzy LPA lookup'!$E:$E,'fuzzy LPA lookup'!$D:$D)</f>
        <v>#REF!</v>
      </c>
      <c r="F495" s="8" t="e">
        <f>IF(ISBLANK('Master Submitted DPDs'!#REF!),"",'Master Submitted DPDs'!#REF!)</f>
        <v>#REF!</v>
      </c>
      <c r="G495" t="str">
        <f>IF(ISBLANK('Master Submitted DPDs'!#REF!),"","Withdrawn")</f>
        <v>Withdrawn</v>
      </c>
      <c r="H495" s="2" t="e">
        <f>IF(ISBLANK('Master Submitted DPDs'!#REF!),"",'Master Submitted DPDs'!#REF!)</f>
        <v>#REF!</v>
      </c>
      <c r="I495" s="3"/>
      <c r="J495" s="3"/>
      <c r="K495" s="3"/>
      <c r="L495" s="2" t="e">
        <f>IF(ISBLANK('Master Submitted DPDs'!#REF!),"",'Master Submitted DPDs'!#REF!)</f>
        <v>#REF!</v>
      </c>
      <c r="M495" s="2" t="e">
        <f t="shared" si="14"/>
        <v>#REF!</v>
      </c>
      <c r="N495" s="2" t="e">
        <f>IF(ISBLANK('Master Submitted DPDs'!#REF!),IF(ISBLANK('Master Submitted DPDs'!#REF!),"",'Master Submitted DPDs'!#REF!),'Master Submitted DPDs'!#REF!)</f>
        <v>#REF!</v>
      </c>
      <c r="O495" s="2" t="e">
        <f>IF(ISBLANK('Master Submitted DPDs'!#REF!),"",'Master Submitted DPDs'!#REF!)</f>
        <v>#REF!</v>
      </c>
      <c r="P495" s="2" t="e">
        <f>IF(ISBLANK('Master Submitted DPDs'!#REF!),"",'Master Submitted DPDs'!#REF!)</f>
        <v>#REF!</v>
      </c>
      <c r="Q495" t="e">
        <f>IF(ISBLANK('Master Submitted DPDs'!#REF!),"",'Master Submitted DPDs'!#REF!)</f>
        <v>#REF!</v>
      </c>
      <c r="R495" t="e">
        <f t="shared" si="15"/>
        <v>#REF!</v>
      </c>
      <c r="S495" s="3"/>
      <c r="T495" t="e">
        <f>IF(ISBLANK('Master Submitted DPDs'!#REF!),"",'Master Submitted DPDs'!#REF!)</f>
        <v>#REF!</v>
      </c>
    </row>
    <row r="496" spans="1:20" ht="15" x14ac:dyDescent="0.2">
      <c r="A496" s="3" t="str">
        <f>IF(ISBLANK('Master Submitted DPDs'!#REF!),"","Local Plans")</f>
        <v>Local Plans</v>
      </c>
      <c r="B496" t="e">
        <f>IF(ISBLANK('Master Submitted DPDs'!#REF!),"",'Master Submitted DPDs'!#REF!)</f>
        <v>#REF!</v>
      </c>
      <c r="C496" s="3" t="str">
        <f>IF(ISBLANK('Master Submitted DPDs'!#REF!),"","IH")</f>
        <v>IH</v>
      </c>
      <c r="D496" s="3" t="e">
        <f>LOOKUP($F496,'fuzzy LPA lookup'!$E:$E,'fuzzy LPA lookup'!$A:$A)</f>
        <v>#REF!</v>
      </c>
      <c r="E496" s="3" t="e">
        <f>LOOKUP($F496,'fuzzy LPA lookup'!$E:$E,'fuzzy LPA lookup'!$D:$D)</f>
        <v>#REF!</v>
      </c>
      <c r="F496" s="8" t="e">
        <f>IF(ISBLANK('Master Submitted DPDs'!#REF!),"",'Master Submitted DPDs'!#REF!)</f>
        <v>#REF!</v>
      </c>
      <c r="G496" t="str">
        <f>IF(ISBLANK('Master Submitted DPDs'!#REF!),"","Withdrawn")</f>
        <v>Withdrawn</v>
      </c>
      <c r="H496" s="2" t="e">
        <f>IF(ISBLANK('Master Submitted DPDs'!#REF!),"",'Master Submitted DPDs'!#REF!)</f>
        <v>#REF!</v>
      </c>
      <c r="I496" s="3"/>
      <c r="J496" s="3"/>
      <c r="K496" s="3"/>
      <c r="L496" s="2" t="e">
        <f>IF(ISBLANK('Master Submitted DPDs'!#REF!),"",'Master Submitted DPDs'!#REF!)</f>
        <v>#REF!</v>
      </c>
      <c r="M496" s="2" t="e">
        <f t="shared" si="14"/>
        <v>#REF!</v>
      </c>
      <c r="N496" s="2" t="e">
        <f>IF(ISBLANK('Master Submitted DPDs'!#REF!),IF(ISBLANK('Master Submitted DPDs'!#REF!),"",'Master Submitted DPDs'!#REF!),'Master Submitted DPDs'!#REF!)</f>
        <v>#REF!</v>
      </c>
      <c r="O496" s="2" t="e">
        <f>IF(ISBLANK('Master Submitted DPDs'!#REF!),"",'Master Submitted DPDs'!#REF!)</f>
        <v>#REF!</v>
      </c>
      <c r="P496" s="2" t="e">
        <f>IF(ISBLANK('Master Submitted DPDs'!#REF!),"",'Master Submitted DPDs'!#REF!)</f>
        <v>#REF!</v>
      </c>
      <c r="Q496" t="e">
        <f>IF(ISBLANK('Master Submitted DPDs'!#REF!),"",'Master Submitted DPDs'!#REF!)</f>
        <v>#REF!</v>
      </c>
      <c r="R496" t="e">
        <f t="shared" si="15"/>
        <v>#REF!</v>
      </c>
      <c r="S496" s="3"/>
      <c r="T496" t="e">
        <f>IF(ISBLANK('Master Submitted DPDs'!#REF!),"",'Master Submitted DPDs'!#REF!)</f>
        <v>#REF!</v>
      </c>
    </row>
    <row r="497" spans="1:20" ht="15" x14ac:dyDescent="0.2">
      <c r="A497" s="3" t="str">
        <f>IF(ISBLANK('Master Submitted DPDs'!#REF!),"","Local Plans")</f>
        <v>Local Plans</v>
      </c>
      <c r="B497" t="e">
        <f>IF(ISBLANK('Master Submitted DPDs'!#REF!),"",'Master Submitted DPDs'!#REF!)</f>
        <v>#REF!</v>
      </c>
      <c r="C497" s="3" t="str">
        <f>IF(ISBLANK('Master Submitted DPDs'!#REF!),"","IH")</f>
        <v>IH</v>
      </c>
      <c r="D497" s="3" t="e">
        <f>LOOKUP($F497,'fuzzy LPA lookup'!$E:$E,'fuzzy LPA lookup'!$A:$A)</f>
        <v>#REF!</v>
      </c>
      <c r="E497" s="3" t="e">
        <f>LOOKUP($F497,'fuzzy LPA lookup'!$E:$E,'fuzzy LPA lookup'!$D:$D)</f>
        <v>#REF!</v>
      </c>
      <c r="F497" s="8" t="e">
        <f>IF(ISBLANK('Master Submitted DPDs'!#REF!),"",'Master Submitted DPDs'!#REF!)</f>
        <v>#REF!</v>
      </c>
      <c r="G497" t="str">
        <f>IF(ISBLANK('Master Submitted DPDs'!#REF!),"","Withdrawn")</f>
        <v>Withdrawn</v>
      </c>
      <c r="H497" s="2" t="e">
        <f>IF(ISBLANK('Master Submitted DPDs'!#REF!),"",'Master Submitted DPDs'!#REF!)</f>
        <v>#REF!</v>
      </c>
      <c r="I497" s="3"/>
      <c r="J497" s="3"/>
      <c r="K497" s="3"/>
      <c r="L497" s="2" t="e">
        <f>IF(ISBLANK('Master Submitted DPDs'!#REF!),"",'Master Submitted DPDs'!#REF!)</f>
        <v>#REF!</v>
      </c>
      <c r="M497" s="2" t="e">
        <f t="shared" si="14"/>
        <v>#REF!</v>
      </c>
      <c r="N497" s="2" t="e">
        <f>IF(ISBLANK('Master Submitted DPDs'!#REF!),IF(ISBLANK('Master Submitted DPDs'!#REF!),"",'Master Submitted DPDs'!#REF!),'Master Submitted DPDs'!#REF!)</f>
        <v>#REF!</v>
      </c>
      <c r="O497" s="2" t="e">
        <f>IF(ISBLANK('Master Submitted DPDs'!#REF!),"",'Master Submitted DPDs'!#REF!)</f>
        <v>#REF!</v>
      </c>
      <c r="P497" s="2" t="e">
        <f>IF(ISBLANK('Master Submitted DPDs'!#REF!),"",'Master Submitted DPDs'!#REF!)</f>
        <v>#REF!</v>
      </c>
      <c r="Q497" t="e">
        <f>IF(ISBLANK('Master Submitted DPDs'!#REF!),"",'Master Submitted DPDs'!#REF!)</f>
        <v>#REF!</v>
      </c>
      <c r="R497" t="e">
        <f t="shared" si="15"/>
        <v>#REF!</v>
      </c>
      <c r="S497" s="3"/>
      <c r="T497" t="e">
        <f>IF(ISBLANK('Master Submitted DPDs'!#REF!),"",'Master Submitted DPDs'!#REF!)</f>
        <v>#REF!</v>
      </c>
    </row>
    <row r="498" spans="1:20" ht="15" x14ac:dyDescent="0.2">
      <c r="A498" s="3" t="str">
        <f>IF(ISBLANK('Master Submitted DPDs'!#REF!),"","Local Plans")</f>
        <v>Local Plans</v>
      </c>
      <c r="B498" t="e">
        <f>IF(ISBLANK('Master Submitted DPDs'!#REF!),"",'Master Submitted DPDs'!#REF!)</f>
        <v>#REF!</v>
      </c>
      <c r="C498" s="3" t="str">
        <f>IF(ISBLANK('Master Submitted DPDs'!#REF!),"","IH")</f>
        <v>IH</v>
      </c>
      <c r="D498" s="3" t="e">
        <f>LOOKUP($F498,'fuzzy LPA lookup'!$E:$E,'fuzzy LPA lookup'!$A:$A)</f>
        <v>#REF!</v>
      </c>
      <c r="E498" s="3" t="e">
        <f>LOOKUP($F498,'fuzzy LPA lookup'!$E:$E,'fuzzy LPA lookup'!$D:$D)</f>
        <v>#REF!</v>
      </c>
      <c r="F498" s="8" t="e">
        <f>IF(ISBLANK('Master Submitted DPDs'!#REF!),"",'Master Submitted DPDs'!#REF!)</f>
        <v>#REF!</v>
      </c>
      <c r="G498" t="str">
        <f>IF(ISBLANK('Master Submitted DPDs'!#REF!),"","Withdrawn")</f>
        <v>Withdrawn</v>
      </c>
      <c r="H498" s="2" t="e">
        <f>IF(ISBLANK('Master Submitted DPDs'!#REF!),"",'Master Submitted DPDs'!#REF!)</f>
        <v>#REF!</v>
      </c>
      <c r="I498" s="3"/>
      <c r="J498" s="3"/>
      <c r="K498" s="3"/>
      <c r="L498" s="2" t="e">
        <f>IF(ISBLANK('Master Submitted DPDs'!#REF!),"",'Master Submitted DPDs'!#REF!)</f>
        <v>#REF!</v>
      </c>
      <c r="M498" s="2" t="e">
        <f t="shared" si="14"/>
        <v>#REF!</v>
      </c>
      <c r="N498" s="2" t="e">
        <f>IF(ISBLANK('Master Submitted DPDs'!#REF!),IF(ISBLANK('Master Submitted DPDs'!#REF!),"",'Master Submitted DPDs'!#REF!),'Master Submitted DPDs'!#REF!)</f>
        <v>#REF!</v>
      </c>
      <c r="O498" s="2" t="e">
        <f>IF(ISBLANK('Master Submitted DPDs'!#REF!),"",'Master Submitted DPDs'!#REF!)</f>
        <v>#REF!</v>
      </c>
      <c r="P498" s="2" t="e">
        <f>IF(ISBLANK('Master Submitted DPDs'!#REF!),"",'Master Submitted DPDs'!#REF!)</f>
        <v>#REF!</v>
      </c>
      <c r="Q498" t="e">
        <f>IF(ISBLANK('Master Submitted DPDs'!#REF!),"",'Master Submitted DPDs'!#REF!)</f>
        <v>#REF!</v>
      </c>
      <c r="R498" t="e">
        <f t="shared" si="15"/>
        <v>#REF!</v>
      </c>
      <c r="S498" s="3"/>
      <c r="T498" t="e">
        <f>IF(ISBLANK('Master Submitted DPDs'!#REF!),"",'Master Submitted DPDs'!#REF!)</f>
        <v>#REF!</v>
      </c>
    </row>
    <row r="499" spans="1:20" ht="15" x14ac:dyDescent="0.2">
      <c r="A499" s="3" t="str">
        <f>IF(ISBLANK('Master Submitted DPDs'!#REF!),"","Local Plans")</f>
        <v>Local Plans</v>
      </c>
      <c r="B499" t="e">
        <f>IF(ISBLANK('Master Submitted DPDs'!#REF!),"",'Master Submitted DPDs'!#REF!)</f>
        <v>#REF!</v>
      </c>
      <c r="C499" s="3" t="str">
        <f>IF(ISBLANK('Master Submitted DPDs'!#REF!),"","IH")</f>
        <v>IH</v>
      </c>
      <c r="D499" s="3" t="e">
        <f>LOOKUP($F499,'fuzzy LPA lookup'!$E:$E,'fuzzy LPA lookup'!$A:$A)</f>
        <v>#REF!</v>
      </c>
      <c r="E499" s="3" t="e">
        <f>LOOKUP($F499,'fuzzy LPA lookup'!$E:$E,'fuzzy LPA lookup'!$D:$D)</f>
        <v>#REF!</v>
      </c>
      <c r="F499" s="8" t="e">
        <f>IF(ISBLANK('Master Submitted DPDs'!#REF!),"",'Master Submitted DPDs'!#REF!)</f>
        <v>#REF!</v>
      </c>
      <c r="G499" t="str">
        <f>IF(ISBLANK('Master Submitted DPDs'!#REF!),"","Withdrawn")</f>
        <v>Withdrawn</v>
      </c>
      <c r="H499" s="2" t="e">
        <f>IF(ISBLANK('Master Submitted DPDs'!#REF!),"",'Master Submitted DPDs'!#REF!)</f>
        <v>#REF!</v>
      </c>
      <c r="I499" s="3"/>
      <c r="J499" s="3"/>
      <c r="K499" s="3"/>
      <c r="L499" s="2" t="e">
        <f>IF(ISBLANK('Master Submitted DPDs'!#REF!),"",'Master Submitted DPDs'!#REF!)</f>
        <v>#REF!</v>
      </c>
      <c r="M499" s="2" t="e">
        <f t="shared" si="14"/>
        <v>#REF!</v>
      </c>
      <c r="N499" s="2" t="e">
        <f>IF(ISBLANK('Master Submitted DPDs'!#REF!),IF(ISBLANK('Master Submitted DPDs'!#REF!),"",'Master Submitted DPDs'!#REF!),'Master Submitted DPDs'!#REF!)</f>
        <v>#REF!</v>
      </c>
      <c r="O499" s="2" t="e">
        <f>IF(ISBLANK('Master Submitted DPDs'!#REF!),"",'Master Submitted DPDs'!#REF!)</f>
        <v>#REF!</v>
      </c>
      <c r="P499" s="2" t="e">
        <f>IF(ISBLANK('Master Submitted DPDs'!#REF!),"",'Master Submitted DPDs'!#REF!)</f>
        <v>#REF!</v>
      </c>
      <c r="Q499" t="e">
        <f>IF(ISBLANK('Master Submitted DPDs'!#REF!),"",'Master Submitted DPDs'!#REF!)</f>
        <v>#REF!</v>
      </c>
      <c r="R499" t="e">
        <f t="shared" si="15"/>
        <v>#REF!</v>
      </c>
      <c r="S499" s="3"/>
      <c r="T499" t="e">
        <f>IF(ISBLANK('Master Submitted DPDs'!#REF!),"",'Master Submitted DPDs'!#REF!)</f>
        <v>#REF!</v>
      </c>
    </row>
    <row r="500" spans="1:20" ht="15" x14ac:dyDescent="0.2">
      <c r="A500" s="3" t="str">
        <f>IF(ISBLANK('Master Submitted DPDs'!#REF!),"","Local Plans")</f>
        <v>Local Plans</v>
      </c>
      <c r="B500" t="e">
        <f>IF(ISBLANK('Master Submitted DPDs'!#REF!),"",'Master Submitted DPDs'!#REF!)</f>
        <v>#REF!</v>
      </c>
      <c r="C500" s="3" t="str">
        <f>IF(ISBLANK('Master Submitted DPDs'!#REF!),"","IH")</f>
        <v>IH</v>
      </c>
      <c r="D500" s="3" t="e">
        <f>LOOKUP($F500,'fuzzy LPA lookup'!$E:$E,'fuzzy LPA lookup'!$A:$A)</f>
        <v>#REF!</v>
      </c>
      <c r="E500" s="3" t="e">
        <f>LOOKUP($F500,'fuzzy LPA lookup'!$E:$E,'fuzzy LPA lookup'!$D:$D)</f>
        <v>#REF!</v>
      </c>
      <c r="F500" s="8" t="e">
        <f>IF(ISBLANK('Master Submitted DPDs'!#REF!),"",'Master Submitted DPDs'!#REF!)</f>
        <v>#REF!</v>
      </c>
      <c r="G500" t="str">
        <f>IF(ISBLANK('Master Submitted DPDs'!#REF!),"","Withdrawn")</f>
        <v>Withdrawn</v>
      </c>
      <c r="H500" s="2" t="e">
        <f>IF(ISBLANK('Master Submitted DPDs'!#REF!),"",'Master Submitted DPDs'!#REF!)</f>
        <v>#REF!</v>
      </c>
      <c r="I500" s="3"/>
      <c r="J500" s="3"/>
      <c r="K500" s="3"/>
      <c r="L500" s="2" t="e">
        <f>IF(ISBLANK('Master Submitted DPDs'!#REF!),"",'Master Submitted DPDs'!#REF!)</f>
        <v>#REF!</v>
      </c>
      <c r="M500" s="2" t="e">
        <f t="shared" si="14"/>
        <v>#REF!</v>
      </c>
      <c r="N500" s="2" t="e">
        <f>IF(ISBLANK('Master Submitted DPDs'!#REF!),IF(ISBLANK('Master Submitted DPDs'!#REF!),"",'Master Submitted DPDs'!#REF!),'Master Submitted DPDs'!#REF!)</f>
        <v>#REF!</v>
      </c>
      <c r="O500" s="2" t="e">
        <f>IF(ISBLANK('Master Submitted DPDs'!#REF!),"",'Master Submitted DPDs'!#REF!)</f>
        <v>#REF!</v>
      </c>
      <c r="P500" s="2" t="e">
        <f>IF(ISBLANK('Master Submitted DPDs'!#REF!),"",'Master Submitted DPDs'!#REF!)</f>
        <v>#REF!</v>
      </c>
      <c r="Q500" t="e">
        <f>IF(ISBLANK('Master Submitted DPDs'!#REF!),"",'Master Submitted DPDs'!#REF!)</f>
        <v>#REF!</v>
      </c>
      <c r="R500" t="e">
        <f t="shared" si="15"/>
        <v>#REF!</v>
      </c>
      <c r="S500" s="3"/>
      <c r="T500" t="e">
        <f>IF(ISBLANK('Master Submitted DPDs'!#REF!),"",'Master Submitted DPDs'!#REF!)</f>
        <v>#REF!</v>
      </c>
    </row>
    <row r="501" spans="1:20" ht="15" x14ac:dyDescent="0.2">
      <c r="A501" s="3" t="str">
        <f>IF(ISBLANK('Master Submitted DPDs'!#REF!),"","Local Plans")</f>
        <v>Local Plans</v>
      </c>
      <c r="B501" t="e">
        <f>IF(ISBLANK('Master Submitted DPDs'!#REF!),"",'Master Submitted DPDs'!#REF!)</f>
        <v>#REF!</v>
      </c>
      <c r="C501" s="3" t="str">
        <f>IF(ISBLANK('Master Submitted DPDs'!#REF!),"","IH")</f>
        <v>IH</v>
      </c>
      <c r="D501" s="3" t="e">
        <f>LOOKUP($F501,'fuzzy LPA lookup'!$E:$E,'fuzzy LPA lookup'!$A:$A)</f>
        <v>#REF!</v>
      </c>
      <c r="E501" s="3" t="e">
        <f>LOOKUP($F501,'fuzzy LPA lookup'!$E:$E,'fuzzy LPA lookup'!$D:$D)</f>
        <v>#REF!</v>
      </c>
      <c r="F501" s="8" t="e">
        <f>IF(ISBLANK('Master Submitted DPDs'!#REF!),"",'Master Submitted DPDs'!#REF!)</f>
        <v>#REF!</v>
      </c>
      <c r="G501" t="str">
        <f>IF(ISBLANK('Master Submitted DPDs'!#REF!),"","Withdrawn")</f>
        <v>Withdrawn</v>
      </c>
      <c r="H501" s="2" t="e">
        <f>IF(ISBLANK('Master Submitted DPDs'!#REF!),"",'Master Submitted DPDs'!#REF!)</f>
        <v>#REF!</v>
      </c>
      <c r="I501" s="3"/>
      <c r="J501" s="3"/>
      <c r="K501" s="3"/>
      <c r="L501" s="2" t="e">
        <f>IF(ISBLANK('Master Submitted DPDs'!#REF!),"",'Master Submitted DPDs'!#REF!)</f>
        <v>#REF!</v>
      </c>
      <c r="M501" s="2" t="e">
        <f t="shared" si="14"/>
        <v>#REF!</v>
      </c>
      <c r="N501" s="2" t="e">
        <f>IF(ISBLANK('Master Submitted DPDs'!#REF!),IF(ISBLANK('Master Submitted DPDs'!#REF!),"",'Master Submitted DPDs'!#REF!),'Master Submitted DPDs'!#REF!)</f>
        <v>#REF!</v>
      </c>
      <c r="O501" s="2" t="e">
        <f>IF(ISBLANK('Master Submitted DPDs'!#REF!),"",'Master Submitted DPDs'!#REF!)</f>
        <v>#REF!</v>
      </c>
      <c r="P501" s="2" t="e">
        <f>IF(ISBLANK('Master Submitted DPDs'!#REF!),"",'Master Submitted DPDs'!#REF!)</f>
        <v>#REF!</v>
      </c>
      <c r="Q501" t="e">
        <f>IF(ISBLANK('Master Submitted DPDs'!#REF!),"",'Master Submitted DPDs'!#REF!)</f>
        <v>#REF!</v>
      </c>
      <c r="R501" t="e">
        <f t="shared" si="15"/>
        <v>#REF!</v>
      </c>
      <c r="S501" s="3"/>
      <c r="T501" t="e">
        <f>IF(ISBLANK('Master Submitted DPDs'!#REF!),"",'Master Submitted DPDs'!#REF!)</f>
        <v>#REF!</v>
      </c>
    </row>
    <row r="502" spans="1:20" ht="15" x14ac:dyDescent="0.2">
      <c r="A502" s="3" t="str">
        <f>IF(ISBLANK('Master Submitted DPDs'!#REF!),"","Local Plans")</f>
        <v>Local Plans</v>
      </c>
      <c r="B502" t="e">
        <f>IF(ISBLANK('Master Submitted DPDs'!#REF!),"",'Master Submitted DPDs'!#REF!)</f>
        <v>#REF!</v>
      </c>
      <c r="C502" s="3" t="str">
        <f>IF(ISBLANK('Master Submitted DPDs'!#REF!),"","IH")</f>
        <v>IH</v>
      </c>
      <c r="D502" s="3" t="e">
        <f>LOOKUP($F502,'fuzzy LPA lookup'!$E:$E,'fuzzy LPA lookup'!$A:$A)</f>
        <v>#REF!</v>
      </c>
      <c r="E502" s="3" t="e">
        <f>LOOKUP($F502,'fuzzy LPA lookup'!$E:$E,'fuzzy LPA lookup'!$D:$D)</f>
        <v>#REF!</v>
      </c>
      <c r="F502" s="8" t="e">
        <f>IF(ISBLANK('Master Submitted DPDs'!#REF!),"",'Master Submitted DPDs'!#REF!)</f>
        <v>#REF!</v>
      </c>
      <c r="G502" t="str">
        <f>IF(ISBLANK('Master Submitted DPDs'!#REF!),"","Withdrawn")</f>
        <v>Withdrawn</v>
      </c>
      <c r="H502" s="2" t="e">
        <f>IF(ISBLANK('Master Submitted DPDs'!#REF!),"",'Master Submitted DPDs'!#REF!)</f>
        <v>#REF!</v>
      </c>
      <c r="I502" s="3"/>
      <c r="J502" s="3"/>
      <c r="K502" s="3"/>
      <c r="L502" s="2" t="e">
        <f>IF(ISBLANK('Master Submitted DPDs'!#REF!),"",'Master Submitted DPDs'!#REF!)</f>
        <v>#REF!</v>
      </c>
      <c r="M502" s="2" t="e">
        <f t="shared" si="14"/>
        <v>#REF!</v>
      </c>
      <c r="N502" s="2" t="e">
        <f>IF(ISBLANK('Master Submitted DPDs'!#REF!),IF(ISBLANK('Master Submitted DPDs'!#REF!),"",'Master Submitted DPDs'!#REF!),'Master Submitted DPDs'!#REF!)</f>
        <v>#REF!</v>
      </c>
      <c r="O502" s="2" t="e">
        <f>IF(ISBLANK('Master Submitted DPDs'!#REF!),"",'Master Submitted DPDs'!#REF!)</f>
        <v>#REF!</v>
      </c>
      <c r="P502" s="2" t="e">
        <f>IF(ISBLANK('Master Submitted DPDs'!#REF!),"",'Master Submitted DPDs'!#REF!)</f>
        <v>#REF!</v>
      </c>
      <c r="Q502" t="e">
        <f>IF(ISBLANK('Master Submitted DPDs'!#REF!),"",'Master Submitted DPDs'!#REF!)</f>
        <v>#REF!</v>
      </c>
      <c r="R502" t="e">
        <f t="shared" si="15"/>
        <v>#REF!</v>
      </c>
      <c r="S502" s="3"/>
      <c r="T502" t="e">
        <f>IF(ISBLANK('Master Submitted DPDs'!#REF!),"",'Master Submitted DPDs'!#REF!)</f>
        <v>#REF!</v>
      </c>
    </row>
    <row r="503" spans="1:20" ht="15" x14ac:dyDescent="0.2">
      <c r="A503" s="3" t="str">
        <f>IF(ISBLANK('Master Submitted DPDs'!#REF!),"","Local Plans")</f>
        <v>Local Plans</v>
      </c>
      <c r="B503" t="e">
        <f>IF(ISBLANK('Master Submitted DPDs'!#REF!),"",'Master Submitted DPDs'!#REF!)</f>
        <v>#REF!</v>
      </c>
      <c r="C503" s="3" t="str">
        <f>IF(ISBLANK('Master Submitted DPDs'!#REF!),"","IH")</f>
        <v>IH</v>
      </c>
      <c r="D503" s="3" t="e">
        <f>LOOKUP($F503,'fuzzy LPA lookup'!$E:$E,'fuzzy LPA lookup'!$A:$A)</f>
        <v>#REF!</v>
      </c>
      <c r="E503" s="3" t="e">
        <f>LOOKUP($F503,'fuzzy LPA lookup'!$E:$E,'fuzzy LPA lookup'!$D:$D)</f>
        <v>#REF!</v>
      </c>
      <c r="F503" s="8" t="e">
        <f>IF(ISBLANK('Master Submitted DPDs'!#REF!),"",'Master Submitted DPDs'!#REF!)</f>
        <v>#REF!</v>
      </c>
      <c r="G503" t="str">
        <f>IF(ISBLANK('Master Submitted DPDs'!#REF!),"","Withdrawn")</f>
        <v>Withdrawn</v>
      </c>
      <c r="H503" s="2" t="e">
        <f>IF(ISBLANK('Master Submitted DPDs'!#REF!),"",'Master Submitted DPDs'!#REF!)</f>
        <v>#REF!</v>
      </c>
      <c r="I503" s="3"/>
      <c r="J503" s="3"/>
      <c r="K503" s="3"/>
      <c r="L503" s="2" t="e">
        <f>IF(ISBLANK('Master Submitted DPDs'!#REF!),"",'Master Submitted DPDs'!#REF!)</f>
        <v>#REF!</v>
      </c>
      <c r="M503" s="2" t="e">
        <f t="shared" si="14"/>
        <v>#REF!</v>
      </c>
      <c r="N503" s="2" t="e">
        <f>IF(ISBLANK('Master Submitted DPDs'!#REF!),IF(ISBLANK('Master Submitted DPDs'!#REF!),"",'Master Submitted DPDs'!#REF!),'Master Submitted DPDs'!#REF!)</f>
        <v>#REF!</v>
      </c>
      <c r="O503" s="2" t="e">
        <f>IF(ISBLANK('Master Submitted DPDs'!#REF!),"",'Master Submitted DPDs'!#REF!)</f>
        <v>#REF!</v>
      </c>
      <c r="P503" s="2" t="e">
        <f>IF(ISBLANK('Master Submitted DPDs'!#REF!),"",'Master Submitted DPDs'!#REF!)</f>
        <v>#REF!</v>
      </c>
      <c r="Q503" t="e">
        <f>IF(ISBLANK('Master Submitted DPDs'!#REF!),"",'Master Submitted DPDs'!#REF!)</f>
        <v>#REF!</v>
      </c>
      <c r="R503" t="e">
        <f t="shared" si="15"/>
        <v>#REF!</v>
      </c>
      <c r="S503" s="3"/>
      <c r="T503" t="e">
        <f>IF(ISBLANK('Master Submitted DPDs'!#REF!),"",'Master Submitted DPDs'!#REF!)</f>
        <v>#REF!</v>
      </c>
    </row>
    <row r="504" spans="1:20" ht="15" x14ac:dyDescent="0.2">
      <c r="A504" s="3" t="str">
        <f>IF(ISBLANK('Master Submitted DPDs'!#REF!),"","Local Plans")</f>
        <v>Local Plans</v>
      </c>
      <c r="B504" t="e">
        <f>IF(ISBLANK('Master Submitted DPDs'!#REF!),"",'Master Submitted DPDs'!#REF!)</f>
        <v>#REF!</v>
      </c>
      <c r="C504" s="3" t="str">
        <f>IF(ISBLANK('Master Submitted DPDs'!#REF!),"","IH")</f>
        <v>IH</v>
      </c>
      <c r="D504" s="3" t="e">
        <f>LOOKUP($F504,'fuzzy LPA lookup'!$E:$E,'fuzzy LPA lookup'!$A:$A)</f>
        <v>#REF!</v>
      </c>
      <c r="E504" s="3" t="e">
        <f>LOOKUP($F504,'fuzzy LPA lookup'!$E:$E,'fuzzy LPA lookup'!$D:$D)</f>
        <v>#REF!</v>
      </c>
      <c r="F504" s="8" t="e">
        <f>IF(ISBLANK('Master Submitted DPDs'!#REF!),"",'Master Submitted DPDs'!#REF!)</f>
        <v>#REF!</v>
      </c>
      <c r="G504" t="str">
        <f>IF(ISBLANK('Master Submitted DPDs'!#REF!),"","Withdrawn")</f>
        <v>Withdrawn</v>
      </c>
      <c r="H504" s="2" t="e">
        <f>IF(ISBLANK('Master Submitted DPDs'!#REF!),"",'Master Submitted DPDs'!#REF!)</f>
        <v>#REF!</v>
      </c>
      <c r="I504" s="3"/>
      <c r="J504" s="3"/>
      <c r="K504" s="3"/>
      <c r="L504" s="2" t="e">
        <f>IF(ISBLANK('Master Submitted DPDs'!#REF!),"",'Master Submitted DPDs'!#REF!)</f>
        <v>#REF!</v>
      </c>
      <c r="M504" s="2" t="e">
        <f t="shared" si="14"/>
        <v>#REF!</v>
      </c>
      <c r="N504" s="2" t="e">
        <f>IF(ISBLANK('Master Submitted DPDs'!#REF!),IF(ISBLANK('Master Submitted DPDs'!#REF!),"",'Master Submitted DPDs'!#REF!),'Master Submitted DPDs'!#REF!)</f>
        <v>#REF!</v>
      </c>
      <c r="O504" s="2" t="e">
        <f>IF(ISBLANK('Master Submitted DPDs'!#REF!),"",'Master Submitted DPDs'!#REF!)</f>
        <v>#REF!</v>
      </c>
      <c r="P504" s="2" t="e">
        <f>IF(ISBLANK('Master Submitted DPDs'!#REF!),"",'Master Submitted DPDs'!#REF!)</f>
        <v>#REF!</v>
      </c>
      <c r="Q504" t="e">
        <f>IF(ISBLANK('Master Submitted DPDs'!#REF!),"",'Master Submitted DPDs'!#REF!)</f>
        <v>#REF!</v>
      </c>
      <c r="R504" t="e">
        <f t="shared" si="15"/>
        <v>#REF!</v>
      </c>
      <c r="S504" s="3"/>
      <c r="T504" t="e">
        <f>IF(ISBLANK('Master Submitted DPDs'!#REF!),"",'Master Submitted DPDs'!#REF!)</f>
        <v>#REF!</v>
      </c>
    </row>
    <row r="505" spans="1:20" ht="15" x14ac:dyDescent="0.2">
      <c r="A505" s="3" t="str">
        <f>IF(ISBLANK('Master Submitted DPDs'!#REF!),"","Local Plans")</f>
        <v>Local Plans</v>
      </c>
      <c r="B505" t="e">
        <f>IF(ISBLANK('Master Submitted DPDs'!#REF!),"",'Master Submitted DPDs'!#REF!)</f>
        <v>#REF!</v>
      </c>
      <c r="C505" s="3" t="str">
        <f>IF(ISBLANK('Master Submitted DPDs'!#REF!),"","IH")</f>
        <v>IH</v>
      </c>
      <c r="D505" s="3" t="e">
        <f>LOOKUP($F505,'fuzzy LPA lookup'!$E:$E,'fuzzy LPA lookup'!$A:$A)</f>
        <v>#REF!</v>
      </c>
      <c r="E505" s="3" t="e">
        <f>LOOKUP($F505,'fuzzy LPA lookup'!$E:$E,'fuzzy LPA lookup'!$D:$D)</f>
        <v>#REF!</v>
      </c>
      <c r="F505" s="8" t="e">
        <f>IF(ISBLANK('Master Submitted DPDs'!#REF!),"",'Master Submitted DPDs'!#REF!)</f>
        <v>#REF!</v>
      </c>
      <c r="G505" t="str">
        <f>IF(ISBLANK('Master Submitted DPDs'!#REF!),"","Withdrawn")</f>
        <v>Withdrawn</v>
      </c>
      <c r="H505" s="2" t="e">
        <f>IF(ISBLANK('Master Submitted DPDs'!#REF!),"",'Master Submitted DPDs'!#REF!)</f>
        <v>#REF!</v>
      </c>
      <c r="I505" s="3"/>
      <c r="J505" s="3"/>
      <c r="K505" s="3"/>
      <c r="L505" s="2" t="e">
        <f>IF(ISBLANK('Master Submitted DPDs'!#REF!),"",'Master Submitted DPDs'!#REF!)</f>
        <v>#REF!</v>
      </c>
      <c r="M505" s="2" t="e">
        <f t="shared" si="14"/>
        <v>#REF!</v>
      </c>
      <c r="N505" s="2" t="e">
        <f>IF(ISBLANK('Master Submitted DPDs'!#REF!),IF(ISBLANK('Master Submitted DPDs'!#REF!),"",'Master Submitted DPDs'!#REF!),'Master Submitted DPDs'!#REF!)</f>
        <v>#REF!</v>
      </c>
      <c r="O505" s="2" t="e">
        <f>IF(ISBLANK('Master Submitted DPDs'!#REF!),"",'Master Submitted DPDs'!#REF!)</f>
        <v>#REF!</v>
      </c>
      <c r="P505" s="2" t="e">
        <f>IF(ISBLANK('Master Submitted DPDs'!#REF!),"",'Master Submitted DPDs'!#REF!)</f>
        <v>#REF!</v>
      </c>
      <c r="Q505" t="e">
        <f>IF(ISBLANK('Master Submitted DPDs'!#REF!),"",'Master Submitted DPDs'!#REF!)</f>
        <v>#REF!</v>
      </c>
      <c r="R505" t="e">
        <f t="shared" si="15"/>
        <v>#REF!</v>
      </c>
      <c r="S505" s="3"/>
      <c r="T505" t="e">
        <f>IF(ISBLANK('Master Submitted DPDs'!#REF!),"",'Master Submitted DPDs'!#REF!)</f>
        <v>#REF!</v>
      </c>
    </row>
    <row r="506" spans="1:20" ht="15" x14ac:dyDescent="0.2">
      <c r="A506" s="3" t="str">
        <f>IF(ISBLANK('Master Submitted DPDs'!#REF!),"","Local Plans")</f>
        <v>Local Plans</v>
      </c>
      <c r="B506" t="e">
        <f>IF(ISBLANK('Master Submitted DPDs'!#REF!),"",'Master Submitted DPDs'!#REF!)</f>
        <v>#REF!</v>
      </c>
      <c r="C506" s="3" t="str">
        <f>IF(ISBLANK('Master Submitted DPDs'!#REF!),"","IH")</f>
        <v>IH</v>
      </c>
      <c r="D506" s="3" t="e">
        <f>LOOKUP($F506,'fuzzy LPA lookup'!$E:$E,'fuzzy LPA lookup'!$A:$A)</f>
        <v>#REF!</v>
      </c>
      <c r="E506" s="3" t="e">
        <f>LOOKUP($F506,'fuzzy LPA lookup'!$E:$E,'fuzzy LPA lookup'!$D:$D)</f>
        <v>#REF!</v>
      </c>
      <c r="F506" s="8" t="e">
        <f>IF(ISBLANK('Master Submitted DPDs'!#REF!),"",'Master Submitted DPDs'!#REF!)</f>
        <v>#REF!</v>
      </c>
      <c r="G506" t="str">
        <f>IF(ISBLANK('Master Submitted DPDs'!#REF!),"","Withdrawn")</f>
        <v>Withdrawn</v>
      </c>
      <c r="H506" s="2" t="e">
        <f>IF(ISBLANK('Master Submitted DPDs'!#REF!),"",'Master Submitted DPDs'!#REF!)</f>
        <v>#REF!</v>
      </c>
      <c r="I506" s="3"/>
      <c r="J506" s="3"/>
      <c r="K506" s="3"/>
      <c r="L506" s="2" t="e">
        <f>IF(ISBLANK('Master Submitted DPDs'!#REF!),"",'Master Submitted DPDs'!#REF!)</f>
        <v>#REF!</v>
      </c>
      <c r="M506" s="2" t="e">
        <f t="shared" si="14"/>
        <v>#REF!</v>
      </c>
      <c r="N506" s="2" t="e">
        <f>IF(ISBLANK('Master Submitted DPDs'!#REF!),IF(ISBLANK('Master Submitted DPDs'!#REF!),"",'Master Submitted DPDs'!#REF!),'Master Submitted DPDs'!#REF!)</f>
        <v>#REF!</v>
      </c>
      <c r="O506" s="2" t="e">
        <f>IF(ISBLANK('Master Submitted DPDs'!#REF!),"",'Master Submitted DPDs'!#REF!)</f>
        <v>#REF!</v>
      </c>
      <c r="P506" s="2" t="e">
        <f>IF(ISBLANK('Master Submitted DPDs'!#REF!),"",'Master Submitted DPDs'!#REF!)</f>
        <v>#REF!</v>
      </c>
      <c r="Q506" t="e">
        <f>IF(ISBLANK('Master Submitted DPDs'!#REF!),"",'Master Submitted DPDs'!#REF!)</f>
        <v>#REF!</v>
      </c>
      <c r="R506" t="e">
        <f t="shared" si="15"/>
        <v>#REF!</v>
      </c>
      <c r="S506" s="3"/>
      <c r="T506" t="e">
        <f>IF(ISBLANK('Master Submitted DPDs'!#REF!),"",'Master Submitted DPDs'!#REF!)</f>
        <v>#REF!</v>
      </c>
    </row>
    <row r="507" spans="1:20" ht="15" x14ac:dyDescent="0.2">
      <c r="A507" s="3" t="str">
        <f>IF(ISBLANK('Master Submitted DPDs'!#REF!),"","Local Plans")</f>
        <v>Local Plans</v>
      </c>
      <c r="B507" t="e">
        <f>IF(ISBLANK('Master Submitted DPDs'!#REF!),"",'Master Submitted DPDs'!#REF!)</f>
        <v>#REF!</v>
      </c>
      <c r="C507" s="3" t="str">
        <f>IF(ISBLANK('Master Submitted DPDs'!#REF!),"","IH")</f>
        <v>IH</v>
      </c>
      <c r="D507" s="3" t="e">
        <f>LOOKUP($F507,'fuzzy LPA lookup'!$E:$E,'fuzzy LPA lookup'!$A:$A)</f>
        <v>#REF!</v>
      </c>
      <c r="E507" s="3" t="e">
        <f>LOOKUP($F507,'fuzzy LPA lookup'!$E:$E,'fuzzy LPA lookup'!$D:$D)</f>
        <v>#REF!</v>
      </c>
      <c r="F507" s="8" t="e">
        <f>IF(ISBLANK('Master Submitted DPDs'!#REF!),"",'Master Submitted DPDs'!#REF!)</f>
        <v>#REF!</v>
      </c>
      <c r="G507" t="str">
        <f>IF(ISBLANK('Master Submitted DPDs'!#REF!),"","Withdrawn")</f>
        <v>Withdrawn</v>
      </c>
      <c r="H507" s="2" t="e">
        <f>IF(ISBLANK('Master Submitted DPDs'!#REF!),"",'Master Submitted DPDs'!#REF!)</f>
        <v>#REF!</v>
      </c>
      <c r="I507" s="3"/>
      <c r="J507" s="3"/>
      <c r="K507" s="3"/>
      <c r="L507" s="2" t="e">
        <f>IF(ISBLANK('Master Submitted DPDs'!#REF!),"",'Master Submitted DPDs'!#REF!)</f>
        <v>#REF!</v>
      </c>
      <c r="M507" s="2" t="e">
        <f t="shared" si="14"/>
        <v>#REF!</v>
      </c>
      <c r="N507" s="2" t="e">
        <f>IF(ISBLANK('Master Submitted DPDs'!#REF!),IF(ISBLANK('Master Submitted DPDs'!#REF!),"",'Master Submitted DPDs'!#REF!),'Master Submitted DPDs'!#REF!)</f>
        <v>#REF!</v>
      </c>
      <c r="O507" s="2" t="e">
        <f>IF(ISBLANK('Master Submitted DPDs'!#REF!),"",'Master Submitted DPDs'!#REF!)</f>
        <v>#REF!</v>
      </c>
      <c r="P507" s="2" t="e">
        <f>IF(ISBLANK('Master Submitted DPDs'!#REF!),"",'Master Submitted DPDs'!#REF!)</f>
        <v>#REF!</v>
      </c>
      <c r="Q507" t="e">
        <f>IF(ISBLANK('Master Submitted DPDs'!#REF!),"",'Master Submitted DPDs'!#REF!)</f>
        <v>#REF!</v>
      </c>
      <c r="R507" t="e">
        <f t="shared" si="15"/>
        <v>#REF!</v>
      </c>
      <c r="S507" s="3"/>
      <c r="T507" t="e">
        <f>IF(ISBLANK('Master Submitted DPDs'!#REF!),"",'Master Submitted DPDs'!#REF!)</f>
        <v>#REF!</v>
      </c>
    </row>
    <row r="508" spans="1:20" ht="15" x14ac:dyDescent="0.2">
      <c r="A508" s="3" t="str">
        <f>IF(ISBLANK('Master Submitted DPDs'!#REF!),"","Local Plans")</f>
        <v>Local Plans</v>
      </c>
      <c r="B508" t="e">
        <f>IF(ISBLANK('Master Submitted DPDs'!#REF!),"",'Master Submitted DPDs'!#REF!)</f>
        <v>#REF!</v>
      </c>
      <c r="C508" s="3" t="str">
        <f>IF(ISBLANK('Master Submitted DPDs'!#REF!),"","IH")</f>
        <v>IH</v>
      </c>
      <c r="D508" s="3" t="e">
        <f>LOOKUP($F508,'fuzzy LPA lookup'!$E:$E,'fuzzy LPA lookup'!$A:$A)</f>
        <v>#REF!</v>
      </c>
      <c r="E508" s="3" t="e">
        <f>LOOKUP($F508,'fuzzy LPA lookup'!$E:$E,'fuzzy LPA lookup'!$D:$D)</f>
        <v>#REF!</v>
      </c>
      <c r="F508" s="8" t="e">
        <f>IF(ISBLANK('Master Submitted DPDs'!#REF!),"",'Master Submitted DPDs'!#REF!)</f>
        <v>#REF!</v>
      </c>
      <c r="G508" t="str">
        <f>IF(ISBLANK('Master Submitted DPDs'!#REF!),"","Withdrawn")</f>
        <v>Withdrawn</v>
      </c>
      <c r="H508" s="2" t="e">
        <f>IF(ISBLANK('Master Submitted DPDs'!#REF!),"",'Master Submitted DPDs'!#REF!)</f>
        <v>#REF!</v>
      </c>
      <c r="I508" s="3"/>
      <c r="J508" s="3"/>
      <c r="K508" s="3"/>
      <c r="L508" s="2" t="e">
        <f>IF(ISBLANK('Master Submitted DPDs'!#REF!),"",'Master Submitted DPDs'!#REF!)</f>
        <v>#REF!</v>
      </c>
      <c r="M508" s="2" t="e">
        <f t="shared" si="14"/>
        <v>#REF!</v>
      </c>
      <c r="N508" s="2" t="e">
        <f>IF(ISBLANK('Master Submitted DPDs'!#REF!),IF(ISBLANK('Master Submitted DPDs'!#REF!),"",'Master Submitted DPDs'!#REF!),'Master Submitted DPDs'!#REF!)</f>
        <v>#REF!</v>
      </c>
      <c r="O508" s="2" t="e">
        <f>IF(ISBLANK('Master Submitted DPDs'!#REF!),"",'Master Submitted DPDs'!#REF!)</f>
        <v>#REF!</v>
      </c>
      <c r="P508" s="2" t="e">
        <f>IF(ISBLANK('Master Submitted DPDs'!#REF!),"",'Master Submitted DPDs'!#REF!)</f>
        <v>#REF!</v>
      </c>
      <c r="Q508" t="e">
        <f>IF(ISBLANK('Master Submitted DPDs'!#REF!),"",'Master Submitted DPDs'!#REF!)</f>
        <v>#REF!</v>
      </c>
      <c r="R508" t="e">
        <f t="shared" si="15"/>
        <v>#REF!</v>
      </c>
      <c r="S508" s="3"/>
      <c r="T508" t="e">
        <f>IF(ISBLANK('Master Submitted DPDs'!#REF!),"",'Master Submitted DPDs'!#REF!)</f>
        <v>#REF!</v>
      </c>
    </row>
    <row r="509" spans="1:20" ht="15" x14ac:dyDescent="0.2">
      <c r="A509" s="3" t="str">
        <f>IF(ISBLANK('Master Submitted DPDs'!#REF!),"","Local Plans")</f>
        <v>Local Plans</v>
      </c>
      <c r="B509" t="e">
        <f>IF(ISBLANK('Master Submitted DPDs'!#REF!),"",'Master Submitted DPDs'!#REF!)</f>
        <v>#REF!</v>
      </c>
      <c r="C509" s="3" t="str">
        <f>IF(ISBLANK('Master Submitted DPDs'!#REF!),"","IH")</f>
        <v>IH</v>
      </c>
      <c r="D509" s="3" t="e">
        <f>LOOKUP($F509,'fuzzy LPA lookup'!$E:$E,'fuzzy LPA lookup'!$A:$A)</f>
        <v>#REF!</v>
      </c>
      <c r="E509" s="3" t="e">
        <f>LOOKUP($F509,'fuzzy LPA lookup'!$E:$E,'fuzzy LPA lookup'!$D:$D)</f>
        <v>#REF!</v>
      </c>
      <c r="F509" s="8" t="e">
        <f>IF(ISBLANK('Master Submitted DPDs'!#REF!),"",'Master Submitted DPDs'!#REF!)</f>
        <v>#REF!</v>
      </c>
      <c r="G509" t="str">
        <f>IF(ISBLANK('Master Submitted DPDs'!#REF!),"","Withdrawn")</f>
        <v>Withdrawn</v>
      </c>
      <c r="H509" s="2" t="e">
        <f>IF(ISBLANK('Master Submitted DPDs'!#REF!),"",'Master Submitted DPDs'!#REF!)</f>
        <v>#REF!</v>
      </c>
      <c r="I509" s="3"/>
      <c r="J509" s="3"/>
      <c r="K509" s="3"/>
      <c r="L509" s="2" t="e">
        <f>IF(ISBLANK('Master Submitted DPDs'!#REF!),"",'Master Submitted DPDs'!#REF!)</f>
        <v>#REF!</v>
      </c>
      <c r="M509" s="2" t="e">
        <f t="shared" si="14"/>
        <v>#REF!</v>
      </c>
      <c r="N509" s="2" t="e">
        <f>IF(ISBLANK('Master Submitted DPDs'!#REF!),IF(ISBLANK('Master Submitted DPDs'!#REF!),"",'Master Submitted DPDs'!#REF!),'Master Submitted DPDs'!#REF!)</f>
        <v>#REF!</v>
      </c>
      <c r="O509" s="2" t="e">
        <f>IF(ISBLANK('Master Submitted DPDs'!#REF!),"",'Master Submitted DPDs'!#REF!)</f>
        <v>#REF!</v>
      </c>
      <c r="P509" s="2" t="e">
        <f>IF(ISBLANK('Master Submitted DPDs'!#REF!),"",'Master Submitted DPDs'!#REF!)</f>
        <v>#REF!</v>
      </c>
      <c r="Q509" t="e">
        <f>IF(ISBLANK('Master Submitted DPDs'!#REF!),"",'Master Submitted DPDs'!#REF!)</f>
        <v>#REF!</v>
      </c>
      <c r="R509" t="e">
        <f t="shared" si="15"/>
        <v>#REF!</v>
      </c>
      <c r="S509" s="3"/>
      <c r="T509" t="e">
        <f>IF(ISBLANK('Master Submitted DPDs'!#REF!),"",'Master Submitted DPDs'!#REF!)</f>
        <v>#REF!</v>
      </c>
    </row>
    <row r="510" spans="1:20" ht="15" x14ac:dyDescent="0.2">
      <c r="A510" s="3" t="str">
        <f>IF(ISBLANK('Master Submitted DPDs'!#REF!),"","Local Plans")</f>
        <v>Local Plans</v>
      </c>
      <c r="B510" t="e">
        <f>IF(ISBLANK('Master Submitted DPDs'!#REF!),"",'Master Submitted DPDs'!#REF!)</f>
        <v>#REF!</v>
      </c>
      <c r="C510" s="3" t="str">
        <f>IF(ISBLANK('Master Submitted DPDs'!#REF!),"","IH")</f>
        <v>IH</v>
      </c>
      <c r="D510" s="3" t="e">
        <f>LOOKUP($F510,'fuzzy LPA lookup'!$E:$E,'fuzzy LPA lookup'!$A:$A)</f>
        <v>#REF!</v>
      </c>
      <c r="E510" s="3" t="e">
        <f>LOOKUP($F510,'fuzzy LPA lookup'!$E:$E,'fuzzy LPA lookup'!$D:$D)</f>
        <v>#REF!</v>
      </c>
      <c r="F510" s="8" t="e">
        <f>IF(ISBLANK('Master Submitted DPDs'!#REF!),"",'Master Submitted DPDs'!#REF!)</f>
        <v>#REF!</v>
      </c>
      <c r="G510" t="str">
        <f>IF(ISBLANK('Master Submitted DPDs'!#REF!),"","Withdrawn")</f>
        <v>Withdrawn</v>
      </c>
      <c r="H510" s="2" t="e">
        <f>IF(ISBLANK('Master Submitted DPDs'!#REF!),"",'Master Submitted DPDs'!#REF!)</f>
        <v>#REF!</v>
      </c>
      <c r="I510" s="3"/>
      <c r="J510" s="3"/>
      <c r="K510" s="3"/>
      <c r="L510" s="2" t="e">
        <f>IF(ISBLANK('Master Submitted DPDs'!#REF!),"",'Master Submitted DPDs'!#REF!)</f>
        <v>#REF!</v>
      </c>
      <c r="M510" s="2" t="e">
        <f t="shared" si="14"/>
        <v>#REF!</v>
      </c>
      <c r="N510" s="2" t="e">
        <f>IF(ISBLANK('Master Submitted DPDs'!#REF!),IF(ISBLANK('Master Submitted DPDs'!#REF!),"",'Master Submitted DPDs'!#REF!),'Master Submitted DPDs'!#REF!)</f>
        <v>#REF!</v>
      </c>
      <c r="O510" s="2" t="e">
        <f>IF(ISBLANK('Master Submitted DPDs'!#REF!),"",'Master Submitted DPDs'!#REF!)</f>
        <v>#REF!</v>
      </c>
      <c r="P510" s="2" t="e">
        <f>IF(ISBLANK('Master Submitted DPDs'!#REF!),"",'Master Submitted DPDs'!#REF!)</f>
        <v>#REF!</v>
      </c>
      <c r="Q510" t="e">
        <f>IF(ISBLANK('Master Submitted DPDs'!#REF!),"",'Master Submitted DPDs'!#REF!)</f>
        <v>#REF!</v>
      </c>
      <c r="R510" t="e">
        <f t="shared" si="15"/>
        <v>#REF!</v>
      </c>
      <c r="S510" s="3"/>
      <c r="T510" t="e">
        <f>IF(ISBLANK('Master Submitted DPDs'!#REF!),"",'Master Submitted DPDs'!#REF!)</f>
        <v>#REF!</v>
      </c>
    </row>
    <row r="511" spans="1:20" ht="15" x14ac:dyDescent="0.2">
      <c r="A511" s="3" t="str">
        <f>IF(ISBLANK('Master Submitted DPDs'!#REF!),"","Local Plans")</f>
        <v>Local Plans</v>
      </c>
      <c r="B511" t="e">
        <f>IF(ISBLANK('Master Submitted DPDs'!#REF!),"",'Master Submitted DPDs'!#REF!)</f>
        <v>#REF!</v>
      </c>
      <c r="C511" s="3" t="str">
        <f>IF(ISBLANK('Master Submitted DPDs'!#REF!),"","IH")</f>
        <v>IH</v>
      </c>
      <c r="D511" s="3" t="e">
        <f>LOOKUP($F511,'fuzzy LPA lookup'!$E:$E,'fuzzy LPA lookup'!$A:$A)</f>
        <v>#REF!</v>
      </c>
      <c r="E511" s="3" t="e">
        <f>LOOKUP($F511,'fuzzy LPA lookup'!$E:$E,'fuzzy LPA lookup'!$D:$D)</f>
        <v>#REF!</v>
      </c>
      <c r="F511" s="8" t="e">
        <f>IF(ISBLANK('Master Submitted DPDs'!#REF!),"",'Master Submitted DPDs'!#REF!)</f>
        <v>#REF!</v>
      </c>
      <c r="G511" t="str">
        <f>IF(ISBLANK('Master Submitted DPDs'!#REF!),"","Withdrawn")</f>
        <v>Withdrawn</v>
      </c>
      <c r="H511" s="2" t="e">
        <f>IF(ISBLANK('Master Submitted DPDs'!#REF!),"",'Master Submitted DPDs'!#REF!)</f>
        <v>#REF!</v>
      </c>
      <c r="I511" s="3"/>
      <c r="J511" s="3"/>
      <c r="K511" s="3"/>
      <c r="L511" s="2" t="e">
        <f>IF(ISBLANK('Master Submitted DPDs'!#REF!),"",'Master Submitted DPDs'!#REF!)</f>
        <v>#REF!</v>
      </c>
      <c r="M511" s="2" t="e">
        <f t="shared" si="14"/>
        <v>#REF!</v>
      </c>
      <c r="N511" s="2" t="e">
        <f>IF(ISBLANK('Master Submitted DPDs'!#REF!),IF(ISBLANK('Master Submitted DPDs'!#REF!),"",'Master Submitted DPDs'!#REF!),'Master Submitted DPDs'!#REF!)</f>
        <v>#REF!</v>
      </c>
      <c r="O511" s="2" t="e">
        <f>IF(ISBLANK('Master Submitted DPDs'!#REF!),"",'Master Submitted DPDs'!#REF!)</f>
        <v>#REF!</v>
      </c>
      <c r="P511" s="2" t="e">
        <f>IF(ISBLANK('Master Submitted DPDs'!#REF!),"",'Master Submitted DPDs'!#REF!)</f>
        <v>#REF!</v>
      </c>
      <c r="Q511" t="e">
        <f>IF(ISBLANK('Master Submitted DPDs'!#REF!),"",'Master Submitted DPDs'!#REF!)</f>
        <v>#REF!</v>
      </c>
      <c r="R511" t="e">
        <f t="shared" si="15"/>
        <v>#REF!</v>
      </c>
      <c r="S511" s="3"/>
      <c r="T511" t="e">
        <f>IF(ISBLANK('Master Submitted DPDs'!#REF!),"",'Master Submitted DPDs'!#REF!)</f>
        <v>#REF!</v>
      </c>
    </row>
    <row r="512" spans="1:20" ht="15" x14ac:dyDescent="0.2">
      <c r="A512" s="3" t="str">
        <f>IF(ISBLANK('Master Submitted DPDs'!#REF!),"","Local Plans")</f>
        <v>Local Plans</v>
      </c>
      <c r="B512" t="e">
        <f>IF(ISBLANK('Master Submitted DPDs'!#REF!),"",'Master Submitted DPDs'!#REF!)</f>
        <v>#REF!</v>
      </c>
      <c r="C512" s="3" t="str">
        <f>IF(ISBLANK('Master Submitted DPDs'!#REF!),"","IH")</f>
        <v>IH</v>
      </c>
      <c r="D512" s="3" t="e">
        <f>LOOKUP($F512,'fuzzy LPA lookup'!$E:$E,'fuzzy LPA lookup'!$A:$A)</f>
        <v>#REF!</v>
      </c>
      <c r="E512" s="3" t="e">
        <f>LOOKUP($F512,'fuzzy LPA lookup'!$E:$E,'fuzzy LPA lookup'!$D:$D)</f>
        <v>#REF!</v>
      </c>
      <c r="F512" s="8" t="e">
        <f>IF(ISBLANK('Master Submitted DPDs'!#REF!),"",'Master Submitted DPDs'!#REF!)</f>
        <v>#REF!</v>
      </c>
      <c r="G512" t="str">
        <f>IF(ISBLANK('Master Submitted DPDs'!#REF!),"","Withdrawn")</f>
        <v>Withdrawn</v>
      </c>
      <c r="H512" s="2" t="e">
        <f>IF(ISBLANK('Master Submitted DPDs'!#REF!),"",'Master Submitted DPDs'!#REF!)</f>
        <v>#REF!</v>
      </c>
      <c r="I512" s="3"/>
      <c r="J512" s="3"/>
      <c r="K512" s="3"/>
      <c r="L512" s="2" t="e">
        <f>IF(ISBLANK('Master Submitted DPDs'!#REF!),"",'Master Submitted DPDs'!#REF!)</f>
        <v>#REF!</v>
      </c>
      <c r="M512" s="2" t="e">
        <f t="shared" si="14"/>
        <v>#REF!</v>
      </c>
      <c r="N512" s="2" t="e">
        <f>IF(ISBLANK('Master Submitted DPDs'!#REF!),IF(ISBLANK('Master Submitted DPDs'!#REF!),"",'Master Submitted DPDs'!#REF!),'Master Submitted DPDs'!#REF!)</f>
        <v>#REF!</v>
      </c>
      <c r="O512" s="2" t="e">
        <f>IF(ISBLANK('Master Submitted DPDs'!#REF!),"",'Master Submitted DPDs'!#REF!)</f>
        <v>#REF!</v>
      </c>
      <c r="P512" s="2" t="e">
        <f>IF(ISBLANK('Master Submitted DPDs'!#REF!),"",'Master Submitted DPDs'!#REF!)</f>
        <v>#REF!</v>
      </c>
      <c r="Q512" t="e">
        <f>IF(ISBLANK('Master Submitted DPDs'!#REF!),"",'Master Submitted DPDs'!#REF!)</f>
        <v>#REF!</v>
      </c>
      <c r="R512" t="e">
        <f t="shared" si="15"/>
        <v>#REF!</v>
      </c>
      <c r="S512" s="3"/>
      <c r="T512" t="e">
        <f>IF(ISBLANK('Master Submitted DPDs'!#REF!),"",'Master Submitted DPDs'!#REF!)</f>
        <v>#REF!</v>
      </c>
    </row>
    <row r="513" spans="1:20" ht="15" x14ac:dyDescent="0.2">
      <c r="A513" s="3" t="str">
        <f>IF(ISBLANK('Master Submitted DPDs'!#REF!),"","Local Plans")</f>
        <v>Local Plans</v>
      </c>
      <c r="B513" t="e">
        <f>IF(ISBLANK('Master Submitted DPDs'!#REF!),"",'Master Submitted DPDs'!#REF!)</f>
        <v>#REF!</v>
      </c>
      <c r="C513" s="3" t="str">
        <f>IF(ISBLANK('Master Submitted DPDs'!#REF!),"","IH")</f>
        <v>IH</v>
      </c>
      <c r="D513" s="3" t="e">
        <f>LOOKUP($F513,'fuzzy LPA lookup'!$E:$E,'fuzzy LPA lookup'!$A:$A)</f>
        <v>#REF!</v>
      </c>
      <c r="E513" s="3" t="e">
        <f>LOOKUP($F513,'fuzzy LPA lookup'!$E:$E,'fuzzy LPA lookup'!$D:$D)</f>
        <v>#REF!</v>
      </c>
      <c r="F513" s="8" t="e">
        <f>IF(ISBLANK('Master Submitted DPDs'!#REF!),"",'Master Submitted DPDs'!#REF!)</f>
        <v>#REF!</v>
      </c>
      <c r="G513" t="str">
        <f>IF(ISBLANK('Master Submitted DPDs'!#REF!),"","Withdrawn")</f>
        <v>Withdrawn</v>
      </c>
      <c r="H513" s="2" t="e">
        <f>IF(ISBLANK('Master Submitted DPDs'!#REF!),"",'Master Submitted DPDs'!#REF!)</f>
        <v>#REF!</v>
      </c>
      <c r="I513" s="3"/>
      <c r="J513" s="3"/>
      <c r="K513" s="3"/>
      <c r="L513" s="2" t="e">
        <f>IF(ISBLANK('Master Submitted DPDs'!#REF!),"",'Master Submitted DPDs'!#REF!)</f>
        <v>#REF!</v>
      </c>
      <c r="M513" s="2" t="e">
        <f t="shared" si="14"/>
        <v>#REF!</v>
      </c>
      <c r="N513" s="2" t="e">
        <f>IF(ISBLANK('Master Submitted DPDs'!#REF!),IF(ISBLANK('Master Submitted DPDs'!#REF!),"",'Master Submitted DPDs'!#REF!),'Master Submitted DPDs'!#REF!)</f>
        <v>#REF!</v>
      </c>
      <c r="O513" s="2" t="e">
        <f>IF(ISBLANK('Master Submitted DPDs'!#REF!),"",'Master Submitted DPDs'!#REF!)</f>
        <v>#REF!</v>
      </c>
      <c r="P513" s="2" t="e">
        <f>IF(ISBLANK('Master Submitted DPDs'!#REF!),"",'Master Submitted DPDs'!#REF!)</f>
        <v>#REF!</v>
      </c>
      <c r="Q513" t="e">
        <f>IF(ISBLANK('Master Submitted DPDs'!#REF!),"",'Master Submitted DPDs'!#REF!)</f>
        <v>#REF!</v>
      </c>
      <c r="R513" t="e">
        <f t="shared" si="15"/>
        <v>#REF!</v>
      </c>
      <c r="S513" s="3"/>
      <c r="T513" t="e">
        <f>IF(ISBLANK('Master Submitted DPDs'!#REF!),"",'Master Submitted DPDs'!#REF!)</f>
        <v>#REF!</v>
      </c>
    </row>
    <row r="514" spans="1:20" ht="15" x14ac:dyDescent="0.2">
      <c r="A514" s="3" t="str">
        <f>IF(ISBLANK('Master Submitted DPDs'!#REF!),"","Local Plans")</f>
        <v>Local Plans</v>
      </c>
      <c r="B514" t="e">
        <f>IF(ISBLANK('Master Submitted DPDs'!#REF!),"",'Master Submitted DPDs'!#REF!)</f>
        <v>#REF!</v>
      </c>
      <c r="C514" s="3" t="str">
        <f>IF(ISBLANK('Master Submitted DPDs'!#REF!),"","IH")</f>
        <v>IH</v>
      </c>
      <c r="D514" s="3" t="e">
        <f>LOOKUP($F514,'fuzzy LPA lookup'!$E:$E,'fuzzy LPA lookup'!$A:$A)</f>
        <v>#REF!</v>
      </c>
      <c r="E514" s="3" t="e">
        <f>LOOKUP($F514,'fuzzy LPA lookup'!$E:$E,'fuzzy LPA lookup'!$D:$D)</f>
        <v>#REF!</v>
      </c>
      <c r="F514" s="8" t="e">
        <f>IF(ISBLANK('Master Submitted DPDs'!#REF!),"",'Master Submitted DPDs'!#REF!)</f>
        <v>#REF!</v>
      </c>
      <c r="G514" t="str">
        <f>IF(ISBLANK('Master Submitted DPDs'!#REF!),"","Withdrawn")</f>
        <v>Withdrawn</v>
      </c>
      <c r="H514" s="2" t="e">
        <f>IF(ISBLANK('Master Submitted DPDs'!#REF!),"",'Master Submitted DPDs'!#REF!)</f>
        <v>#REF!</v>
      </c>
      <c r="I514" s="3"/>
      <c r="J514" s="3"/>
      <c r="K514" s="3"/>
      <c r="L514" s="2" t="e">
        <f>IF(ISBLANK('Master Submitted DPDs'!#REF!),"",'Master Submitted DPDs'!#REF!)</f>
        <v>#REF!</v>
      </c>
      <c r="M514" s="2" t="e">
        <f t="shared" ref="M514:M577" si="16">L514</f>
        <v>#REF!</v>
      </c>
      <c r="N514" s="2" t="e">
        <f>IF(ISBLANK('Master Submitted DPDs'!#REF!),IF(ISBLANK('Master Submitted DPDs'!#REF!),"",'Master Submitted DPDs'!#REF!),'Master Submitted DPDs'!#REF!)</f>
        <v>#REF!</v>
      </c>
      <c r="O514" s="2" t="e">
        <f>IF(ISBLANK('Master Submitted DPDs'!#REF!),"",'Master Submitted DPDs'!#REF!)</f>
        <v>#REF!</v>
      </c>
      <c r="P514" s="2" t="e">
        <f>IF(ISBLANK('Master Submitted DPDs'!#REF!),"",'Master Submitted DPDs'!#REF!)</f>
        <v>#REF!</v>
      </c>
      <c r="Q514" t="e">
        <f>IF(ISBLANK('Master Submitted DPDs'!#REF!),"",'Master Submitted DPDs'!#REF!)</f>
        <v>#REF!</v>
      </c>
      <c r="R514" t="e">
        <f t="shared" ref="R514:R577" si="17">IF(F514="","",IF(AND(H514="",Q514&lt;&gt;"UNS",P514=""),"Open","Closed"))</f>
        <v>#REF!</v>
      </c>
      <c r="S514" s="3"/>
      <c r="T514" t="e">
        <f>IF(ISBLANK('Master Submitted DPDs'!#REF!),"",'Master Submitted DPDs'!#REF!)</f>
        <v>#REF!</v>
      </c>
    </row>
    <row r="515" spans="1:20" ht="15" x14ac:dyDescent="0.2">
      <c r="A515" s="3" t="str">
        <f>IF(ISBLANK('Master Submitted DPDs'!#REF!),"","Local Plans")</f>
        <v>Local Plans</v>
      </c>
      <c r="B515" t="e">
        <f>IF(ISBLANK('Master Submitted DPDs'!#REF!),"",'Master Submitted DPDs'!#REF!)</f>
        <v>#REF!</v>
      </c>
      <c r="C515" s="3" t="str">
        <f>IF(ISBLANK('Master Submitted DPDs'!#REF!),"","IH")</f>
        <v>IH</v>
      </c>
      <c r="D515" s="3" t="e">
        <f>LOOKUP($F515,'fuzzy LPA lookup'!$E:$E,'fuzzy LPA lookup'!$A:$A)</f>
        <v>#REF!</v>
      </c>
      <c r="E515" s="3" t="e">
        <f>LOOKUP($F515,'fuzzy LPA lookup'!$E:$E,'fuzzy LPA lookup'!$D:$D)</f>
        <v>#REF!</v>
      </c>
      <c r="F515" s="8" t="e">
        <f>IF(ISBLANK('Master Submitted DPDs'!#REF!),"",'Master Submitted DPDs'!#REF!)</f>
        <v>#REF!</v>
      </c>
      <c r="G515" t="str">
        <f>IF(ISBLANK('Master Submitted DPDs'!#REF!),"","Withdrawn")</f>
        <v>Withdrawn</v>
      </c>
      <c r="H515" s="2" t="e">
        <f>IF(ISBLANK('Master Submitted DPDs'!#REF!),"",'Master Submitted DPDs'!#REF!)</f>
        <v>#REF!</v>
      </c>
      <c r="I515" s="3"/>
      <c r="J515" s="3"/>
      <c r="K515" s="3"/>
      <c r="L515" s="2" t="e">
        <f>IF(ISBLANK('Master Submitted DPDs'!#REF!),"",'Master Submitted DPDs'!#REF!)</f>
        <v>#REF!</v>
      </c>
      <c r="M515" s="2" t="e">
        <f t="shared" si="16"/>
        <v>#REF!</v>
      </c>
      <c r="N515" s="2" t="e">
        <f>IF(ISBLANK('Master Submitted DPDs'!#REF!),IF(ISBLANK('Master Submitted DPDs'!#REF!),"",'Master Submitted DPDs'!#REF!),'Master Submitted DPDs'!#REF!)</f>
        <v>#REF!</v>
      </c>
      <c r="O515" s="2" t="e">
        <f>IF(ISBLANK('Master Submitted DPDs'!#REF!),"",'Master Submitted DPDs'!#REF!)</f>
        <v>#REF!</v>
      </c>
      <c r="P515" s="2" t="e">
        <f>IF(ISBLANK('Master Submitted DPDs'!#REF!),"",'Master Submitted DPDs'!#REF!)</f>
        <v>#REF!</v>
      </c>
      <c r="Q515" t="e">
        <f>IF(ISBLANK('Master Submitted DPDs'!#REF!),"",'Master Submitted DPDs'!#REF!)</f>
        <v>#REF!</v>
      </c>
      <c r="R515" t="e">
        <f t="shared" si="17"/>
        <v>#REF!</v>
      </c>
      <c r="S515" s="3"/>
      <c r="T515" t="e">
        <f>IF(ISBLANK('Master Submitted DPDs'!#REF!),"",'Master Submitted DPDs'!#REF!)</f>
        <v>#REF!</v>
      </c>
    </row>
    <row r="516" spans="1:20" ht="15" x14ac:dyDescent="0.2">
      <c r="A516" s="3" t="str">
        <f>IF(ISBLANK('Master Submitted DPDs'!#REF!),"","Local Plans")</f>
        <v>Local Plans</v>
      </c>
      <c r="B516" t="e">
        <f>IF(ISBLANK('Master Submitted DPDs'!#REF!),"",'Master Submitted DPDs'!#REF!)</f>
        <v>#REF!</v>
      </c>
      <c r="C516" s="3" t="str">
        <f>IF(ISBLANK('Master Submitted DPDs'!#REF!),"","IH")</f>
        <v>IH</v>
      </c>
      <c r="D516" s="3" t="e">
        <f>LOOKUP($F516,'fuzzy LPA lookup'!$E:$E,'fuzzy LPA lookup'!$A:$A)</f>
        <v>#REF!</v>
      </c>
      <c r="E516" s="3" t="e">
        <f>LOOKUP($F516,'fuzzy LPA lookup'!$E:$E,'fuzzy LPA lookup'!$D:$D)</f>
        <v>#REF!</v>
      </c>
      <c r="F516" s="8" t="e">
        <f>IF(ISBLANK('Master Submitted DPDs'!#REF!),"",'Master Submitted DPDs'!#REF!)</f>
        <v>#REF!</v>
      </c>
      <c r="G516" t="str">
        <f>IF(ISBLANK('Master Submitted DPDs'!#REF!),"","Withdrawn")</f>
        <v>Withdrawn</v>
      </c>
      <c r="H516" s="2" t="e">
        <f>IF(ISBLANK('Master Submitted DPDs'!#REF!),"",'Master Submitted DPDs'!#REF!)</f>
        <v>#REF!</v>
      </c>
      <c r="I516" s="3"/>
      <c r="J516" s="3"/>
      <c r="K516" s="3"/>
      <c r="L516" s="2" t="e">
        <f>IF(ISBLANK('Master Submitted DPDs'!#REF!),"",'Master Submitted DPDs'!#REF!)</f>
        <v>#REF!</v>
      </c>
      <c r="M516" s="2" t="e">
        <f t="shared" si="16"/>
        <v>#REF!</v>
      </c>
      <c r="N516" s="2" t="e">
        <f>IF(ISBLANK('Master Submitted DPDs'!#REF!),IF(ISBLANK('Master Submitted DPDs'!#REF!),"",'Master Submitted DPDs'!#REF!),'Master Submitted DPDs'!#REF!)</f>
        <v>#REF!</v>
      </c>
      <c r="O516" s="2" t="e">
        <f>IF(ISBLANK('Master Submitted DPDs'!#REF!),"",'Master Submitted DPDs'!#REF!)</f>
        <v>#REF!</v>
      </c>
      <c r="P516" s="2" t="e">
        <f>IF(ISBLANK('Master Submitted DPDs'!#REF!),"",'Master Submitted DPDs'!#REF!)</f>
        <v>#REF!</v>
      </c>
      <c r="Q516" t="e">
        <f>IF(ISBLANK('Master Submitted DPDs'!#REF!),"",'Master Submitted DPDs'!#REF!)</f>
        <v>#REF!</v>
      </c>
      <c r="R516" t="e">
        <f t="shared" si="17"/>
        <v>#REF!</v>
      </c>
      <c r="S516" s="3"/>
      <c r="T516" t="e">
        <f>IF(ISBLANK('Master Submitted DPDs'!#REF!),"",'Master Submitted DPDs'!#REF!)</f>
        <v>#REF!</v>
      </c>
    </row>
    <row r="517" spans="1:20" ht="15" x14ac:dyDescent="0.2">
      <c r="A517" s="3" t="str">
        <f>IF(ISBLANK('Master Submitted DPDs'!#REF!),"","Local Plans")</f>
        <v>Local Plans</v>
      </c>
      <c r="B517" t="e">
        <f>IF(ISBLANK('Master Submitted DPDs'!#REF!),"",'Master Submitted DPDs'!#REF!)</f>
        <v>#REF!</v>
      </c>
      <c r="C517" s="3" t="str">
        <f>IF(ISBLANK('Master Submitted DPDs'!#REF!),"","IH")</f>
        <v>IH</v>
      </c>
      <c r="D517" s="3" t="e">
        <f>LOOKUP($F517,'fuzzy LPA lookup'!$E:$E,'fuzzy LPA lookup'!$A:$A)</f>
        <v>#REF!</v>
      </c>
      <c r="E517" s="3" t="e">
        <f>LOOKUP($F517,'fuzzy LPA lookup'!$E:$E,'fuzzy LPA lookup'!$D:$D)</f>
        <v>#REF!</v>
      </c>
      <c r="F517" s="8" t="e">
        <f>IF(ISBLANK('Master Submitted DPDs'!#REF!),"",'Master Submitted DPDs'!#REF!)</f>
        <v>#REF!</v>
      </c>
      <c r="G517" t="str">
        <f>IF(ISBLANK('Master Submitted DPDs'!#REF!),"","Withdrawn")</f>
        <v>Withdrawn</v>
      </c>
      <c r="H517" s="2" t="e">
        <f>IF(ISBLANK('Master Submitted DPDs'!#REF!),"",'Master Submitted DPDs'!#REF!)</f>
        <v>#REF!</v>
      </c>
      <c r="I517" s="3"/>
      <c r="J517" s="3"/>
      <c r="K517" s="3"/>
      <c r="L517" s="2" t="e">
        <f>IF(ISBLANK('Master Submitted DPDs'!#REF!),"",'Master Submitted DPDs'!#REF!)</f>
        <v>#REF!</v>
      </c>
      <c r="M517" s="2" t="e">
        <f t="shared" si="16"/>
        <v>#REF!</v>
      </c>
      <c r="N517" s="2" t="e">
        <f>IF(ISBLANK('Master Submitted DPDs'!#REF!),IF(ISBLANK('Master Submitted DPDs'!#REF!),"",'Master Submitted DPDs'!#REF!),'Master Submitted DPDs'!#REF!)</f>
        <v>#REF!</v>
      </c>
      <c r="O517" s="2" t="e">
        <f>IF(ISBLANK('Master Submitted DPDs'!#REF!),"",'Master Submitted DPDs'!#REF!)</f>
        <v>#REF!</v>
      </c>
      <c r="P517" s="2" t="e">
        <f>IF(ISBLANK('Master Submitted DPDs'!#REF!),"",'Master Submitted DPDs'!#REF!)</f>
        <v>#REF!</v>
      </c>
      <c r="Q517" t="e">
        <f>IF(ISBLANK('Master Submitted DPDs'!#REF!),"",'Master Submitted DPDs'!#REF!)</f>
        <v>#REF!</v>
      </c>
      <c r="R517" t="e">
        <f t="shared" si="17"/>
        <v>#REF!</v>
      </c>
      <c r="S517" s="3"/>
      <c r="T517" t="e">
        <f>IF(ISBLANK('Master Submitted DPDs'!#REF!),"",'Master Submitted DPDs'!#REF!)</f>
        <v>#REF!</v>
      </c>
    </row>
    <row r="518" spans="1:20" ht="15" x14ac:dyDescent="0.2">
      <c r="A518" s="3" t="str">
        <f>IF(ISBLANK('Master Submitted DPDs'!#REF!),"","Local Plans")</f>
        <v>Local Plans</v>
      </c>
      <c r="B518" t="e">
        <f>IF(ISBLANK('Master Submitted DPDs'!#REF!),"",'Master Submitted DPDs'!#REF!)</f>
        <v>#REF!</v>
      </c>
      <c r="C518" s="3" t="str">
        <f>IF(ISBLANK('Master Submitted DPDs'!#REF!),"","IH")</f>
        <v>IH</v>
      </c>
      <c r="D518" s="3" t="e">
        <f>LOOKUP($F518,'fuzzy LPA lookup'!$E:$E,'fuzzy LPA lookup'!$A:$A)</f>
        <v>#REF!</v>
      </c>
      <c r="E518" s="3" t="e">
        <f>LOOKUP($F518,'fuzzy LPA lookup'!$E:$E,'fuzzy LPA lookup'!$D:$D)</f>
        <v>#REF!</v>
      </c>
      <c r="F518" s="8" t="e">
        <f>IF(ISBLANK('Master Submitted DPDs'!#REF!),"",'Master Submitted DPDs'!#REF!)</f>
        <v>#REF!</v>
      </c>
      <c r="G518" t="str">
        <f>IF(ISBLANK('Master Submitted DPDs'!#REF!),"","Withdrawn")</f>
        <v>Withdrawn</v>
      </c>
      <c r="H518" s="2" t="e">
        <f>IF(ISBLANK('Master Submitted DPDs'!#REF!),"",'Master Submitted DPDs'!#REF!)</f>
        <v>#REF!</v>
      </c>
      <c r="I518" s="3"/>
      <c r="J518" s="3"/>
      <c r="K518" s="3"/>
      <c r="L518" s="2" t="e">
        <f>IF(ISBLANK('Master Submitted DPDs'!#REF!),"",'Master Submitted DPDs'!#REF!)</f>
        <v>#REF!</v>
      </c>
      <c r="M518" s="2" t="e">
        <f t="shared" si="16"/>
        <v>#REF!</v>
      </c>
      <c r="N518" s="2" t="e">
        <f>IF(ISBLANK('Master Submitted DPDs'!#REF!),IF(ISBLANK('Master Submitted DPDs'!#REF!),"",'Master Submitted DPDs'!#REF!),'Master Submitted DPDs'!#REF!)</f>
        <v>#REF!</v>
      </c>
      <c r="O518" s="2" t="e">
        <f>IF(ISBLANK('Master Submitted DPDs'!#REF!),"",'Master Submitted DPDs'!#REF!)</f>
        <v>#REF!</v>
      </c>
      <c r="P518" s="2" t="e">
        <f>IF(ISBLANK('Master Submitted DPDs'!#REF!),"",'Master Submitted DPDs'!#REF!)</f>
        <v>#REF!</v>
      </c>
      <c r="Q518" t="e">
        <f>IF(ISBLANK('Master Submitted DPDs'!#REF!),"",'Master Submitted DPDs'!#REF!)</f>
        <v>#REF!</v>
      </c>
      <c r="R518" t="e">
        <f t="shared" si="17"/>
        <v>#REF!</v>
      </c>
      <c r="S518" s="3"/>
      <c r="T518" t="e">
        <f>IF(ISBLANK('Master Submitted DPDs'!#REF!),"",'Master Submitted DPDs'!#REF!)</f>
        <v>#REF!</v>
      </c>
    </row>
    <row r="519" spans="1:20" ht="15" x14ac:dyDescent="0.2">
      <c r="A519" s="3" t="str">
        <f>IF(ISBLANK('Master Submitted DPDs'!#REF!),"","Local Plans")</f>
        <v>Local Plans</v>
      </c>
      <c r="B519" t="e">
        <f>IF(ISBLANK('Master Submitted DPDs'!#REF!),"",'Master Submitted DPDs'!#REF!)</f>
        <v>#REF!</v>
      </c>
      <c r="C519" s="3" t="str">
        <f>IF(ISBLANK('Master Submitted DPDs'!#REF!),"","IH")</f>
        <v>IH</v>
      </c>
      <c r="D519" s="3" t="e">
        <f>LOOKUP($F519,'fuzzy LPA lookup'!$E:$E,'fuzzy LPA lookup'!$A:$A)</f>
        <v>#REF!</v>
      </c>
      <c r="E519" s="3" t="e">
        <f>LOOKUP($F519,'fuzzy LPA lookup'!$E:$E,'fuzzy LPA lookup'!$D:$D)</f>
        <v>#REF!</v>
      </c>
      <c r="F519" s="8" t="e">
        <f>IF(ISBLANK('Master Submitted DPDs'!#REF!),"",'Master Submitted DPDs'!#REF!)</f>
        <v>#REF!</v>
      </c>
      <c r="G519" t="str">
        <f>IF(ISBLANK('Master Submitted DPDs'!#REF!),"","Withdrawn")</f>
        <v>Withdrawn</v>
      </c>
      <c r="H519" s="2" t="e">
        <f>IF(ISBLANK('Master Submitted DPDs'!#REF!),"",'Master Submitted DPDs'!#REF!)</f>
        <v>#REF!</v>
      </c>
      <c r="I519" s="3"/>
      <c r="J519" s="3"/>
      <c r="K519" s="3"/>
      <c r="L519" s="2" t="e">
        <f>IF(ISBLANK('Master Submitted DPDs'!#REF!),"",'Master Submitted DPDs'!#REF!)</f>
        <v>#REF!</v>
      </c>
      <c r="M519" s="2" t="e">
        <f t="shared" si="16"/>
        <v>#REF!</v>
      </c>
      <c r="N519" s="2" t="e">
        <f>IF(ISBLANK('Master Submitted DPDs'!#REF!),IF(ISBLANK('Master Submitted DPDs'!#REF!),"",'Master Submitted DPDs'!#REF!),'Master Submitted DPDs'!#REF!)</f>
        <v>#REF!</v>
      </c>
      <c r="O519" s="2" t="e">
        <f>IF(ISBLANK('Master Submitted DPDs'!#REF!),"",'Master Submitted DPDs'!#REF!)</f>
        <v>#REF!</v>
      </c>
      <c r="P519" s="2" t="e">
        <f>IF(ISBLANK('Master Submitted DPDs'!#REF!),"",'Master Submitted DPDs'!#REF!)</f>
        <v>#REF!</v>
      </c>
      <c r="Q519" t="e">
        <f>IF(ISBLANK('Master Submitted DPDs'!#REF!),"",'Master Submitted DPDs'!#REF!)</f>
        <v>#REF!</v>
      </c>
      <c r="R519" t="e">
        <f t="shared" si="17"/>
        <v>#REF!</v>
      </c>
      <c r="S519" s="3"/>
      <c r="T519" t="e">
        <f>IF(ISBLANK('Master Submitted DPDs'!#REF!),"",'Master Submitted DPDs'!#REF!)</f>
        <v>#REF!</v>
      </c>
    </row>
    <row r="520" spans="1:20" ht="15" x14ac:dyDescent="0.2">
      <c r="A520" s="3" t="str">
        <f>IF(ISBLANK('Master Submitted DPDs'!#REF!),"","Local Plans")</f>
        <v>Local Plans</v>
      </c>
      <c r="B520" t="e">
        <f>IF(ISBLANK('Master Submitted DPDs'!#REF!),"",'Master Submitted DPDs'!#REF!)</f>
        <v>#REF!</v>
      </c>
      <c r="C520" s="3" t="str">
        <f>IF(ISBLANK('Master Submitted DPDs'!#REF!),"","IH")</f>
        <v>IH</v>
      </c>
      <c r="D520" s="3" t="e">
        <f>LOOKUP($F520,'fuzzy LPA lookup'!$E:$E,'fuzzy LPA lookup'!$A:$A)</f>
        <v>#REF!</v>
      </c>
      <c r="E520" s="3" t="e">
        <f>LOOKUP($F520,'fuzzy LPA lookup'!$E:$E,'fuzzy LPA lookup'!$D:$D)</f>
        <v>#REF!</v>
      </c>
      <c r="F520" s="8" t="e">
        <f>IF(ISBLANK('Master Submitted DPDs'!#REF!),"",'Master Submitted DPDs'!#REF!)</f>
        <v>#REF!</v>
      </c>
      <c r="G520" t="str">
        <f>IF(ISBLANK('Master Submitted DPDs'!#REF!),"","Withdrawn")</f>
        <v>Withdrawn</v>
      </c>
      <c r="H520" s="2" t="e">
        <f>IF(ISBLANK('Master Submitted DPDs'!#REF!),"",'Master Submitted DPDs'!#REF!)</f>
        <v>#REF!</v>
      </c>
      <c r="I520" s="3"/>
      <c r="J520" s="3"/>
      <c r="K520" s="3"/>
      <c r="L520" s="2" t="e">
        <f>IF(ISBLANK('Master Submitted DPDs'!#REF!),"",'Master Submitted DPDs'!#REF!)</f>
        <v>#REF!</v>
      </c>
      <c r="M520" s="2" t="e">
        <f t="shared" si="16"/>
        <v>#REF!</v>
      </c>
      <c r="N520" s="2" t="e">
        <f>IF(ISBLANK('Master Submitted DPDs'!#REF!),IF(ISBLANK('Master Submitted DPDs'!#REF!),"",'Master Submitted DPDs'!#REF!),'Master Submitted DPDs'!#REF!)</f>
        <v>#REF!</v>
      </c>
      <c r="O520" s="2" t="e">
        <f>IF(ISBLANK('Master Submitted DPDs'!#REF!),"",'Master Submitted DPDs'!#REF!)</f>
        <v>#REF!</v>
      </c>
      <c r="P520" s="2" t="e">
        <f>IF(ISBLANK('Master Submitted DPDs'!#REF!),"",'Master Submitted DPDs'!#REF!)</f>
        <v>#REF!</v>
      </c>
      <c r="Q520" t="e">
        <f>IF(ISBLANK('Master Submitted DPDs'!#REF!),"",'Master Submitted DPDs'!#REF!)</f>
        <v>#REF!</v>
      </c>
      <c r="R520" t="e">
        <f t="shared" si="17"/>
        <v>#REF!</v>
      </c>
      <c r="S520" s="3"/>
      <c r="T520" t="e">
        <f>IF(ISBLANK('Master Submitted DPDs'!#REF!),"",'Master Submitted DPDs'!#REF!)</f>
        <v>#REF!</v>
      </c>
    </row>
    <row r="521" spans="1:20" ht="15" x14ac:dyDescent="0.2">
      <c r="A521" s="3" t="str">
        <f>IF(ISBLANK('Master Submitted DPDs'!#REF!),"","Local Plans")</f>
        <v>Local Plans</v>
      </c>
      <c r="B521" t="e">
        <f>IF(ISBLANK('Master Submitted DPDs'!#REF!),"",'Master Submitted DPDs'!#REF!)</f>
        <v>#REF!</v>
      </c>
      <c r="C521" s="3" t="str">
        <f>IF(ISBLANK('Master Submitted DPDs'!#REF!),"","IH")</f>
        <v>IH</v>
      </c>
      <c r="D521" s="3" t="e">
        <f>LOOKUP($F521,'fuzzy LPA lookup'!$E:$E,'fuzzy LPA lookup'!$A:$A)</f>
        <v>#REF!</v>
      </c>
      <c r="E521" s="3" t="e">
        <f>LOOKUP($F521,'fuzzy LPA lookup'!$E:$E,'fuzzy LPA lookup'!$D:$D)</f>
        <v>#REF!</v>
      </c>
      <c r="F521" s="8" t="e">
        <f>IF(ISBLANK('Master Submitted DPDs'!#REF!),"",'Master Submitted DPDs'!#REF!)</f>
        <v>#REF!</v>
      </c>
      <c r="G521" t="str">
        <f>IF(ISBLANK('Master Submitted DPDs'!#REF!),"","Withdrawn")</f>
        <v>Withdrawn</v>
      </c>
      <c r="H521" s="2" t="e">
        <f>IF(ISBLANK('Master Submitted DPDs'!#REF!),"",'Master Submitted DPDs'!#REF!)</f>
        <v>#REF!</v>
      </c>
      <c r="I521" s="3"/>
      <c r="J521" s="3"/>
      <c r="K521" s="3"/>
      <c r="L521" s="2" t="e">
        <f>IF(ISBLANK('Master Submitted DPDs'!#REF!),"",'Master Submitted DPDs'!#REF!)</f>
        <v>#REF!</v>
      </c>
      <c r="M521" s="2" t="e">
        <f t="shared" si="16"/>
        <v>#REF!</v>
      </c>
      <c r="N521" s="2" t="e">
        <f>IF(ISBLANK('Master Submitted DPDs'!#REF!),IF(ISBLANK('Master Submitted DPDs'!#REF!),"",'Master Submitted DPDs'!#REF!),'Master Submitted DPDs'!#REF!)</f>
        <v>#REF!</v>
      </c>
      <c r="O521" s="2" t="e">
        <f>IF(ISBLANK('Master Submitted DPDs'!#REF!),"",'Master Submitted DPDs'!#REF!)</f>
        <v>#REF!</v>
      </c>
      <c r="P521" s="2" t="e">
        <f>IF(ISBLANK('Master Submitted DPDs'!#REF!),"",'Master Submitted DPDs'!#REF!)</f>
        <v>#REF!</v>
      </c>
      <c r="Q521" t="e">
        <f>IF(ISBLANK('Master Submitted DPDs'!#REF!),"",'Master Submitted DPDs'!#REF!)</f>
        <v>#REF!</v>
      </c>
      <c r="R521" t="e">
        <f t="shared" si="17"/>
        <v>#REF!</v>
      </c>
      <c r="S521" s="3"/>
      <c r="T521" t="e">
        <f>IF(ISBLANK('Master Submitted DPDs'!#REF!),"",'Master Submitted DPDs'!#REF!)</f>
        <v>#REF!</v>
      </c>
    </row>
    <row r="522" spans="1:20" ht="15" x14ac:dyDescent="0.2">
      <c r="A522" s="3" t="str">
        <f>IF(ISBLANK('Master Submitted DPDs'!#REF!),"","Local Plans")</f>
        <v>Local Plans</v>
      </c>
      <c r="B522" t="e">
        <f>IF(ISBLANK('Master Submitted DPDs'!#REF!),"",'Master Submitted DPDs'!#REF!)</f>
        <v>#REF!</v>
      </c>
      <c r="C522" s="3" t="str">
        <f>IF(ISBLANK('Master Submitted DPDs'!#REF!),"","IH")</f>
        <v>IH</v>
      </c>
      <c r="D522" s="3" t="e">
        <f>LOOKUP($F522,'fuzzy LPA lookup'!$E:$E,'fuzzy LPA lookup'!$A:$A)</f>
        <v>#REF!</v>
      </c>
      <c r="E522" s="3" t="e">
        <f>LOOKUP($F522,'fuzzy LPA lookup'!$E:$E,'fuzzy LPA lookup'!$D:$D)</f>
        <v>#REF!</v>
      </c>
      <c r="F522" s="8" t="e">
        <f>IF(ISBLANK('Master Submitted DPDs'!#REF!),"",'Master Submitted DPDs'!#REF!)</f>
        <v>#REF!</v>
      </c>
      <c r="G522" t="str">
        <f>IF(ISBLANK('Master Submitted DPDs'!#REF!),"","Withdrawn")</f>
        <v>Withdrawn</v>
      </c>
      <c r="H522" s="2" t="e">
        <f>IF(ISBLANK('Master Submitted DPDs'!#REF!),"",'Master Submitted DPDs'!#REF!)</f>
        <v>#REF!</v>
      </c>
      <c r="I522" s="3"/>
      <c r="J522" s="3"/>
      <c r="K522" s="3"/>
      <c r="L522" s="2" t="e">
        <f>IF(ISBLANK('Master Submitted DPDs'!#REF!),"",'Master Submitted DPDs'!#REF!)</f>
        <v>#REF!</v>
      </c>
      <c r="M522" s="2" t="e">
        <f t="shared" si="16"/>
        <v>#REF!</v>
      </c>
      <c r="N522" s="2" t="e">
        <f>IF(ISBLANK('Master Submitted DPDs'!#REF!),IF(ISBLANK('Master Submitted DPDs'!#REF!),"",'Master Submitted DPDs'!#REF!),'Master Submitted DPDs'!#REF!)</f>
        <v>#REF!</v>
      </c>
      <c r="O522" s="2" t="e">
        <f>IF(ISBLANK('Master Submitted DPDs'!#REF!),"",'Master Submitted DPDs'!#REF!)</f>
        <v>#REF!</v>
      </c>
      <c r="P522" s="2" t="e">
        <f>IF(ISBLANK('Master Submitted DPDs'!#REF!),"",'Master Submitted DPDs'!#REF!)</f>
        <v>#REF!</v>
      </c>
      <c r="Q522" t="e">
        <f>IF(ISBLANK('Master Submitted DPDs'!#REF!),"",'Master Submitted DPDs'!#REF!)</f>
        <v>#REF!</v>
      </c>
      <c r="R522" t="e">
        <f t="shared" si="17"/>
        <v>#REF!</v>
      </c>
      <c r="S522" s="3"/>
      <c r="T522" t="e">
        <f>IF(ISBLANK('Master Submitted DPDs'!#REF!),"",'Master Submitted DPDs'!#REF!)</f>
        <v>#REF!</v>
      </c>
    </row>
    <row r="523" spans="1:20" ht="15" x14ac:dyDescent="0.2">
      <c r="A523" s="3" t="str">
        <f>IF(ISBLANK('Master Submitted DPDs'!#REF!),"","Local Plans")</f>
        <v>Local Plans</v>
      </c>
      <c r="B523" t="e">
        <f>IF(ISBLANK('Master Submitted DPDs'!#REF!),"",'Master Submitted DPDs'!#REF!)</f>
        <v>#REF!</v>
      </c>
      <c r="C523" s="3" t="str">
        <f>IF(ISBLANK('Master Submitted DPDs'!#REF!),"","IH")</f>
        <v>IH</v>
      </c>
      <c r="D523" s="3" t="e">
        <f>LOOKUP($F523,'fuzzy LPA lookup'!$E:$E,'fuzzy LPA lookup'!$A:$A)</f>
        <v>#REF!</v>
      </c>
      <c r="E523" s="3" t="e">
        <f>LOOKUP($F523,'fuzzy LPA lookup'!$E:$E,'fuzzy LPA lookup'!$D:$D)</f>
        <v>#REF!</v>
      </c>
      <c r="F523" s="8" t="e">
        <f>IF(ISBLANK('Master Submitted DPDs'!#REF!),"",'Master Submitted DPDs'!#REF!)</f>
        <v>#REF!</v>
      </c>
      <c r="G523" t="str">
        <f>IF(ISBLANK('Master Submitted DPDs'!#REF!),"","Withdrawn")</f>
        <v>Withdrawn</v>
      </c>
      <c r="H523" s="2" t="e">
        <f>IF(ISBLANK('Master Submitted DPDs'!#REF!),"",'Master Submitted DPDs'!#REF!)</f>
        <v>#REF!</v>
      </c>
      <c r="I523" s="3"/>
      <c r="J523" s="3"/>
      <c r="K523" s="3"/>
      <c r="L523" s="2" t="e">
        <f>IF(ISBLANK('Master Submitted DPDs'!#REF!),"",'Master Submitted DPDs'!#REF!)</f>
        <v>#REF!</v>
      </c>
      <c r="M523" s="2" t="e">
        <f t="shared" si="16"/>
        <v>#REF!</v>
      </c>
      <c r="N523" s="2" t="e">
        <f>IF(ISBLANK('Master Submitted DPDs'!#REF!),IF(ISBLANK('Master Submitted DPDs'!#REF!),"",'Master Submitted DPDs'!#REF!),'Master Submitted DPDs'!#REF!)</f>
        <v>#REF!</v>
      </c>
      <c r="O523" s="2" t="e">
        <f>IF(ISBLANK('Master Submitted DPDs'!#REF!),"",'Master Submitted DPDs'!#REF!)</f>
        <v>#REF!</v>
      </c>
      <c r="P523" s="2" t="e">
        <f>IF(ISBLANK('Master Submitted DPDs'!#REF!),"",'Master Submitted DPDs'!#REF!)</f>
        <v>#REF!</v>
      </c>
      <c r="Q523" t="e">
        <f>IF(ISBLANK('Master Submitted DPDs'!#REF!),"",'Master Submitted DPDs'!#REF!)</f>
        <v>#REF!</v>
      </c>
      <c r="R523" t="e">
        <f t="shared" si="17"/>
        <v>#REF!</v>
      </c>
      <c r="S523" s="3"/>
      <c r="T523" t="e">
        <f>IF(ISBLANK('Master Submitted DPDs'!#REF!),"",'Master Submitted DPDs'!#REF!)</f>
        <v>#REF!</v>
      </c>
    </row>
    <row r="524" spans="1:20" ht="15" x14ac:dyDescent="0.2">
      <c r="A524" s="3" t="str">
        <f>IF(ISBLANK('Master Submitted DPDs'!#REF!),"","Local Plans")</f>
        <v>Local Plans</v>
      </c>
      <c r="B524" t="e">
        <f>IF(ISBLANK('Master Submitted DPDs'!#REF!),"",'Master Submitted DPDs'!#REF!)</f>
        <v>#REF!</v>
      </c>
      <c r="C524" s="3" t="str">
        <f>IF(ISBLANK('Master Submitted DPDs'!#REF!),"","IH")</f>
        <v>IH</v>
      </c>
      <c r="D524" s="3" t="e">
        <f>LOOKUP($F524,'fuzzy LPA lookup'!$E:$E,'fuzzy LPA lookup'!$A:$A)</f>
        <v>#REF!</v>
      </c>
      <c r="E524" s="3" t="e">
        <f>LOOKUP($F524,'fuzzy LPA lookup'!$E:$E,'fuzzy LPA lookup'!$D:$D)</f>
        <v>#REF!</v>
      </c>
      <c r="F524" s="8" t="e">
        <f>IF(ISBLANK('Master Submitted DPDs'!#REF!),"",'Master Submitted DPDs'!#REF!)</f>
        <v>#REF!</v>
      </c>
      <c r="G524" t="str">
        <f>IF(ISBLANK('Master Submitted DPDs'!#REF!),"","Withdrawn")</f>
        <v>Withdrawn</v>
      </c>
      <c r="H524" s="2" t="e">
        <f>IF(ISBLANK('Master Submitted DPDs'!#REF!),"",'Master Submitted DPDs'!#REF!)</f>
        <v>#REF!</v>
      </c>
      <c r="I524" s="3"/>
      <c r="J524" s="3"/>
      <c r="K524" s="3"/>
      <c r="L524" s="2" t="e">
        <f>IF(ISBLANK('Master Submitted DPDs'!#REF!),"",'Master Submitted DPDs'!#REF!)</f>
        <v>#REF!</v>
      </c>
      <c r="M524" s="2" t="e">
        <f t="shared" si="16"/>
        <v>#REF!</v>
      </c>
      <c r="N524" s="2" t="e">
        <f>IF(ISBLANK('Master Submitted DPDs'!#REF!),IF(ISBLANK('Master Submitted DPDs'!#REF!),"",'Master Submitted DPDs'!#REF!),'Master Submitted DPDs'!#REF!)</f>
        <v>#REF!</v>
      </c>
      <c r="O524" s="2" t="e">
        <f>IF(ISBLANK('Master Submitted DPDs'!#REF!),"",'Master Submitted DPDs'!#REF!)</f>
        <v>#REF!</v>
      </c>
      <c r="P524" s="2" t="e">
        <f>IF(ISBLANK('Master Submitted DPDs'!#REF!),"",'Master Submitted DPDs'!#REF!)</f>
        <v>#REF!</v>
      </c>
      <c r="Q524" t="e">
        <f>IF(ISBLANK('Master Submitted DPDs'!#REF!),"",'Master Submitted DPDs'!#REF!)</f>
        <v>#REF!</v>
      </c>
      <c r="R524" t="e">
        <f t="shared" si="17"/>
        <v>#REF!</v>
      </c>
      <c r="S524" s="3"/>
      <c r="T524" t="e">
        <f>IF(ISBLANK('Master Submitted DPDs'!#REF!),"",'Master Submitted DPDs'!#REF!)</f>
        <v>#REF!</v>
      </c>
    </row>
    <row r="525" spans="1:20" ht="15" x14ac:dyDescent="0.2">
      <c r="A525" s="3" t="str">
        <f>IF(ISBLANK('Master Submitted DPDs'!#REF!),"","Local Plans")</f>
        <v>Local Plans</v>
      </c>
      <c r="B525" t="e">
        <f>IF(ISBLANK('Master Submitted DPDs'!#REF!),"",'Master Submitted DPDs'!#REF!)</f>
        <v>#REF!</v>
      </c>
      <c r="C525" s="3" t="str">
        <f>IF(ISBLANK('Master Submitted DPDs'!#REF!),"","IH")</f>
        <v>IH</v>
      </c>
      <c r="D525" s="3" t="e">
        <f>LOOKUP($F525,'fuzzy LPA lookup'!$E:$E,'fuzzy LPA lookup'!$A:$A)</f>
        <v>#REF!</v>
      </c>
      <c r="E525" s="3" t="e">
        <f>LOOKUP($F525,'fuzzy LPA lookup'!$E:$E,'fuzzy LPA lookup'!$D:$D)</f>
        <v>#REF!</v>
      </c>
      <c r="F525" s="8" t="e">
        <f>IF(ISBLANK('Master Submitted DPDs'!#REF!),"",'Master Submitted DPDs'!#REF!)</f>
        <v>#REF!</v>
      </c>
      <c r="G525" t="str">
        <f>IF(ISBLANK('Master Submitted DPDs'!#REF!),"","Withdrawn")</f>
        <v>Withdrawn</v>
      </c>
      <c r="H525" s="2" t="e">
        <f>IF(ISBLANK('Master Submitted DPDs'!#REF!),"",'Master Submitted DPDs'!#REF!)</f>
        <v>#REF!</v>
      </c>
      <c r="I525" s="3"/>
      <c r="J525" s="3"/>
      <c r="K525" s="3"/>
      <c r="L525" s="2" t="e">
        <f>IF(ISBLANK('Master Submitted DPDs'!#REF!),"",'Master Submitted DPDs'!#REF!)</f>
        <v>#REF!</v>
      </c>
      <c r="M525" s="2" t="e">
        <f t="shared" si="16"/>
        <v>#REF!</v>
      </c>
      <c r="N525" s="2" t="e">
        <f>IF(ISBLANK('Master Submitted DPDs'!#REF!),IF(ISBLANK('Master Submitted DPDs'!#REF!),"",'Master Submitted DPDs'!#REF!),'Master Submitted DPDs'!#REF!)</f>
        <v>#REF!</v>
      </c>
      <c r="O525" s="2" t="e">
        <f>IF(ISBLANK('Master Submitted DPDs'!#REF!),"",'Master Submitted DPDs'!#REF!)</f>
        <v>#REF!</v>
      </c>
      <c r="P525" s="2" t="e">
        <f>IF(ISBLANK('Master Submitted DPDs'!#REF!),"",'Master Submitted DPDs'!#REF!)</f>
        <v>#REF!</v>
      </c>
      <c r="Q525" t="e">
        <f>IF(ISBLANK('Master Submitted DPDs'!#REF!),"",'Master Submitted DPDs'!#REF!)</f>
        <v>#REF!</v>
      </c>
      <c r="R525" t="e">
        <f t="shared" si="17"/>
        <v>#REF!</v>
      </c>
      <c r="S525" s="3"/>
      <c r="T525" t="e">
        <f>IF(ISBLANK('Master Submitted DPDs'!#REF!),"",'Master Submitted DPDs'!#REF!)</f>
        <v>#REF!</v>
      </c>
    </row>
    <row r="526" spans="1:20" ht="15" x14ac:dyDescent="0.2">
      <c r="A526" s="3" t="str">
        <f>IF(ISBLANK('Master Submitted DPDs'!#REF!),"","Local Plans")</f>
        <v>Local Plans</v>
      </c>
      <c r="B526" t="e">
        <f>IF(ISBLANK('Master Submitted DPDs'!#REF!),"",'Master Submitted DPDs'!#REF!)</f>
        <v>#REF!</v>
      </c>
      <c r="C526" s="3" t="str">
        <f>IF(ISBLANK('Master Submitted DPDs'!#REF!),"","IH")</f>
        <v>IH</v>
      </c>
      <c r="D526" s="3" t="e">
        <f>LOOKUP($F526,'fuzzy LPA lookup'!$E:$E,'fuzzy LPA lookup'!$A:$A)</f>
        <v>#REF!</v>
      </c>
      <c r="E526" s="3" t="e">
        <f>LOOKUP($F526,'fuzzy LPA lookup'!$E:$E,'fuzzy LPA lookup'!$D:$D)</f>
        <v>#REF!</v>
      </c>
      <c r="F526" s="8" t="e">
        <f>IF(ISBLANK('Master Submitted DPDs'!#REF!),"",'Master Submitted DPDs'!#REF!)</f>
        <v>#REF!</v>
      </c>
      <c r="G526" t="str">
        <f>IF(ISBLANK('Master Submitted DPDs'!#REF!),"","Withdrawn")</f>
        <v>Withdrawn</v>
      </c>
      <c r="H526" s="2" t="e">
        <f>IF(ISBLANK('Master Submitted DPDs'!#REF!),"",'Master Submitted DPDs'!#REF!)</f>
        <v>#REF!</v>
      </c>
      <c r="I526" s="3"/>
      <c r="J526" s="3"/>
      <c r="K526" s="3"/>
      <c r="L526" s="2" t="e">
        <f>IF(ISBLANK('Master Submitted DPDs'!#REF!),"",'Master Submitted DPDs'!#REF!)</f>
        <v>#REF!</v>
      </c>
      <c r="M526" s="2" t="e">
        <f t="shared" si="16"/>
        <v>#REF!</v>
      </c>
      <c r="N526" s="2" t="e">
        <f>IF(ISBLANK('Master Submitted DPDs'!#REF!),IF(ISBLANK('Master Submitted DPDs'!#REF!),"",'Master Submitted DPDs'!#REF!),'Master Submitted DPDs'!#REF!)</f>
        <v>#REF!</v>
      </c>
      <c r="O526" s="2" t="e">
        <f>IF(ISBLANK('Master Submitted DPDs'!#REF!),"",'Master Submitted DPDs'!#REF!)</f>
        <v>#REF!</v>
      </c>
      <c r="P526" s="2" t="e">
        <f>IF(ISBLANK('Master Submitted DPDs'!#REF!),"",'Master Submitted DPDs'!#REF!)</f>
        <v>#REF!</v>
      </c>
      <c r="Q526" t="e">
        <f>IF(ISBLANK('Master Submitted DPDs'!#REF!),"",'Master Submitted DPDs'!#REF!)</f>
        <v>#REF!</v>
      </c>
      <c r="R526" t="e">
        <f t="shared" si="17"/>
        <v>#REF!</v>
      </c>
      <c r="S526" s="3"/>
      <c r="T526" t="e">
        <f>IF(ISBLANK('Master Submitted DPDs'!#REF!),"",'Master Submitted DPDs'!#REF!)</f>
        <v>#REF!</v>
      </c>
    </row>
    <row r="527" spans="1:20" ht="15" x14ac:dyDescent="0.2">
      <c r="A527" s="3" t="str">
        <f>IF(ISBLANK('Master Submitted DPDs'!#REF!),"","Local Plans")</f>
        <v>Local Plans</v>
      </c>
      <c r="B527" t="e">
        <f>IF(ISBLANK('Master Submitted DPDs'!#REF!),"",'Master Submitted DPDs'!#REF!)</f>
        <v>#REF!</v>
      </c>
      <c r="C527" s="3" t="str">
        <f>IF(ISBLANK('Master Submitted DPDs'!#REF!),"","IH")</f>
        <v>IH</v>
      </c>
      <c r="D527" s="3" t="e">
        <f>LOOKUP($F527,'fuzzy LPA lookup'!$E:$E,'fuzzy LPA lookup'!$A:$A)</f>
        <v>#REF!</v>
      </c>
      <c r="E527" s="3" t="e">
        <f>LOOKUP($F527,'fuzzy LPA lookup'!$E:$E,'fuzzy LPA lookup'!$D:$D)</f>
        <v>#REF!</v>
      </c>
      <c r="F527" s="8" t="e">
        <f>IF(ISBLANK('Master Submitted DPDs'!#REF!),"",'Master Submitted DPDs'!#REF!)</f>
        <v>#REF!</v>
      </c>
      <c r="G527" t="str">
        <f>IF(ISBLANK('Master Submitted DPDs'!#REF!),"","Withdrawn")</f>
        <v>Withdrawn</v>
      </c>
      <c r="H527" s="2" t="e">
        <f>IF(ISBLANK('Master Submitted DPDs'!#REF!),"",'Master Submitted DPDs'!#REF!)</f>
        <v>#REF!</v>
      </c>
      <c r="I527" s="3"/>
      <c r="J527" s="3"/>
      <c r="K527" s="3"/>
      <c r="L527" s="2" t="e">
        <f>IF(ISBLANK('Master Submitted DPDs'!#REF!),"",'Master Submitted DPDs'!#REF!)</f>
        <v>#REF!</v>
      </c>
      <c r="M527" s="2" t="e">
        <f t="shared" si="16"/>
        <v>#REF!</v>
      </c>
      <c r="N527" s="2" t="e">
        <f>IF(ISBLANK('Master Submitted DPDs'!#REF!),IF(ISBLANK('Master Submitted DPDs'!#REF!),"",'Master Submitted DPDs'!#REF!),'Master Submitted DPDs'!#REF!)</f>
        <v>#REF!</v>
      </c>
      <c r="O527" s="2" t="e">
        <f>IF(ISBLANK('Master Submitted DPDs'!#REF!),"",'Master Submitted DPDs'!#REF!)</f>
        <v>#REF!</v>
      </c>
      <c r="P527" s="2" t="e">
        <f>IF(ISBLANK('Master Submitted DPDs'!#REF!),"",'Master Submitted DPDs'!#REF!)</f>
        <v>#REF!</v>
      </c>
      <c r="Q527" t="e">
        <f>IF(ISBLANK('Master Submitted DPDs'!#REF!),"",'Master Submitted DPDs'!#REF!)</f>
        <v>#REF!</v>
      </c>
      <c r="R527" t="e">
        <f t="shared" si="17"/>
        <v>#REF!</v>
      </c>
      <c r="S527" s="3"/>
      <c r="T527" t="e">
        <f>IF(ISBLANK('Master Submitted DPDs'!#REF!),"",'Master Submitted DPDs'!#REF!)</f>
        <v>#REF!</v>
      </c>
    </row>
    <row r="528" spans="1:20" ht="15" x14ac:dyDescent="0.2">
      <c r="A528" s="3" t="str">
        <f>IF(ISBLANK('Master Submitted DPDs'!#REF!),"","Local Plans")</f>
        <v>Local Plans</v>
      </c>
      <c r="B528" t="e">
        <f>IF(ISBLANK('Master Submitted DPDs'!#REF!),"",'Master Submitted DPDs'!#REF!)</f>
        <v>#REF!</v>
      </c>
      <c r="C528" s="3" t="str">
        <f>IF(ISBLANK('Master Submitted DPDs'!#REF!),"","IH")</f>
        <v>IH</v>
      </c>
      <c r="D528" s="3" t="e">
        <f>LOOKUP($F528,'fuzzy LPA lookup'!$E:$E,'fuzzy LPA lookup'!$A:$A)</f>
        <v>#REF!</v>
      </c>
      <c r="E528" s="3" t="e">
        <f>LOOKUP($F528,'fuzzy LPA lookup'!$E:$E,'fuzzy LPA lookup'!$D:$D)</f>
        <v>#REF!</v>
      </c>
      <c r="F528" s="8" t="e">
        <f>IF(ISBLANK('Master Submitted DPDs'!#REF!),"",'Master Submitted DPDs'!#REF!)</f>
        <v>#REF!</v>
      </c>
      <c r="G528" t="str">
        <f>IF(ISBLANK('Master Submitted DPDs'!#REF!),"","Withdrawn")</f>
        <v>Withdrawn</v>
      </c>
      <c r="H528" s="2" t="e">
        <f>IF(ISBLANK('Master Submitted DPDs'!#REF!),"",'Master Submitted DPDs'!#REF!)</f>
        <v>#REF!</v>
      </c>
      <c r="I528" s="3"/>
      <c r="J528" s="3"/>
      <c r="K528" s="3"/>
      <c r="L528" s="2" t="e">
        <f>IF(ISBLANK('Master Submitted DPDs'!#REF!),"",'Master Submitted DPDs'!#REF!)</f>
        <v>#REF!</v>
      </c>
      <c r="M528" s="2" t="e">
        <f t="shared" si="16"/>
        <v>#REF!</v>
      </c>
      <c r="N528" s="2" t="e">
        <f>IF(ISBLANK('Master Submitted DPDs'!#REF!),IF(ISBLANK('Master Submitted DPDs'!#REF!),"",'Master Submitted DPDs'!#REF!),'Master Submitted DPDs'!#REF!)</f>
        <v>#REF!</v>
      </c>
      <c r="O528" s="2" t="e">
        <f>IF(ISBLANK('Master Submitted DPDs'!#REF!),"",'Master Submitted DPDs'!#REF!)</f>
        <v>#REF!</v>
      </c>
      <c r="P528" s="2" t="e">
        <f>IF(ISBLANK('Master Submitted DPDs'!#REF!),"",'Master Submitted DPDs'!#REF!)</f>
        <v>#REF!</v>
      </c>
      <c r="Q528" t="e">
        <f>IF(ISBLANK('Master Submitted DPDs'!#REF!),"",'Master Submitted DPDs'!#REF!)</f>
        <v>#REF!</v>
      </c>
      <c r="R528" t="e">
        <f t="shared" si="17"/>
        <v>#REF!</v>
      </c>
      <c r="S528" s="3"/>
      <c r="T528" t="e">
        <f>IF(ISBLANK('Master Submitted DPDs'!#REF!),"",'Master Submitted DPDs'!#REF!)</f>
        <v>#REF!</v>
      </c>
    </row>
    <row r="529" spans="1:20" ht="15" x14ac:dyDescent="0.2">
      <c r="A529" s="3" t="str">
        <f>IF(ISBLANK('Master Submitted DPDs'!#REF!),"","Local Plans")</f>
        <v>Local Plans</v>
      </c>
      <c r="B529" t="e">
        <f>IF(ISBLANK('Master Submitted DPDs'!#REF!),"",'Master Submitted DPDs'!#REF!)</f>
        <v>#REF!</v>
      </c>
      <c r="C529" s="3" t="str">
        <f>IF(ISBLANK('Master Submitted DPDs'!#REF!),"","IH")</f>
        <v>IH</v>
      </c>
      <c r="D529" s="3" t="e">
        <f>LOOKUP($F529,'fuzzy LPA lookup'!$E:$E,'fuzzy LPA lookup'!$A:$A)</f>
        <v>#REF!</v>
      </c>
      <c r="E529" s="3" t="e">
        <f>LOOKUP($F529,'fuzzy LPA lookup'!$E:$E,'fuzzy LPA lookup'!$D:$D)</f>
        <v>#REF!</v>
      </c>
      <c r="F529" s="8" t="e">
        <f>IF(ISBLANK('Master Submitted DPDs'!#REF!),"",'Master Submitted DPDs'!#REF!)</f>
        <v>#REF!</v>
      </c>
      <c r="G529" t="str">
        <f>IF(ISBLANK('Master Submitted DPDs'!#REF!),"","Withdrawn")</f>
        <v>Withdrawn</v>
      </c>
      <c r="H529" s="2" t="e">
        <f>IF(ISBLANK('Master Submitted DPDs'!#REF!),"",'Master Submitted DPDs'!#REF!)</f>
        <v>#REF!</v>
      </c>
      <c r="I529" s="3"/>
      <c r="J529" s="3"/>
      <c r="K529" s="3"/>
      <c r="L529" s="2" t="e">
        <f>IF(ISBLANK('Master Submitted DPDs'!#REF!),"",'Master Submitted DPDs'!#REF!)</f>
        <v>#REF!</v>
      </c>
      <c r="M529" s="2" t="e">
        <f t="shared" si="16"/>
        <v>#REF!</v>
      </c>
      <c r="N529" s="2" t="e">
        <f>IF(ISBLANK('Master Submitted DPDs'!#REF!),IF(ISBLANK('Master Submitted DPDs'!#REF!),"",'Master Submitted DPDs'!#REF!),'Master Submitted DPDs'!#REF!)</f>
        <v>#REF!</v>
      </c>
      <c r="O529" s="2" t="e">
        <f>IF(ISBLANK('Master Submitted DPDs'!#REF!),"",'Master Submitted DPDs'!#REF!)</f>
        <v>#REF!</v>
      </c>
      <c r="P529" s="2" t="e">
        <f>IF(ISBLANK('Master Submitted DPDs'!#REF!),"",'Master Submitted DPDs'!#REF!)</f>
        <v>#REF!</v>
      </c>
      <c r="Q529" t="e">
        <f>IF(ISBLANK('Master Submitted DPDs'!#REF!),"",'Master Submitted DPDs'!#REF!)</f>
        <v>#REF!</v>
      </c>
      <c r="R529" t="e">
        <f t="shared" si="17"/>
        <v>#REF!</v>
      </c>
      <c r="S529" s="3"/>
      <c r="T529" t="e">
        <f>IF(ISBLANK('Master Submitted DPDs'!#REF!),"",'Master Submitted DPDs'!#REF!)</f>
        <v>#REF!</v>
      </c>
    </row>
    <row r="530" spans="1:20" ht="15" x14ac:dyDescent="0.2">
      <c r="A530" s="3" t="str">
        <f>IF(ISBLANK('Master Submitted DPDs'!#REF!),"","Local Plans")</f>
        <v>Local Plans</v>
      </c>
      <c r="B530" t="e">
        <f>IF(ISBLANK('Master Submitted DPDs'!#REF!),"",'Master Submitted DPDs'!#REF!)</f>
        <v>#REF!</v>
      </c>
      <c r="C530" s="3" t="str">
        <f>IF(ISBLANK('Master Submitted DPDs'!#REF!),"","IH")</f>
        <v>IH</v>
      </c>
      <c r="D530" s="3" t="e">
        <f>LOOKUP($F530,'fuzzy LPA lookup'!$E:$E,'fuzzy LPA lookup'!$A:$A)</f>
        <v>#REF!</v>
      </c>
      <c r="E530" s="3" t="e">
        <f>LOOKUP($F530,'fuzzy LPA lookup'!$E:$E,'fuzzy LPA lookup'!$D:$D)</f>
        <v>#REF!</v>
      </c>
      <c r="F530" s="8" t="e">
        <f>IF(ISBLANK('Master Submitted DPDs'!#REF!),"",'Master Submitted DPDs'!#REF!)</f>
        <v>#REF!</v>
      </c>
      <c r="G530" t="str">
        <f>IF(ISBLANK('Master Submitted DPDs'!#REF!),"","Withdrawn")</f>
        <v>Withdrawn</v>
      </c>
      <c r="H530" s="2" t="e">
        <f>IF(ISBLANK('Master Submitted DPDs'!#REF!),"",'Master Submitted DPDs'!#REF!)</f>
        <v>#REF!</v>
      </c>
      <c r="I530" s="3"/>
      <c r="J530" s="3"/>
      <c r="K530" s="3"/>
      <c r="L530" s="2" t="e">
        <f>IF(ISBLANK('Master Submitted DPDs'!#REF!),"",'Master Submitted DPDs'!#REF!)</f>
        <v>#REF!</v>
      </c>
      <c r="M530" s="2" t="e">
        <f t="shared" si="16"/>
        <v>#REF!</v>
      </c>
      <c r="N530" s="2" t="e">
        <f>IF(ISBLANK('Master Submitted DPDs'!#REF!),IF(ISBLANK('Master Submitted DPDs'!#REF!),"",'Master Submitted DPDs'!#REF!),'Master Submitted DPDs'!#REF!)</f>
        <v>#REF!</v>
      </c>
      <c r="O530" s="2" t="e">
        <f>IF(ISBLANK('Master Submitted DPDs'!#REF!),"",'Master Submitted DPDs'!#REF!)</f>
        <v>#REF!</v>
      </c>
      <c r="P530" s="2" t="e">
        <f>IF(ISBLANK('Master Submitted DPDs'!#REF!),"",'Master Submitted DPDs'!#REF!)</f>
        <v>#REF!</v>
      </c>
      <c r="Q530" t="e">
        <f>IF(ISBLANK('Master Submitted DPDs'!#REF!),"",'Master Submitted DPDs'!#REF!)</f>
        <v>#REF!</v>
      </c>
      <c r="R530" t="e">
        <f t="shared" si="17"/>
        <v>#REF!</v>
      </c>
      <c r="S530" s="3"/>
      <c r="T530" t="e">
        <f>IF(ISBLANK('Master Submitted DPDs'!#REF!),"",'Master Submitted DPDs'!#REF!)</f>
        <v>#REF!</v>
      </c>
    </row>
    <row r="531" spans="1:20" ht="15" x14ac:dyDescent="0.2">
      <c r="A531" s="3" t="str">
        <f>IF(ISBLANK('Master Submitted DPDs'!#REF!),"","Local Plans")</f>
        <v>Local Plans</v>
      </c>
      <c r="B531" t="e">
        <f>IF(ISBLANK('Master Submitted DPDs'!#REF!),"",'Master Submitted DPDs'!#REF!)</f>
        <v>#REF!</v>
      </c>
      <c r="C531" s="3" t="str">
        <f>IF(ISBLANK('Master Submitted DPDs'!#REF!),"","IH")</f>
        <v>IH</v>
      </c>
      <c r="D531" s="3" t="e">
        <f>LOOKUP($F531,'fuzzy LPA lookup'!$E:$E,'fuzzy LPA lookup'!$A:$A)</f>
        <v>#REF!</v>
      </c>
      <c r="E531" s="3" t="e">
        <f>LOOKUP($F531,'fuzzy LPA lookup'!$E:$E,'fuzzy LPA lookup'!$D:$D)</f>
        <v>#REF!</v>
      </c>
      <c r="F531" s="8" t="e">
        <f>IF(ISBLANK('Master Submitted DPDs'!#REF!),"",'Master Submitted DPDs'!#REF!)</f>
        <v>#REF!</v>
      </c>
      <c r="G531" t="str">
        <f>IF(ISBLANK('Master Submitted DPDs'!#REF!),"","Withdrawn")</f>
        <v>Withdrawn</v>
      </c>
      <c r="H531" s="2" t="e">
        <f>IF(ISBLANK('Master Submitted DPDs'!#REF!),"",'Master Submitted DPDs'!#REF!)</f>
        <v>#REF!</v>
      </c>
      <c r="I531" s="3"/>
      <c r="J531" s="3"/>
      <c r="K531" s="3"/>
      <c r="L531" s="2" t="e">
        <f>IF(ISBLANK('Master Submitted DPDs'!#REF!),"",'Master Submitted DPDs'!#REF!)</f>
        <v>#REF!</v>
      </c>
      <c r="M531" s="2" t="e">
        <f t="shared" si="16"/>
        <v>#REF!</v>
      </c>
      <c r="N531" s="2" t="e">
        <f>IF(ISBLANK('Master Submitted DPDs'!#REF!),IF(ISBLANK('Master Submitted DPDs'!#REF!),"",'Master Submitted DPDs'!#REF!),'Master Submitted DPDs'!#REF!)</f>
        <v>#REF!</v>
      </c>
      <c r="O531" s="2" t="e">
        <f>IF(ISBLANK('Master Submitted DPDs'!#REF!),"",'Master Submitted DPDs'!#REF!)</f>
        <v>#REF!</v>
      </c>
      <c r="P531" s="2" t="e">
        <f>IF(ISBLANK('Master Submitted DPDs'!#REF!),"",'Master Submitted DPDs'!#REF!)</f>
        <v>#REF!</v>
      </c>
      <c r="Q531" t="e">
        <f>IF(ISBLANK('Master Submitted DPDs'!#REF!),"",'Master Submitted DPDs'!#REF!)</f>
        <v>#REF!</v>
      </c>
      <c r="R531" t="e">
        <f t="shared" si="17"/>
        <v>#REF!</v>
      </c>
      <c r="S531" s="3"/>
      <c r="T531" t="e">
        <f>IF(ISBLANK('Master Submitted DPDs'!#REF!),"",'Master Submitted DPDs'!#REF!)</f>
        <v>#REF!</v>
      </c>
    </row>
    <row r="532" spans="1:20" ht="15" x14ac:dyDescent="0.2">
      <c r="A532" s="3" t="str">
        <f>IF(ISBLANK('Master Submitted DPDs'!#REF!),"","Local Plans")</f>
        <v>Local Plans</v>
      </c>
      <c r="B532" t="e">
        <f>IF(ISBLANK('Master Submitted DPDs'!#REF!),"",'Master Submitted DPDs'!#REF!)</f>
        <v>#REF!</v>
      </c>
      <c r="C532" s="3" t="str">
        <f>IF(ISBLANK('Master Submitted DPDs'!#REF!),"","IH")</f>
        <v>IH</v>
      </c>
      <c r="D532" s="3" t="e">
        <f>LOOKUP($F532,'fuzzy LPA lookup'!$E:$E,'fuzzy LPA lookup'!$A:$A)</f>
        <v>#REF!</v>
      </c>
      <c r="E532" s="3" t="e">
        <f>LOOKUP($F532,'fuzzy LPA lookup'!$E:$E,'fuzzy LPA lookup'!$D:$D)</f>
        <v>#REF!</v>
      </c>
      <c r="F532" s="8" t="e">
        <f>IF(ISBLANK('Master Submitted DPDs'!#REF!),"",'Master Submitted DPDs'!#REF!)</f>
        <v>#REF!</v>
      </c>
      <c r="G532" t="str">
        <f>IF(ISBLANK('Master Submitted DPDs'!#REF!),"","Withdrawn")</f>
        <v>Withdrawn</v>
      </c>
      <c r="H532" s="2" t="e">
        <f>IF(ISBLANK('Master Submitted DPDs'!#REF!),"",'Master Submitted DPDs'!#REF!)</f>
        <v>#REF!</v>
      </c>
      <c r="I532" s="3"/>
      <c r="J532" s="3"/>
      <c r="K532" s="3"/>
      <c r="L532" s="2" t="e">
        <f>IF(ISBLANK('Master Submitted DPDs'!#REF!),"",'Master Submitted DPDs'!#REF!)</f>
        <v>#REF!</v>
      </c>
      <c r="M532" s="2" t="e">
        <f t="shared" si="16"/>
        <v>#REF!</v>
      </c>
      <c r="N532" s="2" t="e">
        <f>IF(ISBLANK('Master Submitted DPDs'!#REF!),IF(ISBLANK('Master Submitted DPDs'!#REF!),"",'Master Submitted DPDs'!#REF!),'Master Submitted DPDs'!#REF!)</f>
        <v>#REF!</v>
      </c>
      <c r="O532" s="2" t="e">
        <f>IF(ISBLANK('Master Submitted DPDs'!#REF!),"",'Master Submitted DPDs'!#REF!)</f>
        <v>#REF!</v>
      </c>
      <c r="P532" s="2" t="e">
        <f>IF(ISBLANK('Master Submitted DPDs'!#REF!),"",'Master Submitted DPDs'!#REF!)</f>
        <v>#REF!</v>
      </c>
      <c r="Q532" t="e">
        <f>IF(ISBLANK('Master Submitted DPDs'!#REF!),"",'Master Submitted DPDs'!#REF!)</f>
        <v>#REF!</v>
      </c>
      <c r="R532" t="e">
        <f t="shared" si="17"/>
        <v>#REF!</v>
      </c>
      <c r="S532" s="3"/>
      <c r="T532" t="e">
        <f>IF(ISBLANK('Master Submitted DPDs'!#REF!),"",'Master Submitted DPDs'!#REF!)</f>
        <v>#REF!</v>
      </c>
    </row>
    <row r="533" spans="1:20" ht="15" x14ac:dyDescent="0.2">
      <c r="A533" s="3" t="str">
        <f>IF(ISBLANK('Master Submitted DPDs'!#REF!),"","Local Plans")</f>
        <v>Local Plans</v>
      </c>
      <c r="B533" t="e">
        <f>IF(ISBLANK('Master Submitted DPDs'!#REF!),"",'Master Submitted DPDs'!#REF!)</f>
        <v>#REF!</v>
      </c>
      <c r="C533" s="3" t="str">
        <f>IF(ISBLANK('Master Submitted DPDs'!#REF!),"","IH")</f>
        <v>IH</v>
      </c>
      <c r="D533" s="3" t="e">
        <f>LOOKUP($F533,'fuzzy LPA lookup'!$E:$E,'fuzzy LPA lookup'!$A:$A)</f>
        <v>#REF!</v>
      </c>
      <c r="E533" s="3" t="e">
        <f>LOOKUP($F533,'fuzzy LPA lookup'!$E:$E,'fuzzy LPA lookup'!$D:$D)</f>
        <v>#REF!</v>
      </c>
      <c r="F533" s="8" t="e">
        <f>IF(ISBLANK('Master Submitted DPDs'!#REF!),"",'Master Submitted DPDs'!#REF!)</f>
        <v>#REF!</v>
      </c>
      <c r="G533" t="str">
        <f>IF(ISBLANK('Master Submitted DPDs'!#REF!),"","Withdrawn")</f>
        <v>Withdrawn</v>
      </c>
      <c r="H533" s="2" t="e">
        <f>IF(ISBLANK('Master Submitted DPDs'!#REF!),"",'Master Submitted DPDs'!#REF!)</f>
        <v>#REF!</v>
      </c>
      <c r="I533" s="3"/>
      <c r="J533" s="3"/>
      <c r="K533" s="3"/>
      <c r="L533" s="2" t="e">
        <f>IF(ISBLANK('Master Submitted DPDs'!#REF!),"",'Master Submitted DPDs'!#REF!)</f>
        <v>#REF!</v>
      </c>
      <c r="M533" s="2" t="e">
        <f t="shared" si="16"/>
        <v>#REF!</v>
      </c>
      <c r="N533" s="2" t="e">
        <f>IF(ISBLANK('Master Submitted DPDs'!#REF!),IF(ISBLANK('Master Submitted DPDs'!#REF!),"",'Master Submitted DPDs'!#REF!),'Master Submitted DPDs'!#REF!)</f>
        <v>#REF!</v>
      </c>
      <c r="O533" s="2" t="e">
        <f>IF(ISBLANK('Master Submitted DPDs'!#REF!),"",'Master Submitted DPDs'!#REF!)</f>
        <v>#REF!</v>
      </c>
      <c r="P533" s="2" t="e">
        <f>IF(ISBLANK('Master Submitted DPDs'!#REF!),"",'Master Submitted DPDs'!#REF!)</f>
        <v>#REF!</v>
      </c>
      <c r="Q533" t="e">
        <f>IF(ISBLANK('Master Submitted DPDs'!#REF!),"",'Master Submitted DPDs'!#REF!)</f>
        <v>#REF!</v>
      </c>
      <c r="R533" t="e">
        <f t="shared" si="17"/>
        <v>#REF!</v>
      </c>
      <c r="S533" s="3"/>
      <c r="T533" t="e">
        <f>IF(ISBLANK('Master Submitted DPDs'!#REF!),"",'Master Submitted DPDs'!#REF!)</f>
        <v>#REF!</v>
      </c>
    </row>
    <row r="534" spans="1:20" ht="15" x14ac:dyDescent="0.2">
      <c r="A534" s="3" t="str">
        <f>IF(ISBLANK('Master Submitted DPDs'!#REF!),"","Local Plans")</f>
        <v>Local Plans</v>
      </c>
      <c r="B534" t="e">
        <f>IF(ISBLANK('Master Submitted DPDs'!#REF!),"",'Master Submitted DPDs'!#REF!)</f>
        <v>#REF!</v>
      </c>
      <c r="C534" s="3" t="str">
        <f>IF(ISBLANK('Master Submitted DPDs'!#REF!),"","IH")</f>
        <v>IH</v>
      </c>
      <c r="D534" s="3" t="e">
        <f>LOOKUP($F534,'fuzzy LPA lookup'!$E:$E,'fuzzy LPA lookup'!$A:$A)</f>
        <v>#REF!</v>
      </c>
      <c r="E534" s="3" t="e">
        <f>LOOKUP($F534,'fuzzy LPA lookup'!$E:$E,'fuzzy LPA lookup'!$D:$D)</f>
        <v>#REF!</v>
      </c>
      <c r="F534" s="8" t="e">
        <f>IF(ISBLANK('Master Submitted DPDs'!#REF!),"",'Master Submitted DPDs'!#REF!)</f>
        <v>#REF!</v>
      </c>
      <c r="G534" t="str">
        <f>IF(ISBLANK('Master Submitted DPDs'!#REF!),"","Withdrawn")</f>
        <v>Withdrawn</v>
      </c>
      <c r="H534" s="2" t="e">
        <f>IF(ISBLANK('Master Submitted DPDs'!#REF!),"",'Master Submitted DPDs'!#REF!)</f>
        <v>#REF!</v>
      </c>
      <c r="I534" s="3"/>
      <c r="J534" s="3"/>
      <c r="K534" s="3"/>
      <c r="L534" s="2" t="e">
        <f>IF(ISBLANK('Master Submitted DPDs'!#REF!),"",'Master Submitted DPDs'!#REF!)</f>
        <v>#REF!</v>
      </c>
      <c r="M534" s="2" t="e">
        <f t="shared" si="16"/>
        <v>#REF!</v>
      </c>
      <c r="N534" s="2" t="e">
        <f>IF(ISBLANK('Master Submitted DPDs'!#REF!),IF(ISBLANK('Master Submitted DPDs'!#REF!),"",'Master Submitted DPDs'!#REF!),'Master Submitted DPDs'!#REF!)</f>
        <v>#REF!</v>
      </c>
      <c r="O534" s="2" t="e">
        <f>IF(ISBLANK('Master Submitted DPDs'!#REF!),"",'Master Submitted DPDs'!#REF!)</f>
        <v>#REF!</v>
      </c>
      <c r="P534" s="2" t="e">
        <f>IF(ISBLANK('Master Submitted DPDs'!#REF!),"",'Master Submitted DPDs'!#REF!)</f>
        <v>#REF!</v>
      </c>
      <c r="Q534" t="e">
        <f>IF(ISBLANK('Master Submitted DPDs'!#REF!),"",'Master Submitted DPDs'!#REF!)</f>
        <v>#REF!</v>
      </c>
      <c r="R534" t="e">
        <f t="shared" si="17"/>
        <v>#REF!</v>
      </c>
      <c r="S534" s="3"/>
      <c r="T534" t="e">
        <f>IF(ISBLANK('Master Submitted DPDs'!#REF!),"",'Master Submitted DPDs'!#REF!)</f>
        <v>#REF!</v>
      </c>
    </row>
    <row r="535" spans="1:20" ht="15" x14ac:dyDescent="0.2">
      <c r="A535" s="3" t="str">
        <f>IF(ISBLANK('Master Submitted DPDs'!#REF!),"","Local Plans")</f>
        <v>Local Plans</v>
      </c>
      <c r="B535" t="e">
        <f>IF(ISBLANK('Master Submitted DPDs'!#REF!),"",'Master Submitted DPDs'!#REF!)</f>
        <v>#REF!</v>
      </c>
      <c r="C535" s="3" t="str">
        <f>IF(ISBLANK('Master Submitted DPDs'!#REF!),"","IH")</f>
        <v>IH</v>
      </c>
      <c r="D535" s="3" t="e">
        <f>LOOKUP($F535,'fuzzy LPA lookup'!$E:$E,'fuzzy LPA lookup'!$A:$A)</f>
        <v>#REF!</v>
      </c>
      <c r="E535" s="3" t="e">
        <f>LOOKUP($F535,'fuzzy LPA lookup'!$E:$E,'fuzzy LPA lookup'!$D:$D)</f>
        <v>#REF!</v>
      </c>
      <c r="F535" s="8" t="e">
        <f>IF(ISBLANK('Master Submitted DPDs'!#REF!),"",'Master Submitted DPDs'!#REF!)</f>
        <v>#REF!</v>
      </c>
      <c r="G535" t="str">
        <f>IF(ISBLANK('Master Submitted DPDs'!#REF!),"","Withdrawn")</f>
        <v>Withdrawn</v>
      </c>
      <c r="H535" s="2" t="e">
        <f>IF(ISBLANK('Master Submitted DPDs'!#REF!),"",'Master Submitted DPDs'!#REF!)</f>
        <v>#REF!</v>
      </c>
      <c r="I535" s="3"/>
      <c r="J535" s="3"/>
      <c r="K535" s="3"/>
      <c r="L535" s="2" t="e">
        <f>IF(ISBLANK('Master Submitted DPDs'!#REF!),"",'Master Submitted DPDs'!#REF!)</f>
        <v>#REF!</v>
      </c>
      <c r="M535" s="2" t="e">
        <f t="shared" si="16"/>
        <v>#REF!</v>
      </c>
      <c r="N535" s="2" t="e">
        <f>IF(ISBLANK('Master Submitted DPDs'!#REF!),IF(ISBLANK('Master Submitted DPDs'!#REF!),"",'Master Submitted DPDs'!#REF!),'Master Submitted DPDs'!#REF!)</f>
        <v>#REF!</v>
      </c>
      <c r="O535" s="2" t="e">
        <f>IF(ISBLANK('Master Submitted DPDs'!#REF!),"",'Master Submitted DPDs'!#REF!)</f>
        <v>#REF!</v>
      </c>
      <c r="P535" s="2" t="e">
        <f>IF(ISBLANK('Master Submitted DPDs'!#REF!),"",'Master Submitted DPDs'!#REF!)</f>
        <v>#REF!</v>
      </c>
      <c r="Q535" t="e">
        <f>IF(ISBLANK('Master Submitted DPDs'!#REF!),"",'Master Submitted DPDs'!#REF!)</f>
        <v>#REF!</v>
      </c>
      <c r="R535" t="e">
        <f t="shared" si="17"/>
        <v>#REF!</v>
      </c>
      <c r="S535" s="3"/>
      <c r="T535" t="e">
        <f>IF(ISBLANK('Master Submitted DPDs'!#REF!),"",'Master Submitted DPDs'!#REF!)</f>
        <v>#REF!</v>
      </c>
    </row>
    <row r="536" spans="1:20" ht="15" x14ac:dyDescent="0.2">
      <c r="A536" s="3" t="str">
        <f>IF(ISBLANK('Master Submitted DPDs'!#REF!),"","Local Plans")</f>
        <v>Local Plans</v>
      </c>
      <c r="B536" t="e">
        <f>IF(ISBLANK('Master Submitted DPDs'!#REF!),"",'Master Submitted DPDs'!#REF!)</f>
        <v>#REF!</v>
      </c>
      <c r="C536" s="3" t="str">
        <f>IF(ISBLANK('Master Submitted DPDs'!#REF!),"","IH")</f>
        <v>IH</v>
      </c>
      <c r="D536" s="3" t="e">
        <f>LOOKUP($F536,'fuzzy LPA lookup'!$E:$E,'fuzzy LPA lookup'!$A:$A)</f>
        <v>#REF!</v>
      </c>
      <c r="E536" s="3" t="e">
        <f>LOOKUP($F536,'fuzzy LPA lookup'!$E:$E,'fuzzy LPA lookup'!$D:$D)</f>
        <v>#REF!</v>
      </c>
      <c r="F536" s="8" t="e">
        <f>IF(ISBLANK('Master Submitted DPDs'!#REF!),"",'Master Submitted DPDs'!#REF!)</f>
        <v>#REF!</v>
      </c>
      <c r="G536" t="str">
        <f>IF(ISBLANK('Master Submitted DPDs'!#REF!),"","Withdrawn")</f>
        <v>Withdrawn</v>
      </c>
      <c r="H536" s="2" t="e">
        <f>IF(ISBLANK('Master Submitted DPDs'!#REF!),"",'Master Submitted DPDs'!#REF!)</f>
        <v>#REF!</v>
      </c>
      <c r="I536" s="3"/>
      <c r="J536" s="3"/>
      <c r="K536" s="3"/>
      <c r="L536" s="2" t="e">
        <f>IF(ISBLANK('Master Submitted DPDs'!#REF!),"",'Master Submitted DPDs'!#REF!)</f>
        <v>#REF!</v>
      </c>
      <c r="M536" s="2" t="e">
        <f t="shared" si="16"/>
        <v>#REF!</v>
      </c>
      <c r="N536" s="2" t="e">
        <f>IF(ISBLANK('Master Submitted DPDs'!#REF!),IF(ISBLANK('Master Submitted DPDs'!#REF!),"",'Master Submitted DPDs'!#REF!),'Master Submitted DPDs'!#REF!)</f>
        <v>#REF!</v>
      </c>
      <c r="O536" s="2" t="e">
        <f>IF(ISBLANK('Master Submitted DPDs'!#REF!),"",'Master Submitted DPDs'!#REF!)</f>
        <v>#REF!</v>
      </c>
      <c r="P536" s="2" t="e">
        <f>IF(ISBLANK('Master Submitted DPDs'!#REF!),"",'Master Submitted DPDs'!#REF!)</f>
        <v>#REF!</v>
      </c>
      <c r="Q536" t="e">
        <f>IF(ISBLANK('Master Submitted DPDs'!#REF!),"",'Master Submitted DPDs'!#REF!)</f>
        <v>#REF!</v>
      </c>
      <c r="R536" t="e">
        <f t="shared" si="17"/>
        <v>#REF!</v>
      </c>
      <c r="S536" s="3"/>
      <c r="T536" t="e">
        <f>IF(ISBLANK('Master Submitted DPDs'!#REF!),"",'Master Submitted DPDs'!#REF!)</f>
        <v>#REF!</v>
      </c>
    </row>
    <row r="537" spans="1:20" ht="15" x14ac:dyDescent="0.2">
      <c r="A537" s="3" t="str">
        <f>IF(ISBLANK('Master Submitted DPDs'!#REF!),"","Local Plans")</f>
        <v>Local Plans</v>
      </c>
      <c r="B537" t="e">
        <f>IF(ISBLANK('Master Submitted DPDs'!#REF!),"",'Master Submitted DPDs'!#REF!)</f>
        <v>#REF!</v>
      </c>
      <c r="C537" s="3" t="str">
        <f>IF(ISBLANK('Master Submitted DPDs'!#REF!),"","IH")</f>
        <v>IH</v>
      </c>
      <c r="D537" s="3" t="e">
        <f>LOOKUP($F537,'fuzzy LPA lookup'!$E:$E,'fuzzy LPA lookup'!$A:$A)</f>
        <v>#REF!</v>
      </c>
      <c r="E537" s="3" t="e">
        <f>LOOKUP($F537,'fuzzy LPA lookup'!$E:$E,'fuzzy LPA lookup'!$D:$D)</f>
        <v>#REF!</v>
      </c>
      <c r="F537" s="8" t="e">
        <f>IF(ISBLANK('Master Submitted DPDs'!#REF!),"",'Master Submitted DPDs'!#REF!)</f>
        <v>#REF!</v>
      </c>
      <c r="G537" t="str">
        <f>IF(ISBLANK('Master Submitted DPDs'!#REF!),"","Withdrawn")</f>
        <v>Withdrawn</v>
      </c>
      <c r="H537" s="2" t="e">
        <f>IF(ISBLANK('Master Submitted DPDs'!#REF!),"",'Master Submitted DPDs'!#REF!)</f>
        <v>#REF!</v>
      </c>
      <c r="I537" s="3"/>
      <c r="J537" s="3"/>
      <c r="K537" s="3"/>
      <c r="L537" s="2" t="e">
        <f>IF(ISBLANK('Master Submitted DPDs'!#REF!),"",'Master Submitted DPDs'!#REF!)</f>
        <v>#REF!</v>
      </c>
      <c r="M537" s="2" t="e">
        <f t="shared" si="16"/>
        <v>#REF!</v>
      </c>
      <c r="N537" s="2" t="e">
        <f>IF(ISBLANK('Master Submitted DPDs'!#REF!),IF(ISBLANK('Master Submitted DPDs'!#REF!),"",'Master Submitted DPDs'!#REF!),'Master Submitted DPDs'!#REF!)</f>
        <v>#REF!</v>
      </c>
      <c r="O537" s="2" t="e">
        <f>IF(ISBLANK('Master Submitted DPDs'!#REF!),"",'Master Submitted DPDs'!#REF!)</f>
        <v>#REF!</v>
      </c>
      <c r="P537" s="2" t="e">
        <f>IF(ISBLANK('Master Submitted DPDs'!#REF!),"",'Master Submitted DPDs'!#REF!)</f>
        <v>#REF!</v>
      </c>
      <c r="Q537" t="e">
        <f>IF(ISBLANK('Master Submitted DPDs'!#REF!),"",'Master Submitted DPDs'!#REF!)</f>
        <v>#REF!</v>
      </c>
      <c r="R537" t="e">
        <f t="shared" si="17"/>
        <v>#REF!</v>
      </c>
      <c r="S537" s="3"/>
      <c r="T537" t="e">
        <f>IF(ISBLANK('Master Submitted DPDs'!#REF!),"",'Master Submitted DPDs'!#REF!)</f>
        <v>#REF!</v>
      </c>
    </row>
    <row r="538" spans="1:20" ht="15" x14ac:dyDescent="0.2">
      <c r="A538" s="3" t="str">
        <f>IF(ISBLANK('Master Submitted DPDs'!#REF!),"","Local Plans")</f>
        <v>Local Plans</v>
      </c>
      <c r="B538" t="e">
        <f>IF(ISBLANK('Master Submitted DPDs'!#REF!),"",'Master Submitted DPDs'!#REF!)</f>
        <v>#REF!</v>
      </c>
      <c r="C538" s="3" t="str">
        <f>IF(ISBLANK('Master Submitted DPDs'!#REF!),"","IH")</f>
        <v>IH</v>
      </c>
      <c r="D538" s="3" t="e">
        <f>LOOKUP($F538,'fuzzy LPA lookup'!$E:$E,'fuzzy LPA lookup'!$A:$A)</f>
        <v>#REF!</v>
      </c>
      <c r="E538" s="3" t="e">
        <f>LOOKUP($F538,'fuzzy LPA lookup'!$E:$E,'fuzzy LPA lookup'!$D:$D)</f>
        <v>#REF!</v>
      </c>
      <c r="F538" s="8" t="e">
        <f>IF(ISBLANK('Master Submitted DPDs'!#REF!),"",'Master Submitted DPDs'!#REF!)</f>
        <v>#REF!</v>
      </c>
      <c r="G538" t="str">
        <f>IF(ISBLANK('Master Submitted DPDs'!#REF!),"","Withdrawn")</f>
        <v>Withdrawn</v>
      </c>
      <c r="H538" s="2" t="e">
        <f>IF(ISBLANK('Master Submitted DPDs'!#REF!),"",'Master Submitted DPDs'!#REF!)</f>
        <v>#REF!</v>
      </c>
      <c r="I538" s="3"/>
      <c r="J538" s="3"/>
      <c r="K538" s="3"/>
      <c r="L538" s="2" t="e">
        <f>IF(ISBLANK('Master Submitted DPDs'!#REF!),"",'Master Submitted DPDs'!#REF!)</f>
        <v>#REF!</v>
      </c>
      <c r="M538" s="2" t="e">
        <f t="shared" si="16"/>
        <v>#REF!</v>
      </c>
      <c r="N538" s="2" t="e">
        <f>IF(ISBLANK('Master Submitted DPDs'!#REF!),IF(ISBLANK('Master Submitted DPDs'!#REF!),"",'Master Submitted DPDs'!#REF!),'Master Submitted DPDs'!#REF!)</f>
        <v>#REF!</v>
      </c>
      <c r="O538" s="2" t="e">
        <f>IF(ISBLANK('Master Submitted DPDs'!#REF!),"",'Master Submitted DPDs'!#REF!)</f>
        <v>#REF!</v>
      </c>
      <c r="P538" s="2" t="e">
        <f>IF(ISBLANK('Master Submitted DPDs'!#REF!),"",'Master Submitted DPDs'!#REF!)</f>
        <v>#REF!</v>
      </c>
      <c r="Q538" t="e">
        <f>IF(ISBLANK('Master Submitted DPDs'!#REF!),"",'Master Submitted DPDs'!#REF!)</f>
        <v>#REF!</v>
      </c>
      <c r="R538" t="e">
        <f t="shared" si="17"/>
        <v>#REF!</v>
      </c>
      <c r="S538" s="3"/>
      <c r="T538" t="e">
        <f>IF(ISBLANK('Master Submitted DPDs'!#REF!),"",'Master Submitted DPDs'!#REF!)</f>
        <v>#REF!</v>
      </c>
    </row>
    <row r="539" spans="1:20" ht="15" x14ac:dyDescent="0.2">
      <c r="A539" s="3" t="str">
        <f>IF(ISBLANK('Master Submitted DPDs'!#REF!),"","Local Plans")</f>
        <v>Local Plans</v>
      </c>
      <c r="B539" t="e">
        <f>IF(ISBLANK('Master Submitted DPDs'!#REF!),"",'Master Submitted DPDs'!#REF!)</f>
        <v>#REF!</v>
      </c>
      <c r="C539" s="3" t="str">
        <f>IF(ISBLANK('Master Submitted DPDs'!#REF!),"","IH")</f>
        <v>IH</v>
      </c>
      <c r="D539" s="3" t="e">
        <f>LOOKUP($F539,'fuzzy LPA lookup'!$E:$E,'fuzzy LPA lookup'!$A:$A)</f>
        <v>#REF!</v>
      </c>
      <c r="E539" s="3" t="e">
        <f>LOOKUP($F539,'fuzzy LPA lookup'!$E:$E,'fuzzy LPA lookup'!$D:$D)</f>
        <v>#REF!</v>
      </c>
      <c r="F539" s="8" t="e">
        <f>IF(ISBLANK('Master Submitted DPDs'!#REF!),"",'Master Submitted DPDs'!#REF!)</f>
        <v>#REF!</v>
      </c>
      <c r="G539" t="str">
        <f>IF(ISBLANK('Master Submitted DPDs'!#REF!),"","Withdrawn")</f>
        <v>Withdrawn</v>
      </c>
      <c r="H539" s="2" t="e">
        <f>IF(ISBLANK('Master Submitted DPDs'!#REF!),"",'Master Submitted DPDs'!#REF!)</f>
        <v>#REF!</v>
      </c>
      <c r="I539" s="3"/>
      <c r="J539" s="3"/>
      <c r="K539" s="3"/>
      <c r="L539" s="2" t="e">
        <f>IF(ISBLANK('Master Submitted DPDs'!#REF!),"",'Master Submitted DPDs'!#REF!)</f>
        <v>#REF!</v>
      </c>
      <c r="M539" s="2" t="e">
        <f t="shared" si="16"/>
        <v>#REF!</v>
      </c>
      <c r="N539" s="2" t="e">
        <f>IF(ISBLANK('Master Submitted DPDs'!#REF!),IF(ISBLANK('Master Submitted DPDs'!#REF!),"",'Master Submitted DPDs'!#REF!),'Master Submitted DPDs'!#REF!)</f>
        <v>#REF!</v>
      </c>
      <c r="O539" s="2" t="e">
        <f>IF(ISBLANK('Master Submitted DPDs'!#REF!),"",'Master Submitted DPDs'!#REF!)</f>
        <v>#REF!</v>
      </c>
      <c r="P539" s="2" t="e">
        <f>IF(ISBLANK('Master Submitted DPDs'!#REF!),"",'Master Submitted DPDs'!#REF!)</f>
        <v>#REF!</v>
      </c>
      <c r="Q539" t="e">
        <f>IF(ISBLANK('Master Submitted DPDs'!#REF!),"",'Master Submitted DPDs'!#REF!)</f>
        <v>#REF!</v>
      </c>
      <c r="R539" t="e">
        <f t="shared" si="17"/>
        <v>#REF!</v>
      </c>
      <c r="S539" s="3"/>
      <c r="T539" t="e">
        <f>IF(ISBLANK('Master Submitted DPDs'!#REF!),"",'Master Submitted DPDs'!#REF!)</f>
        <v>#REF!</v>
      </c>
    </row>
    <row r="540" spans="1:20" ht="15" x14ac:dyDescent="0.2">
      <c r="A540" s="3" t="str">
        <f>IF(ISBLANK('Master Submitted DPDs'!#REF!),"","Local Plans")</f>
        <v>Local Plans</v>
      </c>
      <c r="B540" t="e">
        <f>IF(ISBLANK('Master Submitted DPDs'!#REF!),"",'Master Submitted DPDs'!#REF!)</f>
        <v>#REF!</v>
      </c>
      <c r="C540" s="3" t="str">
        <f>IF(ISBLANK('Master Submitted DPDs'!#REF!),"","IH")</f>
        <v>IH</v>
      </c>
      <c r="D540" s="3" t="e">
        <f>LOOKUP($F540,'fuzzy LPA lookup'!$E:$E,'fuzzy LPA lookup'!$A:$A)</f>
        <v>#REF!</v>
      </c>
      <c r="E540" s="3" t="e">
        <f>LOOKUP($F540,'fuzzy LPA lookup'!$E:$E,'fuzzy LPA lookup'!$D:$D)</f>
        <v>#REF!</v>
      </c>
      <c r="F540" s="8" t="e">
        <f>IF(ISBLANK('Master Submitted DPDs'!#REF!),"",'Master Submitted DPDs'!#REF!)</f>
        <v>#REF!</v>
      </c>
      <c r="G540" t="str">
        <f>IF(ISBLANK('Master Submitted DPDs'!#REF!),"","Withdrawn")</f>
        <v>Withdrawn</v>
      </c>
      <c r="H540" s="2" t="e">
        <f>IF(ISBLANK('Master Submitted DPDs'!#REF!),"",'Master Submitted DPDs'!#REF!)</f>
        <v>#REF!</v>
      </c>
      <c r="I540" s="3"/>
      <c r="J540" s="3"/>
      <c r="K540" s="3"/>
      <c r="L540" s="2" t="e">
        <f>IF(ISBLANK('Master Submitted DPDs'!#REF!),"",'Master Submitted DPDs'!#REF!)</f>
        <v>#REF!</v>
      </c>
      <c r="M540" s="2" t="e">
        <f t="shared" si="16"/>
        <v>#REF!</v>
      </c>
      <c r="N540" s="2" t="e">
        <f>IF(ISBLANK('Master Submitted DPDs'!#REF!),IF(ISBLANK('Master Submitted DPDs'!#REF!),"",'Master Submitted DPDs'!#REF!),'Master Submitted DPDs'!#REF!)</f>
        <v>#REF!</v>
      </c>
      <c r="O540" s="2" t="e">
        <f>IF(ISBLANK('Master Submitted DPDs'!#REF!),"",'Master Submitted DPDs'!#REF!)</f>
        <v>#REF!</v>
      </c>
      <c r="P540" s="2" t="e">
        <f>IF(ISBLANK('Master Submitted DPDs'!#REF!),"",'Master Submitted DPDs'!#REF!)</f>
        <v>#REF!</v>
      </c>
      <c r="Q540" t="e">
        <f>IF(ISBLANK('Master Submitted DPDs'!#REF!),"",'Master Submitted DPDs'!#REF!)</f>
        <v>#REF!</v>
      </c>
      <c r="R540" t="e">
        <f t="shared" si="17"/>
        <v>#REF!</v>
      </c>
      <c r="S540" s="3"/>
      <c r="T540" t="e">
        <f>IF(ISBLANK('Master Submitted DPDs'!#REF!),"",'Master Submitted DPDs'!#REF!)</f>
        <v>#REF!</v>
      </c>
    </row>
    <row r="541" spans="1:20" ht="15" x14ac:dyDescent="0.2">
      <c r="A541" s="3" t="str">
        <f>IF(ISBLANK('Master Submitted DPDs'!#REF!),"","Local Plans")</f>
        <v>Local Plans</v>
      </c>
      <c r="B541" t="e">
        <f>IF(ISBLANK('Master Submitted DPDs'!#REF!),"",'Master Submitted DPDs'!#REF!)</f>
        <v>#REF!</v>
      </c>
      <c r="C541" s="3" t="str">
        <f>IF(ISBLANK('Master Submitted DPDs'!#REF!),"","IH")</f>
        <v>IH</v>
      </c>
      <c r="D541" s="3" t="e">
        <f>LOOKUP($F541,'fuzzy LPA lookup'!$E:$E,'fuzzy LPA lookup'!$A:$A)</f>
        <v>#REF!</v>
      </c>
      <c r="E541" s="3" t="e">
        <f>LOOKUP($F541,'fuzzy LPA lookup'!$E:$E,'fuzzy LPA lookup'!$D:$D)</f>
        <v>#REF!</v>
      </c>
      <c r="F541" s="8" t="e">
        <f>IF(ISBLANK('Master Submitted DPDs'!#REF!),"",'Master Submitted DPDs'!#REF!)</f>
        <v>#REF!</v>
      </c>
      <c r="G541" t="str">
        <f>IF(ISBLANK('Master Submitted DPDs'!#REF!),"","Withdrawn")</f>
        <v>Withdrawn</v>
      </c>
      <c r="H541" s="2" t="e">
        <f>IF(ISBLANK('Master Submitted DPDs'!#REF!),"",'Master Submitted DPDs'!#REF!)</f>
        <v>#REF!</v>
      </c>
      <c r="I541" s="3"/>
      <c r="J541" s="3"/>
      <c r="K541" s="3"/>
      <c r="L541" s="2" t="e">
        <f>IF(ISBLANK('Master Submitted DPDs'!#REF!),"",'Master Submitted DPDs'!#REF!)</f>
        <v>#REF!</v>
      </c>
      <c r="M541" s="2" t="e">
        <f t="shared" si="16"/>
        <v>#REF!</v>
      </c>
      <c r="N541" s="2" t="e">
        <f>IF(ISBLANK('Master Submitted DPDs'!#REF!),IF(ISBLANK('Master Submitted DPDs'!#REF!),"",'Master Submitted DPDs'!#REF!),'Master Submitted DPDs'!#REF!)</f>
        <v>#REF!</v>
      </c>
      <c r="O541" s="2" t="e">
        <f>IF(ISBLANK('Master Submitted DPDs'!#REF!),"",'Master Submitted DPDs'!#REF!)</f>
        <v>#REF!</v>
      </c>
      <c r="P541" s="2" t="e">
        <f>IF(ISBLANK('Master Submitted DPDs'!#REF!),"",'Master Submitted DPDs'!#REF!)</f>
        <v>#REF!</v>
      </c>
      <c r="Q541" t="e">
        <f>IF(ISBLANK('Master Submitted DPDs'!#REF!),"",'Master Submitted DPDs'!#REF!)</f>
        <v>#REF!</v>
      </c>
      <c r="R541" t="e">
        <f t="shared" si="17"/>
        <v>#REF!</v>
      </c>
      <c r="S541" s="3"/>
      <c r="T541" t="e">
        <f>IF(ISBLANK('Master Submitted DPDs'!#REF!),"",'Master Submitted DPDs'!#REF!)</f>
        <v>#REF!</v>
      </c>
    </row>
    <row r="542" spans="1:20" ht="15" x14ac:dyDescent="0.2">
      <c r="A542" s="3" t="str">
        <f>IF(ISBLANK('Master Submitted DPDs'!#REF!),"","Local Plans")</f>
        <v>Local Plans</v>
      </c>
      <c r="B542" t="e">
        <f>IF(ISBLANK('Master Submitted DPDs'!#REF!),"",'Master Submitted DPDs'!#REF!)</f>
        <v>#REF!</v>
      </c>
      <c r="C542" s="3" t="str">
        <f>IF(ISBLANK('Master Submitted DPDs'!#REF!),"","IH")</f>
        <v>IH</v>
      </c>
      <c r="D542" s="3" t="e">
        <f>LOOKUP($F542,'fuzzy LPA lookup'!$E:$E,'fuzzy LPA lookup'!$A:$A)</f>
        <v>#REF!</v>
      </c>
      <c r="E542" s="3" t="e">
        <f>LOOKUP($F542,'fuzzy LPA lookup'!$E:$E,'fuzzy LPA lookup'!$D:$D)</f>
        <v>#REF!</v>
      </c>
      <c r="F542" s="8" t="e">
        <f>IF(ISBLANK('Master Submitted DPDs'!#REF!),"",'Master Submitted DPDs'!#REF!)</f>
        <v>#REF!</v>
      </c>
      <c r="G542" t="str">
        <f>IF(ISBLANK('Master Submitted DPDs'!#REF!),"","Withdrawn")</f>
        <v>Withdrawn</v>
      </c>
      <c r="H542" s="2" t="e">
        <f>IF(ISBLANK('Master Submitted DPDs'!#REF!),"",'Master Submitted DPDs'!#REF!)</f>
        <v>#REF!</v>
      </c>
      <c r="I542" s="3"/>
      <c r="J542" s="3"/>
      <c r="K542" s="3"/>
      <c r="L542" s="2" t="e">
        <f>IF(ISBLANK('Master Submitted DPDs'!#REF!),"",'Master Submitted DPDs'!#REF!)</f>
        <v>#REF!</v>
      </c>
      <c r="M542" s="2" t="e">
        <f t="shared" si="16"/>
        <v>#REF!</v>
      </c>
      <c r="N542" s="2" t="e">
        <f>IF(ISBLANK('Master Submitted DPDs'!#REF!),IF(ISBLANK('Master Submitted DPDs'!#REF!),"",'Master Submitted DPDs'!#REF!),'Master Submitted DPDs'!#REF!)</f>
        <v>#REF!</v>
      </c>
      <c r="O542" s="2" t="e">
        <f>IF(ISBLANK('Master Submitted DPDs'!#REF!),"",'Master Submitted DPDs'!#REF!)</f>
        <v>#REF!</v>
      </c>
      <c r="P542" s="2" t="e">
        <f>IF(ISBLANK('Master Submitted DPDs'!#REF!),"",'Master Submitted DPDs'!#REF!)</f>
        <v>#REF!</v>
      </c>
      <c r="Q542" t="e">
        <f>IF(ISBLANK('Master Submitted DPDs'!#REF!),"",'Master Submitted DPDs'!#REF!)</f>
        <v>#REF!</v>
      </c>
      <c r="R542" t="e">
        <f t="shared" si="17"/>
        <v>#REF!</v>
      </c>
      <c r="S542" s="3"/>
      <c r="T542" t="e">
        <f>IF(ISBLANK('Master Submitted DPDs'!#REF!),"",'Master Submitted DPDs'!#REF!)</f>
        <v>#REF!</v>
      </c>
    </row>
    <row r="543" spans="1:20" ht="15" x14ac:dyDescent="0.2">
      <c r="A543" s="3" t="str">
        <f>IF(ISBLANK('Master Submitted DPDs'!#REF!),"","Local Plans")</f>
        <v>Local Plans</v>
      </c>
      <c r="B543" t="e">
        <f>IF(ISBLANK('Master Submitted DPDs'!#REF!),"",'Master Submitted DPDs'!#REF!)</f>
        <v>#REF!</v>
      </c>
      <c r="C543" s="3" t="str">
        <f>IF(ISBLANK('Master Submitted DPDs'!#REF!),"","IH")</f>
        <v>IH</v>
      </c>
      <c r="D543" s="3" t="e">
        <f>LOOKUP($F543,'fuzzy LPA lookup'!$E:$E,'fuzzy LPA lookup'!$A:$A)</f>
        <v>#REF!</v>
      </c>
      <c r="E543" s="3" t="e">
        <f>LOOKUP($F543,'fuzzy LPA lookup'!$E:$E,'fuzzy LPA lookup'!$D:$D)</f>
        <v>#REF!</v>
      </c>
      <c r="F543" s="8" t="e">
        <f>IF(ISBLANK('Master Submitted DPDs'!#REF!),"",'Master Submitted DPDs'!#REF!)</f>
        <v>#REF!</v>
      </c>
      <c r="G543" t="str">
        <f>IF(ISBLANK('Master Submitted DPDs'!#REF!),"","Withdrawn")</f>
        <v>Withdrawn</v>
      </c>
      <c r="H543" s="2" t="e">
        <f>IF(ISBLANK('Master Submitted DPDs'!#REF!),"",'Master Submitted DPDs'!#REF!)</f>
        <v>#REF!</v>
      </c>
      <c r="I543" s="3"/>
      <c r="J543" s="3"/>
      <c r="K543" s="3"/>
      <c r="L543" s="2" t="e">
        <f>IF(ISBLANK('Master Submitted DPDs'!#REF!),"",'Master Submitted DPDs'!#REF!)</f>
        <v>#REF!</v>
      </c>
      <c r="M543" s="2" t="e">
        <f t="shared" si="16"/>
        <v>#REF!</v>
      </c>
      <c r="N543" s="2" t="e">
        <f>IF(ISBLANK('Master Submitted DPDs'!#REF!),IF(ISBLANK('Master Submitted DPDs'!#REF!),"",'Master Submitted DPDs'!#REF!),'Master Submitted DPDs'!#REF!)</f>
        <v>#REF!</v>
      </c>
      <c r="O543" s="2" t="e">
        <f>IF(ISBLANK('Master Submitted DPDs'!#REF!),"",'Master Submitted DPDs'!#REF!)</f>
        <v>#REF!</v>
      </c>
      <c r="P543" s="2" t="e">
        <f>IF(ISBLANK('Master Submitted DPDs'!#REF!),"",'Master Submitted DPDs'!#REF!)</f>
        <v>#REF!</v>
      </c>
      <c r="Q543" t="e">
        <f>IF(ISBLANK('Master Submitted DPDs'!#REF!),"",'Master Submitted DPDs'!#REF!)</f>
        <v>#REF!</v>
      </c>
      <c r="R543" t="e">
        <f t="shared" si="17"/>
        <v>#REF!</v>
      </c>
      <c r="S543" s="3"/>
      <c r="T543" t="e">
        <f>IF(ISBLANK('Master Submitted DPDs'!#REF!),"",'Master Submitted DPDs'!#REF!)</f>
        <v>#REF!</v>
      </c>
    </row>
    <row r="544" spans="1:20" ht="15" x14ac:dyDescent="0.2">
      <c r="A544" s="3" t="str">
        <f>IF(ISBLANK('Master Submitted DPDs'!#REF!),"","Local Plans")</f>
        <v>Local Plans</v>
      </c>
      <c r="B544" t="e">
        <f>IF(ISBLANK('Master Submitted DPDs'!#REF!),"",'Master Submitted DPDs'!#REF!)</f>
        <v>#REF!</v>
      </c>
      <c r="C544" s="3" t="str">
        <f>IF(ISBLANK('Master Submitted DPDs'!#REF!),"","IH")</f>
        <v>IH</v>
      </c>
      <c r="D544" s="3" t="e">
        <f>LOOKUP($F544,'fuzzy LPA lookup'!$E:$E,'fuzzy LPA lookup'!$A:$A)</f>
        <v>#REF!</v>
      </c>
      <c r="E544" s="3" t="e">
        <f>LOOKUP($F544,'fuzzy LPA lookup'!$E:$E,'fuzzy LPA lookup'!$D:$D)</f>
        <v>#REF!</v>
      </c>
      <c r="F544" s="8" t="e">
        <f>IF(ISBLANK('Master Submitted DPDs'!#REF!),"",'Master Submitted DPDs'!#REF!)</f>
        <v>#REF!</v>
      </c>
      <c r="G544" t="str">
        <f>IF(ISBLANK('Master Submitted DPDs'!#REF!),"","Withdrawn")</f>
        <v>Withdrawn</v>
      </c>
      <c r="H544" s="2" t="e">
        <f>IF(ISBLANK('Master Submitted DPDs'!#REF!),"",'Master Submitted DPDs'!#REF!)</f>
        <v>#REF!</v>
      </c>
      <c r="I544" s="3"/>
      <c r="J544" s="3"/>
      <c r="K544" s="3"/>
      <c r="L544" s="2" t="e">
        <f>IF(ISBLANK('Master Submitted DPDs'!#REF!),"",'Master Submitted DPDs'!#REF!)</f>
        <v>#REF!</v>
      </c>
      <c r="M544" s="2" t="e">
        <f t="shared" si="16"/>
        <v>#REF!</v>
      </c>
      <c r="N544" s="2" t="e">
        <f>IF(ISBLANK('Master Submitted DPDs'!#REF!),IF(ISBLANK('Master Submitted DPDs'!#REF!),"",'Master Submitted DPDs'!#REF!),'Master Submitted DPDs'!#REF!)</f>
        <v>#REF!</v>
      </c>
      <c r="O544" s="2" t="e">
        <f>IF(ISBLANK('Master Submitted DPDs'!#REF!),"",'Master Submitted DPDs'!#REF!)</f>
        <v>#REF!</v>
      </c>
      <c r="P544" s="2" t="e">
        <f>IF(ISBLANK('Master Submitted DPDs'!#REF!),"",'Master Submitted DPDs'!#REF!)</f>
        <v>#REF!</v>
      </c>
      <c r="Q544" t="e">
        <f>IF(ISBLANK('Master Submitted DPDs'!#REF!),"",'Master Submitted DPDs'!#REF!)</f>
        <v>#REF!</v>
      </c>
      <c r="R544" t="e">
        <f t="shared" si="17"/>
        <v>#REF!</v>
      </c>
      <c r="S544" s="3"/>
      <c r="T544" t="e">
        <f>IF(ISBLANK('Master Submitted DPDs'!#REF!),"",'Master Submitted DPDs'!#REF!)</f>
        <v>#REF!</v>
      </c>
    </row>
    <row r="545" spans="1:20" ht="15" x14ac:dyDescent="0.2">
      <c r="A545" s="3" t="str">
        <f>IF(ISBLANK('Master Submitted DPDs'!#REF!),"","Local Plans")</f>
        <v>Local Plans</v>
      </c>
      <c r="B545" t="e">
        <f>IF(ISBLANK('Master Submitted DPDs'!#REF!),"",'Master Submitted DPDs'!#REF!)</f>
        <v>#REF!</v>
      </c>
      <c r="C545" s="3" t="str">
        <f>IF(ISBLANK('Master Submitted DPDs'!#REF!),"","IH")</f>
        <v>IH</v>
      </c>
      <c r="D545" s="3" t="e">
        <f>LOOKUP($F545,'fuzzy LPA lookup'!$E:$E,'fuzzy LPA lookup'!$A:$A)</f>
        <v>#REF!</v>
      </c>
      <c r="E545" s="3" t="e">
        <f>LOOKUP($F545,'fuzzy LPA lookup'!$E:$E,'fuzzy LPA lookup'!$D:$D)</f>
        <v>#REF!</v>
      </c>
      <c r="F545" s="8" t="e">
        <f>IF(ISBLANK('Master Submitted DPDs'!#REF!),"",'Master Submitted DPDs'!#REF!)</f>
        <v>#REF!</v>
      </c>
      <c r="G545" t="str">
        <f>IF(ISBLANK('Master Submitted DPDs'!#REF!),"","Withdrawn")</f>
        <v>Withdrawn</v>
      </c>
      <c r="H545" s="2" t="e">
        <f>IF(ISBLANK('Master Submitted DPDs'!#REF!),"",'Master Submitted DPDs'!#REF!)</f>
        <v>#REF!</v>
      </c>
      <c r="I545" s="3"/>
      <c r="J545" s="3"/>
      <c r="K545" s="3"/>
      <c r="L545" s="2" t="e">
        <f>IF(ISBLANK('Master Submitted DPDs'!#REF!),"",'Master Submitted DPDs'!#REF!)</f>
        <v>#REF!</v>
      </c>
      <c r="M545" s="2" t="e">
        <f t="shared" si="16"/>
        <v>#REF!</v>
      </c>
      <c r="N545" s="2" t="e">
        <f>IF(ISBLANK('Master Submitted DPDs'!#REF!),IF(ISBLANK('Master Submitted DPDs'!#REF!),"",'Master Submitted DPDs'!#REF!),'Master Submitted DPDs'!#REF!)</f>
        <v>#REF!</v>
      </c>
      <c r="O545" s="2" t="e">
        <f>IF(ISBLANK('Master Submitted DPDs'!#REF!),"",'Master Submitted DPDs'!#REF!)</f>
        <v>#REF!</v>
      </c>
      <c r="P545" s="2" t="e">
        <f>IF(ISBLANK('Master Submitted DPDs'!#REF!),"",'Master Submitted DPDs'!#REF!)</f>
        <v>#REF!</v>
      </c>
      <c r="Q545" t="e">
        <f>IF(ISBLANK('Master Submitted DPDs'!#REF!),"",'Master Submitted DPDs'!#REF!)</f>
        <v>#REF!</v>
      </c>
      <c r="R545" t="e">
        <f t="shared" si="17"/>
        <v>#REF!</v>
      </c>
      <c r="S545" s="3"/>
      <c r="T545" t="e">
        <f>IF(ISBLANK('Master Submitted DPDs'!#REF!),"",'Master Submitted DPDs'!#REF!)</f>
        <v>#REF!</v>
      </c>
    </row>
    <row r="546" spans="1:20" ht="15" x14ac:dyDescent="0.2">
      <c r="A546" s="3" t="str">
        <f>IF(ISBLANK('Master Submitted DPDs'!#REF!),"","Local Plans")</f>
        <v>Local Plans</v>
      </c>
      <c r="B546" t="e">
        <f>IF(ISBLANK('Master Submitted DPDs'!#REF!),"",'Master Submitted DPDs'!#REF!)</f>
        <v>#REF!</v>
      </c>
      <c r="C546" s="3" t="str">
        <f>IF(ISBLANK('Master Submitted DPDs'!#REF!),"","IH")</f>
        <v>IH</v>
      </c>
      <c r="D546" s="3" t="e">
        <f>LOOKUP($F546,'fuzzy LPA lookup'!$E:$E,'fuzzy LPA lookup'!$A:$A)</f>
        <v>#REF!</v>
      </c>
      <c r="E546" s="3" t="e">
        <f>LOOKUP($F546,'fuzzy LPA lookup'!$E:$E,'fuzzy LPA lookup'!$D:$D)</f>
        <v>#REF!</v>
      </c>
      <c r="F546" s="8" t="e">
        <f>IF(ISBLANK('Master Submitted DPDs'!#REF!),"",'Master Submitted DPDs'!#REF!)</f>
        <v>#REF!</v>
      </c>
      <c r="G546" t="str">
        <f>IF(ISBLANK('Master Submitted DPDs'!#REF!),"","Withdrawn")</f>
        <v>Withdrawn</v>
      </c>
      <c r="H546" s="2" t="e">
        <f>IF(ISBLANK('Master Submitted DPDs'!#REF!),"",'Master Submitted DPDs'!#REF!)</f>
        <v>#REF!</v>
      </c>
      <c r="I546" s="3"/>
      <c r="J546" s="3"/>
      <c r="K546" s="3"/>
      <c r="L546" s="2" t="e">
        <f>IF(ISBLANK('Master Submitted DPDs'!#REF!),"",'Master Submitted DPDs'!#REF!)</f>
        <v>#REF!</v>
      </c>
      <c r="M546" s="2" t="e">
        <f t="shared" si="16"/>
        <v>#REF!</v>
      </c>
      <c r="N546" s="2" t="e">
        <f>IF(ISBLANK('Master Submitted DPDs'!#REF!),IF(ISBLANK('Master Submitted DPDs'!#REF!),"",'Master Submitted DPDs'!#REF!),'Master Submitted DPDs'!#REF!)</f>
        <v>#REF!</v>
      </c>
      <c r="O546" s="2" t="e">
        <f>IF(ISBLANK('Master Submitted DPDs'!#REF!),"",'Master Submitted DPDs'!#REF!)</f>
        <v>#REF!</v>
      </c>
      <c r="P546" s="2" t="e">
        <f>IF(ISBLANK('Master Submitted DPDs'!#REF!),"",'Master Submitted DPDs'!#REF!)</f>
        <v>#REF!</v>
      </c>
      <c r="Q546" t="e">
        <f>IF(ISBLANK('Master Submitted DPDs'!#REF!),"",'Master Submitted DPDs'!#REF!)</f>
        <v>#REF!</v>
      </c>
      <c r="R546" t="e">
        <f t="shared" si="17"/>
        <v>#REF!</v>
      </c>
      <c r="S546" s="3"/>
      <c r="T546" t="e">
        <f>IF(ISBLANK('Master Submitted DPDs'!#REF!),"",'Master Submitted DPDs'!#REF!)</f>
        <v>#REF!</v>
      </c>
    </row>
    <row r="547" spans="1:20" ht="15" x14ac:dyDescent="0.2">
      <c r="A547" s="3" t="str">
        <f>IF(ISBLANK('Master Submitted DPDs'!#REF!),"","Local Plans")</f>
        <v>Local Plans</v>
      </c>
      <c r="B547" t="e">
        <f>IF(ISBLANK('Master Submitted DPDs'!#REF!),"",'Master Submitted DPDs'!#REF!)</f>
        <v>#REF!</v>
      </c>
      <c r="C547" s="3" t="str">
        <f>IF(ISBLANK('Master Submitted DPDs'!#REF!),"","IH")</f>
        <v>IH</v>
      </c>
      <c r="D547" s="3" t="e">
        <f>LOOKUP($F547,'fuzzy LPA lookup'!$E:$E,'fuzzy LPA lookup'!$A:$A)</f>
        <v>#REF!</v>
      </c>
      <c r="E547" s="3" t="e">
        <f>LOOKUP($F547,'fuzzy LPA lookup'!$E:$E,'fuzzy LPA lookup'!$D:$D)</f>
        <v>#REF!</v>
      </c>
      <c r="F547" s="8" t="e">
        <f>IF(ISBLANK('Master Submitted DPDs'!#REF!),"",'Master Submitted DPDs'!#REF!)</f>
        <v>#REF!</v>
      </c>
      <c r="G547" t="str">
        <f>IF(ISBLANK('Master Submitted DPDs'!#REF!),"","Withdrawn")</f>
        <v>Withdrawn</v>
      </c>
      <c r="H547" s="2" t="e">
        <f>IF(ISBLANK('Master Submitted DPDs'!#REF!),"",'Master Submitted DPDs'!#REF!)</f>
        <v>#REF!</v>
      </c>
      <c r="I547" s="3"/>
      <c r="J547" s="3"/>
      <c r="K547" s="3"/>
      <c r="L547" s="2" t="e">
        <f>IF(ISBLANK('Master Submitted DPDs'!#REF!),"",'Master Submitted DPDs'!#REF!)</f>
        <v>#REF!</v>
      </c>
      <c r="M547" s="2" t="e">
        <f t="shared" si="16"/>
        <v>#REF!</v>
      </c>
      <c r="N547" s="2" t="e">
        <f>IF(ISBLANK('Master Submitted DPDs'!#REF!),IF(ISBLANK('Master Submitted DPDs'!#REF!),"",'Master Submitted DPDs'!#REF!),'Master Submitted DPDs'!#REF!)</f>
        <v>#REF!</v>
      </c>
      <c r="O547" s="2" t="e">
        <f>IF(ISBLANK('Master Submitted DPDs'!#REF!),"",'Master Submitted DPDs'!#REF!)</f>
        <v>#REF!</v>
      </c>
      <c r="P547" s="2" t="e">
        <f>IF(ISBLANK('Master Submitted DPDs'!#REF!),"",'Master Submitted DPDs'!#REF!)</f>
        <v>#REF!</v>
      </c>
      <c r="Q547" t="e">
        <f>IF(ISBLANK('Master Submitted DPDs'!#REF!),"",'Master Submitted DPDs'!#REF!)</f>
        <v>#REF!</v>
      </c>
      <c r="R547" t="e">
        <f t="shared" si="17"/>
        <v>#REF!</v>
      </c>
      <c r="S547" s="3"/>
      <c r="T547" t="e">
        <f>IF(ISBLANK('Master Submitted DPDs'!#REF!),"",'Master Submitted DPDs'!#REF!)</f>
        <v>#REF!</v>
      </c>
    </row>
    <row r="548" spans="1:20" ht="15" x14ac:dyDescent="0.2">
      <c r="A548" s="3" t="str">
        <f>IF(ISBLANK('Master Submitted DPDs'!#REF!),"","Local Plans")</f>
        <v>Local Plans</v>
      </c>
      <c r="B548" t="e">
        <f>IF(ISBLANK('Master Submitted DPDs'!#REF!),"",'Master Submitted DPDs'!#REF!)</f>
        <v>#REF!</v>
      </c>
      <c r="C548" s="3" t="str">
        <f>IF(ISBLANK('Master Submitted DPDs'!#REF!),"","IH")</f>
        <v>IH</v>
      </c>
      <c r="D548" s="3" t="e">
        <f>LOOKUP($F548,'fuzzy LPA lookup'!$E:$E,'fuzzy LPA lookup'!$A:$A)</f>
        <v>#REF!</v>
      </c>
      <c r="E548" s="3" t="e">
        <f>LOOKUP($F548,'fuzzy LPA lookup'!$E:$E,'fuzzy LPA lookup'!$D:$D)</f>
        <v>#REF!</v>
      </c>
      <c r="F548" s="8" t="e">
        <f>IF(ISBLANK('Master Submitted DPDs'!#REF!),"",'Master Submitted DPDs'!#REF!)</f>
        <v>#REF!</v>
      </c>
      <c r="G548" t="str">
        <f>IF(ISBLANK('Master Submitted DPDs'!#REF!),"","Withdrawn")</f>
        <v>Withdrawn</v>
      </c>
      <c r="H548" s="2" t="e">
        <f>IF(ISBLANK('Master Submitted DPDs'!#REF!),"",'Master Submitted DPDs'!#REF!)</f>
        <v>#REF!</v>
      </c>
      <c r="I548" s="3"/>
      <c r="J548" s="3"/>
      <c r="K548" s="3"/>
      <c r="L548" s="2" t="e">
        <f>IF(ISBLANK('Master Submitted DPDs'!#REF!),"",'Master Submitted DPDs'!#REF!)</f>
        <v>#REF!</v>
      </c>
      <c r="M548" s="2" t="e">
        <f t="shared" si="16"/>
        <v>#REF!</v>
      </c>
      <c r="N548" s="2" t="e">
        <f>IF(ISBLANK('Master Submitted DPDs'!#REF!),IF(ISBLANK('Master Submitted DPDs'!#REF!),"",'Master Submitted DPDs'!#REF!),'Master Submitted DPDs'!#REF!)</f>
        <v>#REF!</v>
      </c>
      <c r="O548" s="2" t="e">
        <f>IF(ISBLANK('Master Submitted DPDs'!#REF!),"",'Master Submitted DPDs'!#REF!)</f>
        <v>#REF!</v>
      </c>
      <c r="P548" s="2" t="e">
        <f>IF(ISBLANK('Master Submitted DPDs'!#REF!),"",'Master Submitted DPDs'!#REF!)</f>
        <v>#REF!</v>
      </c>
      <c r="Q548" t="e">
        <f>IF(ISBLANK('Master Submitted DPDs'!#REF!),"",'Master Submitted DPDs'!#REF!)</f>
        <v>#REF!</v>
      </c>
      <c r="R548" t="e">
        <f t="shared" si="17"/>
        <v>#REF!</v>
      </c>
      <c r="S548" s="3"/>
      <c r="T548" t="e">
        <f>IF(ISBLANK('Master Submitted DPDs'!#REF!),"",'Master Submitted DPDs'!#REF!)</f>
        <v>#REF!</v>
      </c>
    </row>
    <row r="549" spans="1:20" ht="15" x14ac:dyDescent="0.2">
      <c r="A549" s="3" t="str">
        <f>IF(ISBLANK('Master Submitted DPDs'!#REF!),"","Local Plans")</f>
        <v>Local Plans</v>
      </c>
      <c r="B549" t="e">
        <f>IF(ISBLANK('Master Submitted DPDs'!#REF!),"",'Master Submitted DPDs'!#REF!)</f>
        <v>#REF!</v>
      </c>
      <c r="C549" s="3" t="str">
        <f>IF(ISBLANK('Master Submitted DPDs'!#REF!),"","IH")</f>
        <v>IH</v>
      </c>
      <c r="D549" s="3" t="e">
        <f>LOOKUP($F549,'fuzzy LPA lookup'!$E:$E,'fuzzy LPA lookup'!$A:$A)</f>
        <v>#REF!</v>
      </c>
      <c r="E549" s="3" t="e">
        <f>LOOKUP($F549,'fuzzy LPA lookup'!$E:$E,'fuzzy LPA lookup'!$D:$D)</f>
        <v>#REF!</v>
      </c>
      <c r="F549" s="8" t="e">
        <f>IF(ISBLANK('Master Submitted DPDs'!#REF!),"",'Master Submitted DPDs'!#REF!)</f>
        <v>#REF!</v>
      </c>
      <c r="G549" t="str">
        <f>IF(ISBLANK('Master Submitted DPDs'!#REF!),"","Withdrawn")</f>
        <v>Withdrawn</v>
      </c>
      <c r="H549" s="2" t="e">
        <f>IF(ISBLANK('Master Submitted DPDs'!#REF!),"",'Master Submitted DPDs'!#REF!)</f>
        <v>#REF!</v>
      </c>
      <c r="I549" s="3"/>
      <c r="J549" s="3"/>
      <c r="K549" s="3"/>
      <c r="L549" s="2" t="e">
        <f>IF(ISBLANK('Master Submitted DPDs'!#REF!),"",'Master Submitted DPDs'!#REF!)</f>
        <v>#REF!</v>
      </c>
      <c r="M549" s="2" t="e">
        <f t="shared" si="16"/>
        <v>#REF!</v>
      </c>
      <c r="N549" s="2" t="e">
        <f>IF(ISBLANK('Master Submitted DPDs'!#REF!),IF(ISBLANK('Master Submitted DPDs'!#REF!),"",'Master Submitted DPDs'!#REF!),'Master Submitted DPDs'!#REF!)</f>
        <v>#REF!</v>
      </c>
      <c r="O549" s="2" t="e">
        <f>IF(ISBLANK('Master Submitted DPDs'!#REF!),"",'Master Submitted DPDs'!#REF!)</f>
        <v>#REF!</v>
      </c>
      <c r="P549" s="2" t="e">
        <f>IF(ISBLANK('Master Submitted DPDs'!#REF!),"",'Master Submitted DPDs'!#REF!)</f>
        <v>#REF!</v>
      </c>
      <c r="Q549" t="e">
        <f>IF(ISBLANK('Master Submitted DPDs'!#REF!),"",'Master Submitted DPDs'!#REF!)</f>
        <v>#REF!</v>
      </c>
      <c r="R549" t="e">
        <f t="shared" si="17"/>
        <v>#REF!</v>
      </c>
      <c r="S549" s="3"/>
      <c r="T549" t="e">
        <f>IF(ISBLANK('Master Submitted DPDs'!#REF!),"",'Master Submitted DPDs'!#REF!)</f>
        <v>#REF!</v>
      </c>
    </row>
    <row r="550" spans="1:20" ht="15" x14ac:dyDescent="0.2">
      <c r="A550" s="3" t="str">
        <f>IF(ISBLANK('Master Submitted DPDs'!#REF!),"","Local Plans")</f>
        <v>Local Plans</v>
      </c>
      <c r="B550" t="e">
        <f>IF(ISBLANK('Master Submitted DPDs'!#REF!),"",'Master Submitted DPDs'!#REF!)</f>
        <v>#REF!</v>
      </c>
      <c r="C550" s="3" t="str">
        <f>IF(ISBLANK('Master Submitted DPDs'!#REF!),"","IH")</f>
        <v>IH</v>
      </c>
      <c r="D550" s="3" t="e">
        <f>LOOKUP($F550,'fuzzy LPA lookup'!$E:$E,'fuzzy LPA lookup'!$A:$A)</f>
        <v>#REF!</v>
      </c>
      <c r="E550" s="3" t="e">
        <f>LOOKUP($F550,'fuzzy LPA lookup'!$E:$E,'fuzzy LPA lookup'!$D:$D)</f>
        <v>#REF!</v>
      </c>
      <c r="F550" s="8" t="e">
        <f>IF(ISBLANK('Master Submitted DPDs'!#REF!),"",'Master Submitted DPDs'!#REF!)</f>
        <v>#REF!</v>
      </c>
      <c r="G550" t="str">
        <f>IF(ISBLANK('Master Submitted DPDs'!#REF!),"","Withdrawn")</f>
        <v>Withdrawn</v>
      </c>
      <c r="H550" s="2" t="e">
        <f>IF(ISBLANK('Master Submitted DPDs'!#REF!),"",'Master Submitted DPDs'!#REF!)</f>
        <v>#REF!</v>
      </c>
      <c r="I550" s="3"/>
      <c r="J550" s="3"/>
      <c r="K550" s="3"/>
      <c r="L550" s="2" t="e">
        <f>IF(ISBLANK('Master Submitted DPDs'!#REF!),"",'Master Submitted DPDs'!#REF!)</f>
        <v>#REF!</v>
      </c>
      <c r="M550" s="2" t="e">
        <f t="shared" si="16"/>
        <v>#REF!</v>
      </c>
      <c r="N550" s="2" t="e">
        <f>IF(ISBLANK('Master Submitted DPDs'!#REF!),IF(ISBLANK('Master Submitted DPDs'!#REF!),"",'Master Submitted DPDs'!#REF!),'Master Submitted DPDs'!#REF!)</f>
        <v>#REF!</v>
      </c>
      <c r="O550" s="2" t="e">
        <f>IF(ISBLANK('Master Submitted DPDs'!#REF!),"",'Master Submitted DPDs'!#REF!)</f>
        <v>#REF!</v>
      </c>
      <c r="P550" s="2" t="e">
        <f>IF(ISBLANK('Master Submitted DPDs'!#REF!),"",'Master Submitted DPDs'!#REF!)</f>
        <v>#REF!</v>
      </c>
      <c r="Q550" t="e">
        <f>IF(ISBLANK('Master Submitted DPDs'!#REF!),"",'Master Submitted DPDs'!#REF!)</f>
        <v>#REF!</v>
      </c>
      <c r="R550" t="e">
        <f t="shared" si="17"/>
        <v>#REF!</v>
      </c>
      <c r="S550" s="3"/>
      <c r="T550" t="e">
        <f>IF(ISBLANK('Master Submitted DPDs'!#REF!),"",'Master Submitted DPDs'!#REF!)</f>
        <v>#REF!</v>
      </c>
    </row>
    <row r="551" spans="1:20" ht="15" x14ac:dyDescent="0.2">
      <c r="A551" s="3" t="str">
        <f>IF(ISBLANK('Master Submitted DPDs'!#REF!),"","Local Plans")</f>
        <v>Local Plans</v>
      </c>
      <c r="B551" t="e">
        <f>IF(ISBLANK('Master Submitted DPDs'!#REF!),"",'Master Submitted DPDs'!#REF!)</f>
        <v>#REF!</v>
      </c>
      <c r="C551" s="3" t="str">
        <f>IF(ISBLANK('Master Submitted DPDs'!#REF!),"","IH")</f>
        <v>IH</v>
      </c>
      <c r="D551" s="3" t="e">
        <f>LOOKUP($F551,'fuzzy LPA lookup'!$E:$E,'fuzzy LPA lookup'!$A:$A)</f>
        <v>#REF!</v>
      </c>
      <c r="E551" s="3" t="e">
        <f>LOOKUP($F551,'fuzzy LPA lookup'!$E:$E,'fuzzy LPA lookup'!$D:$D)</f>
        <v>#REF!</v>
      </c>
      <c r="F551" s="8" t="e">
        <f>IF(ISBLANK('Master Submitted DPDs'!#REF!),"",'Master Submitted DPDs'!#REF!)</f>
        <v>#REF!</v>
      </c>
      <c r="G551" t="str">
        <f>IF(ISBLANK('Master Submitted DPDs'!#REF!),"","Withdrawn")</f>
        <v>Withdrawn</v>
      </c>
      <c r="H551" s="2" t="e">
        <f>IF(ISBLANK('Master Submitted DPDs'!#REF!),"",'Master Submitted DPDs'!#REF!)</f>
        <v>#REF!</v>
      </c>
      <c r="I551" s="3"/>
      <c r="J551" s="3"/>
      <c r="K551" s="3"/>
      <c r="L551" s="2" t="e">
        <f>IF(ISBLANK('Master Submitted DPDs'!#REF!),"",'Master Submitted DPDs'!#REF!)</f>
        <v>#REF!</v>
      </c>
      <c r="M551" s="2" t="e">
        <f t="shared" si="16"/>
        <v>#REF!</v>
      </c>
      <c r="N551" s="2" t="e">
        <f>IF(ISBLANK('Master Submitted DPDs'!#REF!),IF(ISBLANK('Master Submitted DPDs'!#REF!),"",'Master Submitted DPDs'!#REF!),'Master Submitted DPDs'!#REF!)</f>
        <v>#REF!</v>
      </c>
      <c r="O551" s="2" t="e">
        <f>IF(ISBLANK('Master Submitted DPDs'!#REF!),"",'Master Submitted DPDs'!#REF!)</f>
        <v>#REF!</v>
      </c>
      <c r="P551" s="2" t="e">
        <f>IF(ISBLANK('Master Submitted DPDs'!#REF!),"",'Master Submitted DPDs'!#REF!)</f>
        <v>#REF!</v>
      </c>
      <c r="Q551" t="e">
        <f>IF(ISBLANK('Master Submitted DPDs'!#REF!),"",'Master Submitted DPDs'!#REF!)</f>
        <v>#REF!</v>
      </c>
      <c r="R551" t="e">
        <f t="shared" si="17"/>
        <v>#REF!</v>
      </c>
      <c r="S551" s="3"/>
      <c r="T551" t="e">
        <f>IF(ISBLANK('Master Submitted DPDs'!#REF!),"",'Master Submitted DPDs'!#REF!)</f>
        <v>#REF!</v>
      </c>
    </row>
    <row r="552" spans="1:20" ht="15" x14ac:dyDescent="0.2">
      <c r="A552" s="3" t="str">
        <f>IF(ISBLANK('Master Submitted DPDs'!#REF!),"","Local Plans")</f>
        <v>Local Plans</v>
      </c>
      <c r="B552" t="e">
        <f>IF(ISBLANK('Master Submitted DPDs'!#REF!),"",'Master Submitted DPDs'!#REF!)</f>
        <v>#REF!</v>
      </c>
      <c r="C552" s="3" t="str">
        <f>IF(ISBLANK('Master Submitted DPDs'!#REF!),"","IH")</f>
        <v>IH</v>
      </c>
      <c r="D552" s="3" t="e">
        <f>LOOKUP($F552,'fuzzy LPA lookup'!$E:$E,'fuzzy LPA lookup'!$A:$A)</f>
        <v>#REF!</v>
      </c>
      <c r="E552" s="3" t="e">
        <f>LOOKUP($F552,'fuzzy LPA lookup'!$E:$E,'fuzzy LPA lookup'!$D:$D)</f>
        <v>#REF!</v>
      </c>
      <c r="F552" s="8" t="e">
        <f>IF(ISBLANK('Master Submitted DPDs'!#REF!),"",'Master Submitted DPDs'!#REF!)</f>
        <v>#REF!</v>
      </c>
      <c r="G552" t="str">
        <f>IF(ISBLANK('Master Submitted DPDs'!#REF!),"","Withdrawn")</f>
        <v>Withdrawn</v>
      </c>
      <c r="H552" s="2" t="e">
        <f>IF(ISBLANK('Master Submitted DPDs'!#REF!),"",'Master Submitted DPDs'!#REF!)</f>
        <v>#REF!</v>
      </c>
      <c r="I552" s="3"/>
      <c r="J552" s="3"/>
      <c r="K552" s="3"/>
      <c r="L552" s="2" t="e">
        <f>IF(ISBLANK('Master Submitted DPDs'!#REF!),"",'Master Submitted DPDs'!#REF!)</f>
        <v>#REF!</v>
      </c>
      <c r="M552" s="2" t="e">
        <f t="shared" si="16"/>
        <v>#REF!</v>
      </c>
      <c r="N552" s="2" t="e">
        <f>IF(ISBLANK('Master Submitted DPDs'!#REF!),IF(ISBLANK('Master Submitted DPDs'!#REF!),"",'Master Submitted DPDs'!#REF!),'Master Submitted DPDs'!#REF!)</f>
        <v>#REF!</v>
      </c>
      <c r="O552" s="2" t="e">
        <f>IF(ISBLANK('Master Submitted DPDs'!#REF!),"",'Master Submitted DPDs'!#REF!)</f>
        <v>#REF!</v>
      </c>
      <c r="P552" s="2" t="e">
        <f>IF(ISBLANK('Master Submitted DPDs'!#REF!),"",'Master Submitted DPDs'!#REF!)</f>
        <v>#REF!</v>
      </c>
      <c r="Q552" t="e">
        <f>IF(ISBLANK('Master Submitted DPDs'!#REF!),"",'Master Submitted DPDs'!#REF!)</f>
        <v>#REF!</v>
      </c>
      <c r="R552" t="e">
        <f t="shared" si="17"/>
        <v>#REF!</v>
      </c>
      <c r="S552" s="3"/>
      <c r="T552" t="e">
        <f>IF(ISBLANK('Master Submitted DPDs'!#REF!),"",'Master Submitted DPDs'!#REF!)</f>
        <v>#REF!</v>
      </c>
    </row>
    <row r="553" spans="1:20" ht="15" x14ac:dyDescent="0.2">
      <c r="A553" s="3" t="str">
        <f>IF(ISBLANK('Master Submitted DPDs'!#REF!),"","Local Plans")</f>
        <v>Local Plans</v>
      </c>
      <c r="B553" t="e">
        <f>IF(ISBLANK('Master Submitted DPDs'!#REF!),"",'Master Submitted DPDs'!#REF!)</f>
        <v>#REF!</v>
      </c>
      <c r="C553" s="3" t="str">
        <f>IF(ISBLANK('Master Submitted DPDs'!#REF!),"","IH")</f>
        <v>IH</v>
      </c>
      <c r="D553" s="3" t="e">
        <f>LOOKUP($F553,'fuzzy LPA lookup'!$E:$E,'fuzzy LPA lookup'!$A:$A)</f>
        <v>#REF!</v>
      </c>
      <c r="E553" s="3" t="e">
        <f>LOOKUP($F553,'fuzzy LPA lookup'!$E:$E,'fuzzy LPA lookup'!$D:$D)</f>
        <v>#REF!</v>
      </c>
      <c r="F553" s="8" t="e">
        <f>IF(ISBLANK('Master Submitted DPDs'!#REF!),"",'Master Submitted DPDs'!#REF!)</f>
        <v>#REF!</v>
      </c>
      <c r="G553" t="str">
        <f>IF(ISBLANK('Master Submitted DPDs'!#REF!),"","Withdrawn")</f>
        <v>Withdrawn</v>
      </c>
      <c r="H553" s="2" t="e">
        <f>IF(ISBLANK('Master Submitted DPDs'!#REF!),"",'Master Submitted DPDs'!#REF!)</f>
        <v>#REF!</v>
      </c>
      <c r="I553" s="3"/>
      <c r="J553" s="3"/>
      <c r="K553" s="3"/>
      <c r="L553" s="2" t="e">
        <f>IF(ISBLANK('Master Submitted DPDs'!#REF!),"",'Master Submitted DPDs'!#REF!)</f>
        <v>#REF!</v>
      </c>
      <c r="M553" s="2" t="e">
        <f t="shared" si="16"/>
        <v>#REF!</v>
      </c>
      <c r="N553" s="2" t="e">
        <f>IF(ISBLANK('Master Submitted DPDs'!#REF!),IF(ISBLANK('Master Submitted DPDs'!#REF!),"",'Master Submitted DPDs'!#REF!),'Master Submitted DPDs'!#REF!)</f>
        <v>#REF!</v>
      </c>
      <c r="O553" s="2" t="e">
        <f>IF(ISBLANK('Master Submitted DPDs'!#REF!),"",'Master Submitted DPDs'!#REF!)</f>
        <v>#REF!</v>
      </c>
      <c r="P553" s="2" t="e">
        <f>IF(ISBLANK('Master Submitted DPDs'!#REF!),"",'Master Submitted DPDs'!#REF!)</f>
        <v>#REF!</v>
      </c>
      <c r="Q553" t="e">
        <f>IF(ISBLANK('Master Submitted DPDs'!#REF!),"",'Master Submitted DPDs'!#REF!)</f>
        <v>#REF!</v>
      </c>
      <c r="R553" t="e">
        <f t="shared" si="17"/>
        <v>#REF!</v>
      </c>
      <c r="S553" s="3"/>
      <c r="T553" t="e">
        <f>IF(ISBLANK('Master Submitted DPDs'!#REF!),"",'Master Submitted DPDs'!#REF!)</f>
        <v>#REF!</v>
      </c>
    </row>
    <row r="554" spans="1:20" ht="15" x14ac:dyDescent="0.2">
      <c r="A554" s="3" t="str">
        <f>IF(ISBLANK('Master Submitted DPDs'!#REF!),"","Local Plans")</f>
        <v>Local Plans</v>
      </c>
      <c r="B554" t="e">
        <f>IF(ISBLANK('Master Submitted DPDs'!#REF!),"",'Master Submitted DPDs'!#REF!)</f>
        <v>#REF!</v>
      </c>
      <c r="C554" s="3" t="str">
        <f>IF(ISBLANK('Master Submitted DPDs'!#REF!),"","IH")</f>
        <v>IH</v>
      </c>
      <c r="D554" s="3" t="e">
        <f>LOOKUP($F554,'fuzzy LPA lookup'!$E:$E,'fuzzy LPA lookup'!$A:$A)</f>
        <v>#REF!</v>
      </c>
      <c r="E554" s="3" t="e">
        <f>LOOKUP($F554,'fuzzy LPA lookup'!$E:$E,'fuzzy LPA lookup'!$D:$D)</f>
        <v>#REF!</v>
      </c>
      <c r="F554" s="8" t="e">
        <f>IF(ISBLANK('Master Submitted DPDs'!#REF!),"",'Master Submitted DPDs'!#REF!)</f>
        <v>#REF!</v>
      </c>
      <c r="G554" t="str">
        <f>IF(ISBLANK('Master Submitted DPDs'!#REF!),"","Withdrawn")</f>
        <v>Withdrawn</v>
      </c>
      <c r="H554" s="2" t="e">
        <f>IF(ISBLANK('Master Submitted DPDs'!#REF!),"",'Master Submitted DPDs'!#REF!)</f>
        <v>#REF!</v>
      </c>
      <c r="I554" s="3"/>
      <c r="J554" s="3"/>
      <c r="K554" s="3"/>
      <c r="L554" s="2" t="e">
        <f>IF(ISBLANK('Master Submitted DPDs'!#REF!),"",'Master Submitted DPDs'!#REF!)</f>
        <v>#REF!</v>
      </c>
      <c r="M554" s="2" t="e">
        <f t="shared" si="16"/>
        <v>#REF!</v>
      </c>
      <c r="N554" s="2" t="e">
        <f>IF(ISBLANK('Master Submitted DPDs'!#REF!),IF(ISBLANK('Master Submitted DPDs'!#REF!),"",'Master Submitted DPDs'!#REF!),'Master Submitted DPDs'!#REF!)</f>
        <v>#REF!</v>
      </c>
      <c r="O554" s="2" t="e">
        <f>IF(ISBLANK('Master Submitted DPDs'!#REF!),"",'Master Submitted DPDs'!#REF!)</f>
        <v>#REF!</v>
      </c>
      <c r="P554" s="2" t="e">
        <f>IF(ISBLANK('Master Submitted DPDs'!#REF!),"",'Master Submitted DPDs'!#REF!)</f>
        <v>#REF!</v>
      </c>
      <c r="Q554" t="e">
        <f>IF(ISBLANK('Master Submitted DPDs'!#REF!),"",'Master Submitted DPDs'!#REF!)</f>
        <v>#REF!</v>
      </c>
      <c r="R554" t="e">
        <f t="shared" si="17"/>
        <v>#REF!</v>
      </c>
      <c r="S554" s="3"/>
      <c r="T554" t="e">
        <f>IF(ISBLANK('Master Submitted DPDs'!#REF!),"",'Master Submitted DPDs'!#REF!)</f>
        <v>#REF!</v>
      </c>
    </row>
    <row r="555" spans="1:20" ht="15" x14ac:dyDescent="0.2">
      <c r="A555" s="3" t="str">
        <f>IF(ISBLANK('Master Submitted DPDs'!#REF!),"","Local Plans")</f>
        <v>Local Plans</v>
      </c>
      <c r="B555" t="e">
        <f>IF(ISBLANK('Master Submitted DPDs'!#REF!),"",'Master Submitted DPDs'!#REF!)</f>
        <v>#REF!</v>
      </c>
      <c r="C555" s="3" t="str">
        <f>IF(ISBLANK('Master Submitted DPDs'!#REF!),"","IH")</f>
        <v>IH</v>
      </c>
      <c r="D555" s="3" t="e">
        <f>LOOKUP($F555,'fuzzy LPA lookup'!$E:$E,'fuzzy LPA lookup'!$A:$A)</f>
        <v>#REF!</v>
      </c>
      <c r="E555" s="3" t="e">
        <f>LOOKUP($F555,'fuzzy LPA lookup'!$E:$E,'fuzzy LPA lookup'!$D:$D)</f>
        <v>#REF!</v>
      </c>
      <c r="F555" s="8" t="e">
        <f>IF(ISBLANK('Master Submitted DPDs'!#REF!),"",'Master Submitted DPDs'!#REF!)</f>
        <v>#REF!</v>
      </c>
      <c r="G555" t="str">
        <f>IF(ISBLANK('Master Submitted DPDs'!#REF!),"","Withdrawn")</f>
        <v>Withdrawn</v>
      </c>
      <c r="H555" s="2" t="e">
        <f>IF(ISBLANK('Master Submitted DPDs'!#REF!),"",'Master Submitted DPDs'!#REF!)</f>
        <v>#REF!</v>
      </c>
      <c r="I555" s="3"/>
      <c r="J555" s="3"/>
      <c r="K555" s="3"/>
      <c r="L555" s="2" t="e">
        <f>IF(ISBLANK('Master Submitted DPDs'!#REF!),"",'Master Submitted DPDs'!#REF!)</f>
        <v>#REF!</v>
      </c>
      <c r="M555" s="2" t="e">
        <f t="shared" si="16"/>
        <v>#REF!</v>
      </c>
      <c r="N555" s="2" t="e">
        <f>IF(ISBLANK('Master Submitted DPDs'!#REF!),IF(ISBLANK('Master Submitted DPDs'!#REF!),"",'Master Submitted DPDs'!#REF!),'Master Submitted DPDs'!#REF!)</f>
        <v>#REF!</v>
      </c>
      <c r="O555" s="2" t="e">
        <f>IF(ISBLANK('Master Submitted DPDs'!#REF!),"",'Master Submitted DPDs'!#REF!)</f>
        <v>#REF!</v>
      </c>
      <c r="P555" s="2" t="e">
        <f>IF(ISBLANK('Master Submitted DPDs'!#REF!),"",'Master Submitted DPDs'!#REF!)</f>
        <v>#REF!</v>
      </c>
      <c r="Q555" t="e">
        <f>IF(ISBLANK('Master Submitted DPDs'!#REF!),"",'Master Submitted DPDs'!#REF!)</f>
        <v>#REF!</v>
      </c>
      <c r="R555" t="e">
        <f t="shared" si="17"/>
        <v>#REF!</v>
      </c>
      <c r="S555" s="3"/>
      <c r="T555" t="e">
        <f>IF(ISBLANK('Master Submitted DPDs'!#REF!),"",'Master Submitted DPDs'!#REF!)</f>
        <v>#REF!</v>
      </c>
    </row>
    <row r="556" spans="1:20" ht="15" x14ac:dyDescent="0.2">
      <c r="A556" s="3" t="str">
        <f>IF(ISBLANK('Master Submitted DPDs'!#REF!),"","Local Plans")</f>
        <v>Local Plans</v>
      </c>
      <c r="B556" t="e">
        <f>IF(ISBLANK('Master Submitted DPDs'!#REF!),"",'Master Submitted DPDs'!#REF!)</f>
        <v>#REF!</v>
      </c>
      <c r="C556" s="3" t="str">
        <f>IF(ISBLANK('Master Submitted DPDs'!#REF!),"","IH")</f>
        <v>IH</v>
      </c>
      <c r="D556" s="3" t="e">
        <f>LOOKUP($F556,'fuzzy LPA lookup'!$E:$E,'fuzzy LPA lookup'!$A:$A)</f>
        <v>#REF!</v>
      </c>
      <c r="E556" s="3" t="e">
        <f>LOOKUP($F556,'fuzzy LPA lookup'!$E:$E,'fuzzy LPA lookup'!$D:$D)</f>
        <v>#REF!</v>
      </c>
      <c r="F556" s="8" t="e">
        <f>IF(ISBLANK('Master Submitted DPDs'!#REF!),"",'Master Submitted DPDs'!#REF!)</f>
        <v>#REF!</v>
      </c>
      <c r="G556" t="str">
        <f>IF(ISBLANK('Master Submitted DPDs'!#REF!),"","Withdrawn")</f>
        <v>Withdrawn</v>
      </c>
      <c r="H556" s="2" t="e">
        <f>IF(ISBLANK('Master Submitted DPDs'!#REF!),"",'Master Submitted DPDs'!#REF!)</f>
        <v>#REF!</v>
      </c>
      <c r="I556" s="3"/>
      <c r="J556" s="3"/>
      <c r="K556" s="3"/>
      <c r="L556" s="2" t="e">
        <f>IF(ISBLANK('Master Submitted DPDs'!#REF!),"",'Master Submitted DPDs'!#REF!)</f>
        <v>#REF!</v>
      </c>
      <c r="M556" s="2" t="e">
        <f t="shared" si="16"/>
        <v>#REF!</v>
      </c>
      <c r="N556" s="2" t="e">
        <f>IF(ISBLANK('Master Submitted DPDs'!#REF!),IF(ISBLANK('Master Submitted DPDs'!#REF!),"",'Master Submitted DPDs'!#REF!),'Master Submitted DPDs'!#REF!)</f>
        <v>#REF!</v>
      </c>
      <c r="O556" s="2" t="e">
        <f>IF(ISBLANK('Master Submitted DPDs'!#REF!),"",'Master Submitted DPDs'!#REF!)</f>
        <v>#REF!</v>
      </c>
      <c r="P556" s="2" t="e">
        <f>IF(ISBLANK('Master Submitted DPDs'!#REF!),"",'Master Submitted DPDs'!#REF!)</f>
        <v>#REF!</v>
      </c>
      <c r="Q556" t="e">
        <f>IF(ISBLANK('Master Submitted DPDs'!#REF!),"",'Master Submitted DPDs'!#REF!)</f>
        <v>#REF!</v>
      </c>
      <c r="R556" t="e">
        <f t="shared" si="17"/>
        <v>#REF!</v>
      </c>
      <c r="S556" s="3"/>
      <c r="T556" t="e">
        <f>IF(ISBLANK('Master Submitted DPDs'!#REF!),"",'Master Submitted DPDs'!#REF!)</f>
        <v>#REF!</v>
      </c>
    </row>
    <row r="557" spans="1:20" ht="15" x14ac:dyDescent="0.2">
      <c r="A557" s="3" t="str">
        <f>IF(ISBLANK('Master Submitted DPDs'!#REF!),"","Local Plans")</f>
        <v>Local Plans</v>
      </c>
      <c r="B557" t="e">
        <f>IF(ISBLANK('Master Submitted DPDs'!#REF!),"",'Master Submitted DPDs'!#REF!)</f>
        <v>#REF!</v>
      </c>
      <c r="C557" s="3" t="str">
        <f>IF(ISBLANK('Master Submitted DPDs'!#REF!),"","IH")</f>
        <v>IH</v>
      </c>
      <c r="D557" s="3" t="e">
        <f>LOOKUP($F557,'fuzzy LPA lookup'!$E:$E,'fuzzy LPA lookup'!$A:$A)</f>
        <v>#REF!</v>
      </c>
      <c r="E557" s="3" t="e">
        <f>LOOKUP($F557,'fuzzy LPA lookup'!$E:$E,'fuzzy LPA lookup'!$D:$D)</f>
        <v>#REF!</v>
      </c>
      <c r="F557" s="8" t="e">
        <f>IF(ISBLANK('Master Submitted DPDs'!#REF!),"",'Master Submitted DPDs'!#REF!)</f>
        <v>#REF!</v>
      </c>
      <c r="G557" t="str">
        <f>IF(ISBLANK('Master Submitted DPDs'!#REF!),"","Withdrawn")</f>
        <v>Withdrawn</v>
      </c>
      <c r="H557" s="2" t="e">
        <f>IF(ISBLANK('Master Submitted DPDs'!#REF!),"",'Master Submitted DPDs'!#REF!)</f>
        <v>#REF!</v>
      </c>
      <c r="I557" s="3"/>
      <c r="J557" s="3"/>
      <c r="K557" s="3"/>
      <c r="L557" s="2" t="e">
        <f>IF(ISBLANK('Master Submitted DPDs'!#REF!),"",'Master Submitted DPDs'!#REF!)</f>
        <v>#REF!</v>
      </c>
      <c r="M557" s="2" t="e">
        <f t="shared" si="16"/>
        <v>#REF!</v>
      </c>
      <c r="N557" s="2" t="e">
        <f>IF(ISBLANK('Master Submitted DPDs'!#REF!),IF(ISBLANK('Master Submitted DPDs'!#REF!),"",'Master Submitted DPDs'!#REF!),'Master Submitted DPDs'!#REF!)</f>
        <v>#REF!</v>
      </c>
      <c r="O557" s="2" t="e">
        <f>IF(ISBLANK('Master Submitted DPDs'!#REF!),"",'Master Submitted DPDs'!#REF!)</f>
        <v>#REF!</v>
      </c>
      <c r="P557" s="2" t="e">
        <f>IF(ISBLANK('Master Submitted DPDs'!#REF!),"",'Master Submitted DPDs'!#REF!)</f>
        <v>#REF!</v>
      </c>
      <c r="Q557" t="e">
        <f>IF(ISBLANK('Master Submitted DPDs'!#REF!),"",'Master Submitted DPDs'!#REF!)</f>
        <v>#REF!</v>
      </c>
      <c r="R557" t="e">
        <f t="shared" si="17"/>
        <v>#REF!</v>
      </c>
      <c r="S557" s="3"/>
      <c r="T557" t="e">
        <f>IF(ISBLANK('Master Submitted DPDs'!#REF!),"",'Master Submitted DPDs'!#REF!)</f>
        <v>#REF!</v>
      </c>
    </row>
    <row r="558" spans="1:20" ht="15" x14ac:dyDescent="0.2">
      <c r="A558" s="3" t="str">
        <f>IF(ISBLANK('Master Submitted DPDs'!#REF!),"","Local Plans")</f>
        <v>Local Plans</v>
      </c>
      <c r="B558" t="e">
        <f>IF(ISBLANK('Master Submitted DPDs'!#REF!),"",'Master Submitted DPDs'!#REF!)</f>
        <v>#REF!</v>
      </c>
      <c r="C558" s="3" t="str">
        <f>IF(ISBLANK('Master Submitted DPDs'!#REF!),"","IH")</f>
        <v>IH</v>
      </c>
      <c r="D558" s="3" t="e">
        <f>LOOKUP($F558,'fuzzy LPA lookup'!$E:$E,'fuzzy LPA lookup'!$A:$A)</f>
        <v>#REF!</v>
      </c>
      <c r="E558" s="3" t="e">
        <f>LOOKUP($F558,'fuzzy LPA lookup'!$E:$E,'fuzzy LPA lookup'!$D:$D)</f>
        <v>#REF!</v>
      </c>
      <c r="F558" s="8" t="e">
        <f>IF(ISBLANK('Master Submitted DPDs'!#REF!),"",'Master Submitted DPDs'!#REF!)</f>
        <v>#REF!</v>
      </c>
      <c r="G558" t="str">
        <f>IF(ISBLANK('Master Submitted DPDs'!#REF!),"","Withdrawn")</f>
        <v>Withdrawn</v>
      </c>
      <c r="H558" s="2" t="e">
        <f>IF(ISBLANK('Master Submitted DPDs'!#REF!),"",'Master Submitted DPDs'!#REF!)</f>
        <v>#REF!</v>
      </c>
      <c r="I558" s="3"/>
      <c r="J558" s="3"/>
      <c r="K558" s="3"/>
      <c r="L558" s="2" t="e">
        <f>IF(ISBLANK('Master Submitted DPDs'!#REF!),"",'Master Submitted DPDs'!#REF!)</f>
        <v>#REF!</v>
      </c>
      <c r="M558" s="2" t="e">
        <f t="shared" si="16"/>
        <v>#REF!</v>
      </c>
      <c r="N558" s="2" t="e">
        <f>IF(ISBLANK('Master Submitted DPDs'!#REF!),IF(ISBLANK('Master Submitted DPDs'!#REF!),"",'Master Submitted DPDs'!#REF!),'Master Submitted DPDs'!#REF!)</f>
        <v>#REF!</v>
      </c>
      <c r="O558" s="2" t="e">
        <f>IF(ISBLANK('Master Submitted DPDs'!#REF!),"",'Master Submitted DPDs'!#REF!)</f>
        <v>#REF!</v>
      </c>
      <c r="P558" s="2" t="e">
        <f>IF(ISBLANK('Master Submitted DPDs'!#REF!),"",'Master Submitted DPDs'!#REF!)</f>
        <v>#REF!</v>
      </c>
      <c r="Q558" t="e">
        <f>IF(ISBLANK('Master Submitted DPDs'!#REF!),"",'Master Submitted DPDs'!#REF!)</f>
        <v>#REF!</v>
      </c>
      <c r="R558" t="e">
        <f t="shared" si="17"/>
        <v>#REF!</v>
      </c>
      <c r="S558" s="3"/>
      <c r="T558" t="e">
        <f>IF(ISBLANK('Master Submitted DPDs'!#REF!),"",'Master Submitted DPDs'!#REF!)</f>
        <v>#REF!</v>
      </c>
    </row>
    <row r="559" spans="1:20" ht="15" x14ac:dyDescent="0.2">
      <c r="A559" s="3" t="str">
        <f>IF(ISBLANK('Master Submitted DPDs'!#REF!),"","Local Plans")</f>
        <v>Local Plans</v>
      </c>
      <c r="B559" t="e">
        <f>IF(ISBLANK('Master Submitted DPDs'!#REF!),"",'Master Submitted DPDs'!#REF!)</f>
        <v>#REF!</v>
      </c>
      <c r="C559" s="3" t="str">
        <f>IF(ISBLANK('Master Submitted DPDs'!#REF!),"","IH")</f>
        <v>IH</v>
      </c>
      <c r="D559" s="3" t="e">
        <f>LOOKUP($F559,'fuzzy LPA lookup'!$E:$E,'fuzzy LPA lookup'!$A:$A)</f>
        <v>#REF!</v>
      </c>
      <c r="E559" s="3" t="e">
        <f>LOOKUP($F559,'fuzzy LPA lookup'!$E:$E,'fuzzy LPA lookup'!$D:$D)</f>
        <v>#REF!</v>
      </c>
      <c r="F559" s="8" t="e">
        <f>IF(ISBLANK('Master Submitted DPDs'!#REF!),"",'Master Submitted DPDs'!#REF!)</f>
        <v>#REF!</v>
      </c>
      <c r="G559" t="str">
        <f>IF(ISBLANK('Master Submitted DPDs'!#REF!),"","Withdrawn")</f>
        <v>Withdrawn</v>
      </c>
      <c r="H559" s="2" t="e">
        <f>IF(ISBLANK('Master Submitted DPDs'!#REF!),"",'Master Submitted DPDs'!#REF!)</f>
        <v>#REF!</v>
      </c>
      <c r="I559" s="3"/>
      <c r="J559" s="3"/>
      <c r="K559" s="3"/>
      <c r="L559" s="2" t="e">
        <f>IF(ISBLANK('Master Submitted DPDs'!#REF!),"",'Master Submitted DPDs'!#REF!)</f>
        <v>#REF!</v>
      </c>
      <c r="M559" s="2" t="e">
        <f t="shared" si="16"/>
        <v>#REF!</v>
      </c>
      <c r="N559" s="2" t="e">
        <f>IF(ISBLANK('Master Submitted DPDs'!#REF!),IF(ISBLANK('Master Submitted DPDs'!#REF!),"",'Master Submitted DPDs'!#REF!),'Master Submitted DPDs'!#REF!)</f>
        <v>#REF!</v>
      </c>
      <c r="O559" s="2" t="e">
        <f>IF(ISBLANK('Master Submitted DPDs'!#REF!),"",'Master Submitted DPDs'!#REF!)</f>
        <v>#REF!</v>
      </c>
      <c r="P559" s="2" t="e">
        <f>IF(ISBLANK('Master Submitted DPDs'!#REF!),"",'Master Submitted DPDs'!#REF!)</f>
        <v>#REF!</v>
      </c>
      <c r="Q559" t="e">
        <f>IF(ISBLANK('Master Submitted DPDs'!#REF!),"",'Master Submitted DPDs'!#REF!)</f>
        <v>#REF!</v>
      </c>
      <c r="R559" t="e">
        <f t="shared" si="17"/>
        <v>#REF!</v>
      </c>
      <c r="S559" s="3"/>
      <c r="T559" t="e">
        <f>IF(ISBLANK('Master Submitted DPDs'!#REF!),"",'Master Submitted DPDs'!#REF!)</f>
        <v>#REF!</v>
      </c>
    </row>
    <row r="560" spans="1:20" ht="15" x14ac:dyDescent="0.2">
      <c r="A560" s="3" t="str">
        <f>IF(ISBLANK('Master Submitted DPDs'!#REF!),"","Local Plans")</f>
        <v>Local Plans</v>
      </c>
      <c r="B560" t="e">
        <f>IF(ISBLANK('Master Submitted DPDs'!#REF!),"",'Master Submitted DPDs'!#REF!)</f>
        <v>#REF!</v>
      </c>
      <c r="C560" s="3" t="str">
        <f>IF(ISBLANK('Master Submitted DPDs'!#REF!),"","IH")</f>
        <v>IH</v>
      </c>
      <c r="D560" s="3" t="e">
        <f>LOOKUP($F560,'fuzzy LPA lookup'!$E:$E,'fuzzy LPA lookup'!$A:$A)</f>
        <v>#REF!</v>
      </c>
      <c r="E560" s="3" t="e">
        <f>LOOKUP($F560,'fuzzy LPA lookup'!$E:$E,'fuzzy LPA lookup'!$D:$D)</f>
        <v>#REF!</v>
      </c>
      <c r="F560" s="8" t="e">
        <f>IF(ISBLANK('Master Submitted DPDs'!#REF!),"",'Master Submitted DPDs'!#REF!)</f>
        <v>#REF!</v>
      </c>
      <c r="G560" t="str">
        <f>IF(ISBLANK('Master Submitted DPDs'!#REF!),"","Withdrawn")</f>
        <v>Withdrawn</v>
      </c>
      <c r="H560" s="2" t="e">
        <f>IF(ISBLANK('Master Submitted DPDs'!#REF!),"",'Master Submitted DPDs'!#REF!)</f>
        <v>#REF!</v>
      </c>
      <c r="I560" s="3"/>
      <c r="J560" s="3"/>
      <c r="K560" s="3"/>
      <c r="L560" s="2" t="e">
        <f>IF(ISBLANK('Master Submitted DPDs'!#REF!),"",'Master Submitted DPDs'!#REF!)</f>
        <v>#REF!</v>
      </c>
      <c r="M560" s="2" t="e">
        <f t="shared" si="16"/>
        <v>#REF!</v>
      </c>
      <c r="N560" s="2" t="e">
        <f>IF(ISBLANK('Master Submitted DPDs'!#REF!),IF(ISBLANK('Master Submitted DPDs'!#REF!),"",'Master Submitted DPDs'!#REF!),'Master Submitted DPDs'!#REF!)</f>
        <v>#REF!</v>
      </c>
      <c r="O560" s="2" t="e">
        <f>IF(ISBLANK('Master Submitted DPDs'!#REF!),"",'Master Submitted DPDs'!#REF!)</f>
        <v>#REF!</v>
      </c>
      <c r="P560" s="2" t="e">
        <f>IF(ISBLANK('Master Submitted DPDs'!#REF!),"",'Master Submitted DPDs'!#REF!)</f>
        <v>#REF!</v>
      </c>
      <c r="Q560" t="e">
        <f>IF(ISBLANK('Master Submitted DPDs'!#REF!),"",'Master Submitted DPDs'!#REF!)</f>
        <v>#REF!</v>
      </c>
      <c r="R560" t="e">
        <f t="shared" si="17"/>
        <v>#REF!</v>
      </c>
      <c r="S560" s="3"/>
      <c r="T560" t="e">
        <f>IF(ISBLANK('Master Submitted DPDs'!#REF!),"",'Master Submitted DPDs'!#REF!)</f>
        <v>#REF!</v>
      </c>
    </row>
    <row r="561" spans="1:20" ht="15" x14ac:dyDescent="0.2">
      <c r="A561" s="3" t="str">
        <f>IF(ISBLANK('Master Submitted DPDs'!#REF!),"","Local Plans")</f>
        <v>Local Plans</v>
      </c>
      <c r="B561" t="e">
        <f>IF(ISBLANK('Master Submitted DPDs'!#REF!),"",'Master Submitted DPDs'!#REF!)</f>
        <v>#REF!</v>
      </c>
      <c r="C561" s="3" t="str">
        <f>IF(ISBLANK('Master Submitted DPDs'!#REF!),"","IH")</f>
        <v>IH</v>
      </c>
      <c r="D561" s="3" t="e">
        <f>LOOKUP($F561,'fuzzy LPA lookup'!$E:$E,'fuzzy LPA lookup'!$A:$A)</f>
        <v>#REF!</v>
      </c>
      <c r="E561" s="3" t="e">
        <f>LOOKUP($F561,'fuzzy LPA lookup'!$E:$E,'fuzzy LPA lookup'!$D:$D)</f>
        <v>#REF!</v>
      </c>
      <c r="F561" s="8" t="e">
        <f>IF(ISBLANK('Master Submitted DPDs'!#REF!),"",'Master Submitted DPDs'!#REF!)</f>
        <v>#REF!</v>
      </c>
      <c r="G561" t="str">
        <f>IF(ISBLANK('Master Submitted DPDs'!#REF!),"","Withdrawn")</f>
        <v>Withdrawn</v>
      </c>
      <c r="H561" s="2" t="e">
        <f>IF(ISBLANK('Master Submitted DPDs'!#REF!),"",'Master Submitted DPDs'!#REF!)</f>
        <v>#REF!</v>
      </c>
      <c r="I561" s="3"/>
      <c r="J561" s="3"/>
      <c r="K561" s="3"/>
      <c r="L561" s="2" t="e">
        <f>IF(ISBLANK('Master Submitted DPDs'!#REF!),"",'Master Submitted DPDs'!#REF!)</f>
        <v>#REF!</v>
      </c>
      <c r="M561" s="2" t="e">
        <f t="shared" si="16"/>
        <v>#REF!</v>
      </c>
      <c r="N561" s="2" t="e">
        <f>IF(ISBLANK('Master Submitted DPDs'!#REF!),IF(ISBLANK('Master Submitted DPDs'!#REF!),"",'Master Submitted DPDs'!#REF!),'Master Submitted DPDs'!#REF!)</f>
        <v>#REF!</v>
      </c>
      <c r="O561" s="2" t="e">
        <f>IF(ISBLANK('Master Submitted DPDs'!#REF!),"",'Master Submitted DPDs'!#REF!)</f>
        <v>#REF!</v>
      </c>
      <c r="P561" s="2" t="e">
        <f>IF(ISBLANK('Master Submitted DPDs'!#REF!),"",'Master Submitted DPDs'!#REF!)</f>
        <v>#REF!</v>
      </c>
      <c r="Q561" t="e">
        <f>IF(ISBLANK('Master Submitted DPDs'!#REF!),"",'Master Submitted DPDs'!#REF!)</f>
        <v>#REF!</v>
      </c>
      <c r="R561" t="e">
        <f t="shared" si="17"/>
        <v>#REF!</v>
      </c>
      <c r="S561" s="3"/>
      <c r="T561" t="e">
        <f>IF(ISBLANK('Master Submitted DPDs'!#REF!),"",'Master Submitted DPDs'!#REF!)</f>
        <v>#REF!</v>
      </c>
    </row>
    <row r="562" spans="1:20" ht="15" x14ac:dyDescent="0.2">
      <c r="A562" s="3" t="str">
        <f>IF(ISBLANK('Master Submitted DPDs'!#REF!),"","Local Plans")</f>
        <v>Local Plans</v>
      </c>
      <c r="B562" t="e">
        <f>IF(ISBLANK('Master Submitted DPDs'!#REF!),"",'Master Submitted DPDs'!#REF!)</f>
        <v>#REF!</v>
      </c>
      <c r="C562" s="3" t="str">
        <f>IF(ISBLANK('Master Submitted DPDs'!#REF!),"","IH")</f>
        <v>IH</v>
      </c>
      <c r="D562" s="3" t="e">
        <f>LOOKUP($F562,'fuzzy LPA lookup'!$E:$E,'fuzzy LPA lookup'!$A:$A)</f>
        <v>#REF!</v>
      </c>
      <c r="E562" s="3" t="e">
        <f>LOOKUP($F562,'fuzzy LPA lookup'!$E:$E,'fuzzy LPA lookup'!$D:$D)</f>
        <v>#REF!</v>
      </c>
      <c r="F562" s="8" t="e">
        <f>IF(ISBLANK('Master Submitted DPDs'!#REF!),"",'Master Submitted DPDs'!#REF!)</f>
        <v>#REF!</v>
      </c>
      <c r="G562" t="str">
        <f>IF(ISBLANK('Master Submitted DPDs'!#REF!),"","Withdrawn")</f>
        <v>Withdrawn</v>
      </c>
      <c r="H562" s="2" t="e">
        <f>IF(ISBLANK('Master Submitted DPDs'!#REF!),"",'Master Submitted DPDs'!#REF!)</f>
        <v>#REF!</v>
      </c>
      <c r="I562" s="3"/>
      <c r="J562" s="3"/>
      <c r="K562" s="3"/>
      <c r="L562" s="2" t="e">
        <f>IF(ISBLANK('Master Submitted DPDs'!#REF!),"",'Master Submitted DPDs'!#REF!)</f>
        <v>#REF!</v>
      </c>
      <c r="M562" s="2" t="e">
        <f t="shared" si="16"/>
        <v>#REF!</v>
      </c>
      <c r="N562" s="2" t="e">
        <f>IF(ISBLANK('Master Submitted DPDs'!#REF!),IF(ISBLANK('Master Submitted DPDs'!#REF!),"",'Master Submitted DPDs'!#REF!),'Master Submitted DPDs'!#REF!)</f>
        <v>#REF!</v>
      </c>
      <c r="O562" s="2" t="e">
        <f>IF(ISBLANK('Master Submitted DPDs'!#REF!),"",'Master Submitted DPDs'!#REF!)</f>
        <v>#REF!</v>
      </c>
      <c r="P562" s="2" t="e">
        <f>IF(ISBLANK('Master Submitted DPDs'!#REF!),"",'Master Submitted DPDs'!#REF!)</f>
        <v>#REF!</v>
      </c>
      <c r="Q562" t="e">
        <f>IF(ISBLANK('Master Submitted DPDs'!#REF!),"",'Master Submitted DPDs'!#REF!)</f>
        <v>#REF!</v>
      </c>
      <c r="R562" t="e">
        <f t="shared" si="17"/>
        <v>#REF!</v>
      </c>
      <c r="S562" s="3"/>
      <c r="T562" t="e">
        <f>IF(ISBLANK('Master Submitted DPDs'!#REF!),"",'Master Submitted DPDs'!#REF!)</f>
        <v>#REF!</v>
      </c>
    </row>
    <row r="563" spans="1:20" ht="15" x14ac:dyDescent="0.2">
      <c r="A563" s="3" t="str">
        <f>IF(ISBLANK('Master Submitted DPDs'!#REF!),"","Local Plans")</f>
        <v>Local Plans</v>
      </c>
      <c r="B563" t="e">
        <f>IF(ISBLANK('Master Submitted DPDs'!#REF!),"",'Master Submitted DPDs'!#REF!)</f>
        <v>#REF!</v>
      </c>
      <c r="C563" s="3" t="str">
        <f>IF(ISBLANK('Master Submitted DPDs'!#REF!),"","IH")</f>
        <v>IH</v>
      </c>
      <c r="D563" s="3" t="e">
        <f>LOOKUP($F563,'fuzzy LPA lookup'!$E:$E,'fuzzy LPA lookup'!$A:$A)</f>
        <v>#REF!</v>
      </c>
      <c r="E563" s="3" t="e">
        <f>LOOKUP($F563,'fuzzy LPA lookup'!$E:$E,'fuzzy LPA lookup'!$D:$D)</f>
        <v>#REF!</v>
      </c>
      <c r="F563" s="8" t="e">
        <f>IF(ISBLANK('Master Submitted DPDs'!#REF!),"",'Master Submitted DPDs'!#REF!)</f>
        <v>#REF!</v>
      </c>
      <c r="G563" t="str">
        <f>IF(ISBLANK('Master Submitted DPDs'!#REF!),"","Withdrawn")</f>
        <v>Withdrawn</v>
      </c>
      <c r="H563" s="2" t="e">
        <f>IF(ISBLANK('Master Submitted DPDs'!#REF!),"",'Master Submitted DPDs'!#REF!)</f>
        <v>#REF!</v>
      </c>
      <c r="I563" s="3"/>
      <c r="J563" s="3"/>
      <c r="K563" s="3"/>
      <c r="L563" s="2" t="e">
        <f>IF(ISBLANK('Master Submitted DPDs'!#REF!),"",'Master Submitted DPDs'!#REF!)</f>
        <v>#REF!</v>
      </c>
      <c r="M563" s="2" t="e">
        <f t="shared" si="16"/>
        <v>#REF!</v>
      </c>
      <c r="N563" s="2" t="e">
        <f>IF(ISBLANK('Master Submitted DPDs'!#REF!),IF(ISBLANK('Master Submitted DPDs'!#REF!),"",'Master Submitted DPDs'!#REF!),'Master Submitted DPDs'!#REF!)</f>
        <v>#REF!</v>
      </c>
      <c r="O563" s="2" t="e">
        <f>IF(ISBLANK('Master Submitted DPDs'!#REF!),"",'Master Submitted DPDs'!#REF!)</f>
        <v>#REF!</v>
      </c>
      <c r="P563" s="2" t="e">
        <f>IF(ISBLANK('Master Submitted DPDs'!#REF!),"",'Master Submitted DPDs'!#REF!)</f>
        <v>#REF!</v>
      </c>
      <c r="Q563" t="e">
        <f>IF(ISBLANK('Master Submitted DPDs'!#REF!),"",'Master Submitted DPDs'!#REF!)</f>
        <v>#REF!</v>
      </c>
      <c r="R563" t="e">
        <f t="shared" si="17"/>
        <v>#REF!</v>
      </c>
      <c r="S563" s="3"/>
      <c r="T563" t="e">
        <f>IF(ISBLANK('Master Submitted DPDs'!#REF!),"",'Master Submitted DPDs'!#REF!)</f>
        <v>#REF!</v>
      </c>
    </row>
    <row r="564" spans="1:20" ht="15" x14ac:dyDescent="0.2">
      <c r="A564" s="3" t="str">
        <f>IF(ISBLANK('Master Submitted DPDs'!#REF!),"","Local Plans")</f>
        <v>Local Plans</v>
      </c>
      <c r="B564" t="e">
        <f>IF(ISBLANK('Master Submitted DPDs'!#REF!),"",'Master Submitted DPDs'!#REF!)</f>
        <v>#REF!</v>
      </c>
      <c r="C564" s="3" t="str">
        <f>IF(ISBLANK('Master Submitted DPDs'!#REF!),"","IH")</f>
        <v>IH</v>
      </c>
      <c r="D564" s="3" t="e">
        <f>LOOKUP($F564,'fuzzy LPA lookup'!$E:$E,'fuzzy LPA lookup'!$A:$A)</f>
        <v>#REF!</v>
      </c>
      <c r="E564" s="3" t="e">
        <f>LOOKUP($F564,'fuzzy LPA lookup'!$E:$E,'fuzzy LPA lookup'!$D:$D)</f>
        <v>#REF!</v>
      </c>
      <c r="F564" s="8" t="e">
        <f>IF(ISBLANK('Master Submitted DPDs'!#REF!),"",'Master Submitted DPDs'!#REF!)</f>
        <v>#REF!</v>
      </c>
      <c r="G564" t="str">
        <f>IF(ISBLANK('Master Submitted DPDs'!#REF!),"","Withdrawn")</f>
        <v>Withdrawn</v>
      </c>
      <c r="H564" s="2" t="e">
        <f>IF(ISBLANK('Master Submitted DPDs'!#REF!),"",'Master Submitted DPDs'!#REF!)</f>
        <v>#REF!</v>
      </c>
      <c r="I564" s="3"/>
      <c r="J564" s="3"/>
      <c r="K564" s="3"/>
      <c r="L564" s="2" t="e">
        <f>IF(ISBLANK('Master Submitted DPDs'!#REF!),"",'Master Submitted DPDs'!#REF!)</f>
        <v>#REF!</v>
      </c>
      <c r="M564" s="2" t="e">
        <f t="shared" si="16"/>
        <v>#REF!</v>
      </c>
      <c r="N564" s="2" t="e">
        <f>IF(ISBLANK('Master Submitted DPDs'!#REF!),IF(ISBLANK('Master Submitted DPDs'!#REF!),"",'Master Submitted DPDs'!#REF!),'Master Submitted DPDs'!#REF!)</f>
        <v>#REF!</v>
      </c>
      <c r="O564" s="2" t="e">
        <f>IF(ISBLANK('Master Submitted DPDs'!#REF!),"",'Master Submitted DPDs'!#REF!)</f>
        <v>#REF!</v>
      </c>
      <c r="P564" s="2" t="e">
        <f>IF(ISBLANK('Master Submitted DPDs'!#REF!),"",'Master Submitted DPDs'!#REF!)</f>
        <v>#REF!</v>
      </c>
      <c r="Q564" t="e">
        <f>IF(ISBLANK('Master Submitted DPDs'!#REF!),"",'Master Submitted DPDs'!#REF!)</f>
        <v>#REF!</v>
      </c>
      <c r="R564" t="e">
        <f t="shared" si="17"/>
        <v>#REF!</v>
      </c>
      <c r="S564" s="3"/>
      <c r="T564" t="e">
        <f>IF(ISBLANK('Master Submitted DPDs'!#REF!),"",'Master Submitted DPDs'!#REF!)</f>
        <v>#REF!</v>
      </c>
    </row>
    <row r="565" spans="1:20" ht="15" x14ac:dyDescent="0.2">
      <c r="A565" s="3" t="str">
        <f>IF(ISBLANK('Master Submitted DPDs'!#REF!),"","Local Plans")</f>
        <v>Local Plans</v>
      </c>
      <c r="B565" t="e">
        <f>IF(ISBLANK('Master Submitted DPDs'!#REF!),"",'Master Submitted DPDs'!#REF!)</f>
        <v>#REF!</v>
      </c>
      <c r="C565" s="3" t="str">
        <f>IF(ISBLANK('Master Submitted DPDs'!#REF!),"","IH")</f>
        <v>IH</v>
      </c>
      <c r="D565" s="3" t="e">
        <f>LOOKUP($F565,'fuzzy LPA lookup'!$E:$E,'fuzzy LPA lookup'!$A:$A)</f>
        <v>#REF!</v>
      </c>
      <c r="E565" s="3" t="e">
        <f>LOOKUP($F565,'fuzzy LPA lookup'!$E:$E,'fuzzy LPA lookup'!$D:$D)</f>
        <v>#REF!</v>
      </c>
      <c r="F565" s="8" t="e">
        <f>IF(ISBLANK('Master Submitted DPDs'!#REF!),"",'Master Submitted DPDs'!#REF!)</f>
        <v>#REF!</v>
      </c>
      <c r="G565" t="str">
        <f>IF(ISBLANK('Master Submitted DPDs'!#REF!),"","Withdrawn")</f>
        <v>Withdrawn</v>
      </c>
      <c r="H565" s="2" t="e">
        <f>IF(ISBLANK('Master Submitted DPDs'!#REF!),"",'Master Submitted DPDs'!#REF!)</f>
        <v>#REF!</v>
      </c>
      <c r="I565" s="3"/>
      <c r="J565" s="3"/>
      <c r="K565" s="3"/>
      <c r="L565" s="2" t="e">
        <f>IF(ISBLANK('Master Submitted DPDs'!#REF!),"",'Master Submitted DPDs'!#REF!)</f>
        <v>#REF!</v>
      </c>
      <c r="M565" s="2" t="e">
        <f t="shared" si="16"/>
        <v>#REF!</v>
      </c>
      <c r="N565" s="2" t="e">
        <f>IF(ISBLANK('Master Submitted DPDs'!#REF!),IF(ISBLANK('Master Submitted DPDs'!#REF!),"",'Master Submitted DPDs'!#REF!),'Master Submitted DPDs'!#REF!)</f>
        <v>#REF!</v>
      </c>
      <c r="O565" s="2" t="e">
        <f>IF(ISBLANK('Master Submitted DPDs'!#REF!),"",'Master Submitted DPDs'!#REF!)</f>
        <v>#REF!</v>
      </c>
      <c r="P565" s="2" t="e">
        <f>IF(ISBLANK('Master Submitted DPDs'!#REF!),"",'Master Submitted DPDs'!#REF!)</f>
        <v>#REF!</v>
      </c>
      <c r="Q565" t="e">
        <f>IF(ISBLANK('Master Submitted DPDs'!#REF!),"",'Master Submitted DPDs'!#REF!)</f>
        <v>#REF!</v>
      </c>
      <c r="R565" t="e">
        <f t="shared" si="17"/>
        <v>#REF!</v>
      </c>
      <c r="S565" s="3"/>
      <c r="T565" t="e">
        <f>IF(ISBLANK('Master Submitted DPDs'!#REF!),"",'Master Submitted DPDs'!#REF!)</f>
        <v>#REF!</v>
      </c>
    </row>
    <row r="566" spans="1:20" ht="15" x14ac:dyDescent="0.2">
      <c r="A566" s="3" t="str">
        <f>IF(ISBLANK('Master Submitted DPDs'!#REF!),"","Local Plans")</f>
        <v>Local Plans</v>
      </c>
      <c r="B566" t="e">
        <f>IF(ISBLANK('Master Submitted DPDs'!#REF!),"",'Master Submitted DPDs'!#REF!)</f>
        <v>#REF!</v>
      </c>
      <c r="C566" s="3" t="str">
        <f>IF(ISBLANK('Master Submitted DPDs'!#REF!),"","IH")</f>
        <v>IH</v>
      </c>
      <c r="D566" s="3" t="e">
        <f>LOOKUP($F566,'fuzzy LPA lookup'!$E:$E,'fuzzy LPA lookup'!$A:$A)</f>
        <v>#REF!</v>
      </c>
      <c r="E566" s="3" t="e">
        <f>LOOKUP($F566,'fuzzy LPA lookup'!$E:$E,'fuzzy LPA lookup'!$D:$D)</f>
        <v>#REF!</v>
      </c>
      <c r="F566" s="8" t="e">
        <f>IF(ISBLANK('Master Submitted DPDs'!#REF!),"",'Master Submitted DPDs'!#REF!)</f>
        <v>#REF!</v>
      </c>
      <c r="G566" t="str">
        <f>IF(ISBLANK('Master Submitted DPDs'!#REF!),"","Withdrawn")</f>
        <v>Withdrawn</v>
      </c>
      <c r="H566" s="2" t="e">
        <f>IF(ISBLANK('Master Submitted DPDs'!#REF!),"",'Master Submitted DPDs'!#REF!)</f>
        <v>#REF!</v>
      </c>
      <c r="I566" s="3"/>
      <c r="J566" s="3"/>
      <c r="K566" s="3"/>
      <c r="L566" s="2" t="e">
        <f>IF(ISBLANK('Master Submitted DPDs'!#REF!),"",'Master Submitted DPDs'!#REF!)</f>
        <v>#REF!</v>
      </c>
      <c r="M566" s="2" t="e">
        <f t="shared" si="16"/>
        <v>#REF!</v>
      </c>
      <c r="N566" s="2" t="e">
        <f>IF(ISBLANK('Master Submitted DPDs'!#REF!),IF(ISBLANK('Master Submitted DPDs'!#REF!),"",'Master Submitted DPDs'!#REF!),'Master Submitted DPDs'!#REF!)</f>
        <v>#REF!</v>
      </c>
      <c r="O566" s="2" t="e">
        <f>IF(ISBLANK('Master Submitted DPDs'!#REF!),"",'Master Submitted DPDs'!#REF!)</f>
        <v>#REF!</v>
      </c>
      <c r="P566" s="2" t="e">
        <f>IF(ISBLANK('Master Submitted DPDs'!#REF!),"",'Master Submitted DPDs'!#REF!)</f>
        <v>#REF!</v>
      </c>
      <c r="Q566" t="e">
        <f>IF(ISBLANK('Master Submitted DPDs'!#REF!),"",'Master Submitted DPDs'!#REF!)</f>
        <v>#REF!</v>
      </c>
      <c r="R566" t="e">
        <f t="shared" si="17"/>
        <v>#REF!</v>
      </c>
      <c r="S566" s="3"/>
      <c r="T566" t="e">
        <f>IF(ISBLANK('Master Submitted DPDs'!#REF!),"",'Master Submitted DPDs'!#REF!)</f>
        <v>#REF!</v>
      </c>
    </row>
    <row r="567" spans="1:20" ht="15" x14ac:dyDescent="0.2">
      <c r="A567" s="3" t="str">
        <f>IF(ISBLANK('Master Submitted DPDs'!#REF!),"","Local Plans")</f>
        <v>Local Plans</v>
      </c>
      <c r="B567" t="e">
        <f>IF(ISBLANK('Master Submitted DPDs'!#REF!),"",'Master Submitted DPDs'!#REF!)</f>
        <v>#REF!</v>
      </c>
      <c r="C567" s="3" t="str">
        <f>IF(ISBLANK('Master Submitted DPDs'!#REF!),"","IH")</f>
        <v>IH</v>
      </c>
      <c r="D567" s="3" t="e">
        <f>LOOKUP($F567,'fuzzy LPA lookup'!$E:$E,'fuzzy LPA lookup'!$A:$A)</f>
        <v>#REF!</v>
      </c>
      <c r="E567" s="3" t="e">
        <f>LOOKUP($F567,'fuzzy LPA lookup'!$E:$E,'fuzzy LPA lookup'!$D:$D)</f>
        <v>#REF!</v>
      </c>
      <c r="F567" s="8" t="e">
        <f>IF(ISBLANK('Master Submitted DPDs'!#REF!),"",'Master Submitted DPDs'!#REF!)</f>
        <v>#REF!</v>
      </c>
      <c r="G567" t="str">
        <f>IF(ISBLANK('Master Submitted DPDs'!#REF!),"","Withdrawn")</f>
        <v>Withdrawn</v>
      </c>
      <c r="H567" s="2" t="e">
        <f>IF(ISBLANK('Master Submitted DPDs'!#REF!),"",'Master Submitted DPDs'!#REF!)</f>
        <v>#REF!</v>
      </c>
      <c r="I567" s="3"/>
      <c r="J567" s="3"/>
      <c r="K567" s="3"/>
      <c r="L567" s="2" t="e">
        <f>IF(ISBLANK('Master Submitted DPDs'!#REF!),"",'Master Submitted DPDs'!#REF!)</f>
        <v>#REF!</v>
      </c>
      <c r="M567" s="2" t="e">
        <f t="shared" si="16"/>
        <v>#REF!</v>
      </c>
      <c r="N567" s="2" t="e">
        <f>IF(ISBLANK('Master Submitted DPDs'!#REF!),IF(ISBLANK('Master Submitted DPDs'!#REF!),"",'Master Submitted DPDs'!#REF!),'Master Submitted DPDs'!#REF!)</f>
        <v>#REF!</v>
      </c>
      <c r="O567" s="2" t="e">
        <f>IF(ISBLANK('Master Submitted DPDs'!#REF!),"",'Master Submitted DPDs'!#REF!)</f>
        <v>#REF!</v>
      </c>
      <c r="P567" s="2" t="e">
        <f>IF(ISBLANK('Master Submitted DPDs'!#REF!),"",'Master Submitted DPDs'!#REF!)</f>
        <v>#REF!</v>
      </c>
      <c r="Q567" t="e">
        <f>IF(ISBLANK('Master Submitted DPDs'!#REF!),"",'Master Submitted DPDs'!#REF!)</f>
        <v>#REF!</v>
      </c>
      <c r="R567" t="e">
        <f t="shared" si="17"/>
        <v>#REF!</v>
      </c>
      <c r="S567" s="3"/>
      <c r="T567" t="e">
        <f>IF(ISBLANK('Master Submitted DPDs'!#REF!),"",'Master Submitted DPDs'!#REF!)</f>
        <v>#REF!</v>
      </c>
    </row>
    <row r="568" spans="1:20" ht="15" x14ac:dyDescent="0.2">
      <c r="A568" s="3" t="str">
        <f>IF(ISBLANK('Master Submitted DPDs'!#REF!),"","Local Plans")</f>
        <v>Local Plans</v>
      </c>
      <c r="B568" t="e">
        <f>IF(ISBLANK('Master Submitted DPDs'!#REF!),"",'Master Submitted DPDs'!#REF!)</f>
        <v>#REF!</v>
      </c>
      <c r="C568" s="3" t="str">
        <f>IF(ISBLANK('Master Submitted DPDs'!#REF!),"","IH")</f>
        <v>IH</v>
      </c>
      <c r="D568" s="3" t="e">
        <f>LOOKUP($F568,'fuzzy LPA lookup'!$E:$E,'fuzzy LPA lookup'!$A:$A)</f>
        <v>#REF!</v>
      </c>
      <c r="E568" s="3" t="e">
        <f>LOOKUP($F568,'fuzzy LPA lookup'!$E:$E,'fuzzy LPA lookup'!$D:$D)</f>
        <v>#REF!</v>
      </c>
      <c r="F568" s="8" t="e">
        <f>IF(ISBLANK('Master Submitted DPDs'!#REF!),"",'Master Submitted DPDs'!#REF!)</f>
        <v>#REF!</v>
      </c>
      <c r="G568" t="str">
        <f>IF(ISBLANK('Master Submitted DPDs'!#REF!),"","Withdrawn")</f>
        <v>Withdrawn</v>
      </c>
      <c r="H568" s="2" t="e">
        <f>IF(ISBLANK('Master Submitted DPDs'!#REF!),"",'Master Submitted DPDs'!#REF!)</f>
        <v>#REF!</v>
      </c>
      <c r="I568" s="3"/>
      <c r="J568" s="3"/>
      <c r="K568" s="3"/>
      <c r="L568" s="2" t="e">
        <f>IF(ISBLANK('Master Submitted DPDs'!#REF!),"",'Master Submitted DPDs'!#REF!)</f>
        <v>#REF!</v>
      </c>
      <c r="M568" s="2" t="e">
        <f t="shared" si="16"/>
        <v>#REF!</v>
      </c>
      <c r="N568" s="2" t="e">
        <f>IF(ISBLANK('Master Submitted DPDs'!#REF!),IF(ISBLANK('Master Submitted DPDs'!#REF!),"",'Master Submitted DPDs'!#REF!),'Master Submitted DPDs'!#REF!)</f>
        <v>#REF!</v>
      </c>
      <c r="O568" s="2" t="e">
        <f>IF(ISBLANK('Master Submitted DPDs'!#REF!),"",'Master Submitted DPDs'!#REF!)</f>
        <v>#REF!</v>
      </c>
      <c r="P568" s="2" t="e">
        <f>IF(ISBLANK('Master Submitted DPDs'!#REF!),"",'Master Submitted DPDs'!#REF!)</f>
        <v>#REF!</v>
      </c>
      <c r="Q568" t="e">
        <f>IF(ISBLANK('Master Submitted DPDs'!#REF!),"",'Master Submitted DPDs'!#REF!)</f>
        <v>#REF!</v>
      </c>
      <c r="R568" t="e">
        <f t="shared" si="17"/>
        <v>#REF!</v>
      </c>
      <c r="S568" s="3"/>
      <c r="T568" t="e">
        <f>IF(ISBLANK('Master Submitted DPDs'!#REF!),"",'Master Submitted DPDs'!#REF!)</f>
        <v>#REF!</v>
      </c>
    </row>
    <row r="569" spans="1:20" ht="15" x14ac:dyDescent="0.2">
      <c r="A569" s="3" t="str">
        <f>IF(ISBLANK('Master Submitted DPDs'!#REF!),"","Local Plans")</f>
        <v>Local Plans</v>
      </c>
      <c r="B569" t="e">
        <f>IF(ISBLANK('Master Submitted DPDs'!#REF!),"",'Master Submitted DPDs'!#REF!)</f>
        <v>#REF!</v>
      </c>
      <c r="C569" s="3" t="str">
        <f>IF(ISBLANK('Master Submitted DPDs'!#REF!),"","IH")</f>
        <v>IH</v>
      </c>
      <c r="D569" s="3" t="e">
        <f>LOOKUP($F569,'fuzzy LPA lookup'!$E:$E,'fuzzy LPA lookup'!$A:$A)</f>
        <v>#REF!</v>
      </c>
      <c r="E569" s="3" t="e">
        <f>LOOKUP($F569,'fuzzy LPA lookup'!$E:$E,'fuzzy LPA lookup'!$D:$D)</f>
        <v>#REF!</v>
      </c>
      <c r="F569" s="8" t="e">
        <f>IF(ISBLANK('Master Submitted DPDs'!#REF!),"",'Master Submitted DPDs'!#REF!)</f>
        <v>#REF!</v>
      </c>
      <c r="G569" t="str">
        <f>IF(ISBLANK('Master Submitted DPDs'!#REF!),"","Withdrawn")</f>
        <v>Withdrawn</v>
      </c>
      <c r="H569" s="2" t="e">
        <f>IF(ISBLANK('Master Submitted DPDs'!#REF!),"",'Master Submitted DPDs'!#REF!)</f>
        <v>#REF!</v>
      </c>
      <c r="I569" s="3"/>
      <c r="J569" s="3"/>
      <c r="K569" s="3"/>
      <c r="L569" s="2" t="e">
        <f>IF(ISBLANK('Master Submitted DPDs'!#REF!),"",'Master Submitted DPDs'!#REF!)</f>
        <v>#REF!</v>
      </c>
      <c r="M569" s="2" t="e">
        <f t="shared" si="16"/>
        <v>#REF!</v>
      </c>
      <c r="N569" s="2" t="e">
        <f>IF(ISBLANK('Master Submitted DPDs'!#REF!),IF(ISBLANK('Master Submitted DPDs'!#REF!),"",'Master Submitted DPDs'!#REF!),'Master Submitted DPDs'!#REF!)</f>
        <v>#REF!</v>
      </c>
      <c r="O569" s="2" t="e">
        <f>IF(ISBLANK('Master Submitted DPDs'!#REF!),"",'Master Submitted DPDs'!#REF!)</f>
        <v>#REF!</v>
      </c>
      <c r="P569" s="2" t="e">
        <f>IF(ISBLANK('Master Submitted DPDs'!#REF!),"",'Master Submitted DPDs'!#REF!)</f>
        <v>#REF!</v>
      </c>
      <c r="Q569" t="e">
        <f>IF(ISBLANK('Master Submitted DPDs'!#REF!),"",'Master Submitted DPDs'!#REF!)</f>
        <v>#REF!</v>
      </c>
      <c r="R569" t="e">
        <f t="shared" si="17"/>
        <v>#REF!</v>
      </c>
      <c r="S569" s="3"/>
      <c r="T569" t="e">
        <f>IF(ISBLANK('Master Submitted DPDs'!#REF!),"",'Master Submitted DPDs'!#REF!)</f>
        <v>#REF!</v>
      </c>
    </row>
    <row r="570" spans="1:20" ht="15" x14ac:dyDescent="0.2">
      <c r="A570" s="3" t="str">
        <f>IF(ISBLANK('Master Submitted DPDs'!#REF!),"","Local Plans")</f>
        <v>Local Plans</v>
      </c>
      <c r="B570" t="e">
        <f>IF(ISBLANK('Master Submitted DPDs'!#REF!),"",'Master Submitted DPDs'!#REF!)</f>
        <v>#REF!</v>
      </c>
      <c r="C570" s="3" t="str">
        <f>IF(ISBLANK('Master Submitted DPDs'!#REF!),"","IH")</f>
        <v>IH</v>
      </c>
      <c r="D570" s="3" t="e">
        <f>LOOKUP($F570,'fuzzy LPA lookup'!$E:$E,'fuzzy LPA lookup'!$A:$A)</f>
        <v>#REF!</v>
      </c>
      <c r="E570" s="3" t="e">
        <f>LOOKUP($F570,'fuzzy LPA lookup'!$E:$E,'fuzzy LPA lookup'!$D:$D)</f>
        <v>#REF!</v>
      </c>
      <c r="F570" s="8" t="e">
        <f>IF(ISBLANK('Master Submitted DPDs'!#REF!),"",'Master Submitted DPDs'!#REF!)</f>
        <v>#REF!</v>
      </c>
      <c r="G570" t="str">
        <f>IF(ISBLANK('Master Submitted DPDs'!#REF!),"","Withdrawn")</f>
        <v>Withdrawn</v>
      </c>
      <c r="H570" s="2" t="e">
        <f>IF(ISBLANK('Master Submitted DPDs'!#REF!),"",'Master Submitted DPDs'!#REF!)</f>
        <v>#REF!</v>
      </c>
      <c r="I570" s="3"/>
      <c r="J570" s="3"/>
      <c r="K570" s="3"/>
      <c r="L570" s="2" t="e">
        <f>IF(ISBLANK('Master Submitted DPDs'!#REF!),"",'Master Submitted DPDs'!#REF!)</f>
        <v>#REF!</v>
      </c>
      <c r="M570" s="2" t="e">
        <f t="shared" si="16"/>
        <v>#REF!</v>
      </c>
      <c r="N570" s="2" t="e">
        <f>IF(ISBLANK('Master Submitted DPDs'!#REF!),IF(ISBLANK('Master Submitted DPDs'!#REF!),"",'Master Submitted DPDs'!#REF!),'Master Submitted DPDs'!#REF!)</f>
        <v>#REF!</v>
      </c>
      <c r="O570" s="2" t="e">
        <f>IF(ISBLANK('Master Submitted DPDs'!#REF!),"",'Master Submitted DPDs'!#REF!)</f>
        <v>#REF!</v>
      </c>
      <c r="P570" s="2" t="e">
        <f>IF(ISBLANK('Master Submitted DPDs'!#REF!),"",'Master Submitted DPDs'!#REF!)</f>
        <v>#REF!</v>
      </c>
      <c r="Q570" t="e">
        <f>IF(ISBLANK('Master Submitted DPDs'!#REF!),"",'Master Submitted DPDs'!#REF!)</f>
        <v>#REF!</v>
      </c>
      <c r="R570" t="e">
        <f t="shared" si="17"/>
        <v>#REF!</v>
      </c>
      <c r="S570" s="3"/>
      <c r="T570" t="e">
        <f>IF(ISBLANK('Master Submitted DPDs'!#REF!),"",'Master Submitted DPDs'!#REF!)</f>
        <v>#REF!</v>
      </c>
    </row>
    <row r="571" spans="1:20" ht="15" x14ac:dyDescent="0.2">
      <c r="A571" s="3" t="str">
        <f>IF(ISBLANK('Master Submitted DPDs'!#REF!),"","Local Plans")</f>
        <v>Local Plans</v>
      </c>
      <c r="B571" t="e">
        <f>IF(ISBLANK('Master Submitted DPDs'!#REF!),"",'Master Submitted DPDs'!#REF!)</f>
        <v>#REF!</v>
      </c>
      <c r="C571" s="3" t="str">
        <f>IF(ISBLANK('Master Submitted DPDs'!#REF!),"","IH")</f>
        <v>IH</v>
      </c>
      <c r="D571" s="3" t="e">
        <f>LOOKUP($F571,'fuzzy LPA lookup'!$E:$E,'fuzzy LPA lookup'!$A:$A)</f>
        <v>#REF!</v>
      </c>
      <c r="E571" s="3" t="e">
        <f>LOOKUP($F571,'fuzzy LPA lookup'!$E:$E,'fuzzy LPA lookup'!$D:$D)</f>
        <v>#REF!</v>
      </c>
      <c r="F571" s="8" t="e">
        <f>IF(ISBLANK('Master Submitted DPDs'!#REF!),"",'Master Submitted DPDs'!#REF!)</f>
        <v>#REF!</v>
      </c>
      <c r="G571" t="str">
        <f>IF(ISBLANK('Master Submitted DPDs'!#REF!),"","Withdrawn")</f>
        <v>Withdrawn</v>
      </c>
      <c r="H571" s="2" t="e">
        <f>IF(ISBLANK('Master Submitted DPDs'!#REF!),"",'Master Submitted DPDs'!#REF!)</f>
        <v>#REF!</v>
      </c>
      <c r="I571" s="3"/>
      <c r="J571" s="3"/>
      <c r="K571" s="3"/>
      <c r="L571" s="2" t="e">
        <f>IF(ISBLANK('Master Submitted DPDs'!#REF!),"",'Master Submitted DPDs'!#REF!)</f>
        <v>#REF!</v>
      </c>
      <c r="M571" s="2" t="e">
        <f t="shared" si="16"/>
        <v>#REF!</v>
      </c>
      <c r="N571" s="2" t="e">
        <f>IF(ISBLANK('Master Submitted DPDs'!#REF!),IF(ISBLANK('Master Submitted DPDs'!#REF!),"",'Master Submitted DPDs'!#REF!),'Master Submitted DPDs'!#REF!)</f>
        <v>#REF!</v>
      </c>
      <c r="O571" s="2" t="e">
        <f>IF(ISBLANK('Master Submitted DPDs'!#REF!),"",'Master Submitted DPDs'!#REF!)</f>
        <v>#REF!</v>
      </c>
      <c r="P571" s="2" t="e">
        <f>IF(ISBLANK('Master Submitted DPDs'!#REF!),"",'Master Submitted DPDs'!#REF!)</f>
        <v>#REF!</v>
      </c>
      <c r="Q571" t="e">
        <f>IF(ISBLANK('Master Submitted DPDs'!#REF!),"",'Master Submitted DPDs'!#REF!)</f>
        <v>#REF!</v>
      </c>
      <c r="R571" t="e">
        <f t="shared" si="17"/>
        <v>#REF!</v>
      </c>
      <c r="S571" s="3"/>
      <c r="T571" t="e">
        <f>IF(ISBLANK('Master Submitted DPDs'!#REF!),"",'Master Submitted DPDs'!#REF!)</f>
        <v>#REF!</v>
      </c>
    </row>
    <row r="572" spans="1:20" ht="15" x14ac:dyDescent="0.2">
      <c r="A572" s="3" t="str">
        <f>IF(ISBLANK('Master Submitted DPDs'!#REF!),"","Local Plans")</f>
        <v>Local Plans</v>
      </c>
      <c r="B572" t="e">
        <f>IF(ISBLANK('Master Submitted DPDs'!#REF!),"",'Master Submitted DPDs'!#REF!)</f>
        <v>#REF!</v>
      </c>
      <c r="C572" s="3" t="str">
        <f>IF(ISBLANK('Master Submitted DPDs'!#REF!),"","IH")</f>
        <v>IH</v>
      </c>
      <c r="D572" s="3" t="e">
        <f>LOOKUP($F572,'fuzzy LPA lookup'!$E:$E,'fuzzy LPA lookup'!$A:$A)</f>
        <v>#REF!</v>
      </c>
      <c r="E572" s="3" t="e">
        <f>LOOKUP($F572,'fuzzy LPA lookup'!$E:$E,'fuzzy LPA lookup'!$D:$D)</f>
        <v>#REF!</v>
      </c>
      <c r="F572" s="8" t="e">
        <f>IF(ISBLANK('Master Submitted DPDs'!#REF!),"",'Master Submitted DPDs'!#REF!)</f>
        <v>#REF!</v>
      </c>
      <c r="G572" t="str">
        <f>IF(ISBLANK('Master Submitted DPDs'!#REF!),"","Withdrawn")</f>
        <v>Withdrawn</v>
      </c>
      <c r="H572" s="2" t="e">
        <f>IF(ISBLANK('Master Submitted DPDs'!#REF!),"",'Master Submitted DPDs'!#REF!)</f>
        <v>#REF!</v>
      </c>
      <c r="I572" s="3"/>
      <c r="J572" s="3"/>
      <c r="K572" s="3"/>
      <c r="L572" s="2" t="e">
        <f>IF(ISBLANK('Master Submitted DPDs'!#REF!),"",'Master Submitted DPDs'!#REF!)</f>
        <v>#REF!</v>
      </c>
      <c r="M572" s="2" t="e">
        <f t="shared" si="16"/>
        <v>#REF!</v>
      </c>
      <c r="N572" s="2" t="e">
        <f>IF(ISBLANK('Master Submitted DPDs'!#REF!),IF(ISBLANK('Master Submitted DPDs'!#REF!),"",'Master Submitted DPDs'!#REF!),'Master Submitted DPDs'!#REF!)</f>
        <v>#REF!</v>
      </c>
      <c r="O572" s="2" t="e">
        <f>IF(ISBLANK('Master Submitted DPDs'!#REF!),"",'Master Submitted DPDs'!#REF!)</f>
        <v>#REF!</v>
      </c>
      <c r="P572" s="2" t="e">
        <f>IF(ISBLANK('Master Submitted DPDs'!#REF!),"",'Master Submitted DPDs'!#REF!)</f>
        <v>#REF!</v>
      </c>
      <c r="Q572" t="e">
        <f>IF(ISBLANK('Master Submitted DPDs'!#REF!),"",'Master Submitted DPDs'!#REF!)</f>
        <v>#REF!</v>
      </c>
      <c r="R572" t="e">
        <f t="shared" si="17"/>
        <v>#REF!</v>
      </c>
      <c r="S572" s="3"/>
      <c r="T572" t="e">
        <f>IF(ISBLANK('Master Submitted DPDs'!#REF!),"",'Master Submitted DPDs'!#REF!)</f>
        <v>#REF!</v>
      </c>
    </row>
    <row r="573" spans="1:20" ht="15" x14ac:dyDescent="0.2">
      <c r="A573" s="3" t="str">
        <f>IF(ISBLANK('Master Submitted DPDs'!#REF!),"","Local Plans")</f>
        <v>Local Plans</v>
      </c>
      <c r="B573" t="e">
        <f>IF(ISBLANK('Master Submitted DPDs'!#REF!),"",'Master Submitted DPDs'!#REF!)</f>
        <v>#REF!</v>
      </c>
      <c r="C573" s="3" t="str">
        <f>IF(ISBLANK('Master Submitted DPDs'!#REF!),"","IH")</f>
        <v>IH</v>
      </c>
      <c r="D573" s="3" t="e">
        <f>LOOKUP($F573,'fuzzy LPA lookup'!$E:$E,'fuzzy LPA lookup'!$A:$A)</f>
        <v>#REF!</v>
      </c>
      <c r="E573" s="3" t="e">
        <f>LOOKUP($F573,'fuzzy LPA lookup'!$E:$E,'fuzzy LPA lookup'!$D:$D)</f>
        <v>#REF!</v>
      </c>
      <c r="F573" s="8" t="e">
        <f>IF(ISBLANK('Master Submitted DPDs'!#REF!),"",'Master Submitted DPDs'!#REF!)</f>
        <v>#REF!</v>
      </c>
      <c r="G573" t="str">
        <f>IF(ISBLANK('Master Submitted DPDs'!#REF!),"","Withdrawn")</f>
        <v>Withdrawn</v>
      </c>
      <c r="H573" s="2" t="e">
        <f>IF(ISBLANK('Master Submitted DPDs'!#REF!),"",'Master Submitted DPDs'!#REF!)</f>
        <v>#REF!</v>
      </c>
      <c r="I573" s="3"/>
      <c r="J573" s="3"/>
      <c r="K573" s="3"/>
      <c r="L573" s="2" t="e">
        <f>IF(ISBLANK('Master Submitted DPDs'!#REF!),"",'Master Submitted DPDs'!#REF!)</f>
        <v>#REF!</v>
      </c>
      <c r="M573" s="2" t="e">
        <f t="shared" si="16"/>
        <v>#REF!</v>
      </c>
      <c r="N573" s="2" t="e">
        <f>IF(ISBLANK('Master Submitted DPDs'!#REF!),IF(ISBLANK('Master Submitted DPDs'!#REF!),"",'Master Submitted DPDs'!#REF!),'Master Submitted DPDs'!#REF!)</f>
        <v>#REF!</v>
      </c>
      <c r="O573" s="2" t="e">
        <f>IF(ISBLANK('Master Submitted DPDs'!#REF!),"",'Master Submitted DPDs'!#REF!)</f>
        <v>#REF!</v>
      </c>
      <c r="P573" s="2" t="e">
        <f>IF(ISBLANK('Master Submitted DPDs'!#REF!),"",'Master Submitted DPDs'!#REF!)</f>
        <v>#REF!</v>
      </c>
      <c r="Q573" t="e">
        <f>IF(ISBLANK('Master Submitted DPDs'!#REF!),"",'Master Submitted DPDs'!#REF!)</f>
        <v>#REF!</v>
      </c>
      <c r="R573" t="e">
        <f t="shared" si="17"/>
        <v>#REF!</v>
      </c>
      <c r="S573" s="3"/>
      <c r="T573" t="e">
        <f>IF(ISBLANK('Master Submitted DPDs'!#REF!),"",'Master Submitted DPDs'!#REF!)</f>
        <v>#REF!</v>
      </c>
    </row>
    <row r="574" spans="1:20" ht="15" x14ac:dyDescent="0.2">
      <c r="A574" s="3" t="str">
        <f>IF(ISBLANK('Master Submitted DPDs'!#REF!),"","Local Plans")</f>
        <v>Local Plans</v>
      </c>
      <c r="B574" t="e">
        <f>IF(ISBLANK('Master Submitted DPDs'!#REF!),"",'Master Submitted DPDs'!#REF!)</f>
        <v>#REF!</v>
      </c>
      <c r="C574" s="3" t="str">
        <f>IF(ISBLANK('Master Submitted DPDs'!#REF!),"","IH")</f>
        <v>IH</v>
      </c>
      <c r="D574" s="3" t="e">
        <f>LOOKUP($F574,'fuzzy LPA lookup'!$E:$E,'fuzzy LPA lookup'!$A:$A)</f>
        <v>#REF!</v>
      </c>
      <c r="E574" s="3" t="e">
        <f>LOOKUP($F574,'fuzzy LPA lookup'!$E:$E,'fuzzy LPA lookup'!$D:$D)</f>
        <v>#REF!</v>
      </c>
      <c r="F574" s="8" t="e">
        <f>IF(ISBLANK('Master Submitted DPDs'!#REF!),"",'Master Submitted DPDs'!#REF!)</f>
        <v>#REF!</v>
      </c>
      <c r="G574" t="str">
        <f>IF(ISBLANK('Master Submitted DPDs'!#REF!),"","Withdrawn")</f>
        <v>Withdrawn</v>
      </c>
      <c r="H574" s="2" t="e">
        <f>IF(ISBLANK('Master Submitted DPDs'!#REF!),"",'Master Submitted DPDs'!#REF!)</f>
        <v>#REF!</v>
      </c>
      <c r="I574" s="3"/>
      <c r="J574" s="3"/>
      <c r="K574" s="3"/>
      <c r="L574" s="2" t="e">
        <f>IF(ISBLANK('Master Submitted DPDs'!#REF!),"",'Master Submitted DPDs'!#REF!)</f>
        <v>#REF!</v>
      </c>
      <c r="M574" s="2" t="e">
        <f t="shared" si="16"/>
        <v>#REF!</v>
      </c>
      <c r="N574" s="2" t="e">
        <f>IF(ISBLANK('Master Submitted DPDs'!#REF!),IF(ISBLANK('Master Submitted DPDs'!#REF!),"",'Master Submitted DPDs'!#REF!),'Master Submitted DPDs'!#REF!)</f>
        <v>#REF!</v>
      </c>
      <c r="O574" s="2" t="e">
        <f>IF(ISBLANK('Master Submitted DPDs'!#REF!),"",'Master Submitted DPDs'!#REF!)</f>
        <v>#REF!</v>
      </c>
      <c r="P574" s="2" t="e">
        <f>IF(ISBLANK('Master Submitted DPDs'!#REF!),"",'Master Submitted DPDs'!#REF!)</f>
        <v>#REF!</v>
      </c>
      <c r="Q574" t="e">
        <f>IF(ISBLANK('Master Submitted DPDs'!#REF!),"",'Master Submitted DPDs'!#REF!)</f>
        <v>#REF!</v>
      </c>
      <c r="R574" t="e">
        <f t="shared" si="17"/>
        <v>#REF!</v>
      </c>
      <c r="S574" s="3"/>
      <c r="T574" t="e">
        <f>IF(ISBLANK('Master Submitted DPDs'!#REF!),"",'Master Submitted DPDs'!#REF!)</f>
        <v>#REF!</v>
      </c>
    </row>
    <row r="575" spans="1:20" ht="15" x14ac:dyDescent="0.2">
      <c r="A575" s="3" t="str">
        <f>IF(ISBLANK('Master Submitted DPDs'!#REF!),"","Local Plans")</f>
        <v>Local Plans</v>
      </c>
      <c r="B575" t="e">
        <f>IF(ISBLANK('Master Submitted DPDs'!#REF!),"",'Master Submitted DPDs'!#REF!)</f>
        <v>#REF!</v>
      </c>
      <c r="C575" s="3" t="str">
        <f>IF(ISBLANK('Master Submitted DPDs'!#REF!),"","IH")</f>
        <v>IH</v>
      </c>
      <c r="D575" s="3" t="e">
        <f>LOOKUP($F575,'fuzzy LPA lookup'!$E:$E,'fuzzy LPA lookup'!$A:$A)</f>
        <v>#REF!</v>
      </c>
      <c r="E575" s="3" t="e">
        <f>LOOKUP($F575,'fuzzy LPA lookup'!$E:$E,'fuzzy LPA lookup'!$D:$D)</f>
        <v>#REF!</v>
      </c>
      <c r="F575" s="8" t="e">
        <f>IF(ISBLANK('Master Submitted DPDs'!#REF!),"",'Master Submitted DPDs'!#REF!)</f>
        <v>#REF!</v>
      </c>
      <c r="G575" t="str">
        <f>IF(ISBLANK('Master Submitted DPDs'!#REF!),"","Withdrawn")</f>
        <v>Withdrawn</v>
      </c>
      <c r="H575" s="2" t="e">
        <f>IF(ISBLANK('Master Submitted DPDs'!#REF!),"",'Master Submitted DPDs'!#REF!)</f>
        <v>#REF!</v>
      </c>
      <c r="I575" s="3"/>
      <c r="J575" s="3"/>
      <c r="K575" s="3"/>
      <c r="L575" s="2" t="e">
        <f>IF(ISBLANK('Master Submitted DPDs'!#REF!),"",'Master Submitted DPDs'!#REF!)</f>
        <v>#REF!</v>
      </c>
      <c r="M575" s="2" t="e">
        <f t="shared" si="16"/>
        <v>#REF!</v>
      </c>
      <c r="N575" s="2" t="e">
        <f>IF(ISBLANK('Master Submitted DPDs'!#REF!),IF(ISBLANK('Master Submitted DPDs'!#REF!),"",'Master Submitted DPDs'!#REF!),'Master Submitted DPDs'!#REF!)</f>
        <v>#REF!</v>
      </c>
      <c r="O575" s="2" t="e">
        <f>IF(ISBLANK('Master Submitted DPDs'!#REF!),"",'Master Submitted DPDs'!#REF!)</f>
        <v>#REF!</v>
      </c>
      <c r="P575" s="2" t="e">
        <f>IF(ISBLANK('Master Submitted DPDs'!#REF!),"",'Master Submitted DPDs'!#REF!)</f>
        <v>#REF!</v>
      </c>
      <c r="Q575" t="e">
        <f>IF(ISBLANK('Master Submitted DPDs'!#REF!),"",'Master Submitted DPDs'!#REF!)</f>
        <v>#REF!</v>
      </c>
      <c r="R575" t="e">
        <f t="shared" si="17"/>
        <v>#REF!</v>
      </c>
      <c r="S575" s="3"/>
      <c r="T575" t="e">
        <f>IF(ISBLANK('Master Submitted DPDs'!#REF!),"",'Master Submitted DPDs'!#REF!)</f>
        <v>#REF!</v>
      </c>
    </row>
    <row r="576" spans="1:20" ht="15" x14ac:dyDescent="0.2">
      <c r="A576" s="3" t="str">
        <f>IF(ISBLANK('Master Submitted DPDs'!#REF!),"","Local Plans")</f>
        <v>Local Plans</v>
      </c>
      <c r="B576" t="e">
        <f>IF(ISBLANK('Master Submitted DPDs'!#REF!),"",'Master Submitted DPDs'!#REF!)</f>
        <v>#REF!</v>
      </c>
      <c r="C576" s="3" t="str">
        <f>IF(ISBLANK('Master Submitted DPDs'!#REF!),"","IH")</f>
        <v>IH</v>
      </c>
      <c r="D576" s="3" t="e">
        <f>LOOKUP($F576,'fuzzy LPA lookup'!$E:$E,'fuzzy LPA lookup'!$A:$A)</f>
        <v>#REF!</v>
      </c>
      <c r="E576" s="3" t="e">
        <f>LOOKUP($F576,'fuzzy LPA lookup'!$E:$E,'fuzzy LPA lookup'!$D:$D)</f>
        <v>#REF!</v>
      </c>
      <c r="F576" s="8" t="e">
        <f>IF(ISBLANK('Master Submitted DPDs'!#REF!),"",'Master Submitted DPDs'!#REF!)</f>
        <v>#REF!</v>
      </c>
      <c r="G576" t="str">
        <f>IF(ISBLANK('Master Submitted DPDs'!#REF!),"","Withdrawn")</f>
        <v>Withdrawn</v>
      </c>
      <c r="H576" s="2" t="e">
        <f>IF(ISBLANK('Master Submitted DPDs'!#REF!),"",'Master Submitted DPDs'!#REF!)</f>
        <v>#REF!</v>
      </c>
      <c r="I576" s="3"/>
      <c r="J576" s="3"/>
      <c r="K576" s="3"/>
      <c r="L576" s="2" t="e">
        <f>IF(ISBLANK('Master Submitted DPDs'!#REF!),"",'Master Submitted DPDs'!#REF!)</f>
        <v>#REF!</v>
      </c>
      <c r="M576" s="2" t="e">
        <f t="shared" si="16"/>
        <v>#REF!</v>
      </c>
      <c r="N576" s="2" t="e">
        <f>IF(ISBLANK('Master Submitted DPDs'!#REF!),IF(ISBLANK('Master Submitted DPDs'!#REF!),"",'Master Submitted DPDs'!#REF!),'Master Submitted DPDs'!#REF!)</f>
        <v>#REF!</v>
      </c>
      <c r="O576" s="2" t="e">
        <f>IF(ISBLANK('Master Submitted DPDs'!#REF!),"",'Master Submitted DPDs'!#REF!)</f>
        <v>#REF!</v>
      </c>
      <c r="P576" s="2" t="e">
        <f>IF(ISBLANK('Master Submitted DPDs'!#REF!),"",'Master Submitted DPDs'!#REF!)</f>
        <v>#REF!</v>
      </c>
      <c r="Q576" t="e">
        <f>IF(ISBLANK('Master Submitted DPDs'!#REF!),"",'Master Submitted DPDs'!#REF!)</f>
        <v>#REF!</v>
      </c>
      <c r="R576" t="e">
        <f t="shared" si="17"/>
        <v>#REF!</v>
      </c>
      <c r="S576" s="3"/>
      <c r="T576" t="e">
        <f>IF(ISBLANK('Master Submitted DPDs'!#REF!),"",'Master Submitted DPDs'!#REF!)</f>
        <v>#REF!</v>
      </c>
    </row>
    <row r="577" spans="1:20" ht="15" x14ac:dyDescent="0.2">
      <c r="A577" s="3" t="str">
        <f>IF(ISBLANK('Master Submitted DPDs'!#REF!),"","Local Plans")</f>
        <v>Local Plans</v>
      </c>
      <c r="B577" t="e">
        <f>IF(ISBLANK('Master Submitted DPDs'!#REF!),"",'Master Submitted DPDs'!#REF!)</f>
        <v>#REF!</v>
      </c>
      <c r="C577" s="3" t="str">
        <f>IF(ISBLANK('Master Submitted DPDs'!#REF!),"","IH")</f>
        <v>IH</v>
      </c>
      <c r="D577" s="3" t="e">
        <f>LOOKUP($F577,'fuzzy LPA lookup'!$E:$E,'fuzzy LPA lookup'!$A:$A)</f>
        <v>#REF!</v>
      </c>
      <c r="E577" s="3" t="e">
        <f>LOOKUP($F577,'fuzzy LPA lookup'!$E:$E,'fuzzy LPA lookup'!$D:$D)</f>
        <v>#REF!</v>
      </c>
      <c r="F577" s="8" t="e">
        <f>IF(ISBLANK('Master Submitted DPDs'!#REF!),"",'Master Submitted DPDs'!#REF!)</f>
        <v>#REF!</v>
      </c>
      <c r="G577" t="str">
        <f>IF(ISBLANK('Master Submitted DPDs'!#REF!),"","Withdrawn")</f>
        <v>Withdrawn</v>
      </c>
      <c r="H577" s="2" t="e">
        <f>IF(ISBLANK('Master Submitted DPDs'!#REF!),"",'Master Submitted DPDs'!#REF!)</f>
        <v>#REF!</v>
      </c>
      <c r="I577" s="3"/>
      <c r="J577" s="3"/>
      <c r="K577" s="3"/>
      <c r="L577" s="2" t="e">
        <f>IF(ISBLANK('Master Submitted DPDs'!#REF!),"",'Master Submitted DPDs'!#REF!)</f>
        <v>#REF!</v>
      </c>
      <c r="M577" s="2" t="e">
        <f t="shared" si="16"/>
        <v>#REF!</v>
      </c>
      <c r="N577" s="2" t="e">
        <f>IF(ISBLANK('Master Submitted DPDs'!#REF!),IF(ISBLANK('Master Submitted DPDs'!#REF!),"",'Master Submitted DPDs'!#REF!),'Master Submitted DPDs'!#REF!)</f>
        <v>#REF!</v>
      </c>
      <c r="O577" s="2" t="e">
        <f>IF(ISBLANK('Master Submitted DPDs'!#REF!),"",'Master Submitted DPDs'!#REF!)</f>
        <v>#REF!</v>
      </c>
      <c r="P577" s="2" t="e">
        <f>IF(ISBLANK('Master Submitted DPDs'!#REF!),"",'Master Submitted DPDs'!#REF!)</f>
        <v>#REF!</v>
      </c>
      <c r="Q577" t="e">
        <f>IF(ISBLANK('Master Submitted DPDs'!#REF!),"",'Master Submitted DPDs'!#REF!)</f>
        <v>#REF!</v>
      </c>
      <c r="R577" t="e">
        <f t="shared" si="17"/>
        <v>#REF!</v>
      </c>
      <c r="S577" s="3"/>
      <c r="T577" t="e">
        <f>IF(ISBLANK('Master Submitted DPDs'!#REF!),"",'Master Submitted DPDs'!#REF!)</f>
        <v>#REF!</v>
      </c>
    </row>
    <row r="578" spans="1:20" ht="15" x14ac:dyDescent="0.2">
      <c r="A578" s="3" t="str">
        <f>IF(ISBLANK('Master Submitted DPDs'!#REF!),"","Local Plans")</f>
        <v>Local Plans</v>
      </c>
      <c r="B578" t="e">
        <f>IF(ISBLANK('Master Submitted DPDs'!#REF!),"",'Master Submitted DPDs'!#REF!)</f>
        <v>#REF!</v>
      </c>
      <c r="C578" s="3" t="str">
        <f>IF(ISBLANK('Master Submitted DPDs'!#REF!),"","IH")</f>
        <v>IH</v>
      </c>
      <c r="D578" s="3" t="e">
        <f>LOOKUP($F578,'fuzzy LPA lookup'!$E:$E,'fuzzy LPA lookup'!$A:$A)</f>
        <v>#REF!</v>
      </c>
      <c r="E578" s="3" t="e">
        <f>LOOKUP($F578,'fuzzy LPA lookup'!$E:$E,'fuzzy LPA lookup'!$D:$D)</f>
        <v>#REF!</v>
      </c>
      <c r="F578" s="8" t="e">
        <f>IF(ISBLANK('Master Submitted DPDs'!#REF!),"",'Master Submitted DPDs'!#REF!)</f>
        <v>#REF!</v>
      </c>
      <c r="G578" t="str">
        <f>IF(ISBLANK('Master Submitted DPDs'!#REF!),"","Withdrawn")</f>
        <v>Withdrawn</v>
      </c>
      <c r="H578" s="2" t="e">
        <f>IF(ISBLANK('Master Submitted DPDs'!#REF!),"",'Master Submitted DPDs'!#REF!)</f>
        <v>#REF!</v>
      </c>
      <c r="I578" s="3"/>
      <c r="J578" s="3"/>
      <c r="K578" s="3"/>
      <c r="L578" s="2" t="e">
        <f>IF(ISBLANK('Master Submitted DPDs'!#REF!),"",'Master Submitted DPDs'!#REF!)</f>
        <v>#REF!</v>
      </c>
      <c r="M578" s="2" t="e">
        <f t="shared" ref="M578:M641" si="18">L578</f>
        <v>#REF!</v>
      </c>
      <c r="N578" s="2" t="e">
        <f>IF(ISBLANK('Master Submitted DPDs'!#REF!),IF(ISBLANK('Master Submitted DPDs'!#REF!),"",'Master Submitted DPDs'!#REF!),'Master Submitted DPDs'!#REF!)</f>
        <v>#REF!</v>
      </c>
      <c r="O578" s="2" t="e">
        <f>IF(ISBLANK('Master Submitted DPDs'!#REF!),"",'Master Submitted DPDs'!#REF!)</f>
        <v>#REF!</v>
      </c>
      <c r="P578" s="2" t="e">
        <f>IF(ISBLANK('Master Submitted DPDs'!#REF!),"",'Master Submitted DPDs'!#REF!)</f>
        <v>#REF!</v>
      </c>
      <c r="Q578" t="e">
        <f>IF(ISBLANK('Master Submitted DPDs'!#REF!),"",'Master Submitted DPDs'!#REF!)</f>
        <v>#REF!</v>
      </c>
      <c r="R578" t="e">
        <f t="shared" ref="R578:R641" si="19">IF(F578="","",IF(AND(H578="",Q578&lt;&gt;"UNS",P578=""),"Open","Closed"))</f>
        <v>#REF!</v>
      </c>
      <c r="S578" s="3"/>
      <c r="T578" t="e">
        <f>IF(ISBLANK('Master Submitted DPDs'!#REF!),"",'Master Submitted DPDs'!#REF!)</f>
        <v>#REF!</v>
      </c>
    </row>
    <row r="579" spans="1:20" ht="15" x14ac:dyDescent="0.2">
      <c r="A579" s="3" t="str">
        <f>IF(ISBLANK('Master Submitted DPDs'!#REF!),"","Local Plans")</f>
        <v>Local Plans</v>
      </c>
      <c r="B579" t="e">
        <f>IF(ISBLANK('Master Submitted DPDs'!#REF!),"",'Master Submitted DPDs'!#REF!)</f>
        <v>#REF!</v>
      </c>
      <c r="C579" s="3" t="str">
        <f>IF(ISBLANK('Master Submitted DPDs'!#REF!),"","IH")</f>
        <v>IH</v>
      </c>
      <c r="D579" s="3" t="e">
        <f>LOOKUP($F579,'fuzzy LPA lookup'!$E:$E,'fuzzy LPA lookup'!$A:$A)</f>
        <v>#REF!</v>
      </c>
      <c r="E579" s="3" t="e">
        <f>LOOKUP($F579,'fuzzy LPA lookup'!$E:$E,'fuzzy LPA lookup'!$D:$D)</f>
        <v>#REF!</v>
      </c>
      <c r="F579" s="8" t="e">
        <f>IF(ISBLANK('Master Submitted DPDs'!#REF!),"",'Master Submitted DPDs'!#REF!)</f>
        <v>#REF!</v>
      </c>
      <c r="G579" t="str">
        <f>IF(ISBLANK('Master Submitted DPDs'!#REF!),"","Withdrawn")</f>
        <v>Withdrawn</v>
      </c>
      <c r="H579" s="2" t="e">
        <f>IF(ISBLANK('Master Submitted DPDs'!#REF!),"",'Master Submitted DPDs'!#REF!)</f>
        <v>#REF!</v>
      </c>
      <c r="I579" s="3"/>
      <c r="J579" s="3"/>
      <c r="K579" s="3"/>
      <c r="L579" s="2" t="e">
        <f>IF(ISBLANK('Master Submitted DPDs'!#REF!),"",'Master Submitted DPDs'!#REF!)</f>
        <v>#REF!</v>
      </c>
      <c r="M579" s="2" t="e">
        <f t="shared" si="18"/>
        <v>#REF!</v>
      </c>
      <c r="N579" s="2" t="e">
        <f>IF(ISBLANK('Master Submitted DPDs'!#REF!),IF(ISBLANK('Master Submitted DPDs'!#REF!),"",'Master Submitted DPDs'!#REF!),'Master Submitted DPDs'!#REF!)</f>
        <v>#REF!</v>
      </c>
      <c r="O579" s="2" t="e">
        <f>IF(ISBLANK('Master Submitted DPDs'!#REF!),"",'Master Submitted DPDs'!#REF!)</f>
        <v>#REF!</v>
      </c>
      <c r="P579" s="2" t="e">
        <f>IF(ISBLANK('Master Submitted DPDs'!#REF!),"",'Master Submitted DPDs'!#REF!)</f>
        <v>#REF!</v>
      </c>
      <c r="Q579" t="e">
        <f>IF(ISBLANK('Master Submitted DPDs'!#REF!),"",'Master Submitted DPDs'!#REF!)</f>
        <v>#REF!</v>
      </c>
      <c r="R579" t="e">
        <f t="shared" si="19"/>
        <v>#REF!</v>
      </c>
      <c r="S579" s="3"/>
      <c r="T579" t="e">
        <f>IF(ISBLANK('Master Submitted DPDs'!#REF!),"",'Master Submitted DPDs'!#REF!)</f>
        <v>#REF!</v>
      </c>
    </row>
    <row r="580" spans="1:20" ht="15" x14ac:dyDescent="0.2">
      <c r="A580" s="3" t="str">
        <f>IF(ISBLANK('Master Submitted DPDs'!#REF!),"","Local Plans")</f>
        <v>Local Plans</v>
      </c>
      <c r="B580" t="e">
        <f>IF(ISBLANK('Master Submitted DPDs'!#REF!),"",'Master Submitted DPDs'!#REF!)</f>
        <v>#REF!</v>
      </c>
      <c r="C580" s="3" t="str">
        <f>IF(ISBLANK('Master Submitted DPDs'!#REF!),"","IH")</f>
        <v>IH</v>
      </c>
      <c r="D580" s="3" t="e">
        <f>LOOKUP($F580,'fuzzy LPA lookup'!$E:$E,'fuzzy LPA lookup'!$A:$A)</f>
        <v>#REF!</v>
      </c>
      <c r="E580" s="3" t="e">
        <f>LOOKUP($F580,'fuzzy LPA lookup'!$E:$E,'fuzzy LPA lookup'!$D:$D)</f>
        <v>#REF!</v>
      </c>
      <c r="F580" s="8" t="e">
        <f>IF(ISBLANK('Master Submitted DPDs'!#REF!),"",'Master Submitted DPDs'!#REF!)</f>
        <v>#REF!</v>
      </c>
      <c r="G580" t="str">
        <f>IF(ISBLANK('Master Submitted DPDs'!#REF!),"","Withdrawn")</f>
        <v>Withdrawn</v>
      </c>
      <c r="H580" s="2" t="e">
        <f>IF(ISBLANK('Master Submitted DPDs'!#REF!),"",'Master Submitted DPDs'!#REF!)</f>
        <v>#REF!</v>
      </c>
      <c r="I580" s="3"/>
      <c r="J580" s="3"/>
      <c r="K580" s="3"/>
      <c r="L580" s="2" t="e">
        <f>IF(ISBLANK('Master Submitted DPDs'!#REF!),"",'Master Submitted DPDs'!#REF!)</f>
        <v>#REF!</v>
      </c>
      <c r="M580" s="2" t="e">
        <f t="shared" si="18"/>
        <v>#REF!</v>
      </c>
      <c r="N580" s="2" t="e">
        <f>IF(ISBLANK('Master Submitted DPDs'!#REF!),IF(ISBLANK('Master Submitted DPDs'!#REF!),"",'Master Submitted DPDs'!#REF!),'Master Submitted DPDs'!#REF!)</f>
        <v>#REF!</v>
      </c>
      <c r="O580" s="2" t="e">
        <f>IF(ISBLANK('Master Submitted DPDs'!#REF!),"",'Master Submitted DPDs'!#REF!)</f>
        <v>#REF!</v>
      </c>
      <c r="P580" s="2" t="e">
        <f>IF(ISBLANK('Master Submitted DPDs'!#REF!),"",'Master Submitted DPDs'!#REF!)</f>
        <v>#REF!</v>
      </c>
      <c r="Q580" t="e">
        <f>IF(ISBLANK('Master Submitted DPDs'!#REF!),"",'Master Submitted DPDs'!#REF!)</f>
        <v>#REF!</v>
      </c>
      <c r="R580" t="e">
        <f t="shared" si="19"/>
        <v>#REF!</v>
      </c>
      <c r="S580" s="3"/>
      <c r="T580" t="e">
        <f>IF(ISBLANK('Master Submitted DPDs'!#REF!),"",'Master Submitted DPDs'!#REF!)</f>
        <v>#REF!</v>
      </c>
    </row>
    <row r="581" spans="1:20" ht="15" x14ac:dyDescent="0.2">
      <c r="A581" s="3" t="str">
        <f>IF(ISBLANK('Master Submitted DPDs'!#REF!),"","Local Plans")</f>
        <v>Local Plans</v>
      </c>
      <c r="B581" t="e">
        <f>IF(ISBLANK('Master Submitted DPDs'!#REF!),"",'Master Submitted DPDs'!#REF!)</f>
        <v>#REF!</v>
      </c>
      <c r="C581" s="3" t="str">
        <f>IF(ISBLANK('Master Submitted DPDs'!#REF!),"","IH")</f>
        <v>IH</v>
      </c>
      <c r="D581" s="3" t="e">
        <f>LOOKUP($F581,'fuzzy LPA lookup'!$E:$E,'fuzzy LPA lookup'!$A:$A)</f>
        <v>#REF!</v>
      </c>
      <c r="E581" s="3" t="e">
        <f>LOOKUP($F581,'fuzzy LPA lookup'!$E:$E,'fuzzy LPA lookup'!$D:$D)</f>
        <v>#REF!</v>
      </c>
      <c r="F581" s="8" t="e">
        <f>IF(ISBLANK('Master Submitted DPDs'!#REF!),"",'Master Submitted DPDs'!#REF!)</f>
        <v>#REF!</v>
      </c>
      <c r="G581" t="str">
        <f>IF(ISBLANK('Master Submitted DPDs'!#REF!),"","Withdrawn")</f>
        <v>Withdrawn</v>
      </c>
      <c r="H581" s="2" t="e">
        <f>IF(ISBLANK('Master Submitted DPDs'!#REF!),"",'Master Submitted DPDs'!#REF!)</f>
        <v>#REF!</v>
      </c>
      <c r="I581" s="3"/>
      <c r="J581" s="3"/>
      <c r="K581" s="3"/>
      <c r="L581" s="2" t="e">
        <f>IF(ISBLANK('Master Submitted DPDs'!#REF!),"",'Master Submitted DPDs'!#REF!)</f>
        <v>#REF!</v>
      </c>
      <c r="M581" s="2" t="e">
        <f t="shared" si="18"/>
        <v>#REF!</v>
      </c>
      <c r="N581" s="2" t="e">
        <f>IF(ISBLANK('Master Submitted DPDs'!#REF!),IF(ISBLANK('Master Submitted DPDs'!#REF!),"",'Master Submitted DPDs'!#REF!),'Master Submitted DPDs'!#REF!)</f>
        <v>#REF!</v>
      </c>
      <c r="O581" s="2" t="e">
        <f>IF(ISBLANK('Master Submitted DPDs'!#REF!),"",'Master Submitted DPDs'!#REF!)</f>
        <v>#REF!</v>
      </c>
      <c r="P581" s="2" t="e">
        <f>IF(ISBLANK('Master Submitted DPDs'!#REF!),"",'Master Submitted DPDs'!#REF!)</f>
        <v>#REF!</v>
      </c>
      <c r="Q581" t="e">
        <f>IF(ISBLANK('Master Submitted DPDs'!#REF!),"",'Master Submitted DPDs'!#REF!)</f>
        <v>#REF!</v>
      </c>
      <c r="R581" t="e">
        <f t="shared" si="19"/>
        <v>#REF!</v>
      </c>
      <c r="S581" s="3"/>
      <c r="T581" t="e">
        <f>IF(ISBLANK('Master Submitted DPDs'!#REF!),"",'Master Submitted DPDs'!#REF!)</f>
        <v>#REF!</v>
      </c>
    </row>
    <row r="582" spans="1:20" ht="15" x14ac:dyDescent="0.2">
      <c r="A582" s="3" t="str">
        <f>IF(ISBLANK('Master Submitted DPDs'!#REF!),"","Local Plans")</f>
        <v>Local Plans</v>
      </c>
      <c r="B582" t="e">
        <f>IF(ISBLANK('Master Submitted DPDs'!#REF!),"",'Master Submitted DPDs'!#REF!)</f>
        <v>#REF!</v>
      </c>
      <c r="C582" s="3" t="str">
        <f>IF(ISBLANK('Master Submitted DPDs'!#REF!),"","IH")</f>
        <v>IH</v>
      </c>
      <c r="D582" s="3" t="e">
        <f>LOOKUP($F582,'fuzzy LPA lookup'!$E:$E,'fuzzy LPA lookup'!$A:$A)</f>
        <v>#REF!</v>
      </c>
      <c r="E582" s="3" t="e">
        <f>LOOKUP($F582,'fuzzy LPA lookup'!$E:$E,'fuzzy LPA lookup'!$D:$D)</f>
        <v>#REF!</v>
      </c>
      <c r="F582" s="8" t="e">
        <f>IF(ISBLANK('Master Submitted DPDs'!#REF!),"",'Master Submitted DPDs'!#REF!)</f>
        <v>#REF!</v>
      </c>
      <c r="G582" t="str">
        <f>IF(ISBLANK('Master Submitted DPDs'!#REF!),"","Withdrawn")</f>
        <v>Withdrawn</v>
      </c>
      <c r="H582" s="2" t="e">
        <f>IF(ISBLANK('Master Submitted DPDs'!#REF!),"",'Master Submitted DPDs'!#REF!)</f>
        <v>#REF!</v>
      </c>
      <c r="I582" s="3"/>
      <c r="J582" s="3"/>
      <c r="K582" s="3"/>
      <c r="L582" s="2" t="e">
        <f>IF(ISBLANK('Master Submitted DPDs'!#REF!),"",'Master Submitted DPDs'!#REF!)</f>
        <v>#REF!</v>
      </c>
      <c r="M582" s="2" t="e">
        <f t="shared" si="18"/>
        <v>#REF!</v>
      </c>
      <c r="N582" s="2" t="e">
        <f>IF(ISBLANK('Master Submitted DPDs'!#REF!),IF(ISBLANK('Master Submitted DPDs'!#REF!),"",'Master Submitted DPDs'!#REF!),'Master Submitted DPDs'!#REF!)</f>
        <v>#REF!</v>
      </c>
      <c r="O582" s="2" t="e">
        <f>IF(ISBLANK('Master Submitted DPDs'!#REF!),"",'Master Submitted DPDs'!#REF!)</f>
        <v>#REF!</v>
      </c>
      <c r="P582" s="2" t="e">
        <f>IF(ISBLANK('Master Submitted DPDs'!#REF!),"",'Master Submitted DPDs'!#REF!)</f>
        <v>#REF!</v>
      </c>
      <c r="Q582" t="e">
        <f>IF(ISBLANK('Master Submitted DPDs'!#REF!),"",'Master Submitted DPDs'!#REF!)</f>
        <v>#REF!</v>
      </c>
      <c r="R582" t="e">
        <f t="shared" si="19"/>
        <v>#REF!</v>
      </c>
      <c r="S582" s="3"/>
      <c r="T582" t="e">
        <f>IF(ISBLANK('Master Submitted DPDs'!#REF!),"",'Master Submitted DPDs'!#REF!)</f>
        <v>#REF!</v>
      </c>
    </row>
    <row r="583" spans="1:20" ht="15" x14ac:dyDescent="0.2">
      <c r="A583" s="3" t="str">
        <f>IF(ISBLANK('Master Submitted DPDs'!#REF!),"","Local Plans")</f>
        <v>Local Plans</v>
      </c>
      <c r="B583" t="e">
        <f>IF(ISBLANK('Master Submitted DPDs'!#REF!),"",'Master Submitted DPDs'!#REF!)</f>
        <v>#REF!</v>
      </c>
      <c r="C583" s="3" t="str">
        <f>IF(ISBLANK('Master Submitted DPDs'!#REF!),"","IH")</f>
        <v>IH</v>
      </c>
      <c r="D583" s="3" t="e">
        <f>LOOKUP($F583,'fuzzy LPA lookup'!$E:$E,'fuzzy LPA lookup'!$A:$A)</f>
        <v>#REF!</v>
      </c>
      <c r="E583" s="3" t="e">
        <f>LOOKUP($F583,'fuzzy LPA lookup'!$E:$E,'fuzzy LPA lookup'!$D:$D)</f>
        <v>#REF!</v>
      </c>
      <c r="F583" s="8" t="e">
        <f>IF(ISBLANK('Master Submitted DPDs'!#REF!),"",'Master Submitted DPDs'!#REF!)</f>
        <v>#REF!</v>
      </c>
      <c r="G583" t="str">
        <f>IF(ISBLANK('Master Submitted DPDs'!#REF!),"","Withdrawn")</f>
        <v>Withdrawn</v>
      </c>
      <c r="H583" s="2" t="e">
        <f>IF(ISBLANK('Master Submitted DPDs'!#REF!),"",'Master Submitted DPDs'!#REF!)</f>
        <v>#REF!</v>
      </c>
      <c r="I583" s="3"/>
      <c r="J583" s="3"/>
      <c r="K583" s="3"/>
      <c r="L583" s="2" t="e">
        <f>IF(ISBLANK('Master Submitted DPDs'!#REF!),"",'Master Submitted DPDs'!#REF!)</f>
        <v>#REF!</v>
      </c>
      <c r="M583" s="2" t="e">
        <f t="shared" si="18"/>
        <v>#REF!</v>
      </c>
      <c r="N583" s="2" t="e">
        <f>IF(ISBLANK('Master Submitted DPDs'!#REF!),IF(ISBLANK('Master Submitted DPDs'!#REF!),"",'Master Submitted DPDs'!#REF!),'Master Submitted DPDs'!#REF!)</f>
        <v>#REF!</v>
      </c>
      <c r="O583" s="2" t="e">
        <f>IF(ISBLANK('Master Submitted DPDs'!#REF!),"",'Master Submitted DPDs'!#REF!)</f>
        <v>#REF!</v>
      </c>
      <c r="P583" s="2" t="e">
        <f>IF(ISBLANK('Master Submitted DPDs'!#REF!),"",'Master Submitted DPDs'!#REF!)</f>
        <v>#REF!</v>
      </c>
      <c r="Q583" t="e">
        <f>IF(ISBLANK('Master Submitted DPDs'!#REF!),"",'Master Submitted DPDs'!#REF!)</f>
        <v>#REF!</v>
      </c>
      <c r="R583" t="e">
        <f t="shared" si="19"/>
        <v>#REF!</v>
      </c>
      <c r="S583" s="3"/>
      <c r="T583" t="e">
        <f>IF(ISBLANK('Master Submitted DPDs'!#REF!),"",'Master Submitted DPDs'!#REF!)</f>
        <v>#REF!</v>
      </c>
    </row>
    <row r="584" spans="1:20" ht="15" x14ac:dyDescent="0.2">
      <c r="A584" s="3" t="str">
        <f>IF(ISBLANK('Master Submitted DPDs'!#REF!),"","Local Plans")</f>
        <v>Local Plans</v>
      </c>
      <c r="B584" t="e">
        <f>IF(ISBLANK('Master Submitted DPDs'!#REF!),"",'Master Submitted DPDs'!#REF!)</f>
        <v>#REF!</v>
      </c>
      <c r="C584" s="3" t="str">
        <f>IF(ISBLANK('Master Submitted DPDs'!#REF!),"","IH")</f>
        <v>IH</v>
      </c>
      <c r="D584" s="3" t="e">
        <f>LOOKUP($F584,'fuzzy LPA lookup'!$E:$E,'fuzzy LPA lookup'!$A:$A)</f>
        <v>#REF!</v>
      </c>
      <c r="E584" s="3" t="e">
        <f>LOOKUP($F584,'fuzzy LPA lookup'!$E:$E,'fuzzy LPA lookup'!$D:$D)</f>
        <v>#REF!</v>
      </c>
      <c r="F584" s="8" t="e">
        <f>IF(ISBLANK('Master Submitted DPDs'!#REF!),"",'Master Submitted DPDs'!#REF!)</f>
        <v>#REF!</v>
      </c>
      <c r="G584" t="str">
        <f>IF(ISBLANK('Master Submitted DPDs'!#REF!),"","Withdrawn")</f>
        <v>Withdrawn</v>
      </c>
      <c r="H584" s="2" t="e">
        <f>IF(ISBLANK('Master Submitted DPDs'!#REF!),"",'Master Submitted DPDs'!#REF!)</f>
        <v>#REF!</v>
      </c>
      <c r="I584" s="3"/>
      <c r="J584" s="3"/>
      <c r="K584" s="3"/>
      <c r="L584" s="2" t="e">
        <f>IF(ISBLANK('Master Submitted DPDs'!#REF!),"",'Master Submitted DPDs'!#REF!)</f>
        <v>#REF!</v>
      </c>
      <c r="M584" s="2" t="e">
        <f t="shared" si="18"/>
        <v>#REF!</v>
      </c>
      <c r="N584" s="2" t="e">
        <f>IF(ISBLANK('Master Submitted DPDs'!#REF!),IF(ISBLANK('Master Submitted DPDs'!#REF!),"",'Master Submitted DPDs'!#REF!),'Master Submitted DPDs'!#REF!)</f>
        <v>#REF!</v>
      </c>
      <c r="O584" s="2" t="e">
        <f>IF(ISBLANK('Master Submitted DPDs'!#REF!),"",'Master Submitted DPDs'!#REF!)</f>
        <v>#REF!</v>
      </c>
      <c r="P584" s="2" t="e">
        <f>IF(ISBLANK('Master Submitted DPDs'!#REF!),"",'Master Submitted DPDs'!#REF!)</f>
        <v>#REF!</v>
      </c>
      <c r="Q584" t="e">
        <f>IF(ISBLANK('Master Submitted DPDs'!#REF!),"",'Master Submitted DPDs'!#REF!)</f>
        <v>#REF!</v>
      </c>
      <c r="R584" t="e">
        <f t="shared" si="19"/>
        <v>#REF!</v>
      </c>
      <c r="S584" s="3"/>
      <c r="T584" t="e">
        <f>IF(ISBLANK('Master Submitted DPDs'!#REF!),"",'Master Submitted DPDs'!#REF!)</f>
        <v>#REF!</v>
      </c>
    </row>
    <row r="585" spans="1:20" ht="15" x14ac:dyDescent="0.2">
      <c r="A585" s="3" t="str">
        <f>IF(ISBLANK('Master Submitted DPDs'!#REF!),"","Local Plans")</f>
        <v>Local Plans</v>
      </c>
      <c r="B585" t="e">
        <f>IF(ISBLANK('Master Submitted DPDs'!#REF!),"",'Master Submitted DPDs'!#REF!)</f>
        <v>#REF!</v>
      </c>
      <c r="C585" s="3" t="str">
        <f>IF(ISBLANK('Master Submitted DPDs'!#REF!),"","IH")</f>
        <v>IH</v>
      </c>
      <c r="D585" s="3" t="e">
        <f>LOOKUP($F585,'fuzzy LPA lookup'!$E:$E,'fuzzy LPA lookup'!$A:$A)</f>
        <v>#REF!</v>
      </c>
      <c r="E585" s="3" t="e">
        <f>LOOKUP($F585,'fuzzy LPA lookup'!$E:$E,'fuzzy LPA lookup'!$D:$D)</f>
        <v>#REF!</v>
      </c>
      <c r="F585" s="8" t="e">
        <f>IF(ISBLANK('Master Submitted DPDs'!#REF!),"",'Master Submitted DPDs'!#REF!)</f>
        <v>#REF!</v>
      </c>
      <c r="G585" t="str">
        <f>IF(ISBLANK('Master Submitted DPDs'!#REF!),"","Withdrawn")</f>
        <v>Withdrawn</v>
      </c>
      <c r="H585" s="2" t="e">
        <f>IF(ISBLANK('Master Submitted DPDs'!#REF!),"",'Master Submitted DPDs'!#REF!)</f>
        <v>#REF!</v>
      </c>
      <c r="I585" s="3"/>
      <c r="J585" s="3"/>
      <c r="K585" s="3"/>
      <c r="L585" s="2" t="e">
        <f>IF(ISBLANK('Master Submitted DPDs'!#REF!),"",'Master Submitted DPDs'!#REF!)</f>
        <v>#REF!</v>
      </c>
      <c r="M585" s="2" t="e">
        <f t="shared" si="18"/>
        <v>#REF!</v>
      </c>
      <c r="N585" s="2" t="e">
        <f>IF(ISBLANK('Master Submitted DPDs'!#REF!),IF(ISBLANK('Master Submitted DPDs'!#REF!),"",'Master Submitted DPDs'!#REF!),'Master Submitted DPDs'!#REF!)</f>
        <v>#REF!</v>
      </c>
      <c r="O585" s="2" t="e">
        <f>IF(ISBLANK('Master Submitted DPDs'!#REF!),"",'Master Submitted DPDs'!#REF!)</f>
        <v>#REF!</v>
      </c>
      <c r="P585" s="2" t="e">
        <f>IF(ISBLANK('Master Submitted DPDs'!#REF!),"",'Master Submitted DPDs'!#REF!)</f>
        <v>#REF!</v>
      </c>
      <c r="Q585" t="e">
        <f>IF(ISBLANK('Master Submitted DPDs'!#REF!),"",'Master Submitted DPDs'!#REF!)</f>
        <v>#REF!</v>
      </c>
      <c r="R585" t="e">
        <f t="shared" si="19"/>
        <v>#REF!</v>
      </c>
      <c r="S585" s="3"/>
      <c r="T585" t="e">
        <f>IF(ISBLANK('Master Submitted DPDs'!#REF!),"",'Master Submitted DPDs'!#REF!)</f>
        <v>#REF!</v>
      </c>
    </row>
    <row r="586" spans="1:20" ht="15" x14ac:dyDescent="0.2">
      <c r="A586" s="3" t="str">
        <f>IF(ISBLANK('Master Submitted DPDs'!#REF!),"","Local Plans")</f>
        <v>Local Plans</v>
      </c>
      <c r="B586" t="e">
        <f>IF(ISBLANK('Master Submitted DPDs'!#REF!),"",'Master Submitted DPDs'!#REF!)</f>
        <v>#REF!</v>
      </c>
      <c r="C586" s="3" t="str">
        <f>IF(ISBLANK('Master Submitted DPDs'!#REF!),"","IH")</f>
        <v>IH</v>
      </c>
      <c r="D586" s="3" t="e">
        <f>LOOKUP($F586,'fuzzy LPA lookup'!$E:$E,'fuzzy LPA lookup'!$A:$A)</f>
        <v>#REF!</v>
      </c>
      <c r="E586" s="3" t="e">
        <f>LOOKUP($F586,'fuzzy LPA lookup'!$E:$E,'fuzzy LPA lookup'!$D:$D)</f>
        <v>#REF!</v>
      </c>
      <c r="F586" s="8" t="e">
        <f>IF(ISBLANK('Master Submitted DPDs'!#REF!),"",'Master Submitted DPDs'!#REF!)</f>
        <v>#REF!</v>
      </c>
      <c r="G586" t="str">
        <f>IF(ISBLANK('Master Submitted DPDs'!#REF!),"","Withdrawn")</f>
        <v>Withdrawn</v>
      </c>
      <c r="H586" s="2" t="e">
        <f>IF(ISBLANK('Master Submitted DPDs'!#REF!),"",'Master Submitted DPDs'!#REF!)</f>
        <v>#REF!</v>
      </c>
      <c r="I586" s="3"/>
      <c r="J586" s="3"/>
      <c r="K586" s="3"/>
      <c r="L586" s="2" t="e">
        <f>IF(ISBLANK('Master Submitted DPDs'!#REF!),"",'Master Submitted DPDs'!#REF!)</f>
        <v>#REF!</v>
      </c>
      <c r="M586" s="2" t="e">
        <f t="shared" si="18"/>
        <v>#REF!</v>
      </c>
      <c r="N586" s="2" t="e">
        <f>IF(ISBLANK('Master Submitted DPDs'!#REF!),IF(ISBLANK('Master Submitted DPDs'!#REF!),"",'Master Submitted DPDs'!#REF!),'Master Submitted DPDs'!#REF!)</f>
        <v>#REF!</v>
      </c>
      <c r="O586" s="2" t="e">
        <f>IF(ISBLANK('Master Submitted DPDs'!#REF!),"",'Master Submitted DPDs'!#REF!)</f>
        <v>#REF!</v>
      </c>
      <c r="P586" s="2" t="e">
        <f>IF(ISBLANK('Master Submitted DPDs'!#REF!),"",'Master Submitted DPDs'!#REF!)</f>
        <v>#REF!</v>
      </c>
      <c r="Q586" t="e">
        <f>IF(ISBLANK('Master Submitted DPDs'!#REF!),"",'Master Submitted DPDs'!#REF!)</f>
        <v>#REF!</v>
      </c>
      <c r="R586" t="e">
        <f t="shared" si="19"/>
        <v>#REF!</v>
      </c>
      <c r="S586" s="3"/>
      <c r="T586" t="e">
        <f>IF(ISBLANK('Master Submitted DPDs'!#REF!),"",'Master Submitted DPDs'!#REF!)</f>
        <v>#REF!</v>
      </c>
    </row>
    <row r="587" spans="1:20" ht="15" x14ac:dyDescent="0.2">
      <c r="A587" s="3" t="str">
        <f>IF(ISBLANK('Master Submitted DPDs'!#REF!),"","Local Plans")</f>
        <v>Local Plans</v>
      </c>
      <c r="B587" t="e">
        <f>IF(ISBLANK('Master Submitted DPDs'!#REF!),"",'Master Submitted DPDs'!#REF!)</f>
        <v>#REF!</v>
      </c>
      <c r="C587" s="3" t="str">
        <f>IF(ISBLANK('Master Submitted DPDs'!#REF!),"","IH")</f>
        <v>IH</v>
      </c>
      <c r="D587" s="3" t="e">
        <f>LOOKUP($F587,'fuzzy LPA lookup'!$E:$E,'fuzzy LPA lookup'!$A:$A)</f>
        <v>#REF!</v>
      </c>
      <c r="E587" s="3" t="e">
        <f>LOOKUP($F587,'fuzzy LPA lookup'!$E:$E,'fuzzy LPA lookup'!$D:$D)</f>
        <v>#REF!</v>
      </c>
      <c r="F587" s="8" t="e">
        <f>IF(ISBLANK('Master Submitted DPDs'!#REF!),"",'Master Submitted DPDs'!#REF!)</f>
        <v>#REF!</v>
      </c>
      <c r="G587" t="str">
        <f>IF(ISBLANK('Master Submitted DPDs'!#REF!),"","Withdrawn")</f>
        <v>Withdrawn</v>
      </c>
      <c r="H587" s="2" t="e">
        <f>IF(ISBLANK('Master Submitted DPDs'!#REF!),"",'Master Submitted DPDs'!#REF!)</f>
        <v>#REF!</v>
      </c>
      <c r="I587" s="3"/>
      <c r="J587" s="3"/>
      <c r="K587" s="3"/>
      <c r="L587" s="2" t="e">
        <f>IF(ISBLANK('Master Submitted DPDs'!#REF!),"",'Master Submitted DPDs'!#REF!)</f>
        <v>#REF!</v>
      </c>
      <c r="M587" s="2" t="e">
        <f t="shared" si="18"/>
        <v>#REF!</v>
      </c>
      <c r="N587" s="2" t="e">
        <f>IF(ISBLANK('Master Submitted DPDs'!#REF!),IF(ISBLANK('Master Submitted DPDs'!#REF!),"",'Master Submitted DPDs'!#REF!),'Master Submitted DPDs'!#REF!)</f>
        <v>#REF!</v>
      </c>
      <c r="O587" s="2" t="e">
        <f>IF(ISBLANK('Master Submitted DPDs'!#REF!),"",'Master Submitted DPDs'!#REF!)</f>
        <v>#REF!</v>
      </c>
      <c r="P587" s="2" t="e">
        <f>IF(ISBLANK('Master Submitted DPDs'!#REF!),"",'Master Submitted DPDs'!#REF!)</f>
        <v>#REF!</v>
      </c>
      <c r="Q587" t="e">
        <f>IF(ISBLANK('Master Submitted DPDs'!#REF!),"",'Master Submitted DPDs'!#REF!)</f>
        <v>#REF!</v>
      </c>
      <c r="R587" t="e">
        <f t="shared" si="19"/>
        <v>#REF!</v>
      </c>
      <c r="S587" s="3"/>
      <c r="T587" t="e">
        <f>IF(ISBLANK('Master Submitted DPDs'!#REF!),"",'Master Submitted DPDs'!#REF!)</f>
        <v>#REF!</v>
      </c>
    </row>
    <row r="588" spans="1:20" ht="15" x14ac:dyDescent="0.2">
      <c r="A588" s="3" t="str">
        <f>IF(ISBLANK('Master Submitted DPDs'!#REF!),"","Local Plans")</f>
        <v>Local Plans</v>
      </c>
      <c r="B588" t="e">
        <f>IF(ISBLANK('Master Submitted DPDs'!#REF!),"",'Master Submitted DPDs'!#REF!)</f>
        <v>#REF!</v>
      </c>
      <c r="C588" s="3" t="str">
        <f>IF(ISBLANK('Master Submitted DPDs'!#REF!),"","IH")</f>
        <v>IH</v>
      </c>
      <c r="D588" s="3" t="e">
        <f>LOOKUP($F588,'fuzzy LPA lookup'!$E:$E,'fuzzy LPA lookup'!$A:$A)</f>
        <v>#REF!</v>
      </c>
      <c r="E588" s="3" t="e">
        <f>LOOKUP($F588,'fuzzy LPA lookup'!$E:$E,'fuzzy LPA lookup'!$D:$D)</f>
        <v>#REF!</v>
      </c>
      <c r="F588" s="8" t="e">
        <f>IF(ISBLANK('Master Submitted DPDs'!#REF!),"",'Master Submitted DPDs'!#REF!)</f>
        <v>#REF!</v>
      </c>
      <c r="G588" t="str">
        <f>IF(ISBLANK('Master Submitted DPDs'!#REF!),"","Withdrawn")</f>
        <v>Withdrawn</v>
      </c>
      <c r="H588" s="2" t="e">
        <f>IF(ISBLANK('Master Submitted DPDs'!#REF!),"",'Master Submitted DPDs'!#REF!)</f>
        <v>#REF!</v>
      </c>
      <c r="I588" s="3"/>
      <c r="J588" s="3"/>
      <c r="K588" s="3"/>
      <c r="L588" s="2" t="e">
        <f>IF(ISBLANK('Master Submitted DPDs'!#REF!),"",'Master Submitted DPDs'!#REF!)</f>
        <v>#REF!</v>
      </c>
      <c r="M588" s="2" t="e">
        <f t="shared" si="18"/>
        <v>#REF!</v>
      </c>
      <c r="N588" s="2" t="e">
        <f>IF(ISBLANK('Master Submitted DPDs'!#REF!),IF(ISBLANK('Master Submitted DPDs'!#REF!),"",'Master Submitted DPDs'!#REF!),'Master Submitted DPDs'!#REF!)</f>
        <v>#REF!</v>
      </c>
      <c r="O588" s="2" t="e">
        <f>IF(ISBLANK('Master Submitted DPDs'!#REF!),"",'Master Submitted DPDs'!#REF!)</f>
        <v>#REF!</v>
      </c>
      <c r="P588" s="2" t="e">
        <f>IF(ISBLANK('Master Submitted DPDs'!#REF!),"",'Master Submitted DPDs'!#REF!)</f>
        <v>#REF!</v>
      </c>
      <c r="Q588" t="e">
        <f>IF(ISBLANK('Master Submitted DPDs'!#REF!),"",'Master Submitted DPDs'!#REF!)</f>
        <v>#REF!</v>
      </c>
      <c r="R588" t="e">
        <f t="shared" si="19"/>
        <v>#REF!</v>
      </c>
      <c r="S588" s="3"/>
      <c r="T588" t="e">
        <f>IF(ISBLANK('Master Submitted DPDs'!#REF!),"",'Master Submitted DPDs'!#REF!)</f>
        <v>#REF!</v>
      </c>
    </row>
    <row r="589" spans="1:20" ht="15" x14ac:dyDescent="0.2">
      <c r="A589" s="3" t="str">
        <f>IF(ISBLANK('Master Submitted DPDs'!#REF!),"","Local Plans")</f>
        <v>Local Plans</v>
      </c>
      <c r="B589" t="e">
        <f>IF(ISBLANK('Master Submitted DPDs'!#REF!),"",'Master Submitted DPDs'!#REF!)</f>
        <v>#REF!</v>
      </c>
      <c r="C589" s="3" t="str">
        <f>IF(ISBLANK('Master Submitted DPDs'!#REF!),"","IH")</f>
        <v>IH</v>
      </c>
      <c r="D589" s="3" t="e">
        <f>LOOKUP($F589,'fuzzy LPA lookup'!$E:$E,'fuzzy LPA lookup'!$A:$A)</f>
        <v>#REF!</v>
      </c>
      <c r="E589" s="3" t="e">
        <f>LOOKUP($F589,'fuzzy LPA lookup'!$E:$E,'fuzzy LPA lookup'!$D:$D)</f>
        <v>#REF!</v>
      </c>
      <c r="F589" s="8" t="e">
        <f>IF(ISBLANK('Master Submitted DPDs'!#REF!),"",'Master Submitted DPDs'!#REF!)</f>
        <v>#REF!</v>
      </c>
      <c r="G589" t="str">
        <f>IF(ISBLANK('Master Submitted DPDs'!#REF!),"","Withdrawn")</f>
        <v>Withdrawn</v>
      </c>
      <c r="H589" s="2" t="e">
        <f>IF(ISBLANK('Master Submitted DPDs'!#REF!),"",'Master Submitted DPDs'!#REF!)</f>
        <v>#REF!</v>
      </c>
      <c r="I589" s="3"/>
      <c r="J589" s="3"/>
      <c r="K589" s="3"/>
      <c r="L589" s="2" t="e">
        <f>IF(ISBLANK('Master Submitted DPDs'!#REF!),"",'Master Submitted DPDs'!#REF!)</f>
        <v>#REF!</v>
      </c>
      <c r="M589" s="2" t="e">
        <f t="shared" si="18"/>
        <v>#REF!</v>
      </c>
      <c r="N589" s="2" t="e">
        <f>IF(ISBLANK('Master Submitted DPDs'!#REF!),IF(ISBLANK('Master Submitted DPDs'!#REF!),"",'Master Submitted DPDs'!#REF!),'Master Submitted DPDs'!#REF!)</f>
        <v>#REF!</v>
      </c>
      <c r="O589" s="2" t="e">
        <f>IF(ISBLANK('Master Submitted DPDs'!#REF!),"",'Master Submitted DPDs'!#REF!)</f>
        <v>#REF!</v>
      </c>
      <c r="P589" s="2" t="e">
        <f>IF(ISBLANK('Master Submitted DPDs'!#REF!),"",'Master Submitted DPDs'!#REF!)</f>
        <v>#REF!</v>
      </c>
      <c r="Q589" t="e">
        <f>IF(ISBLANK('Master Submitted DPDs'!#REF!),"",'Master Submitted DPDs'!#REF!)</f>
        <v>#REF!</v>
      </c>
      <c r="R589" t="e">
        <f t="shared" si="19"/>
        <v>#REF!</v>
      </c>
      <c r="S589" s="3"/>
      <c r="T589" t="e">
        <f>IF(ISBLANK('Master Submitted DPDs'!#REF!),"",'Master Submitted DPDs'!#REF!)</f>
        <v>#REF!</v>
      </c>
    </row>
    <row r="590" spans="1:20" ht="15" x14ac:dyDescent="0.2">
      <c r="A590" s="3" t="str">
        <f>IF(ISBLANK('Master Submitted DPDs'!#REF!),"","Local Plans")</f>
        <v>Local Plans</v>
      </c>
      <c r="B590" t="e">
        <f>IF(ISBLANK('Master Submitted DPDs'!#REF!),"",'Master Submitted DPDs'!#REF!)</f>
        <v>#REF!</v>
      </c>
      <c r="C590" s="3" t="str">
        <f>IF(ISBLANK('Master Submitted DPDs'!#REF!),"","IH")</f>
        <v>IH</v>
      </c>
      <c r="D590" s="3" t="e">
        <f>LOOKUP($F590,'fuzzy LPA lookup'!$E:$E,'fuzzy LPA lookup'!$A:$A)</f>
        <v>#REF!</v>
      </c>
      <c r="E590" s="3" t="e">
        <f>LOOKUP($F590,'fuzzy LPA lookup'!$E:$E,'fuzzy LPA lookup'!$D:$D)</f>
        <v>#REF!</v>
      </c>
      <c r="F590" s="8" t="e">
        <f>IF(ISBLANK('Master Submitted DPDs'!#REF!),"",'Master Submitted DPDs'!#REF!)</f>
        <v>#REF!</v>
      </c>
      <c r="G590" t="str">
        <f>IF(ISBLANK('Master Submitted DPDs'!#REF!),"","Withdrawn")</f>
        <v>Withdrawn</v>
      </c>
      <c r="H590" s="2" t="e">
        <f>IF(ISBLANK('Master Submitted DPDs'!#REF!),"",'Master Submitted DPDs'!#REF!)</f>
        <v>#REF!</v>
      </c>
      <c r="I590" s="3"/>
      <c r="J590" s="3"/>
      <c r="K590" s="3"/>
      <c r="L590" s="2" t="e">
        <f>IF(ISBLANK('Master Submitted DPDs'!#REF!),"",'Master Submitted DPDs'!#REF!)</f>
        <v>#REF!</v>
      </c>
      <c r="M590" s="2" t="e">
        <f t="shared" si="18"/>
        <v>#REF!</v>
      </c>
      <c r="N590" s="2" t="e">
        <f>IF(ISBLANK('Master Submitted DPDs'!#REF!),IF(ISBLANK('Master Submitted DPDs'!#REF!),"",'Master Submitted DPDs'!#REF!),'Master Submitted DPDs'!#REF!)</f>
        <v>#REF!</v>
      </c>
      <c r="O590" s="2" t="e">
        <f>IF(ISBLANK('Master Submitted DPDs'!#REF!),"",'Master Submitted DPDs'!#REF!)</f>
        <v>#REF!</v>
      </c>
      <c r="P590" s="2" t="e">
        <f>IF(ISBLANK('Master Submitted DPDs'!#REF!),"",'Master Submitted DPDs'!#REF!)</f>
        <v>#REF!</v>
      </c>
      <c r="Q590" t="e">
        <f>IF(ISBLANK('Master Submitted DPDs'!#REF!),"",'Master Submitted DPDs'!#REF!)</f>
        <v>#REF!</v>
      </c>
      <c r="R590" t="e">
        <f t="shared" si="19"/>
        <v>#REF!</v>
      </c>
      <c r="S590" s="3"/>
      <c r="T590" t="e">
        <f>IF(ISBLANK('Master Submitted DPDs'!#REF!),"",'Master Submitted DPDs'!#REF!)</f>
        <v>#REF!</v>
      </c>
    </row>
    <row r="591" spans="1:20" ht="15" x14ac:dyDescent="0.2">
      <c r="A591" s="3" t="str">
        <f>IF(ISBLANK('Master Submitted DPDs'!#REF!),"","Local Plans")</f>
        <v>Local Plans</v>
      </c>
      <c r="B591" t="e">
        <f>IF(ISBLANK('Master Submitted DPDs'!#REF!),"",'Master Submitted DPDs'!#REF!)</f>
        <v>#REF!</v>
      </c>
      <c r="C591" s="3" t="str">
        <f>IF(ISBLANK('Master Submitted DPDs'!#REF!),"","IH")</f>
        <v>IH</v>
      </c>
      <c r="D591" s="3" t="e">
        <f>LOOKUP($F591,'fuzzy LPA lookup'!$E:$E,'fuzzy LPA lookup'!$A:$A)</f>
        <v>#REF!</v>
      </c>
      <c r="E591" s="3" t="e">
        <f>LOOKUP($F591,'fuzzy LPA lookup'!$E:$E,'fuzzy LPA lookup'!$D:$D)</f>
        <v>#REF!</v>
      </c>
      <c r="F591" s="8" t="e">
        <f>IF(ISBLANK('Master Submitted DPDs'!#REF!),"",'Master Submitted DPDs'!#REF!)</f>
        <v>#REF!</v>
      </c>
      <c r="G591" t="str">
        <f>IF(ISBLANK('Master Submitted DPDs'!#REF!),"","Withdrawn")</f>
        <v>Withdrawn</v>
      </c>
      <c r="H591" s="2" t="e">
        <f>IF(ISBLANK('Master Submitted DPDs'!#REF!),"",'Master Submitted DPDs'!#REF!)</f>
        <v>#REF!</v>
      </c>
      <c r="I591" s="3"/>
      <c r="J591" s="3"/>
      <c r="K591" s="3"/>
      <c r="L591" s="2" t="e">
        <f>IF(ISBLANK('Master Submitted DPDs'!#REF!),"",'Master Submitted DPDs'!#REF!)</f>
        <v>#REF!</v>
      </c>
      <c r="M591" s="2" t="e">
        <f t="shared" si="18"/>
        <v>#REF!</v>
      </c>
      <c r="N591" s="2" t="e">
        <f>IF(ISBLANK('Master Submitted DPDs'!#REF!),IF(ISBLANK('Master Submitted DPDs'!#REF!),"",'Master Submitted DPDs'!#REF!),'Master Submitted DPDs'!#REF!)</f>
        <v>#REF!</v>
      </c>
      <c r="O591" s="2" t="e">
        <f>IF(ISBLANK('Master Submitted DPDs'!#REF!),"",'Master Submitted DPDs'!#REF!)</f>
        <v>#REF!</v>
      </c>
      <c r="P591" s="2" t="e">
        <f>IF(ISBLANK('Master Submitted DPDs'!#REF!),"",'Master Submitted DPDs'!#REF!)</f>
        <v>#REF!</v>
      </c>
      <c r="Q591" t="e">
        <f>IF(ISBLANK('Master Submitted DPDs'!#REF!),"",'Master Submitted DPDs'!#REF!)</f>
        <v>#REF!</v>
      </c>
      <c r="R591" t="e">
        <f t="shared" si="19"/>
        <v>#REF!</v>
      </c>
      <c r="S591" s="3"/>
      <c r="T591" t="e">
        <f>IF(ISBLANK('Master Submitted DPDs'!#REF!),"",'Master Submitted DPDs'!#REF!)</f>
        <v>#REF!</v>
      </c>
    </row>
    <row r="592" spans="1:20" ht="15" x14ac:dyDescent="0.2">
      <c r="A592" s="3" t="str">
        <f>IF(ISBLANK('Master Submitted DPDs'!#REF!),"","Local Plans")</f>
        <v>Local Plans</v>
      </c>
      <c r="B592" t="e">
        <f>IF(ISBLANK('Master Submitted DPDs'!#REF!),"",'Master Submitted DPDs'!#REF!)</f>
        <v>#REF!</v>
      </c>
      <c r="C592" s="3" t="str">
        <f>IF(ISBLANK('Master Submitted DPDs'!#REF!),"","IH")</f>
        <v>IH</v>
      </c>
      <c r="D592" s="3" t="e">
        <f>LOOKUP($F592,'fuzzy LPA lookup'!$E:$E,'fuzzy LPA lookup'!$A:$A)</f>
        <v>#REF!</v>
      </c>
      <c r="E592" s="3" t="e">
        <f>LOOKUP($F592,'fuzzy LPA lookup'!$E:$E,'fuzzy LPA lookup'!$D:$D)</f>
        <v>#REF!</v>
      </c>
      <c r="F592" s="8" t="e">
        <f>IF(ISBLANK('Master Submitted DPDs'!#REF!),"",'Master Submitted DPDs'!#REF!)</f>
        <v>#REF!</v>
      </c>
      <c r="G592" t="str">
        <f>IF(ISBLANK('Master Submitted DPDs'!#REF!),"","Withdrawn")</f>
        <v>Withdrawn</v>
      </c>
      <c r="H592" s="2" t="e">
        <f>IF(ISBLANK('Master Submitted DPDs'!#REF!),"",'Master Submitted DPDs'!#REF!)</f>
        <v>#REF!</v>
      </c>
      <c r="I592" s="3"/>
      <c r="J592" s="3"/>
      <c r="K592" s="3"/>
      <c r="L592" s="2" t="e">
        <f>IF(ISBLANK('Master Submitted DPDs'!#REF!),"",'Master Submitted DPDs'!#REF!)</f>
        <v>#REF!</v>
      </c>
      <c r="M592" s="2" t="e">
        <f t="shared" si="18"/>
        <v>#REF!</v>
      </c>
      <c r="N592" s="2" t="e">
        <f>IF(ISBLANK('Master Submitted DPDs'!#REF!),IF(ISBLANK('Master Submitted DPDs'!#REF!),"",'Master Submitted DPDs'!#REF!),'Master Submitted DPDs'!#REF!)</f>
        <v>#REF!</v>
      </c>
      <c r="O592" s="2" t="e">
        <f>IF(ISBLANK('Master Submitted DPDs'!#REF!),"",'Master Submitted DPDs'!#REF!)</f>
        <v>#REF!</v>
      </c>
      <c r="P592" s="2" t="e">
        <f>IF(ISBLANK('Master Submitted DPDs'!#REF!),"",'Master Submitted DPDs'!#REF!)</f>
        <v>#REF!</v>
      </c>
      <c r="Q592" t="e">
        <f>IF(ISBLANK('Master Submitted DPDs'!#REF!),"",'Master Submitted DPDs'!#REF!)</f>
        <v>#REF!</v>
      </c>
      <c r="R592" t="e">
        <f t="shared" si="19"/>
        <v>#REF!</v>
      </c>
      <c r="S592" s="3"/>
      <c r="T592" t="e">
        <f>IF(ISBLANK('Master Submitted DPDs'!#REF!),"",'Master Submitted DPDs'!#REF!)</f>
        <v>#REF!</v>
      </c>
    </row>
    <row r="593" spans="1:20" ht="15" x14ac:dyDescent="0.2">
      <c r="A593" s="3" t="str">
        <f>IF(ISBLANK('Master Submitted DPDs'!#REF!),"","Local Plans")</f>
        <v>Local Plans</v>
      </c>
      <c r="B593" t="e">
        <f>IF(ISBLANK('Master Submitted DPDs'!#REF!),"",'Master Submitted DPDs'!#REF!)</f>
        <v>#REF!</v>
      </c>
      <c r="C593" s="3" t="str">
        <f>IF(ISBLANK('Master Submitted DPDs'!#REF!),"","IH")</f>
        <v>IH</v>
      </c>
      <c r="D593" s="3" t="e">
        <f>LOOKUP($F593,'fuzzy LPA lookup'!$E:$E,'fuzzy LPA lookup'!$A:$A)</f>
        <v>#REF!</v>
      </c>
      <c r="E593" s="3" t="e">
        <f>LOOKUP($F593,'fuzzy LPA lookup'!$E:$E,'fuzzy LPA lookup'!$D:$D)</f>
        <v>#REF!</v>
      </c>
      <c r="F593" s="8" t="e">
        <f>IF(ISBLANK('Master Submitted DPDs'!#REF!),"",'Master Submitted DPDs'!#REF!)</f>
        <v>#REF!</v>
      </c>
      <c r="G593" t="str">
        <f>IF(ISBLANK('Master Submitted DPDs'!#REF!),"","Withdrawn")</f>
        <v>Withdrawn</v>
      </c>
      <c r="H593" s="2" t="e">
        <f>IF(ISBLANK('Master Submitted DPDs'!#REF!),"",'Master Submitted DPDs'!#REF!)</f>
        <v>#REF!</v>
      </c>
      <c r="I593" s="3"/>
      <c r="J593" s="3"/>
      <c r="K593" s="3"/>
      <c r="L593" s="2" t="e">
        <f>IF(ISBLANK('Master Submitted DPDs'!#REF!),"",'Master Submitted DPDs'!#REF!)</f>
        <v>#REF!</v>
      </c>
      <c r="M593" s="2" t="e">
        <f t="shared" si="18"/>
        <v>#REF!</v>
      </c>
      <c r="N593" s="2" t="e">
        <f>IF(ISBLANK('Master Submitted DPDs'!#REF!),IF(ISBLANK('Master Submitted DPDs'!#REF!),"",'Master Submitted DPDs'!#REF!),'Master Submitted DPDs'!#REF!)</f>
        <v>#REF!</v>
      </c>
      <c r="O593" s="2" t="e">
        <f>IF(ISBLANK('Master Submitted DPDs'!#REF!),"",'Master Submitted DPDs'!#REF!)</f>
        <v>#REF!</v>
      </c>
      <c r="P593" s="2" t="e">
        <f>IF(ISBLANK('Master Submitted DPDs'!#REF!),"",'Master Submitted DPDs'!#REF!)</f>
        <v>#REF!</v>
      </c>
      <c r="Q593" t="e">
        <f>IF(ISBLANK('Master Submitted DPDs'!#REF!),"",'Master Submitted DPDs'!#REF!)</f>
        <v>#REF!</v>
      </c>
      <c r="R593" t="e">
        <f t="shared" si="19"/>
        <v>#REF!</v>
      </c>
      <c r="S593" s="3"/>
      <c r="T593" t="e">
        <f>IF(ISBLANK('Master Submitted DPDs'!#REF!),"",'Master Submitted DPDs'!#REF!)</f>
        <v>#REF!</v>
      </c>
    </row>
    <row r="594" spans="1:20" ht="15" x14ac:dyDescent="0.2">
      <c r="A594" s="3" t="str">
        <f>IF(ISBLANK('Master Submitted DPDs'!#REF!),"","Local Plans")</f>
        <v>Local Plans</v>
      </c>
      <c r="B594" t="e">
        <f>IF(ISBLANK('Master Submitted DPDs'!#REF!),"",'Master Submitted DPDs'!#REF!)</f>
        <v>#REF!</v>
      </c>
      <c r="C594" s="3" t="str">
        <f>IF(ISBLANK('Master Submitted DPDs'!#REF!),"","IH")</f>
        <v>IH</v>
      </c>
      <c r="D594" s="3" t="e">
        <f>LOOKUP($F594,'fuzzy LPA lookup'!$E:$E,'fuzzy LPA lookup'!$A:$A)</f>
        <v>#REF!</v>
      </c>
      <c r="E594" s="3" t="e">
        <f>LOOKUP($F594,'fuzzy LPA lookup'!$E:$E,'fuzzy LPA lookup'!$D:$D)</f>
        <v>#REF!</v>
      </c>
      <c r="F594" s="8" t="e">
        <f>IF(ISBLANK('Master Submitted DPDs'!#REF!),"",'Master Submitted DPDs'!#REF!)</f>
        <v>#REF!</v>
      </c>
      <c r="G594" t="str">
        <f>IF(ISBLANK('Master Submitted DPDs'!#REF!),"","Withdrawn")</f>
        <v>Withdrawn</v>
      </c>
      <c r="H594" s="2" t="e">
        <f>IF(ISBLANK('Master Submitted DPDs'!#REF!),"",'Master Submitted DPDs'!#REF!)</f>
        <v>#REF!</v>
      </c>
      <c r="I594" s="3"/>
      <c r="J594" s="3"/>
      <c r="K594" s="3"/>
      <c r="L594" s="2" t="e">
        <f>IF(ISBLANK('Master Submitted DPDs'!#REF!),"",'Master Submitted DPDs'!#REF!)</f>
        <v>#REF!</v>
      </c>
      <c r="M594" s="2" t="e">
        <f t="shared" si="18"/>
        <v>#REF!</v>
      </c>
      <c r="N594" s="2" t="e">
        <f>IF(ISBLANK('Master Submitted DPDs'!#REF!),IF(ISBLANK('Master Submitted DPDs'!#REF!),"",'Master Submitted DPDs'!#REF!),'Master Submitted DPDs'!#REF!)</f>
        <v>#REF!</v>
      </c>
      <c r="O594" s="2" t="e">
        <f>IF(ISBLANK('Master Submitted DPDs'!#REF!),"",'Master Submitted DPDs'!#REF!)</f>
        <v>#REF!</v>
      </c>
      <c r="P594" s="2" t="e">
        <f>IF(ISBLANK('Master Submitted DPDs'!#REF!),"",'Master Submitted DPDs'!#REF!)</f>
        <v>#REF!</v>
      </c>
      <c r="Q594" t="e">
        <f>IF(ISBLANK('Master Submitted DPDs'!#REF!),"",'Master Submitted DPDs'!#REF!)</f>
        <v>#REF!</v>
      </c>
      <c r="R594" t="e">
        <f t="shared" si="19"/>
        <v>#REF!</v>
      </c>
      <c r="S594" s="3"/>
      <c r="T594" t="e">
        <f>IF(ISBLANK('Master Submitted DPDs'!#REF!),"",'Master Submitted DPDs'!#REF!)</f>
        <v>#REF!</v>
      </c>
    </row>
    <row r="595" spans="1:20" ht="15" x14ac:dyDescent="0.2">
      <c r="A595" s="3" t="str">
        <f>IF(ISBLANK('Master Submitted DPDs'!#REF!),"","Local Plans")</f>
        <v>Local Plans</v>
      </c>
      <c r="B595" t="e">
        <f>IF(ISBLANK('Master Submitted DPDs'!#REF!),"",'Master Submitted DPDs'!#REF!)</f>
        <v>#REF!</v>
      </c>
      <c r="C595" s="3" t="str">
        <f>IF(ISBLANK('Master Submitted DPDs'!#REF!),"","IH")</f>
        <v>IH</v>
      </c>
      <c r="D595" s="3" t="e">
        <f>LOOKUP($F595,'fuzzy LPA lookup'!$E:$E,'fuzzy LPA lookup'!$A:$A)</f>
        <v>#REF!</v>
      </c>
      <c r="E595" s="3" t="e">
        <f>LOOKUP($F595,'fuzzy LPA lookup'!$E:$E,'fuzzy LPA lookup'!$D:$D)</f>
        <v>#REF!</v>
      </c>
      <c r="F595" s="8" t="e">
        <f>IF(ISBLANK('Master Submitted DPDs'!#REF!),"",'Master Submitted DPDs'!#REF!)</f>
        <v>#REF!</v>
      </c>
      <c r="G595" t="str">
        <f>IF(ISBLANK('Master Submitted DPDs'!#REF!),"","Withdrawn")</f>
        <v>Withdrawn</v>
      </c>
      <c r="H595" s="2" t="e">
        <f>IF(ISBLANK('Master Submitted DPDs'!#REF!),"",'Master Submitted DPDs'!#REF!)</f>
        <v>#REF!</v>
      </c>
      <c r="I595" s="3"/>
      <c r="J595" s="3"/>
      <c r="K595" s="3"/>
      <c r="L595" s="2" t="e">
        <f>IF(ISBLANK('Master Submitted DPDs'!#REF!),"",'Master Submitted DPDs'!#REF!)</f>
        <v>#REF!</v>
      </c>
      <c r="M595" s="2" t="e">
        <f t="shared" si="18"/>
        <v>#REF!</v>
      </c>
      <c r="N595" s="2" t="e">
        <f>IF(ISBLANK('Master Submitted DPDs'!#REF!),IF(ISBLANK('Master Submitted DPDs'!#REF!),"",'Master Submitted DPDs'!#REF!),'Master Submitted DPDs'!#REF!)</f>
        <v>#REF!</v>
      </c>
      <c r="O595" s="2" t="e">
        <f>IF(ISBLANK('Master Submitted DPDs'!#REF!),"",'Master Submitted DPDs'!#REF!)</f>
        <v>#REF!</v>
      </c>
      <c r="P595" s="2" t="e">
        <f>IF(ISBLANK('Master Submitted DPDs'!#REF!),"",'Master Submitted DPDs'!#REF!)</f>
        <v>#REF!</v>
      </c>
      <c r="Q595" t="e">
        <f>IF(ISBLANK('Master Submitted DPDs'!#REF!),"",'Master Submitted DPDs'!#REF!)</f>
        <v>#REF!</v>
      </c>
      <c r="R595" t="e">
        <f t="shared" si="19"/>
        <v>#REF!</v>
      </c>
      <c r="S595" s="3"/>
      <c r="T595" t="e">
        <f>IF(ISBLANK('Master Submitted DPDs'!#REF!),"",'Master Submitted DPDs'!#REF!)</f>
        <v>#REF!</v>
      </c>
    </row>
    <row r="596" spans="1:20" ht="15" x14ac:dyDescent="0.2">
      <c r="A596" s="3" t="str">
        <f>IF(ISBLANK('Master Submitted DPDs'!#REF!),"","Local Plans")</f>
        <v>Local Plans</v>
      </c>
      <c r="B596" t="e">
        <f>IF(ISBLANK('Master Submitted DPDs'!#REF!),"",'Master Submitted DPDs'!#REF!)</f>
        <v>#REF!</v>
      </c>
      <c r="C596" s="3" t="str">
        <f>IF(ISBLANK('Master Submitted DPDs'!#REF!),"","IH")</f>
        <v>IH</v>
      </c>
      <c r="D596" s="3" t="e">
        <f>LOOKUP($F596,'fuzzy LPA lookup'!$E:$E,'fuzzy LPA lookup'!$A:$A)</f>
        <v>#REF!</v>
      </c>
      <c r="E596" s="3" t="e">
        <f>LOOKUP($F596,'fuzzy LPA lookup'!$E:$E,'fuzzy LPA lookup'!$D:$D)</f>
        <v>#REF!</v>
      </c>
      <c r="F596" s="8" t="e">
        <f>IF(ISBLANK('Master Submitted DPDs'!#REF!),"",'Master Submitted DPDs'!#REF!)</f>
        <v>#REF!</v>
      </c>
      <c r="G596" t="str">
        <f>IF(ISBLANK('Master Submitted DPDs'!#REF!),"","Withdrawn")</f>
        <v>Withdrawn</v>
      </c>
      <c r="H596" s="2" t="e">
        <f>IF(ISBLANK('Master Submitted DPDs'!#REF!),"",'Master Submitted DPDs'!#REF!)</f>
        <v>#REF!</v>
      </c>
      <c r="I596" s="3"/>
      <c r="J596" s="3"/>
      <c r="K596" s="3"/>
      <c r="L596" s="2" t="e">
        <f>IF(ISBLANK('Master Submitted DPDs'!#REF!),"",'Master Submitted DPDs'!#REF!)</f>
        <v>#REF!</v>
      </c>
      <c r="M596" s="2" t="e">
        <f t="shared" si="18"/>
        <v>#REF!</v>
      </c>
      <c r="N596" s="2" t="e">
        <f>IF(ISBLANK('Master Submitted DPDs'!#REF!),IF(ISBLANK('Master Submitted DPDs'!#REF!),"",'Master Submitted DPDs'!#REF!),'Master Submitted DPDs'!#REF!)</f>
        <v>#REF!</v>
      </c>
      <c r="O596" s="2" t="e">
        <f>IF(ISBLANK('Master Submitted DPDs'!#REF!),"",'Master Submitted DPDs'!#REF!)</f>
        <v>#REF!</v>
      </c>
      <c r="P596" s="2" t="e">
        <f>IF(ISBLANK('Master Submitted DPDs'!#REF!),"",'Master Submitted DPDs'!#REF!)</f>
        <v>#REF!</v>
      </c>
      <c r="Q596" t="e">
        <f>IF(ISBLANK('Master Submitted DPDs'!#REF!),"",'Master Submitted DPDs'!#REF!)</f>
        <v>#REF!</v>
      </c>
      <c r="R596" t="e">
        <f t="shared" si="19"/>
        <v>#REF!</v>
      </c>
      <c r="S596" s="3"/>
      <c r="T596" t="e">
        <f>IF(ISBLANK('Master Submitted DPDs'!#REF!),"",'Master Submitted DPDs'!#REF!)</f>
        <v>#REF!</v>
      </c>
    </row>
    <row r="597" spans="1:20" ht="15" x14ac:dyDescent="0.2">
      <c r="A597" s="3" t="str">
        <f>IF(ISBLANK('Master Submitted DPDs'!#REF!),"","Local Plans")</f>
        <v>Local Plans</v>
      </c>
      <c r="B597" t="e">
        <f>IF(ISBLANK('Master Submitted DPDs'!#REF!),"",'Master Submitted DPDs'!#REF!)</f>
        <v>#REF!</v>
      </c>
      <c r="C597" s="3" t="str">
        <f>IF(ISBLANK('Master Submitted DPDs'!#REF!),"","IH")</f>
        <v>IH</v>
      </c>
      <c r="D597" s="3" t="e">
        <f>LOOKUP($F597,'fuzzy LPA lookup'!$E:$E,'fuzzy LPA lookup'!$A:$A)</f>
        <v>#REF!</v>
      </c>
      <c r="E597" s="3" t="e">
        <f>LOOKUP($F597,'fuzzy LPA lookup'!$E:$E,'fuzzy LPA lookup'!$D:$D)</f>
        <v>#REF!</v>
      </c>
      <c r="F597" s="8" t="e">
        <f>IF(ISBLANK('Master Submitted DPDs'!#REF!),"",'Master Submitted DPDs'!#REF!)</f>
        <v>#REF!</v>
      </c>
      <c r="G597" t="str">
        <f>IF(ISBLANK('Master Submitted DPDs'!#REF!),"","Withdrawn")</f>
        <v>Withdrawn</v>
      </c>
      <c r="H597" s="2" t="e">
        <f>IF(ISBLANK('Master Submitted DPDs'!#REF!),"",'Master Submitted DPDs'!#REF!)</f>
        <v>#REF!</v>
      </c>
      <c r="I597" s="3"/>
      <c r="J597" s="3"/>
      <c r="K597" s="3"/>
      <c r="L597" s="2" t="e">
        <f>IF(ISBLANK('Master Submitted DPDs'!#REF!),"",'Master Submitted DPDs'!#REF!)</f>
        <v>#REF!</v>
      </c>
      <c r="M597" s="2" t="e">
        <f t="shared" si="18"/>
        <v>#REF!</v>
      </c>
      <c r="N597" s="2" t="e">
        <f>IF(ISBLANK('Master Submitted DPDs'!#REF!),IF(ISBLANK('Master Submitted DPDs'!#REF!),"",'Master Submitted DPDs'!#REF!),'Master Submitted DPDs'!#REF!)</f>
        <v>#REF!</v>
      </c>
      <c r="O597" s="2" t="e">
        <f>IF(ISBLANK('Master Submitted DPDs'!#REF!),"",'Master Submitted DPDs'!#REF!)</f>
        <v>#REF!</v>
      </c>
      <c r="P597" s="2" t="e">
        <f>IF(ISBLANK('Master Submitted DPDs'!#REF!),"",'Master Submitted DPDs'!#REF!)</f>
        <v>#REF!</v>
      </c>
      <c r="Q597" t="e">
        <f>IF(ISBLANK('Master Submitted DPDs'!#REF!),"",'Master Submitted DPDs'!#REF!)</f>
        <v>#REF!</v>
      </c>
      <c r="R597" t="e">
        <f t="shared" si="19"/>
        <v>#REF!</v>
      </c>
      <c r="S597" s="3"/>
      <c r="T597" t="e">
        <f>IF(ISBLANK('Master Submitted DPDs'!#REF!),"",'Master Submitted DPDs'!#REF!)</f>
        <v>#REF!</v>
      </c>
    </row>
    <row r="598" spans="1:20" ht="15" x14ac:dyDescent="0.2">
      <c r="A598" s="3" t="str">
        <f>IF(ISBLANK('Master Submitted DPDs'!#REF!),"","Local Plans")</f>
        <v>Local Plans</v>
      </c>
      <c r="B598" t="e">
        <f>IF(ISBLANK('Master Submitted DPDs'!#REF!),"",'Master Submitted DPDs'!#REF!)</f>
        <v>#REF!</v>
      </c>
      <c r="C598" s="3" t="str">
        <f>IF(ISBLANK('Master Submitted DPDs'!#REF!),"","IH")</f>
        <v>IH</v>
      </c>
      <c r="D598" s="3" t="e">
        <f>LOOKUP($F598,'fuzzy LPA lookup'!$E:$E,'fuzzy LPA lookup'!$A:$A)</f>
        <v>#REF!</v>
      </c>
      <c r="E598" s="3" t="e">
        <f>LOOKUP($F598,'fuzzy LPA lookup'!$E:$E,'fuzzy LPA lookup'!$D:$D)</f>
        <v>#REF!</v>
      </c>
      <c r="F598" s="8" t="e">
        <f>IF(ISBLANK('Master Submitted DPDs'!#REF!),"",'Master Submitted DPDs'!#REF!)</f>
        <v>#REF!</v>
      </c>
      <c r="G598" t="str">
        <f>IF(ISBLANK('Master Submitted DPDs'!#REF!),"","Withdrawn")</f>
        <v>Withdrawn</v>
      </c>
      <c r="H598" s="2" t="e">
        <f>IF(ISBLANK('Master Submitted DPDs'!#REF!),"",'Master Submitted DPDs'!#REF!)</f>
        <v>#REF!</v>
      </c>
      <c r="I598" s="3"/>
      <c r="J598" s="3"/>
      <c r="K598" s="3"/>
      <c r="L598" s="2" t="e">
        <f>IF(ISBLANK('Master Submitted DPDs'!#REF!),"",'Master Submitted DPDs'!#REF!)</f>
        <v>#REF!</v>
      </c>
      <c r="M598" s="2" t="e">
        <f t="shared" si="18"/>
        <v>#REF!</v>
      </c>
      <c r="N598" s="2" t="e">
        <f>IF(ISBLANK('Master Submitted DPDs'!#REF!),IF(ISBLANK('Master Submitted DPDs'!#REF!),"",'Master Submitted DPDs'!#REF!),'Master Submitted DPDs'!#REF!)</f>
        <v>#REF!</v>
      </c>
      <c r="O598" s="2" t="e">
        <f>IF(ISBLANK('Master Submitted DPDs'!#REF!),"",'Master Submitted DPDs'!#REF!)</f>
        <v>#REF!</v>
      </c>
      <c r="P598" s="2" t="e">
        <f>IF(ISBLANK('Master Submitted DPDs'!#REF!),"",'Master Submitted DPDs'!#REF!)</f>
        <v>#REF!</v>
      </c>
      <c r="Q598" t="e">
        <f>IF(ISBLANK('Master Submitted DPDs'!#REF!),"",'Master Submitted DPDs'!#REF!)</f>
        <v>#REF!</v>
      </c>
      <c r="R598" t="e">
        <f t="shared" si="19"/>
        <v>#REF!</v>
      </c>
      <c r="S598" s="3"/>
      <c r="T598" t="e">
        <f>IF(ISBLANK('Master Submitted DPDs'!#REF!),"",'Master Submitted DPDs'!#REF!)</f>
        <v>#REF!</v>
      </c>
    </row>
    <row r="599" spans="1:20" ht="15" x14ac:dyDescent="0.2">
      <c r="A599" s="3" t="str">
        <f>IF(ISBLANK('Master Submitted DPDs'!#REF!),"","Local Plans")</f>
        <v>Local Plans</v>
      </c>
      <c r="B599" t="e">
        <f>IF(ISBLANK('Master Submitted DPDs'!#REF!),"",'Master Submitted DPDs'!#REF!)</f>
        <v>#REF!</v>
      </c>
      <c r="C599" s="3" t="str">
        <f>IF(ISBLANK('Master Submitted DPDs'!#REF!),"","IH")</f>
        <v>IH</v>
      </c>
      <c r="D599" s="3" t="e">
        <f>LOOKUP($F599,'fuzzy LPA lookup'!$E:$E,'fuzzy LPA lookup'!$A:$A)</f>
        <v>#REF!</v>
      </c>
      <c r="E599" s="3" t="e">
        <f>LOOKUP($F599,'fuzzy LPA lookup'!$E:$E,'fuzzy LPA lookup'!$D:$D)</f>
        <v>#REF!</v>
      </c>
      <c r="F599" s="8" t="e">
        <f>IF(ISBLANK('Master Submitted DPDs'!#REF!),"",'Master Submitted DPDs'!#REF!)</f>
        <v>#REF!</v>
      </c>
      <c r="G599" t="str">
        <f>IF(ISBLANK('Master Submitted DPDs'!#REF!),"","Withdrawn")</f>
        <v>Withdrawn</v>
      </c>
      <c r="H599" s="2" t="e">
        <f>IF(ISBLANK('Master Submitted DPDs'!#REF!),"",'Master Submitted DPDs'!#REF!)</f>
        <v>#REF!</v>
      </c>
      <c r="I599" s="3"/>
      <c r="J599" s="3"/>
      <c r="K599" s="3"/>
      <c r="L599" s="2" t="e">
        <f>IF(ISBLANK('Master Submitted DPDs'!#REF!),"",'Master Submitted DPDs'!#REF!)</f>
        <v>#REF!</v>
      </c>
      <c r="M599" s="2" t="e">
        <f t="shared" si="18"/>
        <v>#REF!</v>
      </c>
      <c r="N599" s="2" t="e">
        <f>IF(ISBLANK('Master Submitted DPDs'!#REF!),IF(ISBLANK('Master Submitted DPDs'!#REF!),"",'Master Submitted DPDs'!#REF!),'Master Submitted DPDs'!#REF!)</f>
        <v>#REF!</v>
      </c>
      <c r="O599" s="2" t="e">
        <f>IF(ISBLANK('Master Submitted DPDs'!#REF!),"",'Master Submitted DPDs'!#REF!)</f>
        <v>#REF!</v>
      </c>
      <c r="P599" s="2" t="e">
        <f>IF(ISBLANK('Master Submitted DPDs'!#REF!),"",'Master Submitted DPDs'!#REF!)</f>
        <v>#REF!</v>
      </c>
      <c r="Q599" t="e">
        <f>IF(ISBLANK('Master Submitted DPDs'!#REF!),"",'Master Submitted DPDs'!#REF!)</f>
        <v>#REF!</v>
      </c>
      <c r="R599" t="e">
        <f t="shared" si="19"/>
        <v>#REF!</v>
      </c>
      <c r="S599" s="3"/>
      <c r="T599" t="e">
        <f>IF(ISBLANK('Master Submitted DPDs'!#REF!),"",'Master Submitted DPDs'!#REF!)</f>
        <v>#REF!</v>
      </c>
    </row>
    <row r="600" spans="1:20" ht="15" x14ac:dyDescent="0.2">
      <c r="A600" s="3" t="str">
        <f>IF(ISBLANK('Master Submitted DPDs'!#REF!),"","Local Plans")</f>
        <v>Local Plans</v>
      </c>
      <c r="B600" t="e">
        <f>IF(ISBLANK('Master Submitted DPDs'!#REF!),"",'Master Submitted DPDs'!#REF!)</f>
        <v>#REF!</v>
      </c>
      <c r="C600" s="3" t="str">
        <f>IF(ISBLANK('Master Submitted DPDs'!#REF!),"","IH")</f>
        <v>IH</v>
      </c>
      <c r="D600" s="3" t="e">
        <f>LOOKUP($F600,'fuzzy LPA lookup'!$E:$E,'fuzzy LPA lookup'!$A:$A)</f>
        <v>#REF!</v>
      </c>
      <c r="E600" s="3" t="e">
        <f>LOOKUP($F600,'fuzzy LPA lookup'!$E:$E,'fuzzy LPA lookup'!$D:$D)</f>
        <v>#REF!</v>
      </c>
      <c r="F600" s="8" t="e">
        <f>IF(ISBLANK('Master Submitted DPDs'!#REF!),"",'Master Submitted DPDs'!#REF!)</f>
        <v>#REF!</v>
      </c>
      <c r="G600" t="str">
        <f>IF(ISBLANK('Master Submitted DPDs'!#REF!),"","Withdrawn")</f>
        <v>Withdrawn</v>
      </c>
      <c r="H600" s="2" t="e">
        <f>IF(ISBLANK('Master Submitted DPDs'!#REF!),"",'Master Submitted DPDs'!#REF!)</f>
        <v>#REF!</v>
      </c>
      <c r="I600" s="3"/>
      <c r="J600" s="3"/>
      <c r="K600" s="3"/>
      <c r="L600" s="2" t="e">
        <f>IF(ISBLANK('Master Submitted DPDs'!#REF!),"",'Master Submitted DPDs'!#REF!)</f>
        <v>#REF!</v>
      </c>
      <c r="M600" s="2" t="e">
        <f t="shared" si="18"/>
        <v>#REF!</v>
      </c>
      <c r="N600" s="2" t="e">
        <f>IF(ISBLANK('Master Submitted DPDs'!#REF!),IF(ISBLANK('Master Submitted DPDs'!#REF!),"",'Master Submitted DPDs'!#REF!),'Master Submitted DPDs'!#REF!)</f>
        <v>#REF!</v>
      </c>
      <c r="O600" s="2" t="e">
        <f>IF(ISBLANK('Master Submitted DPDs'!#REF!),"",'Master Submitted DPDs'!#REF!)</f>
        <v>#REF!</v>
      </c>
      <c r="P600" s="2" t="e">
        <f>IF(ISBLANK('Master Submitted DPDs'!#REF!),"",'Master Submitted DPDs'!#REF!)</f>
        <v>#REF!</v>
      </c>
      <c r="Q600" t="e">
        <f>IF(ISBLANK('Master Submitted DPDs'!#REF!),"",'Master Submitted DPDs'!#REF!)</f>
        <v>#REF!</v>
      </c>
      <c r="R600" t="e">
        <f t="shared" si="19"/>
        <v>#REF!</v>
      </c>
      <c r="S600" s="3"/>
      <c r="T600" t="e">
        <f>IF(ISBLANK('Master Submitted DPDs'!#REF!),"",'Master Submitted DPDs'!#REF!)</f>
        <v>#REF!</v>
      </c>
    </row>
    <row r="601" spans="1:20" ht="15" x14ac:dyDescent="0.2">
      <c r="A601" s="3" t="str">
        <f>IF(ISBLANK('Master Submitted DPDs'!#REF!),"","Local Plans")</f>
        <v>Local Plans</v>
      </c>
      <c r="B601" t="e">
        <f>IF(ISBLANK('Master Submitted DPDs'!#REF!),"",'Master Submitted DPDs'!#REF!)</f>
        <v>#REF!</v>
      </c>
      <c r="C601" s="3" t="str">
        <f>IF(ISBLANK('Master Submitted DPDs'!#REF!),"","IH")</f>
        <v>IH</v>
      </c>
      <c r="D601" s="3" t="e">
        <f>LOOKUP($F601,'fuzzy LPA lookup'!$E:$E,'fuzzy LPA lookup'!$A:$A)</f>
        <v>#REF!</v>
      </c>
      <c r="E601" s="3" t="e">
        <f>LOOKUP($F601,'fuzzy LPA lookup'!$E:$E,'fuzzy LPA lookup'!$D:$D)</f>
        <v>#REF!</v>
      </c>
      <c r="F601" s="8" t="e">
        <f>IF(ISBLANK('Master Submitted DPDs'!#REF!),"",'Master Submitted DPDs'!#REF!)</f>
        <v>#REF!</v>
      </c>
      <c r="G601" t="str">
        <f>IF(ISBLANK('Master Submitted DPDs'!#REF!),"","Withdrawn")</f>
        <v>Withdrawn</v>
      </c>
      <c r="H601" s="2" t="e">
        <f>IF(ISBLANK('Master Submitted DPDs'!#REF!),"",'Master Submitted DPDs'!#REF!)</f>
        <v>#REF!</v>
      </c>
      <c r="I601" s="3"/>
      <c r="J601" s="3"/>
      <c r="K601" s="3"/>
      <c r="L601" s="2" t="e">
        <f>IF(ISBLANK('Master Submitted DPDs'!#REF!),"",'Master Submitted DPDs'!#REF!)</f>
        <v>#REF!</v>
      </c>
      <c r="M601" s="2" t="e">
        <f t="shared" si="18"/>
        <v>#REF!</v>
      </c>
      <c r="N601" s="2" t="e">
        <f>IF(ISBLANK('Master Submitted DPDs'!#REF!),IF(ISBLANK('Master Submitted DPDs'!#REF!),"",'Master Submitted DPDs'!#REF!),'Master Submitted DPDs'!#REF!)</f>
        <v>#REF!</v>
      </c>
      <c r="O601" s="2" t="e">
        <f>IF(ISBLANK('Master Submitted DPDs'!#REF!),"",'Master Submitted DPDs'!#REF!)</f>
        <v>#REF!</v>
      </c>
      <c r="P601" s="2" t="e">
        <f>IF(ISBLANK('Master Submitted DPDs'!#REF!),"",'Master Submitted DPDs'!#REF!)</f>
        <v>#REF!</v>
      </c>
      <c r="Q601" t="e">
        <f>IF(ISBLANK('Master Submitted DPDs'!#REF!),"",'Master Submitted DPDs'!#REF!)</f>
        <v>#REF!</v>
      </c>
      <c r="R601" t="e">
        <f t="shared" si="19"/>
        <v>#REF!</v>
      </c>
      <c r="S601" s="3"/>
      <c r="T601" t="e">
        <f>IF(ISBLANK('Master Submitted DPDs'!#REF!),"",'Master Submitted DPDs'!#REF!)</f>
        <v>#REF!</v>
      </c>
    </row>
    <row r="602" spans="1:20" ht="15" x14ac:dyDescent="0.2">
      <c r="A602" s="3" t="str">
        <f>IF(ISBLANK('Master Submitted DPDs'!#REF!),"","Local Plans")</f>
        <v>Local Plans</v>
      </c>
      <c r="B602" t="e">
        <f>IF(ISBLANK('Master Submitted DPDs'!#REF!),"",'Master Submitted DPDs'!#REF!)</f>
        <v>#REF!</v>
      </c>
      <c r="C602" s="3" t="str">
        <f>IF(ISBLANK('Master Submitted DPDs'!#REF!),"","IH")</f>
        <v>IH</v>
      </c>
      <c r="D602" s="3" t="e">
        <f>LOOKUP($F602,'fuzzy LPA lookup'!$E:$E,'fuzzy LPA lookup'!$A:$A)</f>
        <v>#REF!</v>
      </c>
      <c r="E602" s="3" t="e">
        <f>LOOKUP($F602,'fuzzy LPA lookup'!$E:$E,'fuzzy LPA lookup'!$D:$D)</f>
        <v>#REF!</v>
      </c>
      <c r="F602" s="8" t="e">
        <f>IF(ISBLANK('Master Submitted DPDs'!#REF!),"",'Master Submitted DPDs'!#REF!)</f>
        <v>#REF!</v>
      </c>
      <c r="G602" t="str">
        <f>IF(ISBLANK('Master Submitted DPDs'!#REF!),"","Withdrawn")</f>
        <v>Withdrawn</v>
      </c>
      <c r="H602" s="2" t="e">
        <f>IF(ISBLANK('Master Submitted DPDs'!#REF!),"",'Master Submitted DPDs'!#REF!)</f>
        <v>#REF!</v>
      </c>
      <c r="I602" s="3"/>
      <c r="J602" s="3"/>
      <c r="K602" s="3"/>
      <c r="L602" s="2" t="e">
        <f>IF(ISBLANK('Master Submitted DPDs'!#REF!),"",'Master Submitted DPDs'!#REF!)</f>
        <v>#REF!</v>
      </c>
      <c r="M602" s="2" t="e">
        <f t="shared" si="18"/>
        <v>#REF!</v>
      </c>
      <c r="N602" s="2" t="e">
        <f>IF(ISBLANK('Master Submitted DPDs'!#REF!),IF(ISBLANK('Master Submitted DPDs'!#REF!),"",'Master Submitted DPDs'!#REF!),'Master Submitted DPDs'!#REF!)</f>
        <v>#REF!</v>
      </c>
      <c r="O602" s="2" t="e">
        <f>IF(ISBLANK('Master Submitted DPDs'!#REF!),"",'Master Submitted DPDs'!#REF!)</f>
        <v>#REF!</v>
      </c>
      <c r="P602" s="2" t="e">
        <f>IF(ISBLANK('Master Submitted DPDs'!#REF!),"",'Master Submitted DPDs'!#REF!)</f>
        <v>#REF!</v>
      </c>
      <c r="Q602" t="e">
        <f>IF(ISBLANK('Master Submitted DPDs'!#REF!),"",'Master Submitted DPDs'!#REF!)</f>
        <v>#REF!</v>
      </c>
      <c r="R602" t="e">
        <f t="shared" si="19"/>
        <v>#REF!</v>
      </c>
      <c r="S602" s="3"/>
      <c r="T602" t="e">
        <f>IF(ISBLANK('Master Submitted DPDs'!#REF!),"",'Master Submitted DPDs'!#REF!)</f>
        <v>#REF!</v>
      </c>
    </row>
    <row r="603" spans="1:20" ht="15" x14ac:dyDescent="0.2">
      <c r="A603" s="3" t="str">
        <f>IF(ISBLANK('Master Submitted DPDs'!#REF!),"","Local Plans")</f>
        <v>Local Plans</v>
      </c>
      <c r="B603" t="e">
        <f>IF(ISBLANK('Master Submitted DPDs'!#REF!),"",'Master Submitted DPDs'!#REF!)</f>
        <v>#REF!</v>
      </c>
      <c r="C603" s="3" t="str">
        <f>IF(ISBLANK('Master Submitted DPDs'!#REF!),"","IH")</f>
        <v>IH</v>
      </c>
      <c r="D603" s="3" t="e">
        <f>LOOKUP($F603,'fuzzy LPA lookup'!$E:$E,'fuzzy LPA lookup'!$A:$A)</f>
        <v>#REF!</v>
      </c>
      <c r="E603" s="3" t="e">
        <f>LOOKUP($F603,'fuzzy LPA lookup'!$E:$E,'fuzzy LPA lookup'!$D:$D)</f>
        <v>#REF!</v>
      </c>
      <c r="F603" s="8" t="e">
        <f>IF(ISBLANK('Master Submitted DPDs'!#REF!),"",'Master Submitted DPDs'!#REF!)</f>
        <v>#REF!</v>
      </c>
      <c r="G603" t="str">
        <f>IF(ISBLANK('Master Submitted DPDs'!#REF!),"","Withdrawn")</f>
        <v>Withdrawn</v>
      </c>
      <c r="H603" s="2" t="e">
        <f>IF(ISBLANK('Master Submitted DPDs'!#REF!),"",'Master Submitted DPDs'!#REF!)</f>
        <v>#REF!</v>
      </c>
      <c r="I603" s="3"/>
      <c r="J603" s="3"/>
      <c r="K603" s="3"/>
      <c r="L603" s="2" t="e">
        <f>IF(ISBLANK('Master Submitted DPDs'!#REF!),"",'Master Submitted DPDs'!#REF!)</f>
        <v>#REF!</v>
      </c>
      <c r="M603" s="2" t="e">
        <f t="shared" si="18"/>
        <v>#REF!</v>
      </c>
      <c r="N603" s="2" t="e">
        <f>IF(ISBLANK('Master Submitted DPDs'!#REF!),IF(ISBLANK('Master Submitted DPDs'!#REF!),"",'Master Submitted DPDs'!#REF!),'Master Submitted DPDs'!#REF!)</f>
        <v>#REF!</v>
      </c>
      <c r="O603" s="2" t="e">
        <f>IF(ISBLANK('Master Submitted DPDs'!#REF!),"",'Master Submitted DPDs'!#REF!)</f>
        <v>#REF!</v>
      </c>
      <c r="P603" s="2" t="e">
        <f>IF(ISBLANK('Master Submitted DPDs'!#REF!),"",'Master Submitted DPDs'!#REF!)</f>
        <v>#REF!</v>
      </c>
      <c r="Q603" t="e">
        <f>IF(ISBLANK('Master Submitted DPDs'!#REF!),"",'Master Submitted DPDs'!#REF!)</f>
        <v>#REF!</v>
      </c>
      <c r="R603" t="e">
        <f t="shared" si="19"/>
        <v>#REF!</v>
      </c>
      <c r="S603" s="3"/>
      <c r="T603" t="e">
        <f>IF(ISBLANK('Master Submitted DPDs'!#REF!),"",'Master Submitted DPDs'!#REF!)</f>
        <v>#REF!</v>
      </c>
    </row>
    <row r="604" spans="1:20" ht="15" x14ac:dyDescent="0.2">
      <c r="A604" s="3" t="str">
        <f>IF(ISBLANK('Master Submitted DPDs'!#REF!),"","Local Plans")</f>
        <v>Local Plans</v>
      </c>
      <c r="B604" t="e">
        <f>IF(ISBLANK('Master Submitted DPDs'!#REF!),"",'Master Submitted DPDs'!#REF!)</f>
        <v>#REF!</v>
      </c>
      <c r="C604" s="3" t="str">
        <f>IF(ISBLANK('Master Submitted DPDs'!#REF!),"","IH")</f>
        <v>IH</v>
      </c>
      <c r="D604" s="3" t="e">
        <f>LOOKUP($F604,'fuzzy LPA lookup'!$E:$E,'fuzzy LPA lookup'!$A:$A)</f>
        <v>#REF!</v>
      </c>
      <c r="E604" s="3" t="e">
        <f>LOOKUP($F604,'fuzzy LPA lookup'!$E:$E,'fuzzy LPA lookup'!$D:$D)</f>
        <v>#REF!</v>
      </c>
      <c r="F604" s="8" t="e">
        <f>IF(ISBLANK('Master Submitted DPDs'!#REF!),"",'Master Submitted DPDs'!#REF!)</f>
        <v>#REF!</v>
      </c>
      <c r="G604" t="str">
        <f>IF(ISBLANK('Master Submitted DPDs'!#REF!),"","Withdrawn")</f>
        <v>Withdrawn</v>
      </c>
      <c r="H604" s="2" t="e">
        <f>IF(ISBLANK('Master Submitted DPDs'!#REF!),"",'Master Submitted DPDs'!#REF!)</f>
        <v>#REF!</v>
      </c>
      <c r="I604" s="3"/>
      <c r="J604" s="3"/>
      <c r="K604" s="3"/>
      <c r="L604" s="2" t="e">
        <f>IF(ISBLANK('Master Submitted DPDs'!#REF!),"",'Master Submitted DPDs'!#REF!)</f>
        <v>#REF!</v>
      </c>
      <c r="M604" s="2" t="e">
        <f t="shared" si="18"/>
        <v>#REF!</v>
      </c>
      <c r="N604" s="2" t="e">
        <f>IF(ISBLANK('Master Submitted DPDs'!#REF!),IF(ISBLANK('Master Submitted DPDs'!#REF!),"",'Master Submitted DPDs'!#REF!),'Master Submitted DPDs'!#REF!)</f>
        <v>#REF!</v>
      </c>
      <c r="O604" s="2" t="e">
        <f>IF(ISBLANK('Master Submitted DPDs'!#REF!),"",'Master Submitted DPDs'!#REF!)</f>
        <v>#REF!</v>
      </c>
      <c r="P604" s="2" t="e">
        <f>IF(ISBLANK('Master Submitted DPDs'!#REF!),"",'Master Submitted DPDs'!#REF!)</f>
        <v>#REF!</v>
      </c>
      <c r="Q604" t="e">
        <f>IF(ISBLANK('Master Submitted DPDs'!#REF!),"",'Master Submitted DPDs'!#REF!)</f>
        <v>#REF!</v>
      </c>
      <c r="R604" t="e">
        <f t="shared" si="19"/>
        <v>#REF!</v>
      </c>
      <c r="S604" s="3"/>
      <c r="T604" t="e">
        <f>IF(ISBLANK('Master Submitted DPDs'!#REF!),"",'Master Submitted DPDs'!#REF!)</f>
        <v>#REF!</v>
      </c>
    </row>
    <row r="605" spans="1:20" ht="15" x14ac:dyDescent="0.2">
      <c r="A605" s="3" t="str">
        <f>IF(ISBLANK('Master Submitted DPDs'!#REF!),"","Local Plans")</f>
        <v>Local Plans</v>
      </c>
      <c r="B605" t="e">
        <f>IF(ISBLANK('Master Submitted DPDs'!#REF!),"",'Master Submitted DPDs'!#REF!)</f>
        <v>#REF!</v>
      </c>
      <c r="C605" s="3" t="str">
        <f>IF(ISBLANK('Master Submitted DPDs'!#REF!),"","IH")</f>
        <v>IH</v>
      </c>
      <c r="D605" s="3" t="e">
        <f>LOOKUP($F605,'fuzzy LPA lookup'!$E:$E,'fuzzy LPA lookup'!$A:$A)</f>
        <v>#REF!</v>
      </c>
      <c r="E605" s="3" t="e">
        <f>LOOKUP($F605,'fuzzy LPA lookup'!$E:$E,'fuzzy LPA lookup'!$D:$D)</f>
        <v>#REF!</v>
      </c>
      <c r="F605" s="8" t="e">
        <f>IF(ISBLANK('Master Submitted DPDs'!#REF!),"",'Master Submitted DPDs'!#REF!)</f>
        <v>#REF!</v>
      </c>
      <c r="G605" t="str">
        <f>IF(ISBLANK('Master Submitted DPDs'!#REF!),"","Withdrawn")</f>
        <v>Withdrawn</v>
      </c>
      <c r="H605" s="2" t="e">
        <f>IF(ISBLANK('Master Submitted DPDs'!#REF!),"",'Master Submitted DPDs'!#REF!)</f>
        <v>#REF!</v>
      </c>
      <c r="I605" s="3"/>
      <c r="J605" s="3"/>
      <c r="K605" s="3"/>
      <c r="L605" s="2" t="e">
        <f>IF(ISBLANK('Master Submitted DPDs'!#REF!),"",'Master Submitted DPDs'!#REF!)</f>
        <v>#REF!</v>
      </c>
      <c r="M605" s="2" t="e">
        <f t="shared" si="18"/>
        <v>#REF!</v>
      </c>
      <c r="N605" s="2" t="e">
        <f>IF(ISBLANK('Master Submitted DPDs'!#REF!),IF(ISBLANK('Master Submitted DPDs'!#REF!),"",'Master Submitted DPDs'!#REF!),'Master Submitted DPDs'!#REF!)</f>
        <v>#REF!</v>
      </c>
      <c r="O605" s="2" t="e">
        <f>IF(ISBLANK('Master Submitted DPDs'!#REF!),"",'Master Submitted DPDs'!#REF!)</f>
        <v>#REF!</v>
      </c>
      <c r="P605" s="2" t="e">
        <f>IF(ISBLANK('Master Submitted DPDs'!#REF!),"",'Master Submitted DPDs'!#REF!)</f>
        <v>#REF!</v>
      </c>
      <c r="Q605" t="e">
        <f>IF(ISBLANK('Master Submitted DPDs'!#REF!),"",'Master Submitted DPDs'!#REF!)</f>
        <v>#REF!</v>
      </c>
      <c r="R605" t="e">
        <f t="shared" si="19"/>
        <v>#REF!</v>
      </c>
      <c r="S605" s="3"/>
      <c r="T605" t="e">
        <f>IF(ISBLANK('Master Submitted DPDs'!#REF!),"",'Master Submitted DPDs'!#REF!)</f>
        <v>#REF!</v>
      </c>
    </row>
    <row r="606" spans="1:20" ht="15" x14ac:dyDescent="0.2">
      <c r="A606" s="3" t="str">
        <f>IF(ISBLANK('Master Submitted DPDs'!#REF!),"","Local Plans")</f>
        <v>Local Plans</v>
      </c>
      <c r="B606" t="e">
        <f>IF(ISBLANK('Master Submitted DPDs'!#REF!),"",'Master Submitted DPDs'!#REF!)</f>
        <v>#REF!</v>
      </c>
      <c r="C606" s="3" t="str">
        <f>IF(ISBLANK('Master Submitted DPDs'!#REF!),"","IH")</f>
        <v>IH</v>
      </c>
      <c r="D606" s="3" t="e">
        <f>LOOKUP($F606,'fuzzy LPA lookup'!$E:$E,'fuzzy LPA lookup'!$A:$A)</f>
        <v>#REF!</v>
      </c>
      <c r="E606" s="3" t="e">
        <f>LOOKUP($F606,'fuzzy LPA lookup'!$E:$E,'fuzzy LPA lookup'!$D:$D)</f>
        <v>#REF!</v>
      </c>
      <c r="F606" s="8" t="e">
        <f>IF(ISBLANK('Master Submitted DPDs'!#REF!),"",'Master Submitted DPDs'!#REF!)</f>
        <v>#REF!</v>
      </c>
      <c r="G606" t="str">
        <f>IF(ISBLANK('Master Submitted DPDs'!#REF!),"","Withdrawn")</f>
        <v>Withdrawn</v>
      </c>
      <c r="H606" s="2" t="e">
        <f>IF(ISBLANK('Master Submitted DPDs'!#REF!),"",'Master Submitted DPDs'!#REF!)</f>
        <v>#REF!</v>
      </c>
      <c r="I606" s="3"/>
      <c r="J606" s="3"/>
      <c r="K606" s="3"/>
      <c r="L606" s="2" t="e">
        <f>IF(ISBLANK('Master Submitted DPDs'!#REF!),"",'Master Submitted DPDs'!#REF!)</f>
        <v>#REF!</v>
      </c>
      <c r="M606" s="2" t="e">
        <f t="shared" si="18"/>
        <v>#REF!</v>
      </c>
      <c r="N606" s="2" t="e">
        <f>IF(ISBLANK('Master Submitted DPDs'!#REF!),IF(ISBLANK('Master Submitted DPDs'!#REF!),"",'Master Submitted DPDs'!#REF!),'Master Submitted DPDs'!#REF!)</f>
        <v>#REF!</v>
      </c>
      <c r="O606" s="2" t="e">
        <f>IF(ISBLANK('Master Submitted DPDs'!#REF!),"",'Master Submitted DPDs'!#REF!)</f>
        <v>#REF!</v>
      </c>
      <c r="P606" s="2" t="e">
        <f>IF(ISBLANK('Master Submitted DPDs'!#REF!),"",'Master Submitted DPDs'!#REF!)</f>
        <v>#REF!</v>
      </c>
      <c r="Q606" t="e">
        <f>IF(ISBLANK('Master Submitted DPDs'!#REF!),"",'Master Submitted DPDs'!#REF!)</f>
        <v>#REF!</v>
      </c>
      <c r="R606" t="e">
        <f t="shared" si="19"/>
        <v>#REF!</v>
      </c>
      <c r="S606" s="3"/>
      <c r="T606" t="e">
        <f>IF(ISBLANK('Master Submitted DPDs'!#REF!),"",'Master Submitted DPDs'!#REF!)</f>
        <v>#REF!</v>
      </c>
    </row>
    <row r="607" spans="1:20" ht="15" x14ac:dyDescent="0.2">
      <c r="A607" s="3" t="str">
        <f>IF(ISBLANK('Master Submitted DPDs'!#REF!),"","Local Plans")</f>
        <v>Local Plans</v>
      </c>
      <c r="B607" t="e">
        <f>IF(ISBLANK('Master Submitted DPDs'!#REF!),"",'Master Submitted DPDs'!#REF!)</f>
        <v>#REF!</v>
      </c>
      <c r="C607" s="3" t="str">
        <f>IF(ISBLANK('Master Submitted DPDs'!#REF!),"","IH")</f>
        <v>IH</v>
      </c>
      <c r="D607" s="3" t="e">
        <f>LOOKUP($F607,'fuzzy LPA lookup'!$E:$E,'fuzzy LPA lookup'!$A:$A)</f>
        <v>#REF!</v>
      </c>
      <c r="E607" s="3" t="e">
        <f>LOOKUP($F607,'fuzzy LPA lookup'!$E:$E,'fuzzy LPA lookup'!$D:$D)</f>
        <v>#REF!</v>
      </c>
      <c r="F607" s="8" t="e">
        <f>IF(ISBLANK('Master Submitted DPDs'!#REF!),"",'Master Submitted DPDs'!#REF!)</f>
        <v>#REF!</v>
      </c>
      <c r="G607" t="str">
        <f>IF(ISBLANK('Master Submitted DPDs'!#REF!),"","Withdrawn")</f>
        <v>Withdrawn</v>
      </c>
      <c r="H607" s="2" t="e">
        <f>IF(ISBLANK('Master Submitted DPDs'!#REF!),"",'Master Submitted DPDs'!#REF!)</f>
        <v>#REF!</v>
      </c>
      <c r="I607" s="3"/>
      <c r="J607" s="3"/>
      <c r="K607" s="3"/>
      <c r="L607" s="2" t="e">
        <f>IF(ISBLANK('Master Submitted DPDs'!#REF!),"",'Master Submitted DPDs'!#REF!)</f>
        <v>#REF!</v>
      </c>
      <c r="M607" s="2" t="e">
        <f t="shared" si="18"/>
        <v>#REF!</v>
      </c>
      <c r="N607" s="2" t="e">
        <f>IF(ISBLANK('Master Submitted DPDs'!#REF!),IF(ISBLANK('Master Submitted DPDs'!#REF!),"",'Master Submitted DPDs'!#REF!),'Master Submitted DPDs'!#REF!)</f>
        <v>#REF!</v>
      </c>
      <c r="O607" s="2" t="e">
        <f>IF(ISBLANK('Master Submitted DPDs'!#REF!),"",'Master Submitted DPDs'!#REF!)</f>
        <v>#REF!</v>
      </c>
      <c r="P607" s="2" t="e">
        <f>IF(ISBLANK('Master Submitted DPDs'!#REF!),"",'Master Submitted DPDs'!#REF!)</f>
        <v>#REF!</v>
      </c>
      <c r="Q607" t="e">
        <f>IF(ISBLANK('Master Submitted DPDs'!#REF!),"",'Master Submitted DPDs'!#REF!)</f>
        <v>#REF!</v>
      </c>
      <c r="R607" t="e">
        <f t="shared" si="19"/>
        <v>#REF!</v>
      </c>
      <c r="S607" s="3"/>
      <c r="T607" t="e">
        <f>IF(ISBLANK('Master Submitted DPDs'!#REF!),"",'Master Submitted DPDs'!#REF!)</f>
        <v>#REF!</v>
      </c>
    </row>
    <row r="608" spans="1:20" ht="15" x14ac:dyDescent="0.2">
      <c r="A608" s="3" t="str">
        <f>IF(ISBLANK('Master Submitted DPDs'!#REF!),"","Local Plans")</f>
        <v>Local Plans</v>
      </c>
      <c r="B608" t="e">
        <f>IF(ISBLANK('Master Submitted DPDs'!#REF!),"",'Master Submitted DPDs'!#REF!)</f>
        <v>#REF!</v>
      </c>
      <c r="C608" s="3" t="str">
        <f>IF(ISBLANK('Master Submitted DPDs'!#REF!),"","IH")</f>
        <v>IH</v>
      </c>
      <c r="D608" s="3" t="e">
        <f>LOOKUP($F608,'fuzzy LPA lookup'!$E:$E,'fuzzy LPA lookup'!$A:$A)</f>
        <v>#REF!</v>
      </c>
      <c r="E608" s="3" t="e">
        <f>LOOKUP($F608,'fuzzy LPA lookup'!$E:$E,'fuzzy LPA lookup'!$D:$D)</f>
        <v>#REF!</v>
      </c>
      <c r="F608" s="8" t="e">
        <f>IF(ISBLANK('Master Submitted DPDs'!#REF!),"",'Master Submitted DPDs'!#REF!)</f>
        <v>#REF!</v>
      </c>
      <c r="G608" t="str">
        <f>IF(ISBLANK('Master Submitted DPDs'!#REF!),"","Withdrawn")</f>
        <v>Withdrawn</v>
      </c>
      <c r="H608" s="2" t="e">
        <f>IF(ISBLANK('Master Submitted DPDs'!#REF!),"",'Master Submitted DPDs'!#REF!)</f>
        <v>#REF!</v>
      </c>
      <c r="I608" s="3"/>
      <c r="J608" s="3"/>
      <c r="K608" s="3"/>
      <c r="L608" s="2" t="e">
        <f>IF(ISBLANK('Master Submitted DPDs'!#REF!),"",'Master Submitted DPDs'!#REF!)</f>
        <v>#REF!</v>
      </c>
      <c r="M608" s="2" t="e">
        <f t="shared" si="18"/>
        <v>#REF!</v>
      </c>
      <c r="N608" s="2" t="e">
        <f>IF(ISBLANK('Master Submitted DPDs'!#REF!),IF(ISBLANK('Master Submitted DPDs'!#REF!),"",'Master Submitted DPDs'!#REF!),'Master Submitted DPDs'!#REF!)</f>
        <v>#REF!</v>
      </c>
      <c r="O608" s="2" t="e">
        <f>IF(ISBLANK('Master Submitted DPDs'!#REF!),"",'Master Submitted DPDs'!#REF!)</f>
        <v>#REF!</v>
      </c>
      <c r="P608" s="2" t="e">
        <f>IF(ISBLANK('Master Submitted DPDs'!#REF!),"",'Master Submitted DPDs'!#REF!)</f>
        <v>#REF!</v>
      </c>
      <c r="Q608" t="e">
        <f>IF(ISBLANK('Master Submitted DPDs'!#REF!),"",'Master Submitted DPDs'!#REF!)</f>
        <v>#REF!</v>
      </c>
      <c r="R608" t="e">
        <f t="shared" si="19"/>
        <v>#REF!</v>
      </c>
      <c r="S608" s="3"/>
      <c r="T608" t="e">
        <f>IF(ISBLANK('Master Submitted DPDs'!#REF!),"",'Master Submitted DPDs'!#REF!)</f>
        <v>#REF!</v>
      </c>
    </row>
    <row r="609" spans="1:20" ht="15" x14ac:dyDescent="0.2">
      <c r="A609" s="3" t="str">
        <f>IF(ISBLANK('Master Submitted DPDs'!#REF!),"","Local Plans")</f>
        <v>Local Plans</v>
      </c>
      <c r="B609" t="e">
        <f>IF(ISBLANK('Master Submitted DPDs'!#REF!),"",'Master Submitted DPDs'!#REF!)</f>
        <v>#REF!</v>
      </c>
      <c r="C609" s="3" t="str">
        <f>IF(ISBLANK('Master Submitted DPDs'!#REF!),"","IH")</f>
        <v>IH</v>
      </c>
      <c r="D609" s="3" t="e">
        <f>LOOKUP($F609,'fuzzy LPA lookup'!$E:$E,'fuzzy LPA lookup'!$A:$A)</f>
        <v>#REF!</v>
      </c>
      <c r="E609" s="3" t="e">
        <f>LOOKUP($F609,'fuzzy LPA lookup'!$E:$E,'fuzzy LPA lookup'!$D:$D)</f>
        <v>#REF!</v>
      </c>
      <c r="F609" s="8" t="e">
        <f>IF(ISBLANK('Master Submitted DPDs'!#REF!),"",'Master Submitted DPDs'!#REF!)</f>
        <v>#REF!</v>
      </c>
      <c r="G609" t="str">
        <f>IF(ISBLANK('Master Submitted DPDs'!#REF!),"","Withdrawn")</f>
        <v>Withdrawn</v>
      </c>
      <c r="H609" s="2" t="e">
        <f>IF(ISBLANK('Master Submitted DPDs'!#REF!),"",'Master Submitted DPDs'!#REF!)</f>
        <v>#REF!</v>
      </c>
      <c r="I609" s="3"/>
      <c r="J609" s="3"/>
      <c r="K609" s="3"/>
      <c r="L609" s="2" t="e">
        <f>IF(ISBLANK('Master Submitted DPDs'!#REF!),"",'Master Submitted DPDs'!#REF!)</f>
        <v>#REF!</v>
      </c>
      <c r="M609" s="2" t="e">
        <f t="shared" si="18"/>
        <v>#REF!</v>
      </c>
      <c r="N609" s="2" t="e">
        <f>IF(ISBLANK('Master Submitted DPDs'!#REF!),IF(ISBLANK('Master Submitted DPDs'!#REF!),"",'Master Submitted DPDs'!#REF!),'Master Submitted DPDs'!#REF!)</f>
        <v>#REF!</v>
      </c>
      <c r="O609" s="2" t="e">
        <f>IF(ISBLANK('Master Submitted DPDs'!#REF!),"",'Master Submitted DPDs'!#REF!)</f>
        <v>#REF!</v>
      </c>
      <c r="P609" s="2" t="e">
        <f>IF(ISBLANK('Master Submitted DPDs'!#REF!),"",'Master Submitted DPDs'!#REF!)</f>
        <v>#REF!</v>
      </c>
      <c r="Q609" t="e">
        <f>IF(ISBLANK('Master Submitted DPDs'!#REF!),"",'Master Submitted DPDs'!#REF!)</f>
        <v>#REF!</v>
      </c>
      <c r="R609" t="e">
        <f t="shared" si="19"/>
        <v>#REF!</v>
      </c>
      <c r="S609" s="3"/>
      <c r="T609" t="e">
        <f>IF(ISBLANK('Master Submitted DPDs'!#REF!),"",'Master Submitted DPDs'!#REF!)</f>
        <v>#REF!</v>
      </c>
    </row>
    <row r="610" spans="1:20" ht="15" x14ac:dyDescent="0.2">
      <c r="A610" s="3" t="str">
        <f>IF(ISBLANK('Master Submitted DPDs'!#REF!),"","Local Plans")</f>
        <v>Local Plans</v>
      </c>
      <c r="B610" t="e">
        <f>IF(ISBLANK('Master Submitted DPDs'!#REF!),"",'Master Submitted DPDs'!#REF!)</f>
        <v>#REF!</v>
      </c>
      <c r="C610" s="3" t="str">
        <f>IF(ISBLANK('Master Submitted DPDs'!#REF!),"","IH")</f>
        <v>IH</v>
      </c>
      <c r="D610" s="3" t="e">
        <f>LOOKUP($F610,'fuzzy LPA lookup'!$E:$E,'fuzzy LPA lookup'!$A:$A)</f>
        <v>#REF!</v>
      </c>
      <c r="E610" s="3" t="e">
        <f>LOOKUP($F610,'fuzzy LPA lookup'!$E:$E,'fuzzy LPA lookup'!$D:$D)</f>
        <v>#REF!</v>
      </c>
      <c r="F610" s="8" t="e">
        <f>IF(ISBLANK('Master Submitted DPDs'!#REF!),"",'Master Submitted DPDs'!#REF!)</f>
        <v>#REF!</v>
      </c>
      <c r="G610" t="str">
        <f>IF(ISBLANK('Master Submitted DPDs'!#REF!),"","Withdrawn")</f>
        <v>Withdrawn</v>
      </c>
      <c r="H610" s="2" t="e">
        <f>IF(ISBLANK('Master Submitted DPDs'!#REF!),"",'Master Submitted DPDs'!#REF!)</f>
        <v>#REF!</v>
      </c>
      <c r="I610" s="3"/>
      <c r="J610" s="3"/>
      <c r="K610" s="3"/>
      <c r="L610" s="2" t="e">
        <f>IF(ISBLANK('Master Submitted DPDs'!#REF!),"",'Master Submitted DPDs'!#REF!)</f>
        <v>#REF!</v>
      </c>
      <c r="M610" s="2" t="e">
        <f t="shared" si="18"/>
        <v>#REF!</v>
      </c>
      <c r="N610" s="2" t="e">
        <f>IF(ISBLANK('Master Submitted DPDs'!#REF!),IF(ISBLANK('Master Submitted DPDs'!#REF!),"",'Master Submitted DPDs'!#REF!),'Master Submitted DPDs'!#REF!)</f>
        <v>#REF!</v>
      </c>
      <c r="O610" s="2" t="e">
        <f>IF(ISBLANK('Master Submitted DPDs'!#REF!),"",'Master Submitted DPDs'!#REF!)</f>
        <v>#REF!</v>
      </c>
      <c r="P610" s="2" t="e">
        <f>IF(ISBLANK('Master Submitted DPDs'!#REF!),"",'Master Submitted DPDs'!#REF!)</f>
        <v>#REF!</v>
      </c>
      <c r="Q610" t="e">
        <f>IF(ISBLANK('Master Submitted DPDs'!#REF!),"",'Master Submitted DPDs'!#REF!)</f>
        <v>#REF!</v>
      </c>
      <c r="R610" t="e">
        <f t="shared" si="19"/>
        <v>#REF!</v>
      </c>
      <c r="S610" s="3"/>
      <c r="T610" t="e">
        <f>IF(ISBLANK('Master Submitted DPDs'!#REF!),"",'Master Submitted DPDs'!#REF!)</f>
        <v>#REF!</v>
      </c>
    </row>
    <row r="611" spans="1:20" ht="15" x14ac:dyDescent="0.2">
      <c r="A611" s="3" t="str">
        <f>IF(ISBLANK('Master Submitted DPDs'!#REF!),"","Local Plans")</f>
        <v>Local Plans</v>
      </c>
      <c r="B611" t="e">
        <f>IF(ISBLANK('Master Submitted DPDs'!#REF!),"",'Master Submitted DPDs'!#REF!)</f>
        <v>#REF!</v>
      </c>
      <c r="C611" s="3" t="str">
        <f>IF(ISBLANK('Master Submitted DPDs'!#REF!),"","IH")</f>
        <v>IH</v>
      </c>
      <c r="D611" s="3" t="e">
        <f>LOOKUP($F611,'fuzzy LPA lookup'!$E:$E,'fuzzy LPA lookup'!$A:$A)</f>
        <v>#REF!</v>
      </c>
      <c r="E611" s="3" t="e">
        <f>LOOKUP($F611,'fuzzy LPA lookup'!$E:$E,'fuzzy LPA lookup'!$D:$D)</f>
        <v>#REF!</v>
      </c>
      <c r="F611" s="8" t="e">
        <f>IF(ISBLANK('Master Submitted DPDs'!#REF!),"",'Master Submitted DPDs'!#REF!)</f>
        <v>#REF!</v>
      </c>
      <c r="G611" t="str">
        <f>IF(ISBLANK('Master Submitted DPDs'!#REF!),"","Withdrawn")</f>
        <v>Withdrawn</v>
      </c>
      <c r="H611" s="2" t="e">
        <f>IF(ISBLANK('Master Submitted DPDs'!#REF!),"",'Master Submitted DPDs'!#REF!)</f>
        <v>#REF!</v>
      </c>
      <c r="I611" s="3"/>
      <c r="J611" s="3"/>
      <c r="K611" s="3"/>
      <c r="L611" s="2" t="e">
        <f>IF(ISBLANK('Master Submitted DPDs'!#REF!),"",'Master Submitted DPDs'!#REF!)</f>
        <v>#REF!</v>
      </c>
      <c r="M611" s="2" t="e">
        <f t="shared" si="18"/>
        <v>#REF!</v>
      </c>
      <c r="N611" s="2" t="e">
        <f>IF(ISBLANK('Master Submitted DPDs'!#REF!),IF(ISBLANK('Master Submitted DPDs'!#REF!),"",'Master Submitted DPDs'!#REF!),'Master Submitted DPDs'!#REF!)</f>
        <v>#REF!</v>
      </c>
      <c r="O611" s="2" t="e">
        <f>IF(ISBLANK('Master Submitted DPDs'!#REF!),"",'Master Submitted DPDs'!#REF!)</f>
        <v>#REF!</v>
      </c>
      <c r="P611" s="2" t="e">
        <f>IF(ISBLANK('Master Submitted DPDs'!#REF!),"",'Master Submitted DPDs'!#REF!)</f>
        <v>#REF!</v>
      </c>
      <c r="Q611" t="e">
        <f>IF(ISBLANK('Master Submitted DPDs'!#REF!),"",'Master Submitted DPDs'!#REF!)</f>
        <v>#REF!</v>
      </c>
      <c r="R611" t="e">
        <f t="shared" si="19"/>
        <v>#REF!</v>
      </c>
      <c r="S611" s="3"/>
      <c r="T611" t="e">
        <f>IF(ISBLANK('Master Submitted DPDs'!#REF!),"",'Master Submitted DPDs'!#REF!)</f>
        <v>#REF!</v>
      </c>
    </row>
    <row r="612" spans="1:20" ht="15" x14ac:dyDescent="0.2">
      <c r="A612" s="3" t="str">
        <f>IF(ISBLANK('Master Submitted DPDs'!#REF!),"","Local Plans")</f>
        <v>Local Plans</v>
      </c>
      <c r="B612" t="e">
        <f>IF(ISBLANK('Master Submitted DPDs'!#REF!),"",'Master Submitted DPDs'!#REF!)</f>
        <v>#REF!</v>
      </c>
      <c r="C612" s="3" t="str">
        <f>IF(ISBLANK('Master Submitted DPDs'!#REF!),"","IH")</f>
        <v>IH</v>
      </c>
      <c r="D612" s="3" t="e">
        <f>LOOKUP($F612,'fuzzy LPA lookup'!$E:$E,'fuzzy LPA lookup'!$A:$A)</f>
        <v>#REF!</v>
      </c>
      <c r="E612" s="3" t="e">
        <f>LOOKUP($F612,'fuzzy LPA lookup'!$E:$E,'fuzzy LPA lookup'!$D:$D)</f>
        <v>#REF!</v>
      </c>
      <c r="F612" s="8" t="e">
        <f>IF(ISBLANK('Master Submitted DPDs'!#REF!),"",'Master Submitted DPDs'!#REF!)</f>
        <v>#REF!</v>
      </c>
      <c r="G612" t="str">
        <f>IF(ISBLANK('Master Submitted DPDs'!#REF!),"","Withdrawn")</f>
        <v>Withdrawn</v>
      </c>
      <c r="H612" s="2" t="e">
        <f>IF(ISBLANK('Master Submitted DPDs'!#REF!),"",'Master Submitted DPDs'!#REF!)</f>
        <v>#REF!</v>
      </c>
      <c r="I612" s="3"/>
      <c r="J612" s="3"/>
      <c r="K612" s="3"/>
      <c r="L612" s="2" t="e">
        <f>IF(ISBLANK('Master Submitted DPDs'!#REF!),"",'Master Submitted DPDs'!#REF!)</f>
        <v>#REF!</v>
      </c>
      <c r="M612" s="2" t="e">
        <f t="shared" si="18"/>
        <v>#REF!</v>
      </c>
      <c r="N612" s="2" t="e">
        <f>IF(ISBLANK('Master Submitted DPDs'!#REF!),IF(ISBLANK('Master Submitted DPDs'!#REF!),"",'Master Submitted DPDs'!#REF!),'Master Submitted DPDs'!#REF!)</f>
        <v>#REF!</v>
      </c>
      <c r="O612" s="2" t="e">
        <f>IF(ISBLANK('Master Submitted DPDs'!#REF!),"",'Master Submitted DPDs'!#REF!)</f>
        <v>#REF!</v>
      </c>
      <c r="P612" s="2" t="e">
        <f>IF(ISBLANK('Master Submitted DPDs'!#REF!),"",'Master Submitted DPDs'!#REF!)</f>
        <v>#REF!</v>
      </c>
      <c r="Q612" t="e">
        <f>IF(ISBLANK('Master Submitted DPDs'!#REF!),"",'Master Submitted DPDs'!#REF!)</f>
        <v>#REF!</v>
      </c>
      <c r="R612" t="e">
        <f t="shared" si="19"/>
        <v>#REF!</v>
      </c>
      <c r="S612" s="3"/>
      <c r="T612" t="e">
        <f>IF(ISBLANK('Master Submitted DPDs'!#REF!),"",'Master Submitted DPDs'!#REF!)</f>
        <v>#REF!</v>
      </c>
    </row>
    <row r="613" spans="1:20" ht="15" x14ac:dyDescent="0.2">
      <c r="A613" s="3" t="str">
        <f>IF(ISBLANK('Master Submitted DPDs'!#REF!),"","Local Plans")</f>
        <v>Local Plans</v>
      </c>
      <c r="B613" t="e">
        <f>IF(ISBLANK('Master Submitted DPDs'!#REF!),"",'Master Submitted DPDs'!#REF!)</f>
        <v>#REF!</v>
      </c>
      <c r="C613" s="3" t="str">
        <f>IF(ISBLANK('Master Submitted DPDs'!#REF!),"","IH")</f>
        <v>IH</v>
      </c>
      <c r="D613" s="3" t="e">
        <f>LOOKUP($F613,'fuzzy LPA lookup'!$E:$E,'fuzzy LPA lookup'!$A:$A)</f>
        <v>#REF!</v>
      </c>
      <c r="E613" s="3" t="e">
        <f>LOOKUP($F613,'fuzzy LPA lookup'!$E:$E,'fuzzy LPA lookup'!$D:$D)</f>
        <v>#REF!</v>
      </c>
      <c r="F613" s="8" t="e">
        <f>IF(ISBLANK('Master Submitted DPDs'!#REF!),"",'Master Submitted DPDs'!#REF!)</f>
        <v>#REF!</v>
      </c>
      <c r="G613" t="str">
        <f>IF(ISBLANK('Master Submitted DPDs'!#REF!),"","Withdrawn")</f>
        <v>Withdrawn</v>
      </c>
      <c r="H613" s="2" t="e">
        <f>IF(ISBLANK('Master Submitted DPDs'!#REF!),"",'Master Submitted DPDs'!#REF!)</f>
        <v>#REF!</v>
      </c>
      <c r="I613" s="3"/>
      <c r="J613" s="3"/>
      <c r="K613" s="3"/>
      <c r="L613" s="2" t="e">
        <f>IF(ISBLANK('Master Submitted DPDs'!#REF!),"",'Master Submitted DPDs'!#REF!)</f>
        <v>#REF!</v>
      </c>
      <c r="M613" s="2" t="e">
        <f t="shared" si="18"/>
        <v>#REF!</v>
      </c>
      <c r="N613" s="2" t="e">
        <f>IF(ISBLANK('Master Submitted DPDs'!#REF!),IF(ISBLANK('Master Submitted DPDs'!#REF!),"",'Master Submitted DPDs'!#REF!),'Master Submitted DPDs'!#REF!)</f>
        <v>#REF!</v>
      </c>
      <c r="O613" s="2" t="e">
        <f>IF(ISBLANK('Master Submitted DPDs'!#REF!),"",'Master Submitted DPDs'!#REF!)</f>
        <v>#REF!</v>
      </c>
      <c r="P613" s="2" t="e">
        <f>IF(ISBLANK('Master Submitted DPDs'!#REF!),"",'Master Submitted DPDs'!#REF!)</f>
        <v>#REF!</v>
      </c>
      <c r="Q613" t="e">
        <f>IF(ISBLANK('Master Submitted DPDs'!#REF!),"",'Master Submitted DPDs'!#REF!)</f>
        <v>#REF!</v>
      </c>
      <c r="R613" t="e">
        <f t="shared" si="19"/>
        <v>#REF!</v>
      </c>
      <c r="S613" s="3"/>
      <c r="T613" t="e">
        <f>IF(ISBLANK('Master Submitted DPDs'!#REF!),"",'Master Submitted DPDs'!#REF!)</f>
        <v>#REF!</v>
      </c>
    </row>
    <row r="614" spans="1:20" ht="15" x14ac:dyDescent="0.2">
      <c r="A614" s="3" t="str">
        <f>IF(ISBLANK('Master Submitted DPDs'!#REF!),"","Local Plans")</f>
        <v>Local Plans</v>
      </c>
      <c r="B614" t="e">
        <f>IF(ISBLANK('Master Submitted DPDs'!#REF!),"",'Master Submitted DPDs'!#REF!)</f>
        <v>#REF!</v>
      </c>
      <c r="C614" s="3" t="str">
        <f>IF(ISBLANK('Master Submitted DPDs'!#REF!),"","IH")</f>
        <v>IH</v>
      </c>
      <c r="D614" s="3" t="e">
        <f>LOOKUP($F614,'fuzzy LPA lookup'!$E:$E,'fuzzy LPA lookup'!$A:$A)</f>
        <v>#REF!</v>
      </c>
      <c r="E614" s="3" t="e">
        <f>LOOKUP($F614,'fuzzy LPA lookup'!$E:$E,'fuzzy LPA lookup'!$D:$D)</f>
        <v>#REF!</v>
      </c>
      <c r="F614" s="8" t="e">
        <f>IF(ISBLANK('Master Submitted DPDs'!#REF!),"",'Master Submitted DPDs'!#REF!)</f>
        <v>#REF!</v>
      </c>
      <c r="G614" t="str">
        <f>IF(ISBLANK('Master Submitted DPDs'!#REF!),"","Withdrawn")</f>
        <v>Withdrawn</v>
      </c>
      <c r="H614" s="2" t="e">
        <f>IF(ISBLANK('Master Submitted DPDs'!#REF!),"",'Master Submitted DPDs'!#REF!)</f>
        <v>#REF!</v>
      </c>
      <c r="I614" s="3"/>
      <c r="J614" s="3"/>
      <c r="K614" s="3"/>
      <c r="L614" s="2" t="e">
        <f>IF(ISBLANK('Master Submitted DPDs'!#REF!),"",'Master Submitted DPDs'!#REF!)</f>
        <v>#REF!</v>
      </c>
      <c r="M614" s="2" t="e">
        <f t="shared" si="18"/>
        <v>#REF!</v>
      </c>
      <c r="N614" s="2" t="e">
        <f>IF(ISBLANK('Master Submitted DPDs'!#REF!),IF(ISBLANK('Master Submitted DPDs'!#REF!),"",'Master Submitted DPDs'!#REF!),'Master Submitted DPDs'!#REF!)</f>
        <v>#REF!</v>
      </c>
      <c r="O614" s="2" t="e">
        <f>IF(ISBLANK('Master Submitted DPDs'!#REF!),"",'Master Submitted DPDs'!#REF!)</f>
        <v>#REF!</v>
      </c>
      <c r="P614" s="2" t="e">
        <f>IF(ISBLANK('Master Submitted DPDs'!#REF!),"",'Master Submitted DPDs'!#REF!)</f>
        <v>#REF!</v>
      </c>
      <c r="Q614" t="e">
        <f>IF(ISBLANK('Master Submitted DPDs'!#REF!),"",'Master Submitted DPDs'!#REF!)</f>
        <v>#REF!</v>
      </c>
      <c r="R614" t="e">
        <f t="shared" si="19"/>
        <v>#REF!</v>
      </c>
      <c r="S614" s="3"/>
      <c r="T614" t="e">
        <f>IF(ISBLANK('Master Submitted DPDs'!#REF!),"",'Master Submitted DPDs'!#REF!)</f>
        <v>#REF!</v>
      </c>
    </row>
    <row r="615" spans="1:20" ht="15" x14ac:dyDescent="0.2">
      <c r="A615" s="3" t="str">
        <f>IF(ISBLANK('Master Submitted DPDs'!#REF!),"","Local Plans")</f>
        <v>Local Plans</v>
      </c>
      <c r="B615" t="e">
        <f>IF(ISBLANK('Master Submitted DPDs'!#REF!),"",'Master Submitted DPDs'!#REF!)</f>
        <v>#REF!</v>
      </c>
      <c r="C615" s="3" t="str">
        <f>IF(ISBLANK('Master Submitted DPDs'!#REF!),"","IH")</f>
        <v>IH</v>
      </c>
      <c r="D615" s="3" t="e">
        <f>LOOKUP($F615,'fuzzy LPA lookup'!$E:$E,'fuzzy LPA lookup'!$A:$A)</f>
        <v>#REF!</v>
      </c>
      <c r="E615" s="3" t="e">
        <f>LOOKUP($F615,'fuzzy LPA lookup'!$E:$E,'fuzzy LPA lookup'!$D:$D)</f>
        <v>#REF!</v>
      </c>
      <c r="F615" s="8" t="e">
        <f>IF(ISBLANK('Master Submitted DPDs'!#REF!),"",'Master Submitted DPDs'!#REF!)</f>
        <v>#REF!</v>
      </c>
      <c r="G615" t="str">
        <f>IF(ISBLANK('Master Submitted DPDs'!#REF!),"","Withdrawn")</f>
        <v>Withdrawn</v>
      </c>
      <c r="H615" s="2" t="e">
        <f>IF(ISBLANK('Master Submitted DPDs'!#REF!),"",'Master Submitted DPDs'!#REF!)</f>
        <v>#REF!</v>
      </c>
      <c r="I615" s="3"/>
      <c r="J615" s="3"/>
      <c r="K615" s="3"/>
      <c r="L615" s="2" t="e">
        <f>IF(ISBLANK('Master Submitted DPDs'!#REF!),"",'Master Submitted DPDs'!#REF!)</f>
        <v>#REF!</v>
      </c>
      <c r="M615" s="2" t="e">
        <f t="shared" si="18"/>
        <v>#REF!</v>
      </c>
      <c r="N615" s="2" t="e">
        <f>IF(ISBLANK('Master Submitted DPDs'!#REF!),IF(ISBLANK('Master Submitted DPDs'!#REF!),"",'Master Submitted DPDs'!#REF!),'Master Submitted DPDs'!#REF!)</f>
        <v>#REF!</v>
      </c>
      <c r="O615" s="2" t="e">
        <f>IF(ISBLANK('Master Submitted DPDs'!#REF!),"",'Master Submitted DPDs'!#REF!)</f>
        <v>#REF!</v>
      </c>
      <c r="P615" s="2" t="e">
        <f>IF(ISBLANK('Master Submitted DPDs'!#REF!),"",'Master Submitted DPDs'!#REF!)</f>
        <v>#REF!</v>
      </c>
      <c r="Q615" t="e">
        <f>IF(ISBLANK('Master Submitted DPDs'!#REF!),"",'Master Submitted DPDs'!#REF!)</f>
        <v>#REF!</v>
      </c>
      <c r="R615" t="e">
        <f t="shared" si="19"/>
        <v>#REF!</v>
      </c>
      <c r="S615" s="3"/>
      <c r="T615" t="e">
        <f>IF(ISBLANK('Master Submitted DPDs'!#REF!),"",'Master Submitted DPDs'!#REF!)</f>
        <v>#REF!</v>
      </c>
    </row>
    <row r="616" spans="1:20" ht="15" x14ac:dyDescent="0.2">
      <c r="A616" s="3" t="str">
        <f>IF(ISBLANK('Master Submitted DPDs'!#REF!),"","Local Plans")</f>
        <v>Local Plans</v>
      </c>
      <c r="B616" t="e">
        <f>IF(ISBLANK('Master Submitted DPDs'!#REF!),"",'Master Submitted DPDs'!#REF!)</f>
        <v>#REF!</v>
      </c>
      <c r="C616" s="3" t="str">
        <f>IF(ISBLANK('Master Submitted DPDs'!#REF!),"","IH")</f>
        <v>IH</v>
      </c>
      <c r="D616" s="3" t="e">
        <f>LOOKUP($F616,'fuzzy LPA lookup'!$E:$E,'fuzzy LPA lookup'!$A:$A)</f>
        <v>#REF!</v>
      </c>
      <c r="E616" s="3" t="e">
        <f>LOOKUP($F616,'fuzzy LPA lookup'!$E:$E,'fuzzy LPA lookup'!$D:$D)</f>
        <v>#REF!</v>
      </c>
      <c r="F616" s="8" t="e">
        <f>IF(ISBLANK('Master Submitted DPDs'!#REF!),"",'Master Submitted DPDs'!#REF!)</f>
        <v>#REF!</v>
      </c>
      <c r="G616" t="str">
        <f>IF(ISBLANK('Master Submitted DPDs'!#REF!),"","Withdrawn")</f>
        <v>Withdrawn</v>
      </c>
      <c r="H616" s="2" t="e">
        <f>IF(ISBLANK('Master Submitted DPDs'!#REF!),"",'Master Submitted DPDs'!#REF!)</f>
        <v>#REF!</v>
      </c>
      <c r="I616" s="3"/>
      <c r="J616" s="3"/>
      <c r="K616" s="3"/>
      <c r="L616" s="2" t="e">
        <f>IF(ISBLANK('Master Submitted DPDs'!#REF!),"",'Master Submitted DPDs'!#REF!)</f>
        <v>#REF!</v>
      </c>
      <c r="M616" s="2" t="e">
        <f t="shared" si="18"/>
        <v>#REF!</v>
      </c>
      <c r="N616" s="2" t="e">
        <f>IF(ISBLANK('Master Submitted DPDs'!#REF!),IF(ISBLANK('Master Submitted DPDs'!#REF!),"",'Master Submitted DPDs'!#REF!),'Master Submitted DPDs'!#REF!)</f>
        <v>#REF!</v>
      </c>
      <c r="O616" s="2" t="e">
        <f>IF(ISBLANK('Master Submitted DPDs'!#REF!),"",'Master Submitted DPDs'!#REF!)</f>
        <v>#REF!</v>
      </c>
      <c r="P616" s="2" t="e">
        <f>IF(ISBLANK('Master Submitted DPDs'!#REF!),"",'Master Submitted DPDs'!#REF!)</f>
        <v>#REF!</v>
      </c>
      <c r="Q616" t="e">
        <f>IF(ISBLANK('Master Submitted DPDs'!#REF!),"",'Master Submitted DPDs'!#REF!)</f>
        <v>#REF!</v>
      </c>
      <c r="R616" t="e">
        <f t="shared" si="19"/>
        <v>#REF!</v>
      </c>
      <c r="S616" s="3"/>
      <c r="T616" t="e">
        <f>IF(ISBLANK('Master Submitted DPDs'!#REF!),"",'Master Submitted DPDs'!#REF!)</f>
        <v>#REF!</v>
      </c>
    </row>
    <row r="617" spans="1:20" ht="15" x14ac:dyDescent="0.2">
      <c r="A617" s="3" t="str">
        <f>IF(ISBLANK('Master Submitted DPDs'!#REF!),"","Local Plans")</f>
        <v>Local Plans</v>
      </c>
      <c r="B617" t="e">
        <f>IF(ISBLANK('Master Submitted DPDs'!#REF!),"",'Master Submitted DPDs'!#REF!)</f>
        <v>#REF!</v>
      </c>
      <c r="C617" s="3" t="str">
        <f>IF(ISBLANK('Master Submitted DPDs'!#REF!),"","IH")</f>
        <v>IH</v>
      </c>
      <c r="D617" s="3" t="e">
        <f>LOOKUP($F617,'fuzzy LPA lookup'!$E:$E,'fuzzy LPA lookup'!$A:$A)</f>
        <v>#REF!</v>
      </c>
      <c r="E617" s="3" t="e">
        <f>LOOKUP($F617,'fuzzy LPA lookup'!$E:$E,'fuzzy LPA lookup'!$D:$D)</f>
        <v>#REF!</v>
      </c>
      <c r="F617" s="8" t="e">
        <f>IF(ISBLANK('Master Submitted DPDs'!#REF!),"",'Master Submitted DPDs'!#REF!)</f>
        <v>#REF!</v>
      </c>
      <c r="G617" t="str">
        <f>IF(ISBLANK('Master Submitted DPDs'!#REF!),"","Withdrawn")</f>
        <v>Withdrawn</v>
      </c>
      <c r="H617" s="2" t="e">
        <f>IF(ISBLANK('Master Submitted DPDs'!#REF!),"",'Master Submitted DPDs'!#REF!)</f>
        <v>#REF!</v>
      </c>
      <c r="I617" s="3"/>
      <c r="J617" s="3"/>
      <c r="K617" s="3"/>
      <c r="L617" s="2" t="e">
        <f>IF(ISBLANK('Master Submitted DPDs'!#REF!),"",'Master Submitted DPDs'!#REF!)</f>
        <v>#REF!</v>
      </c>
      <c r="M617" s="2" t="e">
        <f t="shared" si="18"/>
        <v>#REF!</v>
      </c>
      <c r="N617" s="2" t="e">
        <f>IF(ISBLANK('Master Submitted DPDs'!#REF!),IF(ISBLANK('Master Submitted DPDs'!#REF!),"",'Master Submitted DPDs'!#REF!),'Master Submitted DPDs'!#REF!)</f>
        <v>#REF!</v>
      </c>
      <c r="O617" s="2" t="e">
        <f>IF(ISBLANK('Master Submitted DPDs'!#REF!),"",'Master Submitted DPDs'!#REF!)</f>
        <v>#REF!</v>
      </c>
      <c r="P617" s="2" t="e">
        <f>IF(ISBLANK('Master Submitted DPDs'!#REF!),"",'Master Submitted DPDs'!#REF!)</f>
        <v>#REF!</v>
      </c>
      <c r="Q617" t="e">
        <f>IF(ISBLANK('Master Submitted DPDs'!#REF!),"",'Master Submitted DPDs'!#REF!)</f>
        <v>#REF!</v>
      </c>
      <c r="R617" t="e">
        <f t="shared" si="19"/>
        <v>#REF!</v>
      </c>
      <c r="S617" s="3"/>
      <c r="T617" t="e">
        <f>IF(ISBLANK('Master Submitted DPDs'!#REF!),"",'Master Submitted DPDs'!#REF!)</f>
        <v>#REF!</v>
      </c>
    </row>
    <row r="618" spans="1:20" ht="15" x14ac:dyDescent="0.2">
      <c r="A618" s="3" t="str">
        <f>IF(ISBLANK('Master Submitted DPDs'!#REF!),"","Local Plans")</f>
        <v>Local Plans</v>
      </c>
      <c r="B618" t="e">
        <f>IF(ISBLANK('Master Submitted DPDs'!#REF!),"",'Master Submitted DPDs'!#REF!)</f>
        <v>#REF!</v>
      </c>
      <c r="C618" s="3" t="str">
        <f>IF(ISBLANK('Master Submitted DPDs'!#REF!),"","IH")</f>
        <v>IH</v>
      </c>
      <c r="D618" s="3" t="e">
        <f>LOOKUP($F618,'fuzzy LPA lookup'!$E:$E,'fuzzy LPA lookup'!$A:$A)</f>
        <v>#REF!</v>
      </c>
      <c r="E618" s="3" t="e">
        <f>LOOKUP($F618,'fuzzy LPA lookup'!$E:$E,'fuzzy LPA lookup'!$D:$D)</f>
        <v>#REF!</v>
      </c>
      <c r="F618" s="8" t="e">
        <f>IF(ISBLANK('Master Submitted DPDs'!#REF!),"",'Master Submitted DPDs'!#REF!)</f>
        <v>#REF!</v>
      </c>
      <c r="G618" t="str">
        <f>IF(ISBLANK('Master Submitted DPDs'!#REF!),"","Withdrawn")</f>
        <v>Withdrawn</v>
      </c>
      <c r="H618" s="2" t="e">
        <f>IF(ISBLANK('Master Submitted DPDs'!#REF!),"",'Master Submitted DPDs'!#REF!)</f>
        <v>#REF!</v>
      </c>
      <c r="I618" s="3"/>
      <c r="J618" s="3"/>
      <c r="K618" s="3"/>
      <c r="L618" s="2" t="e">
        <f>IF(ISBLANK('Master Submitted DPDs'!#REF!),"",'Master Submitted DPDs'!#REF!)</f>
        <v>#REF!</v>
      </c>
      <c r="M618" s="2" t="e">
        <f t="shared" si="18"/>
        <v>#REF!</v>
      </c>
      <c r="N618" s="2" t="e">
        <f>IF(ISBLANK('Master Submitted DPDs'!#REF!),IF(ISBLANK('Master Submitted DPDs'!#REF!),"",'Master Submitted DPDs'!#REF!),'Master Submitted DPDs'!#REF!)</f>
        <v>#REF!</v>
      </c>
      <c r="O618" s="2" t="e">
        <f>IF(ISBLANK('Master Submitted DPDs'!#REF!),"",'Master Submitted DPDs'!#REF!)</f>
        <v>#REF!</v>
      </c>
      <c r="P618" s="2" t="e">
        <f>IF(ISBLANK('Master Submitted DPDs'!#REF!),"",'Master Submitted DPDs'!#REF!)</f>
        <v>#REF!</v>
      </c>
      <c r="Q618" t="e">
        <f>IF(ISBLANK('Master Submitted DPDs'!#REF!),"",'Master Submitted DPDs'!#REF!)</f>
        <v>#REF!</v>
      </c>
      <c r="R618" t="e">
        <f t="shared" si="19"/>
        <v>#REF!</v>
      </c>
      <c r="S618" s="3"/>
      <c r="T618" t="e">
        <f>IF(ISBLANK('Master Submitted DPDs'!#REF!),"",'Master Submitted DPDs'!#REF!)</f>
        <v>#REF!</v>
      </c>
    </row>
    <row r="619" spans="1:20" ht="15" x14ac:dyDescent="0.2">
      <c r="A619" s="3" t="str">
        <f>IF(ISBLANK('Master Submitted DPDs'!#REF!),"","Local Plans")</f>
        <v>Local Plans</v>
      </c>
      <c r="B619" t="e">
        <f>IF(ISBLANK('Master Submitted DPDs'!#REF!),"",'Master Submitted DPDs'!#REF!)</f>
        <v>#REF!</v>
      </c>
      <c r="C619" s="3" t="str">
        <f>IF(ISBLANK('Master Submitted DPDs'!#REF!),"","IH")</f>
        <v>IH</v>
      </c>
      <c r="D619" s="3" t="e">
        <f>LOOKUP($F619,'fuzzy LPA lookup'!$E:$E,'fuzzy LPA lookup'!$A:$A)</f>
        <v>#REF!</v>
      </c>
      <c r="E619" s="3" t="e">
        <f>LOOKUP($F619,'fuzzy LPA lookup'!$E:$E,'fuzzy LPA lookup'!$D:$D)</f>
        <v>#REF!</v>
      </c>
      <c r="F619" s="8" t="e">
        <f>IF(ISBLANK('Master Submitted DPDs'!#REF!),"",'Master Submitted DPDs'!#REF!)</f>
        <v>#REF!</v>
      </c>
      <c r="G619" t="str">
        <f>IF(ISBLANK('Master Submitted DPDs'!#REF!),"","Withdrawn")</f>
        <v>Withdrawn</v>
      </c>
      <c r="H619" s="2" t="e">
        <f>IF(ISBLANK('Master Submitted DPDs'!#REF!),"",'Master Submitted DPDs'!#REF!)</f>
        <v>#REF!</v>
      </c>
      <c r="I619" s="3"/>
      <c r="J619" s="3"/>
      <c r="K619" s="3"/>
      <c r="L619" s="2" t="e">
        <f>IF(ISBLANK('Master Submitted DPDs'!#REF!),"",'Master Submitted DPDs'!#REF!)</f>
        <v>#REF!</v>
      </c>
      <c r="M619" s="2" t="e">
        <f t="shared" si="18"/>
        <v>#REF!</v>
      </c>
      <c r="N619" s="2" t="e">
        <f>IF(ISBLANK('Master Submitted DPDs'!#REF!),IF(ISBLANK('Master Submitted DPDs'!#REF!),"",'Master Submitted DPDs'!#REF!),'Master Submitted DPDs'!#REF!)</f>
        <v>#REF!</v>
      </c>
      <c r="O619" s="2" t="e">
        <f>IF(ISBLANK('Master Submitted DPDs'!#REF!),"",'Master Submitted DPDs'!#REF!)</f>
        <v>#REF!</v>
      </c>
      <c r="P619" s="2" t="e">
        <f>IF(ISBLANK('Master Submitted DPDs'!#REF!),"",'Master Submitted DPDs'!#REF!)</f>
        <v>#REF!</v>
      </c>
      <c r="Q619" t="e">
        <f>IF(ISBLANK('Master Submitted DPDs'!#REF!),"",'Master Submitted DPDs'!#REF!)</f>
        <v>#REF!</v>
      </c>
      <c r="R619" t="e">
        <f t="shared" si="19"/>
        <v>#REF!</v>
      </c>
      <c r="S619" s="3"/>
      <c r="T619" t="e">
        <f>IF(ISBLANK('Master Submitted DPDs'!#REF!),"",'Master Submitted DPDs'!#REF!)</f>
        <v>#REF!</v>
      </c>
    </row>
    <row r="620" spans="1:20" ht="15" x14ac:dyDescent="0.2">
      <c r="A620" s="3" t="str">
        <f>IF(ISBLANK('Master Submitted DPDs'!#REF!),"","Local Plans")</f>
        <v>Local Plans</v>
      </c>
      <c r="B620" t="e">
        <f>IF(ISBLANK('Master Submitted DPDs'!#REF!),"",'Master Submitted DPDs'!#REF!)</f>
        <v>#REF!</v>
      </c>
      <c r="C620" s="3" t="str">
        <f>IF(ISBLANK('Master Submitted DPDs'!#REF!),"","IH")</f>
        <v>IH</v>
      </c>
      <c r="D620" s="3" t="e">
        <f>LOOKUP($F620,'fuzzy LPA lookup'!$E:$E,'fuzzy LPA lookup'!$A:$A)</f>
        <v>#REF!</v>
      </c>
      <c r="E620" s="3" t="e">
        <f>LOOKUP($F620,'fuzzy LPA lookup'!$E:$E,'fuzzy LPA lookup'!$D:$D)</f>
        <v>#REF!</v>
      </c>
      <c r="F620" s="8" t="e">
        <f>IF(ISBLANK('Master Submitted DPDs'!#REF!),"",'Master Submitted DPDs'!#REF!)</f>
        <v>#REF!</v>
      </c>
      <c r="G620" t="str">
        <f>IF(ISBLANK('Master Submitted DPDs'!#REF!),"","Withdrawn")</f>
        <v>Withdrawn</v>
      </c>
      <c r="H620" s="2" t="e">
        <f>IF(ISBLANK('Master Submitted DPDs'!#REF!),"",'Master Submitted DPDs'!#REF!)</f>
        <v>#REF!</v>
      </c>
      <c r="I620" s="3"/>
      <c r="J620" s="3"/>
      <c r="K620" s="3"/>
      <c r="L620" s="2" t="e">
        <f>IF(ISBLANK('Master Submitted DPDs'!#REF!),"",'Master Submitted DPDs'!#REF!)</f>
        <v>#REF!</v>
      </c>
      <c r="M620" s="2" t="e">
        <f t="shared" si="18"/>
        <v>#REF!</v>
      </c>
      <c r="N620" s="2" t="e">
        <f>IF(ISBLANK('Master Submitted DPDs'!#REF!),IF(ISBLANK('Master Submitted DPDs'!#REF!),"",'Master Submitted DPDs'!#REF!),'Master Submitted DPDs'!#REF!)</f>
        <v>#REF!</v>
      </c>
      <c r="O620" s="2" t="e">
        <f>IF(ISBLANK('Master Submitted DPDs'!#REF!),"",'Master Submitted DPDs'!#REF!)</f>
        <v>#REF!</v>
      </c>
      <c r="P620" s="2" t="e">
        <f>IF(ISBLANK('Master Submitted DPDs'!#REF!),"",'Master Submitted DPDs'!#REF!)</f>
        <v>#REF!</v>
      </c>
      <c r="Q620" t="e">
        <f>IF(ISBLANK('Master Submitted DPDs'!#REF!),"",'Master Submitted DPDs'!#REF!)</f>
        <v>#REF!</v>
      </c>
      <c r="R620" t="e">
        <f t="shared" si="19"/>
        <v>#REF!</v>
      </c>
      <c r="S620" s="3"/>
      <c r="T620" t="e">
        <f>IF(ISBLANK('Master Submitted DPDs'!#REF!),"",'Master Submitted DPDs'!#REF!)</f>
        <v>#REF!</v>
      </c>
    </row>
    <row r="621" spans="1:20" ht="15" x14ac:dyDescent="0.2">
      <c r="A621" s="3" t="str">
        <f>IF(ISBLANK('Master Submitted DPDs'!#REF!),"","Local Plans")</f>
        <v>Local Plans</v>
      </c>
      <c r="B621" t="e">
        <f>IF(ISBLANK('Master Submitted DPDs'!#REF!),"",'Master Submitted DPDs'!#REF!)</f>
        <v>#REF!</v>
      </c>
      <c r="C621" s="3" t="str">
        <f>IF(ISBLANK('Master Submitted DPDs'!#REF!),"","IH")</f>
        <v>IH</v>
      </c>
      <c r="D621" s="3" t="e">
        <f>LOOKUP($F621,'fuzzy LPA lookup'!$E:$E,'fuzzy LPA lookup'!$A:$A)</f>
        <v>#REF!</v>
      </c>
      <c r="E621" s="3" t="e">
        <f>LOOKUP($F621,'fuzzy LPA lookup'!$E:$E,'fuzzy LPA lookup'!$D:$D)</f>
        <v>#REF!</v>
      </c>
      <c r="F621" s="8" t="e">
        <f>IF(ISBLANK('Master Submitted DPDs'!#REF!),"",'Master Submitted DPDs'!#REF!)</f>
        <v>#REF!</v>
      </c>
      <c r="G621" t="str">
        <f>IF(ISBLANK('Master Submitted DPDs'!#REF!),"","Withdrawn")</f>
        <v>Withdrawn</v>
      </c>
      <c r="H621" s="2" t="e">
        <f>IF(ISBLANK('Master Submitted DPDs'!#REF!),"",'Master Submitted DPDs'!#REF!)</f>
        <v>#REF!</v>
      </c>
      <c r="I621" s="3"/>
      <c r="J621" s="3"/>
      <c r="K621" s="3"/>
      <c r="L621" s="2" t="e">
        <f>IF(ISBLANK('Master Submitted DPDs'!#REF!),"",'Master Submitted DPDs'!#REF!)</f>
        <v>#REF!</v>
      </c>
      <c r="M621" s="2" t="e">
        <f t="shared" si="18"/>
        <v>#REF!</v>
      </c>
      <c r="N621" s="2" t="e">
        <f>IF(ISBLANK('Master Submitted DPDs'!#REF!),IF(ISBLANK('Master Submitted DPDs'!#REF!),"",'Master Submitted DPDs'!#REF!),'Master Submitted DPDs'!#REF!)</f>
        <v>#REF!</v>
      </c>
      <c r="O621" s="2" t="e">
        <f>IF(ISBLANK('Master Submitted DPDs'!#REF!),"",'Master Submitted DPDs'!#REF!)</f>
        <v>#REF!</v>
      </c>
      <c r="P621" s="2" t="e">
        <f>IF(ISBLANK('Master Submitted DPDs'!#REF!),"",'Master Submitted DPDs'!#REF!)</f>
        <v>#REF!</v>
      </c>
      <c r="Q621" t="e">
        <f>IF(ISBLANK('Master Submitted DPDs'!#REF!),"",'Master Submitted DPDs'!#REF!)</f>
        <v>#REF!</v>
      </c>
      <c r="R621" t="e">
        <f t="shared" si="19"/>
        <v>#REF!</v>
      </c>
      <c r="S621" s="3"/>
      <c r="T621" t="e">
        <f>IF(ISBLANK('Master Submitted DPDs'!#REF!),"",'Master Submitted DPDs'!#REF!)</f>
        <v>#REF!</v>
      </c>
    </row>
    <row r="622" spans="1:20" ht="15" x14ac:dyDescent="0.2">
      <c r="A622" s="3" t="str">
        <f>IF(ISBLANK('Master Submitted DPDs'!#REF!),"","Local Plans")</f>
        <v>Local Plans</v>
      </c>
      <c r="B622" t="e">
        <f>IF(ISBLANK('Master Submitted DPDs'!#REF!),"",'Master Submitted DPDs'!#REF!)</f>
        <v>#REF!</v>
      </c>
      <c r="C622" s="3" t="str">
        <f>IF(ISBLANK('Master Submitted DPDs'!#REF!),"","IH")</f>
        <v>IH</v>
      </c>
      <c r="D622" s="3" t="e">
        <f>LOOKUP($F622,'fuzzy LPA lookup'!$E:$E,'fuzzy LPA lookup'!$A:$A)</f>
        <v>#REF!</v>
      </c>
      <c r="E622" s="3" t="e">
        <f>LOOKUP($F622,'fuzzy LPA lookup'!$E:$E,'fuzzy LPA lookup'!$D:$D)</f>
        <v>#REF!</v>
      </c>
      <c r="F622" s="8" t="e">
        <f>IF(ISBLANK('Master Submitted DPDs'!#REF!),"",'Master Submitted DPDs'!#REF!)</f>
        <v>#REF!</v>
      </c>
      <c r="G622" t="str">
        <f>IF(ISBLANK('Master Submitted DPDs'!#REF!),"","Withdrawn")</f>
        <v>Withdrawn</v>
      </c>
      <c r="H622" s="2" t="e">
        <f>IF(ISBLANK('Master Submitted DPDs'!#REF!),"",'Master Submitted DPDs'!#REF!)</f>
        <v>#REF!</v>
      </c>
      <c r="I622" s="3"/>
      <c r="J622" s="3"/>
      <c r="K622" s="3"/>
      <c r="L622" s="2" t="e">
        <f>IF(ISBLANK('Master Submitted DPDs'!#REF!),"",'Master Submitted DPDs'!#REF!)</f>
        <v>#REF!</v>
      </c>
      <c r="M622" s="2" t="e">
        <f t="shared" si="18"/>
        <v>#REF!</v>
      </c>
      <c r="N622" s="2" t="e">
        <f>IF(ISBLANK('Master Submitted DPDs'!#REF!),IF(ISBLANK('Master Submitted DPDs'!#REF!),"",'Master Submitted DPDs'!#REF!),'Master Submitted DPDs'!#REF!)</f>
        <v>#REF!</v>
      </c>
      <c r="O622" s="2" t="e">
        <f>IF(ISBLANK('Master Submitted DPDs'!#REF!),"",'Master Submitted DPDs'!#REF!)</f>
        <v>#REF!</v>
      </c>
      <c r="P622" s="2" t="e">
        <f>IF(ISBLANK('Master Submitted DPDs'!#REF!),"",'Master Submitted DPDs'!#REF!)</f>
        <v>#REF!</v>
      </c>
      <c r="Q622" t="e">
        <f>IF(ISBLANK('Master Submitted DPDs'!#REF!),"",'Master Submitted DPDs'!#REF!)</f>
        <v>#REF!</v>
      </c>
      <c r="R622" t="e">
        <f t="shared" si="19"/>
        <v>#REF!</v>
      </c>
      <c r="S622" s="3"/>
      <c r="T622" t="e">
        <f>IF(ISBLANK('Master Submitted DPDs'!#REF!),"",'Master Submitted DPDs'!#REF!)</f>
        <v>#REF!</v>
      </c>
    </row>
    <row r="623" spans="1:20" ht="15" x14ac:dyDescent="0.2">
      <c r="A623" s="3" t="str">
        <f>IF(ISBLANK('Master Submitted DPDs'!#REF!),"","Local Plans")</f>
        <v>Local Plans</v>
      </c>
      <c r="B623" t="e">
        <f>IF(ISBLANK('Master Submitted DPDs'!#REF!),"",'Master Submitted DPDs'!#REF!)</f>
        <v>#REF!</v>
      </c>
      <c r="C623" s="3" t="str">
        <f>IF(ISBLANK('Master Submitted DPDs'!#REF!),"","IH")</f>
        <v>IH</v>
      </c>
      <c r="D623" s="3" t="e">
        <f>LOOKUP($F623,'fuzzy LPA lookup'!$E:$E,'fuzzy LPA lookup'!$A:$A)</f>
        <v>#REF!</v>
      </c>
      <c r="E623" s="3" t="e">
        <f>LOOKUP($F623,'fuzzy LPA lookup'!$E:$E,'fuzzy LPA lookup'!$D:$D)</f>
        <v>#REF!</v>
      </c>
      <c r="F623" s="8" t="e">
        <f>IF(ISBLANK('Master Submitted DPDs'!#REF!),"",'Master Submitted DPDs'!#REF!)</f>
        <v>#REF!</v>
      </c>
      <c r="G623" t="str">
        <f>IF(ISBLANK('Master Submitted DPDs'!#REF!),"","Withdrawn")</f>
        <v>Withdrawn</v>
      </c>
      <c r="H623" s="2" t="e">
        <f>IF(ISBLANK('Master Submitted DPDs'!#REF!),"",'Master Submitted DPDs'!#REF!)</f>
        <v>#REF!</v>
      </c>
      <c r="I623" s="3"/>
      <c r="J623" s="3"/>
      <c r="K623" s="3"/>
      <c r="L623" s="2" t="e">
        <f>IF(ISBLANK('Master Submitted DPDs'!#REF!),"",'Master Submitted DPDs'!#REF!)</f>
        <v>#REF!</v>
      </c>
      <c r="M623" s="2" t="e">
        <f t="shared" si="18"/>
        <v>#REF!</v>
      </c>
      <c r="N623" s="2" t="e">
        <f>IF(ISBLANK('Master Submitted DPDs'!#REF!),IF(ISBLANK('Master Submitted DPDs'!#REF!),"",'Master Submitted DPDs'!#REF!),'Master Submitted DPDs'!#REF!)</f>
        <v>#REF!</v>
      </c>
      <c r="O623" s="2" t="e">
        <f>IF(ISBLANK('Master Submitted DPDs'!#REF!),"",'Master Submitted DPDs'!#REF!)</f>
        <v>#REF!</v>
      </c>
      <c r="P623" s="2" t="e">
        <f>IF(ISBLANK('Master Submitted DPDs'!#REF!),"",'Master Submitted DPDs'!#REF!)</f>
        <v>#REF!</v>
      </c>
      <c r="Q623" t="e">
        <f>IF(ISBLANK('Master Submitted DPDs'!#REF!),"",'Master Submitted DPDs'!#REF!)</f>
        <v>#REF!</v>
      </c>
      <c r="R623" t="e">
        <f t="shared" si="19"/>
        <v>#REF!</v>
      </c>
      <c r="S623" s="3"/>
      <c r="T623" t="e">
        <f>IF(ISBLANK('Master Submitted DPDs'!#REF!),"",'Master Submitted DPDs'!#REF!)</f>
        <v>#REF!</v>
      </c>
    </row>
    <row r="624" spans="1:20" ht="15" x14ac:dyDescent="0.2">
      <c r="A624" s="3" t="str">
        <f>IF(ISBLANK('Master Submitted DPDs'!#REF!),"","Local Plans")</f>
        <v>Local Plans</v>
      </c>
      <c r="B624" t="e">
        <f>IF(ISBLANK('Master Submitted DPDs'!#REF!),"",'Master Submitted DPDs'!#REF!)</f>
        <v>#REF!</v>
      </c>
      <c r="C624" s="3" t="str">
        <f>IF(ISBLANK('Master Submitted DPDs'!#REF!),"","IH")</f>
        <v>IH</v>
      </c>
      <c r="D624" s="3" t="e">
        <f>LOOKUP($F624,'fuzzy LPA lookup'!$E:$E,'fuzzy LPA lookup'!$A:$A)</f>
        <v>#REF!</v>
      </c>
      <c r="E624" s="3" t="e">
        <f>LOOKUP($F624,'fuzzy LPA lookup'!$E:$E,'fuzzy LPA lookup'!$D:$D)</f>
        <v>#REF!</v>
      </c>
      <c r="F624" s="8" t="e">
        <f>IF(ISBLANK('Master Submitted DPDs'!#REF!),"",'Master Submitted DPDs'!#REF!)</f>
        <v>#REF!</v>
      </c>
      <c r="G624" t="str">
        <f>IF(ISBLANK('Master Submitted DPDs'!#REF!),"","Withdrawn")</f>
        <v>Withdrawn</v>
      </c>
      <c r="H624" s="2" t="e">
        <f>IF(ISBLANK('Master Submitted DPDs'!#REF!),"",'Master Submitted DPDs'!#REF!)</f>
        <v>#REF!</v>
      </c>
      <c r="I624" s="3"/>
      <c r="J624" s="3"/>
      <c r="K624" s="3"/>
      <c r="L624" s="2" t="e">
        <f>IF(ISBLANK('Master Submitted DPDs'!#REF!),"",'Master Submitted DPDs'!#REF!)</f>
        <v>#REF!</v>
      </c>
      <c r="M624" s="2" t="e">
        <f t="shared" si="18"/>
        <v>#REF!</v>
      </c>
      <c r="N624" s="2" t="e">
        <f>IF(ISBLANK('Master Submitted DPDs'!#REF!),IF(ISBLANK('Master Submitted DPDs'!#REF!),"",'Master Submitted DPDs'!#REF!),'Master Submitted DPDs'!#REF!)</f>
        <v>#REF!</v>
      </c>
      <c r="O624" s="2" t="e">
        <f>IF(ISBLANK('Master Submitted DPDs'!#REF!),"",'Master Submitted DPDs'!#REF!)</f>
        <v>#REF!</v>
      </c>
      <c r="P624" s="2" t="e">
        <f>IF(ISBLANK('Master Submitted DPDs'!#REF!),"",'Master Submitted DPDs'!#REF!)</f>
        <v>#REF!</v>
      </c>
      <c r="Q624" t="e">
        <f>IF(ISBLANK('Master Submitted DPDs'!#REF!),"",'Master Submitted DPDs'!#REF!)</f>
        <v>#REF!</v>
      </c>
      <c r="R624" t="e">
        <f t="shared" si="19"/>
        <v>#REF!</v>
      </c>
      <c r="S624" s="3"/>
      <c r="T624" t="e">
        <f>IF(ISBLANK('Master Submitted DPDs'!#REF!),"",'Master Submitted DPDs'!#REF!)</f>
        <v>#REF!</v>
      </c>
    </row>
    <row r="625" spans="1:20" ht="15" x14ac:dyDescent="0.2">
      <c r="A625" s="3" t="str">
        <f>IF(ISBLANK('Master Submitted DPDs'!#REF!),"","Local Plans")</f>
        <v>Local Plans</v>
      </c>
      <c r="B625" t="e">
        <f>IF(ISBLANK('Master Submitted DPDs'!#REF!),"",'Master Submitted DPDs'!#REF!)</f>
        <v>#REF!</v>
      </c>
      <c r="C625" s="3" t="str">
        <f>IF(ISBLANK('Master Submitted DPDs'!#REF!),"","IH")</f>
        <v>IH</v>
      </c>
      <c r="D625" s="3" t="e">
        <f>LOOKUP($F625,'fuzzy LPA lookup'!$E:$E,'fuzzy LPA lookup'!$A:$A)</f>
        <v>#REF!</v>
      </c>
      <c r="E625" s="3" t="e">
        <f>LOOKUP($F625,'fuzzy LPA lookup'!$E:$E,'fuzzy LPA lookup'!$D:$D)</f>
        <v>#REF!</v>
      </c>
      <c r="F625" s="8" t="e">
        <f>IF(ISBLANK('Master Submitted DPDs'!#REF!),"",'Master Submitted DPDs'!#REF!)</f>
        <v>#REF!</v>
      </c>
      <c r="G625" t="str">
        <f>IF(ISBLANK('Master Submitted DPDs'!#REF!),"","Withdrawn")</f>
        <v>Withdrawn</v>
      </c>
      <c r="H625" s="2" t="e">
        <f>IF(ISBLANK('Master Submitted DPDs'!#REF!),"",'Master Submitted DPDs'!#REF!)</f>
        <v>#REF!</v>
      </c>
      <c r="I625" s="3"/>
      <c r="J625" s="3"/>
      <c r="K625" s="3"/>
      <c r="L625" s="2" t="e">
        <f>IF(ISBLANK('Master Submitted DPDs'!#REF!),"",'Master Submitted DPDs'!#REF!)</f>
        <v>#REF!</v>
      </c>
      <c r="M625" s="2" t="e">
        <f t="shared" si="18"/>
        <v>#REF!</v>
      </c>
      <c r="N625" s="2" t="e">
        <f>IF(ISBLANK('Master Submitted DPDs'!#REF!),IF(ISBLANK('Master Submitted DPDs'!#REF!),"",'Master Submitted DPDs'!#REF!),'Master Submitted DPDs'!#REF!)</f>
        <v>#REF!</v>
      </c>
      <c r="O625" s="2" t="e">
        <f>IF(ISBLANK('Master Submitted DPDs'!#REF!),"",'Master Submitted DPDs'!#REF!)</f>
        <v>#REF!</v>
      </c>
      <c r="P625" s="2" t="e">
        <f>IF(ISBLANK('Master Submitted DPDs'!#REF!),"",'Master Submitted DPDs'!#REF!)</f>
        <v>#REF!</v>
      </c>
      <c r="Q625" t="e">
        <f>IF(ISBLANK('Master Submitted DPDs'!#REF!),"",'Master Submitted DPDs'!#REF!)</f>
        <v>#REF!</v>
      </c>
      <c r="R625" t="e">
        <f t="shared" si="19"/>
        <v>#REF!</v>
      </c>
      <c r="S625" s="3"/>
      <c r="T625" t="e">
        <f>IF(ISBLANK('Master Submitted DPDs'!#REF!),"",'Master Submitted DPDs'!#REF!)</f>
        <v>#REF!</v>
      </c>
    </row>
    <row r="626" spans="1:20" ht="15" x14ac:dyDescent="0.2">
      <c r="A626" s="3" t="str">
        <f>IF(ISBLANK('Master Submitted DPDs'!#REF!),"","Local Plans")</f>
        <v>Local Plans</v>
      </c>
      <c r="B626" t="e">
        <f>IF(ISBLANK('Master Submitted DPDs'!#REF!),"",'Master Submitted DPDs'!#REF!)</f>
        <v>#REF!</v>
      </c>
      <c r="C626" s="3" t="str">
        <f>IF(ISBLANK('Master Submitted DPDs'!#REF!),"","IH")</f>
        <v>IH</v>
      </c>
      <c r="D626" s="3" t="e">
        <f>LOOKUP($F626,'fuzzy LPA lookup'!$E:$E,'fuzzy LPA lookup'!$A:$A)</f>
        <v>#REF!</v>
      </c>
      <c r="E626" s="3" t="e">
        <f>LOOKUP($F626,'fuzzy LPA lookup'!$E:$E,'fuzzy LPA lookup'!$D:$D)</f>
        <v>#REF!</v>
      </c>
      <c r="F626" s="8" t="e">
        <f>IF(ISBLANK('Master Submitted DPDs'!#REF!),"",'Master Submitted DPDs'!#REF!)</f>
        <v>#REF!</v>
      </c>
      <c r="G626" t="str">
        <f>IF(ISBLANK('Master Submitted DPDs'!#REF!),"","Withdrawn")</f>
        <v>Withdrawn</v>
      </c>
      <c r="H626" s="2" t="e">
        <f>IF(ISBLANK('Master Submitted DPDs'!#REF!),"",'Master Submitted DPDs'!#REF!)</f>
        <v>#REF!</v>
      </c>
      <c r="I626" s="3"/>
      <c r="J626" s="3"/>
      <c r="K626" s="3"/>
      <c r="L626" s="2" t="e">
        <f>IF(ISBLANK('Master Submitted DPDs'!#REF!),"",'Master Submitted DPDs'!#REF!)</f>
        <v>#REF!</v>
      </c>
      <c r="M626" s="2" t="e">
        <f t="shared" si="18"/>
        <v>#REF!</v>
      </c>
      <c r="N626" s="2" t="e">
        <f>IF(ISBLANK('Master Submitted DPDs'!#REF!),IF(ISBLANK('Master Submitted DPDs'!#REF!),"",'Master Submitted DPDs'!#REF!),'Master Submitted DPDs'!#REF!)</f>
        <v>#REF!</v>
      </c>
      <c r="O626" s="2" t="e">
        <f>IF(ISBLANK('Master Submitted DPDs'!#REF!),"",'Master Submitted DPDs'!#REF!)</f>
        <v>#REF!</v>
      </c>
      <c r="P626" s="2" t="e">
        <f>IF(ISBLANK('Master Submitted DPDs'!#REF!),"",'Master Submitted DPDs'!#REF!)</f>
        <v>#REF!</v>
      </c>
      <c r="Q626" t="e">
        <f>IF(ISBLANK('Master Submitted DPDs'!#REF!),"",'Master Submitted DPDs'!#REF!)</f>
        <v>#REF!</v>
      </c>
      <c r="R626" t="e">
        <f t="shared" si="19"/>
        <v>#REF!</v>
      </c>
      <c r="S626" s="3"/>
      <c r="T626" t="e">
        <f>IF(ISBLANK('Master Submitted DPDs'!#REF!),"",'Master Submitted DPDs'!#REF!)</f>
        <v>#REF!</v>
      </c>
    </row>
    <row r="627" spans="1:20" ht="15" x14ac:dyDescent="0.2">
      <c r="A627" s="3" t="str">
        <f>IF(ISBLANK('Master Submitted DPDs'!#REF!),"","Local Plans")</f>
        <v>Local Plans</v>
      </c>
      <c r="B627" t="e">
        <f>IF(ISBLANK('Master Submitted DPDs'!#REF!),"",'Master Submitted DPDs'!#REF!)</f>
        <v>#REF!</v>
      </c>
      <c r="C627" s="3" t="str">
        <f>IF(ISBLANK('Master Submitted DPDs'!#REF!),"","IH")</f>
        <v>IH</v>
      </c>
      <c r="D627" s="3" t="e">
        <f>LOOKUP($F627,'fuzzy LPA lookup'!$E:$E,'fuzzy LPA lookup'!$A:$A)</f>
        <v>#REF!</v>
      </c>
      <c r="E627" s="3" t="e">
        <f>LOOKUP($F627,'fuzzy LPA lookup'!$E:$E,'fuzzy LPA lookup'!$D:$D)</f>
        <v>#REF!</v>
      </c>
      <c r="F627" s="8" t="e">
        <f>IF(ISBLANK('Master Submitted DPDs'!#REF!),"",'Master Submitted DPDs'!#REF!)</f>
        <v>#REF!</v>
      </c>
      <c r="G627" t="str">
        <f>IF(ISBLANK('Master Submitted DPDs'!#REF!),"","Withdrawn")</f>
        <v>Withdrawn</v>
      </c>
      <c r="H627" s="2" t="e">
        <f>IF(ISBLANK('Master Submitted DPDs'!#REF!),"",'Master Submitted DPDs'!#REF!)</f>
        <v>#REF!</v>
      </c>
      <c r="I627" s="3"/>
      <c r="J627" s="3"/>
      <c r="K627" s="3"/>
      <c r="L627" s="2" t="e">
        <f>IF(ISBLANK('Master Submitted DPDs'!#REF!),"",'Master Submitted DPDs'!#REF!)</f>
        <v>#REF!</v>
      </c>
      <c r="M627" s="2" t="e">
        <f t="shared" si="18"/>
        <v>#REF!</v>
      </c>
      <c r="N627" s="2" t="e">
        <f>IF(ISBLANK('Master Submitted DPDs'!#REF!),IF(ISBLANK('Master Submitted DPDs'!#REF!),"",'Master Submitted DPDs'!#REF!),'Master Submitted DPDs'!#REF!)</f>
        <v>#REF!</v>
      </c>
      <c r="O627" s="2" t="e">
        <f>IF(ISBLANK('Master Submitted DPDs'!#REF!),"",'Master Submitted DPDs'!#REF!)</f>
        <v>#REF!</v>
      </c>
      <c r="P627" s="2" t="e">
        <f>IF(ISBLANK('Master Submitted DPDs'!#REF!),"",'Master Submitted DPDs'!#REF!)</f>
        <v>#REF!</v>
      </c>
      <c r="Q627" t="e">
        <f>IF(ISBLANK('Master Submitted DPDs'!#REF!),"",'Master Submitted DPDs'!#REF!)</f>
        <v>#REF!</v>
      </c>
      <c r="R627" t="e">
        <f t="shared" si="19"/>
        <v>#REF!</v>
      </c>
      <c r="S627" s="3"/>
      <c r="T627" t="e">
        <f>IF(ISBLANK('Master Submitted DPDs'!#REF!),"",'Master Submitted DPDs'!#REF!)</f>
        <v>#REF!</v>
      </c>
    </row>
    <row r="628" spans="1:20" ht="15" x14ac:dyDescent="0.2">
      <c r="A628" s="3" t="str">
        <f>IF(ISBLANK('Master Submitted DPDs'!#REF!),"","Local Plans")</f>
        <v>Local Plans</v>
      </c>
      <c r="B628" t="e">
        <f>IF(ISBLANK('Master Submitted DPDs'!#REF!),"",'Master Submitted DPDs'!#REF!)</f>
        <v>#REF!</v>
      </c>
      <c r="C628" s="3" t="str">
        <f>IF(ISBLANK('Master Submitted DPDs'!#REF!),"","IH")</f>
        <v>IH</v>
      </c>
      <c r="D628" s="3" t="e">
        <f>LOOKUP($F628,'fuzzy LPA lookup'!$E:$E,'fuzzy LPA lookup'!$A:$A)</f>
        <v>#REF!</v>
      </c>
      <c r="E628" s="3" t="e">
        <f>LOOKUP($F628,'fuzzy LPA lookup'!$E:$E,'fuzzy LPA lookup'!$D:$D)</f>
        <v>#REF!</v>
      </c>
      <c r="F628" s="8" t="e">
        <f>IF(ISBLANK('Master Submitted DPDs'!#REF!),"",'Master Submitted DPDs'!#REF!)</f>
        <v>#REF!</v>
      </c>
      <c r="G628" t="str">
        <f>IF(ISBLANK('Master Submitted DPDs'!#REF!),"","Withdrawn")</f>
        <v>Withdrawn</v>
      </c>
      <c r="H628" s="2" t="e">
        <f>IF(ISBLANK('Master Submitted DPDs'!#REF!),"",'Master Submitted DPDs'!#REF!)</f>
        <v>#REF!</v>
      </c>
      <c r="I628" s="3"/>
      <c r="J628" s="3"/>
      <c r="K628" s="3"/>
      <c r="L628" s="2" t="e">
        <f>IF(ISBLANK('Master Submitted DPDs'!#REF!),"",'Master Submitted DPDs'!#REF!)</f>
        <v>#REF!</v>
      </c>
      <c r="M628" s="2" t="e">
        <f t="shared" si="18"/>
        <v>#REF!</v>
      </c>
      <c r="N628" s="2" t="e">
        <f>IF(ISBLANK('Master Submitted DPDs'!#REF!),IF(ISBLANK('Master Submitted DPDs'!#REF!),"",'Master Submitted DPDs'!#REF!),'Master Submitted DPDs'!#REF!)</f>
        <v>#REF!</v>
      </c>
      <c r="O628" s="2" t="e">
        <f>IF(ISBLANK('Master Submitted DPDs'!#REF!),"",'Master Submitted DPDs'!#REF!)</f>
        <v>#REF!</v>
      </c>
      <c r="P628" s="2" t="e">
        <f>IF(ISBLANK('Master Submitted DPDs'!#REF!),"",'Master Submitted DPDs'!#REF!)</f>
        <v>#REF!</v>
      </c>
      <c r="Q628" t="e">
        <f>IF(ISBLANK('Master Submitted DPDs'!#REF!),"",'Master Submitted DPDs'!#REF!)</f>
        <v>#REF!</v>
      </c>
      <c r="R628" t="e">
        <f t="shared" si="19"/>
        <v>#REF!</v>
      </c>
      <c r="S628" s="3"/>
      <c r="T628" t="e">
        <f>IF(ISBLANK('Master Submitted DPDs'!#REF!),"",'Master Submitted DPDs'!#REF!)</f>
        <v>#REF!</v>
      </c>
    </row>
    <row r="629" spans="1:20" ht="15" x14ac:dyDescent="0.2">
      <c r="A629" s="3" t="str">
        <f>IF(ISBLANK('Master Submitted DPDs'!#REF!),"","Local Plans")</f>
        <v>Local Plans</v>
      </c>
      <c r="B629" t="e">
        <f>IF(ISBLANK('Master Submitted DPDs'!#REF!),"",'Master Submitted DPDs'!#REF!)</f>
        <v>#REF!</v>
      </c>
      <c r="C629" s="3" t="str">
        <f>IF(ISBLANK('Master Submitted DPDs'!#REF!),"","IH")</f>
        <v>IH</v>
      </c>
      <c r="D629" s="3" t="e">
        <f>LOOKUP($F629,'fuzzy LPA lookup'!$E:$E,'fuzzy LPA lookup'!$A:$A)</f>
        <v>#REF!</v>
      </c>
      <c r="E629" s="3" t="e">
        <f>LOOKUP($F629,'fuzzy LPA lookup'!$E:$E,'fuzzy LPA lookup'!$D:$D)</f>
        <v>#REF!</v>
      </c>
      <c r="F629" s="8" t="e">
        <f>IF(ISBLANK('Master Submitted DPDs'!#REF!),"",'Master Submitted DPDs'!#REF!)</f>
        <v>#REF!</v>
      </c>
      <c r="G629" t="str">
        <f>IF(ISBLANK('Master Submitted DPDs'!#REF!),"","Withdrawn")</f>
        <v>Withdrawn</v>
      </c>
      <c r="H629" s="2" t="e">
        <f>IF(ISBLANK('Master Submitted DPDs'!#REF!),"",'Master Submitted DPDs'!#REF!)</f>
        <v>#REF!</v>
      </c>
      <c r="I629" s="3"/>
      <c r="J629" s="3"/>
      <c r="K629" s="3"/>
      <c r="L629" s="2" t="e">
        <f>IF(ISBLANK('Master Submitted DPDs'!#REF!),"",'Master Submitted DPDs'!#REF!)</f>
        <v>#REF!</v>
      </c>
      <c r="M629" s="2" t="e">
        <f t="shared" si="18"/>
        <v>#REF!</v>
      </c>
      <c r="N629" s="2" t="e">
        <f>IF(ISBLANK('Master Submitted DPDs'!#REF!),IF(ISBLANK('Master Submitted DPDs'!#REF!),"",'Master Submitted DPDs'!#REF!),'Master Submitted DPDs'!#REF!)</f>
        <v>#REF!</v>
      </c>
      <c r="O629" s="2" t="e">
        <f>IF(ISBLANK('Master Submitted DPDs'!#REF!),"",'Master Submitted DPDs'!#REF!)</f>
        <v>#REF!</v>
      </c>
      <c r="P629" s="2" t="e">
        <f>IF(ISBLANK('Master Submitted DPDs'!#REF!),"",'Master Submitted DPDs'!#REF!)</f>
        <v>#REF!</v>
      </c>
      <c r="Q629" t="e">
        <f>IF(ISBLANK('Master Submitted DPDs'!#REF!),"",'Master Submitted DPDs'!#REF!)</f>
        <v>#REF!</v>
      </c>
      <c r="R629" t="e">
        <f t="shared" si="19"/>
        <v>#REF!</v>
      </c>
      <c r="S629" s="3"/>
      <c r="T629" t="e">
        <f>IF(ISBLANK('Master Submitted DPDs'!#REF!),"",'Master Submitted DPDs'!#REF!)</f>
        <v>#REF!</v>
      </c>
    </row>
    <row r="630" spans="1:20" ht="15" x14ac:dyDescent="0.2">
      <c r="A630" s="3" t="str">
        <f>IF(ISBLANK('Master Submitted DPDs'!#REF!),"","Local Plans")</f>
        <v>Local Plans</v>
      </c>
      <c r="B630" t="e">
        <f>IF(ISBLANK('Master Submitted DPDs'!#REF!),"",'Master Submitted DPDs'!#REF!)</f>
        <v>#REF!</v>
      </c>
      <c r="C630" s="3" t="str">
        <f>IF(ISBLANK('Master Submitted DPDs'!#REF!),"","IH")</f>
        <v>IH</v>
      </c>
      <c r="D630" s="3" t="e">
        <f>LOOKUP($F630,'fuzzy LPA lookup'!$E:$E,'fuzzy LPA lookup'!$A:$A)</f>
        <v>#REF!</v>
      </c>
      <c r="E630" s="3" t="e">
        <f>LOOKUP($F630,'fuzzy LPA lookup'!$E:$E,'fuzzy LPA lookup'!$D:$D)</f>
        <v>#REF!</v>
      </c>
      <c r="F630" s="8" t="e">
        <f>IF(ISBLANK('Master Submitted DPDs'!#REF!),"",'Master Submitted DPDs'!#REF!)</f>
        <v>#REF!</v>
      </c>
      <c r="G630" t="str">
        <f>IF(ISBLANK('Master Submitted DPDs'!#REF!),"","Withdrawn")</f>
        <v>Withdrawn</v>
      </c>
      <c r="H630" s="2" t="e">
        <f>IF(ISBLANK('Master Submitted DPDs'!#REF!),"",'Master Submitted DPDs'!#REF!)</f>
        <v>#REF!</v>
      </c>
      <c r="I630" s="3"/>
      <c r="J630" s="3"/>
      <c r="K630" s="3"/>
      <c r="L630" s="2" t="e">
        <f>IF(ISBLANK('Master Submitted DPDs'!#REF!),"",'Master Submitted DPDs'!#REF!)</f>
        <v>#REF!</v>
      </c>
      <c r="M630" s="2" t="e">
        <f t="shared" si="18"/>
        <v>#REF!</v>
      </c>
      <c r="N630" s="2" t="e">
        <f>IF(ISBLANK('Master Submitted DPDs'!#REF!),IF(ISBLANK('Master Submitted DPDs'!#REF!),"",'Master Submitted DPDs'!#REF!),'Master Submitted DPDs'!#REF!)</f>
        <v>#REF!</v>
      </c>
      <c r="O630" s="2" t="e">
        <f>IF(ISBLANK('Master Submitted DPDs'!#REF!),"",'Master Submitted DPDs'!#REF!)</f>
        <v>#REF!</v>
      </c>
      <c r="P630" s="2" t="e">
        <f>IF(ISBLANK('Master Submitted DPDs'!#REF!),"",'Master Submitted DPDs'!#REF!)</f>
        <v>#REF!</v>
      </c>
      <c r="Q630" t="e">
        <f>IF(ISBLANK('Master Submitted DPDs'!#REF!),"",'Master Submitted DPDs'!#REF!)</f>
        <v>#REF!</v>
      </c>
      <c r="R630" t="e">
        <f t="shared" si="19"/>
        <v>#REF!</v>
      </c>
      <c r="S630" s="3"/>
      <c r="T630" t="e">
        <f>IF(ISBLANK('Master Submitted DPDs'!#REF!),"",'Master Submitted DPDs'!#REF!)</f>
        <v>#REF!</v>
      </c>
    </row>
    <row r="631" spans="1:20" ht="15" x14ac:dyDescent="0.2">
      <c r="A631" s="3" t="str">
        <f>IF(ISBLANK('Master Submitted DPDs'!#REF!),"","Local Plans")</f>
        <v>Local Plans</v>
      </c>
      <c r="B631" t="e">
        <f>IF(ISBLANK('Master Submitted DPDs'!#REF!),"",'Master Submitted DPDs'!#REF!)</f>
        <v>#REF!</v>
      </c>
      <c r="C631" s="3" t="str">
        <f>IF(ISBLANK('Master Submitted DPDs'!#REF!),"","IH")</f>
        <v>IH</v>
      </c>
      <c r="D631" s="3" t="e">
        <f>LOOKUP($F631,'fuzzy LPA lookup'!$E:$E,'fuzzy LPA lookup'!$A:$A)</f>
        <v>#REF!</v>
      </c>
      <c r="E631" s="3" t="e">
        <f>LOOKUP($F631,'fuzzy LPA lookup'!$E:$E,'fuzzy LPA lookup'!$D:$D)</f>
        <v>#REF!</v>
      </c>
      <c r="F631" s="8" t="e">
        <f>IF(ISBLANK('Master Submitted DPDs'!#REF!),"",'Master Submitted DPDs'!#REF!)</f>
        <v>#REF!</v>
      </c>
      <c r="G631" t="str">
        <f>IF(ISBLANK('Master Submitted DPDs'!#REF!),"","Withdrawn")</f>
        <v>Withdrawn</v>
      </c>
      <c r="H631" s="2" t="e">
        <f>IF(ISBLANK('Master Submitted DPDs'!#REF!),"",'Master Submitted DPDs'!#REF!)</f>
        <v>#REF!</v>
      </c>
      <c r="I631" s="3"/>
      <c r="J631" s="3"/>
      <c r="K631" s="3"/>
      <c r="L631" s="2" t="e">
        <f>IF(ISBLANK('Master Submitted DPDs'!#REF!),"",'Master Submitted DPDs'!#REF!)</f>
        <v>#REF!</v>
      </c>
      <c r="M631" s="2" t="e">
        <f t="shared" si="18"/>
        <v>#REF!</v>
      </c>
      <c r="N631" s="2" t="e">
        <f>IF(ISBLANK('Master Submitted DPDs'!#REF!),IF(ISBLANK('Master Submitted DPDs'!#REF!),"",'Master Submitted DPDs'!#REF!),'Master Submitted DPDs'!#REF!)</f>
        <v>#REF!</v>
      </c>
      <c r="O631" s="2" t="e">
        <f>IF(ISBLANK('Master Submitted DPDs'!#REF!),"",'Master Submitted DPDs'!#REF!)</f>
        <v>#REF!</v>
      </c>
      <c r="P631" s="2" t="e">
        <f>IF(ISBLANK('Master Submitted DPDs'!#REF!),"",'Master Submitted DPDs'!#REF!)</f>
        <v>#REF!</v>
      </c>
      <c r="Q631" t="e">
        <f>IF(ISBLANK('Master Submitted DPDs'!#REF!),"",'Master Submitted DPDs'!#REF!)</f>
        <v>#REF!</v>
      </c>
      <c r="R631" t="e">
        <f t="shared" si="19"/>
        <v>#REF!</v>
      </c>
      <c r="S631" s="3"/>
      <c r="T631" t="e">
        <f>IF(ISBLANK('Master Submitted DPDs'!#REF!),"",'Master Submitted DPDs'!#REF!)</f>
        <v>#REF!</v>
      </c>
    </row>
    <row r="632" spans="1:20" ht="15" x14ac:dyDescent="0.2">
      <c r="A632" s="3" t="str">
        <f>IF(ISBLANK('Master Submitted DPDs'!#REF!),"","Local Plans")</f>
        <v>Local Plans</v>
      </c>
      <c r="B632" t="e">
        <f>IF(ISBLANK('Master Submitted DPDs'!#REF!),"",'Master Submitted DPDs'!#REF!)</f>
        <v>#REF!</v>
      </c>
      <c r="C632" s="3" t="str">
        <f>IF(ISBLANK('Master Submitted DPDs'!#REF!),"","IH")</f>
        <v>IH</v>
      </c>
      <c r="D632" s="3" t="e">
        <f>LOOKUP($F632,'fuzzy LPA lookup'!$E:$E,'fuzzy LPA lookup'!$A:$A)</f>
        <v>#REF!</v>
      </c>
      <c r="E632" s="3" t="e">
        <f>LOOKUP($F632,'fuzzy LPA lookup'!$E:$E,'fuzzy LPA lookup'!$D:$D)</f>
        <v>#REF!</v>
      </c>
      <c r="F632" s="8" t="e">
        <f>IF(ISBLANK('Master Submitted DPDs'!#REF!),"",'Master Submitted DPDs'!#REF!)</f>
        <v>#REF!</v>
      </c>
      <c r="G632" t="str">
        <f>IF(ISBLANK('Master Submitted DPDs'!#REF!),"","Withdrawn")</f>
        <v>Withdrawn</v>
      </c>
      <c r="H632" s="2" t="e">
        <f>IF(ISBLANK('Master Submitted DPDs'!#REF!),"",'Master Submitted DPDs'!#REF!)</f>
        <v>#REF!</v>
      </c>
      <c r="I632" s="3"/>
      <c r="J632" s="3"/>
      <c r="K632" s="3"/>
      <c r="L632" s="2" t="e">
        <f>IF(ISBLANK('Master Submitted DPDs'!#REF!),"",'Master Submitted DPDs'!#REF!)</f>
        <v>#REF!</v>
      </c>
      <c r="M632" s="2" t="e">
        <f t="shared" si="18"/>
        <v>#REF!</v>
      </c>
      <c r="N632" s="2" t="e">
        <f>IF(ISBLANK('Master Submitted DPDs'!#REF!),IF(ISBLANK('Master Submitted DPDs'!#REF!),"",'Master Submitted DPDs'!#REF!),'Master Submitted DPDs'!#REF!)</f>
        <v>#REF!</v>
      </c>
      <c r="O632" s="2" t="e">
        <f>IF(ISBLANK('Master Submitted DPDs'!#REF!),"",'Master Submitted DPDs'!#REF!)</f>
        <v>#REF!</v>
      </c>
      <c r="P632" s="2" t="e">
        <f>IF(ISBLANK('Master Submitted DPDs'!#REF!),"",'Master Submitted DPDs'!#REF!)</f>
        <v>#REF!</v>
      </c>
      <c r="Q632" t="e">
        <f>IF(ISBLANK('Master Submitted DPDs'!#REF!),"",'Master Submitted DPDs'!#REF!)</f>
        <v>#REF!</v>
      </c>
      <c r="R632" t="e">
        <f t="shared" si="19"/>
        <v>#REF!</v>
      </c>
      <c r="S632" s="3"/>
      <c r="T632" t="e">
        <f>IF(ISBLANK('Master Submitted DPDs'!#REF!),"",'Master Submitted DPDs'!#REF!)</f>
        <v>#REF!</v>
      </c>
    </row>
    <row r="633" spans="1:20" ht="15" x14ac:dyDescent="0.2">
      <c r="A633" s="3" t="str">
        <f>IF(ISBLANK('Master Submitted DPDs'!#REF!),"","Local Plans")</f>
        <v>Local Plans</v>
      </c>
      <c r="B633" t="e">
        <f>IF(ISBLANK('Master Submitted DPDs'!#REF!),"",'Master Submitted DPDs'!#REF!)</f>
        <v>#REF!</v>
      </c>
      <c r="C633" s="3" t="str">
        <f>IF(ISBLANK('Master Submitted DPDs'!#REF!),"","IH")</f>
        <v>IH</v>
      </c>
      <c r="D633" s="3" t="e">
        <f>LOOKUP($F633,'fuzzy LPA lookup'!$E:$E,'fuzzy LPA lookup'!$A:$A)</f>
        <v>#REF!</v>
      </c>
      <c r="E633" s="3" t="e">
        <f>LOOKUP($F633,'fuzzy LPA lookup'!$E:$E,'fuzzy LPA lookup'!$D:$D)</f>
        <v>#REF!</v>
      </c>
      <c r="F633" s="8" t="e">
        <f>IF(ISBLANK('Master Submitted DPDs'!#REF!),"",'Master Submitted DPDs'!#REF!)</f>
        <v>#REF!</v>
      </c>
      <c r="G633" t="str">
        <f>IF(ISBLANK('Master Submitted DPDs'!#REF!),"","Withdrawn")</f>
        <v>Withdrawn</v>
      </c>
      <c r="H633" s="2" t="e">
        <f>IF(ISBLANK('Master Submitted DPDs'!#REF!),"",'Master Submitted DPDs'!#REF!)</f>
        <v>#REF!</v>
      </c>
      <c r="I633" s="3"/>
      <c r="J633" s="3"/>
      <c r="K633" s="3"/>
      <c r="L633" s="2" t="e">
        <f>IF(ISBLANK('Master Submitted DPDs'!#REF!),"",'Master Submitted DPDs'!#REF!)</f>
        <v>#REF!</v>
      </c>
      <c r="M633" s="2" t="e">
        <f t="shared" si="18"/>
        <v>#REF!</v>
      </c>
      <c r="N633" s="2" t="e">
        <f>IF(ISBLANK('Master Submitted DPDs'!#REF!),IF(ISBLANK('Master Submitted DPDs'!#REF!),"",'Master Submitted DPDs'!#REF!),'Master Submitted DPDs'!#REF!)</f>
        <v>#REF!</v>
      </c>
      <c r="O633" s="2" t="e">
        <f>IF(ISBLANK('Master Submitted DPDs'!#REF!),"",'Master Submitted DPDs'!#REF!)</f>
        <v>#REF!</v>
      </c>
      <c r="P633" s="2" t="e">
        <f>IF(ISBLANK('Master Submitted DPDs'!#REF!),"",'Master Submitted DPDs'!#REF!)</f>
        <v>#REF!</v>
      </c>
      <c r="Q633" t="e">
        <f>IF(ISBLANK('Master Submitted DPDs'!#REF!),"",'Master Submitted DPDs'!#REF!)</f>
        <v>#REF!</v>
      </c>
      <c r="R633" t="e">
        <f t="shared" si="19"/>
        <v>#REF!</v>
      </c>
      <c r="S633" s="3"/>
      <c r="T633" t="e">
        <f>IF(ISBLANK('Master Submitted DPDs'!#REF!),"",'Master Submitted DPDs'!#REF!)</f>
        <v>#REF!</v>
      </c>
    </row>
    <row r="634" spans="1:20" ht="15" x14ac:dyDescent="0.2">
      <c r="A634" s="3" t="str">
        <f>IF(ISBLANK('Master Submitted DPDs'!#REF!),"","Local Plans")</f>
        <v>Local Plans</v>
      </c>
      <c r="B634" t="e">
        <f>IF(ISBLANK('Master Submitted DPDs'!#REF!),"",'Master Submitted DPDs'!#REF!)</f>
        <v>#REF!</v>
      </c>
      <c r="C634" s="3" t="str">
        <f>IF(ISBLANK('Master Submitted DPDs'!#REF!),"","IH")</f>
        <v>IH</v>
      </c>
      <c r="D634" s="3" t="e">
        <f>LOOKUP($F634,'fuzzy LPA lookup'!$E:$E,'fuzzy LPA lookup'!$A:$A)</f>
        <v>#REF!</v>
      </c>
      <c r="E634" s="3" t="e">
        <f>LOOKUP($F634,'fuzzy LPA lookup'!$E:$E,'fuzzy LPA lookup'!$D:$D)</f>
        <v>#REF!</v>
      </c>
      <c r="F634" s="8" t="e">
        <f>IF(ISBLANK('Master Submitted DPDs'!#REF!),"",'Master Submitted DPDs'!#REF!)</f>
        <v>#REF!</v>
      </c>
      <c r="G634" t="str">
        <f>IF(ISBLANK('Master Submitted DPDs'!#REF!),"","Withdrawn")</f>
        <v>Withdrawn</v>
      </c>
      <c r="H634" s="2" t="e">
        <f>IF(ISBLANK('Master Submitted DPDs'!#REF!),"",'Master Submitted DPDs'!#REF!)</f>
        <v>#REF!</v>
      </c>
      <c r="I634" s="3"/>
      <c r="J634" s="3"/>
      <c r="K634" s="3"/>
      <c r="L634" s="2" t="e">
        <f>IF(ISBLANK('Master Submitted DPDs'!#REF!),"",'Master Submitted DPDs'!#REF!)</f>
        <v>#REF!</v>
      </c>
      <c r="M634" s="2" t="e">
        <f t="shared" si="18"/>
        <v>#REF!</v>
      </c>
      <c r="N634" s="2" t="e">
        <f>IF(ISBLANK('Master Submitted DPDs'!#REF!),IF(ISBLANK('Master Submitted DPDs'!#REF!),"",'Master Submitted DPDs'!#REF!),'Master Submitted DPDs'!#REF!)</f>
        <v>#REF!</v>
      </c>
      <c r="O634" s="2" t="e">
        <f>IF(ISBLANK('Master Submitted DPDs'!#REF!),"",'Master Submitted DPDs'!#REF!)</f>
        <v>#REF!</v>
      </c>
      <c r="P634" s="2" t="e">
        <f>IF(ISBLANK('Master Submitted DPDs'!#REF!),"",'Master Submitted DPDs'!#REF!)</f>
        <v>#REF!</v>
      </c>
      <c r="Q634" t="e">
        <f>IF(ISBLANK('Master Submitted DPDs'!#REF!),"",'Master Submitted DPDs'!#REF!)</f>
        <v>#REF!</v>
      </c>
      <c r="R634" t="e">
        <f t="shared" si="19"/>
        <v>#REF!</v>
      </c>
      <c r="S634" s="3"/>
      <c r="T634" t="e">
        <f>IF(ISBLANK('Master Submitted DPDs'!#REF!),"",'Master Submitted DPDs'!#REF!)</f>
        <v>#REF!</v>
      </c>
    </row>
    <row r="635" spans="1:20" ht="15" x14ac:dyDescent="0.2">
      <c r="A635" s="3" t="str">
        <f>IF(ISBLANK('Master Submitted DPDs'!#REF!),"","Local Plans")</f>
        <v>Local Plans</v>
      </c>
      <c r="B635" t="e">
        <f>IF(ISBLANK('Master Submitted DPDs'!#REF!),"",'Master Submitted DPDs'!#REF!)</f>
        <v>#REF!</v>
      </c>
      <c r="C635" s="3" t="str">
        <f>IF(ISBLANK('Master Submitted DPDs'!#REF!),"","IH")</f>
        <v>IH</v>
      </c>
      <c r="D635" s="3" t="e">
        <f>LOOKUP($F635,'fuzzy LPA lookup'!$E:$E,'fuzzy LPA lookup'!$A:$A)</f>
        <v>#REF!</v>
      </c>
      <c r="E635" s="3" t="e">
        <f>LOOKUP($F635,'fuzzy LPA lookup'!$E:$E,'fuzzy LPA lookup'!$D:$D)</f>
        <v>#REF!</v>
      </c>
      <c r="F635" s="8" t="e">
        <f>IF(ISBLANK('Master Submitted DPDs'!#REF!),"",'Master Submitted DPDs'!#REF!)</f>
        <v>#REF!</v>
      </c>
      <c r="G635" t="str">
        <f>IF(ISBLANK('Master Submitted DPDs'!#REF!),"","Withdrawn")</f>
        <v>Withdrawn</v>
      </c>
      <c r="H635" s="2" t="e">
        <f>IF(ISBLANK('Master Submitted DPDs'!#REF!),"",'Master Submitted DPDs'!#REF!)</f>
        <v>#REF!</v>
      </c>
      <c r="I635" s="3"/>
      <c r="J635" s="3"/>
      <c r="K635" s="3"/>
      <c r="L635" s="2" t="e">
        <f>IF(ISBLANK('Master Submitted DPDs'!#REF!),"",'Master Submitted DPDs'!#REF!)</f>
        <v>#REF!</v>
      </c>
      <c r="M635" s="2" t="e">
        <f t="shared" si="18"/>
        <v>#REF!</v>
      </c>
      <c r="N635" s="2" t="e">
        <f>IF(ISBLANK('Master Submitted DPDs'!#REF!),IF(ISBLANK('Master Submitted DPDs'!#REF!),"",'Master Submitted DPDs'!#REF!),'Master Submitted DPDs'!#REF!)</f>
        <v>#REF!</v>
      </c>
      <c r="O635" s="2" t="e">
        <f>IF(ISBLANK('Master Submitted DPDs'!#REF!),"",'Master Submitted DPDs'!#REF!)</f>
        <v>#REF!</v>
      </c>
      <c r="P635" s="2" t="e">
        <f>IF(ISBLANK('Master Submitted DPDs'!#REF!),"",'Master Submitted DPDs'!#REF!)</f>
        <v>#REF!</v>
      </c>
      <c r="Q635" t="e">
        <f>IF(ISBLANK('Master Submitted DPDs'!#REF!),"",'Master Submitted DPDs'!#REF!)</f>
        <v>#REF!</v>
      </c>
      <c r="R635" t="e">
        <f t="shared" si="19"/>
        <v>#REF!</v>
      </c>
      <c r="S635" s="3"/>
      <c r="T635" t="e">
        <f>IF(ISBLANK('Master Submitted DPDs'!#REF!),"",'Master Submitted DPDs'!#REF!)</f>
        <v>#REF!</v>
      </c>
    </row>
    <row r="636" spans="1:20" ht="15" x14ac:dyDescent="0.2">
      <c r="A636" s="3" t="str">
        <f>IF(ISBLANK('Master Submitted DPDs'!#REF!),"","Local Plans")</f>
        <v>Local Plans</v>
      </c>
      <c r="B636" t="e">
        <f>IF(ISBLANK('Master Submitted DPDs'!#REF!),"",'Master Submitted DPDs'!#REF!)</f>
        <v>#REF!</v>
      </c>
      <c r="C636" s="3" t="str">
        <f>IF(ISBLANK('Master Submitted DPDs'!#REF!),"","IH")</f>
        <v>IH</v>
      </c>
      <c r="D636" s="3" t="e">
        <f>LOOKUP($F636,'fuzzy LPA lookup'!$E:$E,'fuzzy LPA lookup'!$A:$A)</f>
        <v>#REF!</v>
      </c>
      <c r="E636" s="3" t="e">
        <f>LOOKUP($F636,'fuzzy LPA lookup'!$E:$E,'fuzzy LPA lookup'!$D:$D)</f>
        <v>#REF!</v>
      </c>
      <c r="F636" s="8" t="e">
        <f>IF(ISBLANK('Master Submitted DPDs'!#REF!),"",'Master Submitted DPDs'!#REF!)</f>
        <v>#REF!</v>
      </c>
      <c r="G636" t="str">
        <f>IF(ISBLANK('Master Submitted DPDs'!#REF!),"","Withdrawn")</f>
        <v>Withdrawn</v>
      </c>
      <c r="H636" s="2" t="e">
        <f>IF(ISBLANK('Master Submitted DPDs'!#REF!),"",'Master Submitted DPDs'!#REF!)</f>
        <v>#REF!</v>
      </c>
      <c r="I636" s="3"/>
      <c r="J636" s="3"/>
      <c r="K636" s="3"/>
      <c r="L636" s="2" t="e">
        <f>IF(ISBLANK('Master Submitted DPDs'!#REF!),"",'Master Submitted DPDs'!#REF!)</f>
        <v>#REF!</v>
      </c>
      <c r="M636" s="2" t="e">
        <f t="shared" si="18"/>
        <v>#REF!</v>
      </c>
      <c r="N636" s="2" t="e">
        <f>IF(ISBLANK('Master Submitted DPDs'!#REF!),IF(ISBLANK('Master Submitted DPDs'!#REF!),"",'Master Submitted DPDs'!#REF!),'Master Submitted DPDs'!#REF!)</f>
        <v>#REF!</v>
      </c>
      <c r="O636" s="2" t="e">
        <f>IF(ISBLANK('Master Submitted DPDs'!#REF!),"",'Master Submitted DPDs'!#REF!)</f>
        <v>#REF!</v>
      </c>
      <c r="P636" s="2" t="e">
        <f>IF(ISBLANK('Master Submitted DPDs'!#REF!),"",'Master Submitted DPDs'!#REF!)</f>
        <v>#REF!</v>
      </c>
      <c r="Q636" t="e">
        <f>IF(ISBLANK('Master Submitted DPDs'!#REF!),"",'Master Submitted DPDs'!#REF!)</f>
        <v>#REF!</v>
      </c>
      <c r="R636" t="e">
        <f t="shared" si="19"/>
        <v>#REF!</v>
      </c>
      <c r="S636" s="3"/>
      <c r="T636" t="e">
        <f>IF(ISBLANK('Master Submitted DPDs'!#REF!),"",'Master Submitted DPDs'!#REF!)</f>
        <v>#REF!</v>
      </c>
    </row>
    <row r="637" spans="1:20" ht="15" x14ac:dyDescent="0.2">
      <c r="A637" s="3" t="str">
        <f>IF(ISBLANK('Master Submitted DPDs'!#REF!),"","Local Plans")</f>
        <v>Local Plans</v>
      </c>
      <c r="B637" t="e">
        <f>IF(ISBLANK('Master Submitted DPDs'!#REF!),"",'Master Submitted DPDs'!#REF!)</f>
        <v>#REF!</v>
      </c>
      <c r="C637" s="3" t="str">
        <f>IF(ISBLANK('Master Submitted DPDs'!#REF!),"","IH")</f>
        <v>IH</v>
      </c>
      <c r="D637" s="3" t="e">
        <f>LOOKUP($F637,'fuzzy LPA lookup'!$E:$E,'fuzzy LPA lookup'!$A:$A)</f>
        <v>#REF!</v>
      </c>
      <c r="E637" s="3" t="e">
        <f>LOOKUP($F637,'fuzzy LPA lookup'!$E:$E,'fuzzy LPA lookup'!$D:$D)</f>
        <v>#REF!</v>
      </c>
      <c r="F637" s="8" t="e">
        <f>IF(ISBLANK('Master Submitted DPDs'!#REF!),"",'Master Submitted DPDs'!#REF!)</f>
        <v>#REF!</v>
      </c>
      <c r="G637" t="str">
        <f>IF(ISBLANK('Master Submitted DPDs'!#REF!),"","Withdrawn")</f>
        <v>Withdrawn</v>
      </c>
      <c r="H637" s="2" t="e">
        <f>IF(ISBLANK('Master Submitted DPDs'!#REF!),"",'Master Submitted DPDs'!#REF!)</f>
        <v>#REF!</v>
      </c>
      <c r="I637" s="3"/>
      <c r="J637" s="3"/>
      <c r="K637" s="3"/>
      <c r="L637" s="2" t="e">
        <f>IF(ISBLANK('Master Submitted DPDs'!#REF!),"",'Master Submitted DPDs'!#REF!)</f>
        <v>#REF!</v>
      </c>
      <c r="M637" s="2" t="e">
        <f t="shared" si="18"/>
        <v>#REF!</v>
      </c>
      <c r="N637" s="2" t="e">
        <f>IF(ISBLANK('Master Submitted DPDs'!#REF!),IF(ISBLANK('Master Submitted DPDs'!#REF!),"",'Master Submitted DPDs'!#REF!),'Master Submitted DPDs'!#REF!)</f>
        <v>#REF!</v>
      </c>
      <c r="O637" s="2" t="e">
        <f>IF(ISBLANK('Master Submitted DPDs'!#REF!),"",'Master Submitted DPDs'!#REF!)</f>
        <v>#REF!</v>
      </c>
      <c r="P637" s="2" t="e">
        <f>IF(ISBLANK('Master Submitted DPDs'!#REF!),"",'Master Submitted DPDs'!#REF!)</f>
        <v>#REF!</v>
      </c>
      <c r="Q637" t="e">
        <f>IF(ISBLANK('Master Submitted DPDs'!#REF!),"",'Master Submitted DPDs'!#REF!)</f>
        <v>#REF!</v>
      </c>
      <c r="R637" t="e">
        <f t="shared" si="19"/>
        <v>#REF!</v>
      </c>
      <c r="S637" s="3"/>
      <c r="T637" t="e">
        <f>IF(ISBLANK('Master Submitted DPDs'!#REF!),"",'Master Submitted DPDs'!#REF!)</f>
        <v>#REF!</v>
      </c>
    </row>
    <row r="638" spans="1:20" ht="15" x14ac:dyDescent="0.2">
      <c r="A638" s="3" t="str">
        <f>IF(ISBLANK('Master Submitted DPDs'!#REF!),"","Local Plans")</f>
        <v>Local Plans</v>
      </c>
      <c r="B638" t="e">
        <f>IF(ISBLANK('Master Submitted DPDs'!#REF!),"",'Master Submitted DPDs'!#REF!)</f>
        <v>#REF!</v>
      </c>
      <c r="C638" s="3" t="str">
        <f>IF(ISBLANK('Master Submitted DPDs'!#REF!),"","IH")</f>
        <v>IH</v>
      </c>
      <c r="D638" s="3" t="e">
        <f>LOOKUP($F638,'fuzzy LPA lookup'!$E:$E,'fuzzy LPA lookup'!$A:$A)</f>
        <v>#REF!</v>
      </c>
      <c r="E638" s="3" t="e">
        <f>LOOKUP($F638,'fuzzy LPA lookup'!$E:$E,'fuzzy LPA lookup'!$D:$D)</f>
        <v>#REF!</v>
      </c>
      <c r="F638" s="8" t="e">
        <f>IF(ISBLANK('Master Submitted DPDs'!#REF!),"",'Master Submitted DPDs'!#REF!)</f>
        <v>#REF!</v>
      </c>
      <c r="G638" t="str">
        <f>IF(ISBLANK('Master Submitted DPDs'!#REF!),"","Withdrawn")</f>
        <v>Withdrawn</v>
      </c>
      <c r="H638" s="2" t="e">
        <f>IF(ISBLANK('Master Submitted DPDs'!#REF!),"",'Master Submitted DPDs'!#REF!)</f>
        <v>#REF!</v>
      </c>
      <c r="I638" s="3"/>
      <c r="J638" s="3"/>
      <c r="K638" s="3"/>
      <c r="L638" s="2" t="e">
        <f>IF(ISBLANK('Master Submitted DPDs'!#REF!),"",'Master Submitted DPDs'!#REF!)</f>
        <v>#REF!</v>
      </c>
      <c r="M638" s="2" t="e">
        <f t="shared" si="18"/>
        <v>#REF!</v>
      </c>
      <c r="N638" s="2" t="e">
        <f>IF(ISBLANK('Master Submitted DPDs'!#REF!),IF(ISBLANK('Master Submitted DPDs'!#REF!),"",'Master Submitted DPDs'!#REF!),'Master Submitted DPDs'!#REF!)</f>
        <v>#REF!</v>
      </c>
      <c r="O638" s="2" t="e">
        <f>IF(ISBLANK('Master Submitted DPDs'!#REF!),"",'Master Submitted DPDs'!#REF!)</f>
        <v>#REF!</v>
      </c>
      <c r="P638" s="2" t="e">
        <f>IF(ISBLANK('Master Submitted DPDs'!#REF!),"",'Master Submitted DPDs'!#REF!)</f>
        <v>#REF!</v>
      </c>
      <c r="Q638" t="e">
        <f>IF(ISBLANK('Master Submitted DPDs'!#REF!),"",'Master Submitted DPDs'!#REF!)</f>
        <v>#REF!</v>
      </c>
      <c r="R638" t="e">
        <f t="shared" si="19"/>
        <v>#REF!</v>
      </c>
      <c r="S638" s="3"/>
      <c r="T638" t="e">
        <f>IF(ISBLANK('Master Submitted DPDs'!#REF!),"",'Master Submitted DPDs'!#REF!)</f>
        <v>#REF!</v>
      </c>
    </row>
    <row r="639" spans="1:20" ht="15" x14ac:dyDescent="0.2">
      <c r="A639" s="3" t="str">
        <f>IF(ISBLANK('Master Submitted DPDs'!#REF!),"","Local Plans")</f>
        <v>Local Plans</v>
      </c>
      <c r="B639" t="e">
        <f>IF(ISBLANK('Master Submitted DPDs'!#REF!),"",'Master Submitted DPDs'!#REF!)</f>
        <v>#REF!</v>
      </c>
      <c r="C639" s="3" t="str">
        <f>IF(ISBLANK('Master Submitted DPDs'!#REF!),"","IH")</f>
        <v>IH</v>
      </c>
      <c r="D639" s="3" t="e">
        <f>LOOKUP($F639,'fuzzy LPA lookup'!$E:$E,'fuzzy LPA lookup'!$A:$A)</f>
        <v>#REF!</v>
      </c>
      <c r="E639" s="3" t="e">
        <f>LOOKUP($F639,'fuzzy LPA lookup'!$E:$E,'fuzzy LPA lookup'!$D:$D)</f>
        <v>#REF!</v>
      </c>
      <c r="F639" s="8" t="e">
        <f>IF(ISBLANK('Master Submitted DPDs'!#REF!),"",'Master Submitted DPDs'!#REF!)</f>
        <v>#REF!</v>
      </c>
      <c r="G639" t="str">
        <f>IF(ISBLANK('Master Submitted DPDs'!#REF!),"","Withdrawn")</f>
        <v>Withdrawn</v>
      </c>
      <c r="H639" s="2" t="e">
        <f>IF(ISBLANK('Master Submitted DPDs'!#REF!),"",'Master Submitted DPDs'!#REF!)</f>
        <v>#REF!</v>
      </c>
      <c r="I639" s="3"/>
      <c r="J639" s="3"/>
      <c r="K639" s="3"/>
      <c r="L639" s="2" t="e">
        <f>IF(ISBLANK('Master Submitted DPDs'!#REF!),"",'Master Submitted DPDs'!#REF!)</f>
        <v>#REF!</v>
      </c>
      <c r="M639" s="2" t="e">
        <f t="shared" si="18"/>
        <v>#REF!</v>
      </c>
      <c r="N639" s="2" t="e">
        <f>IF(ISBLANK('Master Submitted DPDs'!#REF!),IF(ISBLANK('Master Submitted DPDs'!#REF!),"",'Master Submitted DPDs'!#REF!),'Master Submitted DPDs'!#REF!)</f>
        <v>#REF!</v>
      </c>
      <c r="O639" s="2" t="e">
        <f>IF(ISBLANK('Master Submitted DPDs'!#REF!),"",'Master Submitted DPDs'!#REF!)</f>
        <v>#REF!</v>
      </c>
      <c r="P639" s="2" t="e">
        <f>IF(ISBLANK('Master Submitted DPDs'!#REF!),"",'Master Submitted DPDs'!#REF!)</f>
        <v>#REF!</v>
      </c>
      <c r="Q639" t="e">
        <f>IF(ISBLANK('Master Submitted DPDs'!#REF!),"",'Master Submitted DPDs'!#REF!)</f>
        <v>#REF!</v>
      </c>
      <c r="R639" t="e">
        <f t="shared" si="19"/>
        <v>#REF!</v>
      </c>
      <c r="S639" s="3"/>
      <c r="T639" t="e">
        <f>IF(ISBLANK('Master Submitted DPDs'!#REF!),"",'Master Submitted DPDs'!#REF!)</f>
        <v>#REF!</v>
      </c>
    </row>
    <row r="640" spans="1:20" ht="15" x14ac:dyDescent="0.2">
      <c r="A640" s="3" t="str">
        <f>IF(ISBLANK('Master Submitted DPDs'!#REF!),"","Local Plans")</f>
        <v>Local Plans</v>
      </c>
      <c r="B640" t="e">
        <f>IF(ISBLANK('Master Submitted DPDs'!#REF!),"",'Master Submitted DPDs'!#REF!)</f>
        <v>#REF!</v>
      </c>
      <c r="C640" s="3" t="str">
        <f>IF(ISBLANK('Master Submitted DPDs'!#REF!),"","IH")</f>
        <v>IH</v>
      </c>
      <c r="D640" s="3" t="e">
        <f>LOOKUP($F640,'fuzzy LPA lookup'!$E:$E,'fuzzy LPA lookup'!$A:$A)</f>
        <v>#REF!</v>
      </c>
      <c r="E640" s="3" t="e">
        <f>LOOKUP($F640,'fuzzy LPA lookup'!$E:$E,'fuzzy LPA lookup'!$D:$D)</f>
        <v>#REF!</v>
      </c>
      <c r="F640" s="8" t="e">
        <f>IF(ISBLANK('Master Submitted DPDs'!#REF!),"",'Master Submitted DPDs'!#REF!)</f>
        <v>#REF!</v>
      </c>
      <c r="G640" t="str">
        <f>IF(ISBLANK('Master Submitted DPDs'!#REF!),"","Withdrawn")</f>
        <v>Withdrawn</v>
      </c>
      <c r="H640" s="2" t="e">
        <f>IF(ISBLANK('Master Submitted DPDs'!#REF!),"",'Master Submitted DPDs'!#REF!)</f>
        <v>#REF!</v>
      </c>
      <c r="I640" s="3"/>
      <c r="J640" s="3"/>
      <c r="K640" s="3"/>
      <c r="L640" s="2" t="e">
        <f>IF(ISBLANK('Master Submitted DPDs'!#REF!),"",'Master Submitted DPDs'!#REF!)</f>
        <v>#REF!</v>
      </c>
      <c r="M640" s="2" t="e">
        <f t="shared" si="18"/>
        <v>#REF!</v>
      </c>
      <c r="N640" s="2" t="e">
        <f>IF(ISBLANK('Master Submitted DPDs'!#REF!),IF(ISBLANK('Master Submitted DPDs'!#REF!),"",'Master Submitted DPDs'!#REF!),'Master Submitted DPDs'!#REF!)</f>
        <v>#REF!</v>
      </c>
      <c r="O640" s="2" t="e">
        <f>IF(ISBLANK('Master Submitted DPDs'!#REF!),"",'Master Submitted DPDs'!#REF!)</f>
        <v>#REF!</v>
      </c>
      <c r="P640" s="2" t="e">
        <f>IF(ISBLANK('Master Submitted DPDs'!#REF!),"",'Master Submitted DPDs'!#REF!)</f>
        <v>#REF!</v>
      </c>
      <c r="Q640" t="e">
        <f>IF(ISBLANK('Master Submitted DPDs'!#REF!),"",'Master Submitted DPDs'!#REF!)</f>
        <v>#REF!</v>
      </c>
      <c r="R640" t="e">
        <f t="shared" si="19"/>
        <v>#REF!</v>
      </c>
      <c r="S640" s="3"/>
      <c r="T640" t="e">
        <f>IF(ISBLANK('Master Submitted DPDs'!#REF!),"",'Master Submitted DPDs'!#REF!)</f>
        <v>#REF!</v>
      </c>
    </row>
    <row r="641" spans="1:20" ht="15" x14ac:dyDescent="0.2">
      <c r="A641" s="3" t="str">
        <f>IF(ISBLANK('Master Submitted DPDs'!#REF!),"","Local Plans")</f>
        <v>Local Plans</v>
      </c>
      <c r="B641" t="e">
        <f>IF(ISBLANK('Master Submitted DPDs'!#REF!),"",'Master Submitted DPDs'!#REF!)</f>
        <v>#REF!</v>
      </c>
      <c r="C641" s="3" t="str">
        <f>IF(ISBLANK('Master Submitted DPDs'!#REF!),"","IH")</f>
        <v>IH</v>
      </c>
      <c r="D641" s="3" t="e">
        <f>LOOKUP($F641,'fuzzy LPA lookup'!$E:$E,'fuzzy LPA lookup'!$A:$A)</f>
        <v>#REF!</v>
      </c>
      <c r="E641" s="3" t="e">
        <f>LOOKUP($F641,'fuzzy LPA lookup'!$E:$E,'fuzzy LPA lookup'!$D:$D)</f>
        <v>#REF!</v>
      </c>
      <c r="F641" s="8" t="e">
        <f>IF(ISBLANK('Master Submitted DPDs'!#REF!),"",'Master Submitted DPDs'!#REF!)</f>
        <v>#REF!</v>
      </c>
      <c r="G641" t="str">
        <f>IF(ISBLANK('Master Submitted DPDs'!#REF!),"","Withdrawn")</f>
        <v>Withdrawn</v>
      </c>
      <c r="H641" s="2" t="e">
        <f>IF(ISBLANK('Master Submitted DPDs'!#REF!),"",'Master Submitted DPDs'!#REF!)</f>
        <v>#REF!</v>
      </c>
      <c r="I641" s="3"/>
      <c r="J641" s="3"/>
      <c r="K641" s="3"/>
      <c r="L641" s="2" t="e">
        <f>IF(ISBLANK('Master Submitted DPDs'!#REF!),"",'Master Submitted DPDs'!#REF!)</f>
        <v>#REF!</v>
      </c>
      <c r="M641" s="2" t="e">
        <f t="shared" si="18"/>
        <v>#REF!</v>
      </c>
      <c r="N641" s="2" t="e">
        <f>IF(ISBLANK('Master Submitted DPDs'!#REF!),IF(ISBLANK('Master Submitted DPDs'!#REF!),"",'Master Submitted DPDs'!#REF!),'Master Submitted DPDs'!#REF!)</f>
        <v>#REF!</v>
      </c>
      <c r="O641" s="2" t="e">
        <f>IF(ISBLANK('Master Submitted DPDs'!#REF!),"",'Master Submitted DPDs'!#REF!)</f>
        <v>#REF!</v>
      </c>
      <c r="P641" s="2" t="e">
        <f>IF(ISBLANK('Master Submitted DPDs'!#REF!),"",'Master Submitted DPDs'!#REF!)</f>
        <v>#REF!</v>
      </c>
      <c r="Q641" t="e">
        <f>IF(ISBLANK('Master Submitted DPDs'!#REF!),"",'Master Submitted DPDs'!#REF!)</f>
        <v>#REF!</v>
      </c>
      <c r="R641" t="e">
        <f t="shared" si="19"/>
        <v>#REF!</v>
      </c>
      <c r="S641" s="3"/>
      <c r="T641" t="e">
        <f>IF(ISBLANK('Master Submitted DPDs'!#REF!),"",'Master Submitted DPDs'!#REF!)</f>
        <v>#REF!</v>
      </c>
    </row>
    <row r="642" spans="1:20" ht="15" x14ac:dyDescent="0.2">
      <c r="A642" s="3" t="str">
        <f>IF(ISBLANK('Master Submitted DPDs'!#REF!),"","Local Plans")</f>
        <v>Local Plans</v>
      </c>
      <c r="B642" t="e">
        <f>IF(ISBLANK('Master Submitted DPDs'!#REF!),"",'Master Submitted DPDs'!#REF!)</f>
        <v>#REF!</v>
      </c>
      <c r="C642" s="3" t="str">
        <f>IF(ISBLANK('Master Submitted DPDs'!#REF!),"","IH")</f>
        <v>IH</v>
      </c>
      <c r="D642" s="3" t="e">
        <f>LOOKUP($F642,'fuzzy LPA lookup'!$E:$E,'fuzzy LPA lookup'!$A:$A)</f>
        <v>#REF!</v>
      </c>
      <c r="E642" s="3" t="e">
        <f>LOOKUP($F642,'fuzzy LPA lookup'!$E:$E,'fuzzy LPA lookup'!$D:$D)</f>
        <v>#REF!</v>
      </c>
      <c r="F642" s="8" t="e">
        <f>IF(ISBLANK('Master Submitted DPDs'!#REF!),"",'Master Submitted DPDs'!#REF!)</f>
        <v>#REF!</v>
      </c>
      <c r="G642" t="str">
        <f>IF(ISBLANK('Master Submitted DPDs'!#REF!),"","Withdrawn")</f>
        <v>Withdrawn</v>
      </c>
      <c r="H642" s="2" t="e">
        <f>IF(ISBLANK('Master Submitted DPDs'!#REF!),"",'Master Submitted DPDs'!#REF!)</f>
        <v>#REF!</v>
      </c>
      <c r="I642" s="3"/>
      <c r="J642" s="3"/>
      <c r="K642" s="3"/>
      <c r="L642" s="2" t="e">
        <f>IF(ISBLANK('Master Submitted DPDs'!#REF!),"",'Master Submitted DPDs'!#REF!)</f>
        <v>#REF!</v>
      </c>
      <c r="M642" s="2" t="e">
        <f t="shared" ref="M642:M705" si="20">L642</f>
        <v>#REF!</v>
      </c>
      <c r="N642" s="2" t="e">
        <f>IF(ISBLANK('Master Submitted DPDs'!#REF!),IF(ISBLANK('Master Submitted DPDs'!#REF!),"",'Master Submitted DPDs'!#REF!),'Master Submitted DPDs'!#REF!)</f>
        <v>#REF!</v>
      </c>
      <c r="O642" s="2" t="e">
        <f>IF(ISBLANK('Master Submitted DPDs'!#REF!),"",'Master Submitted DPDs'!#REF!)</f>
        <v>#REF!</v>
      </c>
      <c r="P642" s="2" t="e">
        <f>IF(ISBLANK('Master Submitted DPDs'!#REF!),"",'Master Submitted DPDs'!#REF!)</f>
        <v>#REF!</v>
      </c>
      <c r="Q642" t="e">
        <f>IF(ISBLANK('Master Submitted DPDs'!#REF!),"",'Master Submitted DPDs'!#REF!)</f>
        <v>#REF!</v>
      </c>
      <c r="R642" t="e">
        <f t="shared" ref="R642:R705" si="21">IF(F642="","",IF(AND(H642="",Q642&lt;&gt;"UNS",P642=""),"Open","Closed"))</f>
        <v>#REF!</v>
      </c>
      <c r="S642" s="3"/>
      <c r="T642" t="e">
        <f>IF(ISBLANK('Master Submitted DPDs'!#REF!),"",'Master Submitted DPDs'!#REF!)</f>
        <v>#REF!</v>
      </c>
    </row>
    <row r="643" spans="1:20" ht="15" x14ac:dyDescent="0.2">
      <c r="A643" s="3" t="str">
        <f>IF(ISBLANK('Master Submitted DPDs'!#REF!),"","Local Plans")</f>
        <v>Local Plans</v>
      </c>
      <c r="B643" t="e">
        <f>IF(ISBLANK('Master Submitted DPDs'!#REF!),"",'Master Submitted DPDs'!#REF!)</f>
        <v>#REF!</v>
      </c>
      <c r="C643" s="3" t="str">
        <f>IF(ISBLANK('Master Submitted DPDs'!#REF!),"","IH")</f>
        <v>IH</v>
      </c>
      <c r="D643" s="3" t="e">
        <f>LOOKUP($F643,'fuzzy LPA lookup'!$E:$E,'fuzzy LPA lookup'!$A:$A)</f>
        <v>#REF!</v>
      </c>
      <c r="E643" s="3" t="e">
        <f>LOOKUP($F643,'fuzzy LPA lookup'!$E:$E,'fuzzy LPA lookup'!$D:$D)</f>
        <v>#REF!</v>
      </c>
      <c r="F643" s="8" t="e">
        <f>IF(ISBLANK('Master Submitted DPDs'!#REF!),"",'Master Submitted DPDs'!#REF!)</f>
        <v>#REF!</v>
      </c>
      <c r="G643" t="str">
        <f>IF(ISBLANK('Master Submitted DPDs'!#REF!),"","Withdrawn")</f>
        <v>Withdrawn</v>
      </c>
      <c r="H643" s="2" t="e">
        <f>IF(ISBLANK('Master Submitted DPDs'!#REF!),"",'Master Submitted DPDs'!#REF!)</f>
        <v>#REF!</v>
      </c>
      <c r="I643" s="3"/>
      <c r="J643" s="3"/>
      <c r="K643" s="3"/>
      <c r="L643" s="2" t="e">
        <f>IF(ISBLANK('Master Submitted DPDs'!#REF!),"",'Master Submitted DPDs'!#REF!)</f>
        <v>#REF!</v>
      </c>
      <c r="M643" s="2" t="e">
        <f t="shared" si="20"/>
        <v>#REF!</v>
      </c>
      <c r="N643" s="2" t="e">
        <f>IF(ISBLANK('Master Submitted DPDs'!#REF!),IF(ISBLANK('Master Submitted DPDs'!#REF!),"",'Master Submitted DPDs'!#REF!),'Master Submitted DPDs'!#REF!)</f>
        <v>#REF!</v>
      </c>
      <c r="O643" s="2" t="e">
        <f>IF(ISBLANK('Master Submitted DPDs'!#REF!),"",'Master Submitted DPDs'!#REF!)</f>
        <v>#REF!</v>
      </c>
      <c r="P643" s="2" t="e">
        <f>IF(ISBLANK('Master Submitted DPDs'!#REF!),"",'Master Submitted DPDs'!#REF!)</f>
        <v>#REF!</v>
      </c>
      <c r="Q643" t="e">
        <f>IF(ISBLANK('Master Submitted DPDs'!#REF!),"",'Master Submitted DPDs'!#REF!)</f>
        <v>#REF!</v>
      </c>
      <c r="R643" t="e">
        <f t="shared" si="21"/>
        <v>#REF!</v>
      </c>
      <c r="S643" s="3"/>
      <c r="T643" t="e">
        <f>IF(ISBLANK('Master Submitted DPDs'!#REF!),"",'Master Submitted DPDs'!#REF!)</f>
        <v>#REF!</v>
      </c>
    </row>
    <row r="644" spans="1:20" ht="15" x14ac:dyDescent="0.2">
      <c r="A644" s="3" t="str">
        <f>IF(ISBLANK('Master Submitted DPDs'!#REF!),"","Local Plans")</f>
        <v>Local Plans</v>
      </c>
      <c r="B644" t="e">
        <f>IF(ISBLANK('Master Submitted DPDs'!#REF!),"",'Master Submitted DPDs'!#REF!)</f>
        <v>#REF!</v>
      </c>
      <c r="C644" s="3" t="str">
        <f>IF(ISBLANK('Master Submitted DPDs'!#REF!),"","IH")</f>
        <v>IH</v>
      </c>
      <c r="D644" s="3" t="e">
        <f>LOOKUP($F644,'fuzzy LPA lookup'!$E:$E,'fuzzy LPA lookup'!$A:$A)</f>
        <v>#REF!</v>
      </c>
      <c r="E644" s="3" t="e">
        <f>LOOKUP($F644,'fuzzy LPA lookup'!$E:$E,'fuzzy LPA lookup'!$D:$D)</f>
        <v>#REF!</v>
      </c>
      <c r="F644" s="8" t="e">
        <f>IF(ISBLANK('Master Submitted DPDs'!#REF!),"",'Master Submitted DPDs'!#REF!)</f>
        <v>#REF!</v>
      </c>
      <c r="G644" t="str">
        <f>IF(ISBLANK('Master Submitted DPDs'!#REF!),"","Withdrawn")</f>
        <v>Withdrawn</v>
      </c>
      <c r="H644" s="2" t="e">
        <f>IF(ISBLANK('Master Submitted DPDs'!#REF!),"",'Master Submitted DPDs'!#REF!)</f>
        <v>#REF!</v>
      </c>
      <c r="I644" s="3"/>
      <c r="J644" s="3"/>
      <c r="K644" s="3"/>
      <c r="L644" s="2" t="e">
        <f>IF(ISBLANK('Master Submitted DPDs'!#REF!),"",'Master Submitted DPDs'!#REF!)</f>
        <v>#REF!</v>
      </c>
      <c r="M644" s="2" t="e">
        <f t="shared" si="20"/>
        <v>#REF!</v>
      </c>
      <c r="N644" s="2" t="e">
        <f>IF(ISBLANK('Master Submitted DPDs'!#REF!),IF(ISBLANK('Master Submitted DPDs'!#REF!),"",'Master Submitted DPDs'!#REF!),'Master Submitted DPDs'!#REF!)</f>
        <v>#REF!</v>
      </c>
      <c r="O644" s="2" t="e">
        <f>IF(ISBLANK('Master Submitted DPDs'!#REF!),"",'Master Submitted DPDs'!#REF!)</f>
        <v>#REF!</v>
      </c>
      <c r="P644" s="2" t="e">
        <f>IF(ISBLANK('Master Submitted DPDs'!#REF!),"",'Master Submitted DPDs'!#REF!)</f>
        <v>#REF!</v>
      </c>
      <c r="Q644" t="e">
        <f>IF(ISBLANK('Master Submitted DPDs'!#REF!),"",'Master Submitted DPDs'!#REF!)</f>
        <v>#REF!</v>
      </c>
      <c r="R644" t="e">
        <f t="shared" si="21"/>
        <v>#REF!</v>
      </c>
      <c r="S644" s="3"/>
      <c r="T644" t="e">
        <f>IF(ISBLANK('Master Submitted DPDs'!#REF!),"",'Master Submitted DPDs'!#REF!)</f>
        <v>#REF!</v>
      </c>
    </row>
    <row r="645" spans="1:20" ht="15" x14ac:dyDescent="0.2">
      <c r="A645" s="3" t="str">
        <f>IF(ISBLANK('Master Submitted DPDs'!#REF!),"","Local Plans")</f>
        <v>Local Plans</v>
      </c>
      <c r="B645" t="e">
        <f>IF(ISBLANK('Master Submitted DPDs'!#REF!),"",'Master Submitted DPDs'!#REF!)</f>
        <v>#REF!</v>
      </c>
      <c r="C645" s="3" t="str">
        <f>IF(ISBLANK('Master Submitted DPDs'!#REF!),"","IH")</f>
        <v>IH</v>
      </c>
      <c r="D645" s="3" t="e">
        <f>LOOKUP($F645,'fuzzy LPA lookup'!$E:$E,'fuzzy LPA lookup'!$A:$A)</f>
        <v>#REF!</v>
      </c>
      <c r="E645" s="3" t="e">
        <f>LOOKUP($F645,'fuzzy LPA lookup'!$E:$E,'fuzzy LPA lookup'!$D:$D)</f>
        <v>#REF!</v>
      </c>
      <c r="F645" s="8" t="e">
        <f>IF(ISBLANK('Master Submitted DPDs'!#REF!),"",'Master Submitted DPDs'!#REF!)</f>
        <v>#REF!</v>
      </c>
      <c r="G645" t="str">
        <f>IF(ISBLANK('Master Submitted DPDs'!#REF!),"","Withdrawn")</f>
        <v>Withdrawn</v>
      </c>
      <c r="H645" s="2" t="e">
        <f>IF(ISBLANK('Master Submitted DPDs'!#REF!),"",'Master Submitted DPDs'!#REF!)</f>
        <v>#REF!</v>
      </c>
      <c r="I645" s="3"/>
      <c r="J645" s="3"/>
      <c r="K645" s="3"/>
      <c r="L645" s="2" t="e">
        <f>IF(ISBLANK('Master Submitted DPDs'!#REF!),"",'Master Submitted DPDs'!#REF!)</f>
        <v>#REF!</v>
      </c>
      <c r="M645" s="2" t="e">
        <f t="shared" si="20"/>
        <v>#REF!</v>
      </c>
      <c r="N645" s="2" t="e">
        <f>IF(ISBLANK('Master Submitted DPDs'!#REF!),IF(ISBLANK('Master Submitted DPDs'!#REF!),"",'Master Submitted DPDs'!#REF!),'Master Submitted DPDs'!#REF!)</f>
        <v>#REF!</v>
      </c>
      <c r="O645" s="2" t="e">
        <f>IF(ISBLANK('Master Submitted DPDs'!#REF!),"",'Master Submitted DPDs'!#REF!)</f>
        <v>#REF!</v>
      </c>
      <c r="P645" s="2" t="e">
        <f>IF(ISBLANK('Master Submitted DPDs'!#REF!),"",'Master Submitted DPDs'!#REF!)</f>
        <v>#REF!</v>
      </c>
      <c r="Q645" t="e">
        <f>IF(ISBLANK('Master Submitted DPDs'!#REF!),"",'Master Submitted DPDs'!#REF!)</f>
        <v>#REF!</v>
      </c>
      <c r="R645" t="e">
        <f t="shared" si="21"/>
        <v>#REF!</v>
      </c>
      <c r="S645" s="3"/>
      <c r="T645" t="e">
        <f>IF(ISBLANK('Master Submitted DPDs'!#REF!),"",'Master Submitted DPDs'!#REF!)</f>
        <v>#REF!</v>
      </c>
    </row>
    <row r="646" spans="1:20" ht="15" x14ac:dyDescent="0.2">
      <c r="A646" s="3" t="str">
        <f>IF(ISBLANK('Master Submitted DPDs'!#REF!),"","Local Plans")</f>
        <v>Local Plans</v>
      </c>
      <c r="B646" t="e">
        <f>IF(ISBLANK('Master Submitted DPDs'!#REF!),"",'Master Submitted DPDs'!#REF!)</f>
        <v>#REF!</v>
      </c>
      <c r="C646" s="3" t="str">
        <f>IF(ISBLANK('Master Submitted DPDs'!#REF!),"","IH")</f>
        <v>IH</v>
      </c>
      <c r="D646" s="3" t="e">
        <f>LOOKUP($F646,'fuzzy LPA lookup'!$E:$E,'fuzzy LPA lookup'!$A:$A)</f>
        <v>#REF!</v>
      </c>
      <c r="E646" s="3" t="e">
        <f>LOOKUP($F646,'fuzzy LPA lookup'!$E:$E,'fuzzy LPA lookup'!$D:$D)</f>
        <v>#REF!</v>
      </c>
      <c r="F646" s="8" t="e">
        <f>IF(ISBLANK('Master Submitted DPDs'!#REF!),"",'Master Submitted DPDs'!#REF!)</f>
        <v>#REF!</v>
      </c>
      <c r="G646" t="str">
        <f>IF(ISBLANK('Master Submitted DPDs'!#REF!),"","Withdrawn")</f>
        <v>Withdrawn</v>
      </c>
      <c r="H646" s="2" t="e">
        <f>IF(ISBLANK('Master Submitted DPDs'!#REF!),"",'Master Submitted DPDs'!#REF!)</f>
        <v>#REF!</v>
      </c>
      <c r="I646" s="3"/>
      <c r="J646" s="3"/>
      <c r="K646" s="3"/>
      <c r="L646" s="2" t="e">
        <f>IF(ISBLANK('Master Submitted DPDs'!#REF!),"",'Master Submitted DPDs'!#REF!)</f>
        <v>#REF!</v>
      </c>
      <c r="M646" s="2" t="e">
        <f t="shared" si="20"/>
        <v>#REF!</v>
      </c>
      <c r="N646" s="2" t="e">
        <f>IF(ISBLANK('Master Submitted DPDs'!#REF!),IF(ISBLANK('Master Submitted DPDs'!#REF!),"",'Master Submitted DPDs'!#REF!),'Master Submitted DPDs'!#REF!)</f>
        <v>#REF!</v>
      </c>
      <c r="O646" s="2" t="e">
        <f>IF(ISBLANK('Master Submitted DPDs'!#REF!),"",'Master Submitted DPDs'!#REF!)</f>
        <v>#REF!</v>
      </c>
      <c r="P646" s="2" t="e">
        <f>IF(ISBLANK('Master Submitted DPDs'!#REF!),"",'Master Submitted DPDs'!#REF!)</f>
        <v>#REF!</v>
      </c>
      <c r="Q646" t="e">
        <f>IF(ISBLANK('Master Submitted DPDs'!#REF!),"",'Master Submitted DPDs'!#REF!)</f>
        <v>#REF!</v>
      </c>
      <c r="R646" t="e">
        <f t="shared" si="21"/>
        <v>#REF!</v>
      </c>
      <c r="S646" s="3"/>
      <c r="T646" t="e">
        <f>IF(ISBLANK('Master Submitted DPDs'!#REF!),"",'Master Submitted DPDs'!#REF!)</f>
        <v>#REF!</v>
      </c>
    </row>
    <row r="647" spans="1:20" ht="15" x14ac:dyDescent="0.2">
      <c r="A647" s="3" t="str">
        <f>IF(ISBLANK('Master Submitted DPDs'!#REF!),"","Local Plans")</f>
        <v>Local Plans</v>
      </c>
      <c r="B647" t="e">
        <f>IF(ISBLANK('Master Submitted DPDs'!#REF!),"",'Master Submitted DPDs'!#REF!)</f>
        <v>#REF!</v>
      </c>
      <c r="C647" s="3" t="str">
        <f>IF(ISBLANK('Master Submitted DPDs'!#REF!),"","IH")</f>
        <v>IH</v>
      </c>
      <c r="D647" s="3" t="e">
        <f>LOOKUP($F647,'fuzzy LPA lookup'!$E:$E,'fuzzy LPA lookup'!$A:$A)</f>
        <v>#REF!</v>
      </c>
      <c r="E647" s="3" t="e">
        <f>LOOKUP($F647,'fuzzy LPA lookup'!$E:$E,'fuzzy LPA lookup'!$D:$D)</f>
        <v>#REF!</v>
      </c>
      <c r="F647" s="8" t="e">
        <f>IF(ISBLANK('Master Submitted DPDs'!#REF!),"",'Master Submitted DPDs'!#REF!)</f>
        <v>#REF!</v>
      </c>
      <c r="G647" t="str">
        <f>IF(ISBLANK('Master Submitted DPDs'!#REF!),"","Withdrawn")</f>
        <v>Withdrawn</v>
      </c>
      <c r="H647" s="2" t="e">
        <f>IF(ISBLANK('Master Submitted DPDs'!#REF!),"",'Master Submitted DPDs'!#REF!)</f>
        <v>#REF!</v>
      </c>
      <c r="I647" s="3"/>
      <c r="J647" s="3"/>
      <c r="K647" s="3"/>
      <c r="L647" s="2" t="e">
        <f>IF(ISBLANK('Master Submitted DPDs'!#REF!),"",'Master Submitted DPDs'!#REF!)</f>
        <v>#REF!</v>
      </c>
      <c r="M647" s="2" t="e">
        <f t="shared" si="20"/>
        <v>#REF!</v>
      </c>
      <c r="N647" s="2" t="e">
        <f>IF(ISBLANK('Master Submitted DPDs'!#REF!),IF(ISBLANK('Master Submitted DPDs'!#REF!),"",'Master Submitted DPDs'!#REF!),'Master Submitted DPDs'!#REF!)</f>
        <v>#REF!</v>
      </c>
      <c r="O647" s="2" t="e">
        <f>IF(ISBLANK('Master Submitted DPDs'!#REF!),"",'Master Submitted DPDs'!#REF!)</f>
        <v>#REF!</v>
      </c>
      <c r="P647" s="2" t="e">
        <f>IF(ISBLANK('Master Submitted DPDs'!#REF!),"",'Master Submitted DPDs'!#REF!)</f>
        <v>#REF!</v>
      </c>
      <c r="Q647" t="e">
        <f>IF(ISBLANK('Master Submitted DPDs'!#REF!),"",'Master Submitted DPDs'!#REF!)</f>
        <v>#REF!</v>
      </c>
      <c r="R647" t="e">
        <f t="shared" si="21"/>
        <v>#REF!</v>
      </c>
      <c r="S647" s="3"/>
      <c r="T647" t="e">
        <f>IF(ISBLANK('Master Submitted DPDs'!#REF!),"",'Master Submitted DPDs'!#REF!)</f>
        <v>#REF!</v>
      </c>
    </row>
    <row r="648" spans="1:20" ht="15" x14ac:dyDescent="0.2">
      <c r="A648" s="3" t="str">
        <f>IF(ISBLANK('Master Submitted DPDs'!#REF!),"","Local Plans")</f>
        <v>Local Plans</v>
      </c>
      <c r="B648" t="e">
        <f>IF(ISBLANK('Master Submitted DPDs'!#REF!),"",'Master Submitted DPDs'!#REF!)</f>
        <v>#REF!</v>
      </c>
      <c r="C648" s="3" t="str">
        <f>IF(ISBLANK('Master Submitted DPDs'!#REF!),"","IH")</f>
        <v>IH</v>
      </c>
      <c r="D648" s="3" t="e">
        <f>LOOKUP($F648,'fuzzy LPA lookup'!$E:$E,'fuzzy LPA lookup'!$A:$A)</f>
        <v>#REF!</v>
      </c>
      <c r="E648" s="3" t="e">
        <f>LOOKUP($F648,'fuzzy LPA lookup'!$E:$E,'fuzzy LPA lookup'!$D:$D)</f>
        <v>#REF!</v>
      </c>
      <c r="F648" s="8" t="e">
        <f>IF(ISBLANK('Master Submitted DPDs'!#REF!),"",'Master Submitted DPDs'!#REF!)</f>
        <v>#REF!</v>
      </c>
      <c r="G648" t="str">
        <f>IF(ISBLANK('Master Submitted DPDs'!#REF!),"","Withdrawn")</f>
        <v>Withdrawn</v>
      </c>
      <c r="H648" s="2" t="e">
        <f>IF(ISBLANK('Master Submitted DPDs'!#REF!),"",'Master Submitted DPDs'!#REF!)</f>
        <v>#REF!</v>
      </c>
      <c r="I648" s="3"/>
      <c r="J648" s="3"/>
      <c r="K648" s="3"/>
      <c r="L648" s="2" t="e">
        <f>IF(ISBLANK('Master Submitted DPDs'!#REF!),"",'Master Submitted DPDs'!#REF!)</f>
        <v>#REF!</v>
      </c>
      <c r="M648" s="2" t="e">
        <f t="shared" si="20"/>
        <v>#REF!</v>
      </c>
      <c r="N648" s="2" t="e">
        <f>IF(ISBLANK('Master Submitted DPDs'!#REF!),IF(ISBLANK('Master Submitted DPDs'!#REF!),"",'Master Submitted DPDs'!#REF!),'Master Submitted DPDs'!#REF!)</f>
        <v>#REF!</v>
      </c>
      <c r="O648" s="2" t="e">
        <f>IF(ISBLANK('Master Submitted DPDs'!#REF!),"",'Master Submitted DPDs'!#REF!)</f>
        <v>#REF!</v>
      </c>
      <c r="P648" s="2" t="e">
        <f>IF(ISBLANK('Master Submitted DPDs'!#REF!),"",'Master Submitted DPDs'!#REF!)</f>
        <v>#REF!</v>
      </c>
      <c r="Q648" t="e">
        <f>IF(ISBLANK('Master Submitted DPDs'!#REF!),"",'Master Submitted DPDs'!#REF!)</f>
        <v>#REF!</v>
      </c>
      <c r="R648" t="e">
        <f t="shared" si="21"/>
        <v>#REF!</v>
      </c>
      <c r="S648" s="3"/>
      <c r="T648" t="e">
        <f>IF(ISBLANK('Master Submitted DPDs'!#REF!),"",'Master Submitted DPDs'!#REF!)</f>
        <v>#REF!</v>
      </c>
    </row>
    <row r="649" spans="1:20" ht="15" x14ac:dyDescent="0.2">
      <c r="A649" s="3" t="str">
        <f>IF(ISBLANK('Master Submitted DPDs'!#REF!),"","Local Plans")</f>
        <v>Local Plans</v>
      </c>
      <c r="B649" t="e">
        <f>IF(ISBLANK('Master Submitted DPDs'!#REF!),"",'Master Submitted DPDs'!#REF!)</f>
        <v>#REF!</v>
      </c>
      <c r="C649" s="3" t="str">
        <f>IF(ISBLANK('Master Submitted DPDs'!#REF!),"","IH")</f>
        <v>IH</v>
      </c>
      <c r="D649" s="3" t="e">
        <f>LOOKUP($F649,'fuzzy LPA lookup'!$E:$E,'fuzzy LPA lookup'!$A:$A)</f>
        <v>#REF!</v>
      </c>
      <c r="E649" s="3" t="e">
        <f>LOOKUP($F649,'fuzzy LPA lookup'!$E:$E,'fuzzy LPA lookup'!$D:$D)</f>
        <v>#REF!</v>
      </c>
      <c r="F649" s="8" t="e">
        <f>IF(ISBLANK('Master Submitted DPDs'!#REF!),"",'Master Submitted DPDs'!#REF!)</f>
        <v>#REF!</v>
      </c>
      <c r="G649" t="str">
        <f>IF(ISBLANK('Master Submitted DPDs'!#REF!),"","Withdrawn")</f>
        <v>Withdrawn</v>
      </c>
      <c r="H649" s="2" t="e">
        <f>IF(ISBLANK('Master Submitted DPDs'!#REF!),"",'Master Submitted DPDs'!#REF!)</f>
        <v>#REF!</v>
      </c>
      <c r="I649" s="3"/>
      <c r="J649" s="3"/>
      <c r="K649" s="3"/>
      <c r="L649" s="2" t="e">
        <f>IF(ISBLANK('Master Submitted DPDs'!#REF!),"",'Master Submitted DPDs'!#REF!)</f>
        <v>#REF!</v>
      </c>
      <c r="M649" s="2" t="e">
        <f t="shared" si="20"/>
        <v>#REF!</v>
      </c>
      <c r="N649" s="2" t="e">
        <f>IF(ISBLANK('Master Submitted DPDs'!#REF!),IF(ISBLANK('Master Submitted DPDs'!#REF!),"",'Master Submitted DPDs'!#REF!),'Master Submitted DPDs'!#REF!)</f>
        <v>#REF!</v>
      </c>
      <c r="O649" s="2" t="e">
        <f>IF(ISBLANK('Master Submitted DPDs'!#REF!),"",'Master Submitted DPDs'!#REF!)</f>
        <v>#REF!</v>
      </c>
      <c r="P649" s="2" t="e">
        <f>IF(ISBLANK('Master Submitted DPDs'!#REF!),"",'Master Submitted DPDs'!#REF!)</f>
        <v>#REF!</v>
      </c>
      <c r="Q649" t="e">
        <f>IF(ISBLANK('Master Submitted DPDs'!#REF!),"",'Master Submitted DPDs'!#REF!)</f>
        <v>#REF!</v>
      </c>
      <c r="R649" t="e">
        <f t="shared" si="21"/>
        <v>#REF!</v>
      </c>
      <c r="S649" s="3"/>
      <c r="T649" t="e">
        <f>IF(ISBLANK('Master Submitted DPDs'!#REF!),"",'Master Submitted DPDs'!#REF!)</f>
        <v>#REF!</v>
      </c>
    </row>
    <row r="650" spans="1:20" ht="15" x14ac:dyDescent="0.2">
      <c r="A650" s="3" t="str">
        <f>IF(ISBLANK('Master Submitted DPDs'!#REF!),"","Local Plans")</f>
        <v>Local Plans</v>
      </c>
      <c r="B650" t="e">
        <f>IF(ISBLANK('Master Submitted DPDs'!#REF!),"",'Master Submitted DPDs'!#REF!)</f>
        <v>#REF!</v>
      </c>
      <c r="C650" s="3" t="str">
        <f>IF(ISBLANK('Master Submitted DPDs'!#REF!),"","IH")</f>
        <v>IH</v>
      </c>
      <c r="D650" s="3" t="e">
        <f>LOOKUP($F650,'fuzzy LPA lookup'!$E:$E,'fuzzy LPA lookup'!$A:$A)</f>
        <v>#REF!</v>
      </c>
      <c r="E650" s="3" t="e">
        <f>LOOKUP($F650,'fuzzy LPA lookup'!$E:$E,'fuzzy LPA lookup'!$D:$D)</f>
        <v>#REF!</v>
      </c>
      <c r="F650" s="8" t="e">
        <f>IF(ISBLANK('Master Submitted DPDs'!#REF!),"",'Master Submitted DPDs'!#REF!)</f>
        <v>#REF!</v>
      </c>
      <c r="G650" t="str">
        <f>IF(ISBLANK('Master Submitted DPDs'!#REF!),"","Withdrawn")</f>
        <v>Withdrawn</v>
      </c>
      <c r="H650" s="2" t="e">
        <f>IF(ISBLANK('Master Submitted DPDs'!#REF!),"",'Master Submitted DPDs'!#REF!)</f>
        <v>#REF!</v>
      </c>
      <c r="I650" s="3"/>
      <c r="J650" s="3"/>
      <c r="K650" s="3"/>
      <c r="L650" s="2" t="e">
        <f>IF(ISBLANK('Master Submitted DPDs'!#REF!),"",'Master Submitted DPDs'!#REF!)</f>
        <v>#REF!</v>
      </c>
      <c r="M650" s="2" t="e">
        <f t="shared" si="20"/>
        <v>#REF!</v>
      </c>
      <c r="N650" s="2" t="e">
        <f>IF(ISBLANK('Master Submitted DPDs'!#REF!),IF(ISBLANK('Master Submitted DPDs'!#REF!),"",'Master Submitted DPDs'!#REF!),'Master Submitted DPDs'!#REF!)</f>
        <v>#REF!</v>
      </c>
      <c r="O650" s="2" t="e">
        <f>IF(ISBLANK('Master Submitted DPDs'!#REF!),"",'Master Submitted DPDs'!#REF!)</f>
        <v>#REF!</v>
      </c>
      <c r="P650" s="2" t="e">
        <f>IF(ISBLANK('Master Submitted DPDs'!#REF!),"",'Master Submitted DPDs'!#REF!)</f>
        <v>#REF!</v>
      </c>
      <c r="Q650" t="e">
        <f>IF(ISBLANK('Master Submitted DPDs'!#REF!),"",'Master Submitted DPDs'!#REF!)</f>
        <v>#REF!</v>
      </c>
      <c r="R650" t="e">
        <f t="shared" si="21"/>
        <v>#REF!</v>
      </c>
      <c r="S650" s="3"/>
      <c r="T650" t="e">
        <f>IF(ISBLANK('Master Submitted DPDs'!#REF!),"",'Master Submitted DPDs'!#REF!)</f>
        <v>#REF!</v>
      </c>
    </row>
    <row r="651" spans="1:20" ht="15" x14ac:dyDescent="0.2">
      <c r="A651" s="3" t="str">
        <f>IF(ISBLANK('Master Submitted DPDs'!#REF!),"","Local Plans")</f>
        <v>Local Plans</v>
      </c>
      <c r="B651" t="e">
        <f>IF(ISBLANK('Master Submitted DPDs'!#REF!),"",'Master Submitted DPDs'!#REF!)</f>
        <v>#REF!</v>
      </c>
      <c r="C651" s="3" t="str">
        <f>IF(ISBLANK('Master Submitted DPDs'!#REF!),"","IH")</f>
        <v>IH</v>
      </c>
      <c r="D651" s="3" t="e">
        <f>LOOKUP($F651,'fuzzy LPA lookup'!$E:$E,'fuzzy LPA lookup'!$A:$A)</f>
        <v>#REF!</v>
      </c>
      <c r="E651" s="3" t="e">
        <f>LOOKUP($F651,'fuzzy LPA lookup'!$E:$E,'fuzzy LPA lookup'!$D:$D)</f>
        <v>#REF!</v>
      </c>
      <c r="F651" s="8" t="e">
        <f>IF(ISBLANK('Master Submitted DPDs'!#REF!),"",'Master Submitted DPDs'!#REF!)</f>
        <v>#REF!</v>
      </c>
      <c r="G651" t="str">
        <f>IF(ISBLANK('Master Submitted DPDs'!#REF!),"","Withdrawn")</f>
        <v>Withdrawn</v>
      </c>
      <c r="H651" s="2" t="e">
        <f>IF(ISBLANK('Master Submitted DPDs'!#REF!),"",'Master Submitted DPDs'!#REF!)</f>
        <v>#REF!</v>
      </c>
      <c r="I651" s="3"/>
      <c r="J651" s="3"/>
      <c r="K651" s="3"/>
      <c r="L651" s="2" t="e">
        <f>IF(ISBLANK('Master Submitted DPDs'!#REF!),"",'Master Submitted DPDs'!#REF!)</f>
        <v>#REF!</v>
      </c>
      <c r="M651" s="2" t="e">
        <f t="shared" si="20"/>
        <v>#REF!</v>
      </c>
      <c r="N651" s="2" t="e">
        <f>IF(ISBLANK('Master Submitted DPDs'!#REF!),IF(ISBLANK('Master Submitted DPDs'!#REF!),"",'Master Submitted DPDs'!#REF!),'Master Submitted DPDs'!#REF!)</f>
        <v>#REF!</v>
      </c>
      <c r="O651" s="2" t="e">
        <f>IF(ISBLANK('Master Submitted DPDs'!#REF!),"",'Master Submitted DPDs'!#REF!)</f>
        <v>#REF!</v>
      </c>
      <c r="P651" s="2" t="e">
        <f>IF(ISBLANK('Master Submitted DPDs'!#REF!),"",'Master Submitted DPDs'!#REF!)</f>
        <v>#REF!</v>
      </c>
      <c r="Q651" t="e">
        <f>IF(ISBLANK('Master Submitted DPDs'!#REF!),"",'Master Submitted DPDs'!#REF!)</f>
        <v>#REF!</v>
      </c>
      <c r="R651" t="e">
        <f t="shared" si="21"/>
        <v>#REF!</v>
      </c>
      <c r="S651" s="3"/>
      <c r="T651" t="e">
        <f>IF(ISBLANK('Master Submitted DPDs'!#REF!),"",'Master Submitted DPDs'!#REF!)</f>
        <v>#REF!</v>
      </c>
    </row>
    <row r="652" spans="1:20" ht="15" x14ac:dyDescent="0.2">
      <c r="A652" s="3" t="str">
        <f>IF(ISBLANK('Master Submitted DPDs'!#REF!),"","Local Plans")</f>
        <v>Local Plans</v>
      </c>
      <c r="B652" t="e">
        <f>IF(ISBLANK('Master Submitted DPDs'!#REF!),"",'Master Submitted DPDs'!#REF!)</f>
        <v>#REF!</v>
      </c>
      <c r="C652" s="3" t="str">
        <f>IF(ISBLANK('Master Submitted DPDs'!#REF!),"","IH")</f>
        <v>IH</v>
      </c>
      <c r="D652" s="3" t="e">
        <f>LOOKUP($F652,'fuzzy LPA lookup'!$E:$E,'fuzzy LPA lookup'!$A:$A)</f>
        <v>#REF!</v>
      </c>
      <c r="E652" s="3" t="e">
        <f>LOOKUP($F652,'fuzzy LPA lookup'!$E:$E,'fuzzy LPA lookup'!$D:$D)</f>
        <v>#REF!</v>
      </c>
      <c r="F652" s="8" t="e">
        <f>IF(ISBLANK('Master Submitted DPDs'!#REF!),"",'Master Submitted DPDs'!#REF!)</f>
        <v>#REF!</v>
      </c>
      <c r="G652" t="str">
        <f>IF(ISBLANK('Master Submitted DPDs'!#REF!),"","Withdrawn")</f>
        <v>Withdrawn</v>
      </c>
      <c r="H652" s="2" t="e">
        <f>IF(ISBLANK('Master Submitted DPDs'!#REF!),"",'Master Submitted DPDs'!#REF!)</f>
        <v>#REF!</v>
      </c>
      <c r="I652" s="3"/>
      <c r="J652" s="3"/>
      <c r="K652" s="3"/>
      <c r="L652" s="2" t="e">
        <f>IF(ISBLANK('Master Submitted DPDs'!#REF!),"",'Master Submitted DPDs'!#REF!)</f>
        <v>#REF!</v>
      </c>
      <c r="M652" s="2" t="e">
        <f t="shared" si="20"/>
        <v>#REF!</v>
      </c>
      <c r="N652" s="2" t="e">
        <f>IF(ISBLANK('Master Submitted DPDs'!#REF!),IF(ISBLANK('Master Submitted DPDs'!#REF!),"",'Master Submitted DPDs'!#REF!),'Master Submitted DPDs'!#REF!)</f>
        <v>#REF!</v>
      </c>
      <c r="O652" s="2" t="e">
        <f>IF(ISBLANK('Master Submitted DPDs'!#REF!),"",'Master Submitted DPDs'!#REF!)</f>
        <v>#REF!</v>
      </c>
      <c r="P652" s="2" t="e">
        <f>IF(ISBLANK('Master Submitted DPDs'!#REF!),"",'Master Submitted DPDs'!#REF!)</f>
        <v>#REF!</v>
      </c>
      <c r="Q652" t="e">
        <f>IF(ISBLANK('Master Submitted DPDs'!#REF!),"",'Master Submitted DPDs'!#REF!)</f>
        <v>#REF!</v>
      </c>
      <c r="R652" t="e">
        <f t="shared" si="21"/>
        <v>#REF!</v>
      </c>
      <c r="S652" s="3"/>
      <c r="T652" t="e">
        <f>IF(ISBLANK('Master Submitted DPDs'!#REF!),"",'Master Submitted DPDs'!#REF!)</f>
        <v>#REF!</v>
      </c>
    </row>
    <row r="653" spans="1:20" ht="15" x14ac:dyDescent="0.2">
      <c r="A653" s="3" t="str">
        <f>IF(ISBLANK('Master Submitted DPDs'!#REF!),"","Local Plans")</f>
        <v>Local Plans</v>
      </c>
      <c r="B653" t="e">
        <f>IF(ISBLANK('Master Submitted DPDs'!#REF!),"",'Master Submitted DPDs'!#REF!)</f>
        <v>#REF!</v>
      </c>
      <c r="C653" s="3" t="str">
        <f>IF(ISBLANK('Master Submitted DPDs'!#REF!),"","IH")</f>
        <v>IH</v>
      </c>
      <c r="D653" s="3" t="e">
        <f>LOOKUP($F653,'fuzzy LPA lookup'!$E:$E,'fuzzy LPA lookup'!$A:$A)</f>
        <v>#REF!</v>
      </c>
      <c r="E653" s="3" t="e">
        <f>LOOKUP($F653,'fuzzy LPA lookup'!$E:$E,'fuzzy LPA lookup'!$D:$D)</f>
        <v>#REF!</v>
      </c>
      <c r="F653" s="8" t="e">
        <f>IF(ISBLANK('Master Submitted DPDs'!#REF!),"",'Master Submitted DPDs'!#REF!)</f>
        <v>#REF!</v>
      </c>
      <c r="G653" t="str">
        <f>IF(ISBLANK('Master Submitted DPDs'!#REF!),"","Withdrawn")</f>
        <v>Withdrawn</v>
      </c>
      <c r="H653" s="2" t="e">
        <f>IF(ISBLANK('Master Submitted DPDs'!#REF!),"",'Master Submitted DPDs'!#REF!)</f>
        <v>#REF!</v>
      </c>
      <c r="I653" s="3"/>
      <c r="J653" s="3"/>
      <c r="K653" s="3"/>
      <c r="L653" s="2" t="e">
        <f>IF(ISBLANK('Master Submitted DPDs'!#REF!),"",'Master Submitted DPDs'!#REF!)</f>
        <v>#REF!</v>
      </c>
      <c r="M653" s="2" t="e">
        <f t="shared" si="20"/>
        <v>#REF!</v>
      </c>
      <c r="N653" s="2" t="e">
        <f>IF(ISBLANK('Master Submitted DPDs'!#REF!),IF(ISBLANK('Master Submitted DPDs'!#REF!),"",'Master Submitted DPDs'!#REF!),'Master Submitted DPDs'!#REF!)</f>
        <v>#REF!</v>
      </c>
      <c r="O653" s="2" t="e">
        <f>IF(ISBLANK('Master Submitted DPDs'!#REF!),"",'Master Submitted DPDs'!#REF!)</f>
        <v>#REF!</v>
      </c>
      <c r="P653" s="2" t="e">
        <f>IF(ISBLANK('Master Submitted DPDs'!#REF!),"",'Master Submitted DPDs'!#REF!)</f>
        <v>#REF!</v>
      </c>
      <c r="Q653" t="e">
        <f>IF(ISBLANK('Master Submitted DPDs'!#REF!),"",'Master Submitted DPDs'!#REF!)</f>
        <v>#REF!</v>
      </c>
      <c r="R653" t="e">
        <f t="shared" si="21"/>
        <v>#REF!</v>
      </c>
      <c r="S653" s="3"/>
      <c r="T653" t="e">
        <f>IF(ISBLANK('Master Submitted DPDs'!#REF!),"",'Master Submitted DPDs'!#REF!)</f>
        <v>#REF!</v>
      </c>
    </row>
    <row r="654" spans="1:20" ht="15" x14ac:dyDescent="0.2">
      <c r="A654" s="3" t="str">
        <f>IF(ISBLANK('Master Submitted DPDs'!#REF!),"","Local Plans")</f>
        <v>Local Plans</v>
      </c>
      <c r="B654" t="e">
        <f>IF(ISBLANK('Master Submitted DPDs'!#REF!),"",'Master Submitted DPDs'!#REF!)</f>
        <v>#REF!</v>
      </c>
      <c r="C654" s="3" t="str">
        <f>IF(ISBLANK('Master Submitted DPDs'!#REF!),"","IH")</f>
        <v>IH</v>
      </c>
      <c r="D654" s="3" t="e">
        <f>LOOKUP($F654,'fuzzy LPA lookup'!$E:$E,'fuzzy LPA lookup'!$A:$A)</f>
        <v>#REF!</v>
      </c>
      <c r="E654" s="3" t="e">
        <f>LOOKUP($F654,'fuzzy LPA lookup'!$E:$E,'fuzzy LPA lookup'!$D:$D)</f>
        <v>#REF!</v>
      </c>
      <c r="F654" s="8" t="e">
        <f>IF(ISBLANK('Master Submitted DPDs'!#REF!),"",'Master Submitted DPDs'!#REF!)</f>
        <v>#REF!</v>
      </c>
      <c r="G654" t="str">
        <f>IF(ISBLANK('Master Submitted DPDs'!#REF!),"","Withdrawn")</f>
        <v>Withdrawn</v>
      </c>
      <c r="H654" s="2" t="e">
        <f>IF(ISBLANK('Master Submitted DPDs'!#REF!),"",'Master Submitted DPDs'!#REF!)</f>
        <v>#REF!</v>
      </c>
      <c r="I654" s="3"/>
      <c r="J654" s="3"/>
      <c r="K654" s="3"/>
      <c r="L654" s="2" t="e">
        <f>IF(ISBLANK('Master Submitted DPDs'!#REF!),"",'Master Submitted DPDs'!#REF!)</f>
        <v>#REF!</v>
      </c>
      <c r="M654" s="2" t="e">
        <f t="shared" si="20"/>
        <v>#REF!</v>
      </c>
      <c r="N654" s="2" t="e">
        <f>IF(ISBLANK('Master Submitted DPDs'!#REF!),IF(ISBLANK('Master Submitted DPDs'!#REF!),"",'Master Submitted DPDs'!#REF!),'Master Submitted DPDs'!#REF!)</f>
        <v>#REF!</v>
      </c>
      <c r="O654" s="2" t="e">
        <f>IF(ISBLANK('Master Submitted DPDs'!#REF!),"",'Master Submitted DPDs'!#REF!)</f>
        <v>#REF!</v>
      </c>
      <c r="P654" s="2" t="e">
        <f>IF(ISBLANK('Master Submitted DPDs'!#REF!),"",'Master Submitted DPDs'!#REF!)</f>
        <v>#REF!</v>
      </c>
      <c r="Q654" t="e">
        <f>IF(ISBLANK('Master Submitted DPDs'!#REF!),"",'Master Submitted DPDs'!#REF!)</f>
        <v>#REF!</v>
      </c>
      <c r="R654" t="e">
        <f t="shared" si="21"/>
        <v>#REF!</v>
      </c>
      <c r="S654" s="3"/>
      <c r="T654" t="e">
        <f>IF(ISBLANK('Master Submitted DPDs'!#REF!),"",'Master Submitted DPDs'!#REF!)</f>
        <v>#REF!</v>
      </c>
    </row>
    <row r="655" spans="1:20" ht="15" x14ac:dyDescent="0.2">
      <c r="A655" s="3" t="str">
        <f>IF(ISBLANK('Master Submitted DPDs'!#REF!),"","Local Plans")</f>
        <v>Local Plans</v>
      </c>
      <c r="B655" t="e">
        <f>IF(ISBLANK('Master Submitted DPDs'!#REF!),"",'Master Submitted DPDs'!#REF!)</f>
        <v>#REF!</v>
      </c>
      <c r="C655" s="3" t="str">
        <f>IF(ISBLANK('Master Submitted DPDs'!#REF!),"","IH")</f>
        <v>IH</v>
      </c>
      <c r="D655" s="3" t="e">
        <f>LOOKUP($F655,'fuzzy LPA lookup'!$E:$E,'fuzzy LPA lookup'!$A:$A)</f>
        <v>#REF!</v>
      </c>
      <c r="E655" s="3" t="e">
        <f>LOOKUP($F655,'fuzzy LPA lookup'!$E:$E,'fuzzy LPA lookup'!$D:$D)</f>
        <v>#REF!</v>
      </c>
      <c r="F655" s="8" t="e">
        <f>IF(ISBLANK('Master Submitted DPDs'!#REF!),"",'Master Submitted DPDs'!#REF!)</f>
        <v>#REF!</v>
      </c>
      <c r="G655" t="str">
        <f>IF(ISBLANK('Master Submitted DPDs'!#REF!),"","Withdrawn")</f>
        <v>Withdrawn</v>
      </c>
      <c r="H655" s="2" t="e">
        <f>IF(ISBLANK('Master Submitted DPDs'!#REF!),"",'Master Submitted DPDs'!#REF!)</f>
        <v>#REF!</v>
      </c>
      <c r="I655" s="3"/>
      <c r="J655" s="3"/>
      <c r="K655" s="3"/>
      <c r="L655" s="2" t="e">
        <f>IF(ISBLANK('Master Submitted DPDs'!#REF!),"",'Master Submitted DPDs'!#REF!)</f>
        <v>#REF!</v>
      </c>
      <c r="M655" s="2" t="e">
        <f t="shared" si="20"/>
        <v>#REF!</v>
      </c>
      <c r="N655" s="2" t="e">
        <f>IF(ISBLANK('Master Submitted DPDs'!#REF!),IF(ISBLANK('Master Submitted DPDs'!#REF!),"",'Master Submitted DPDs'!#REF!),'Master Submitted DPDs'!#REF!)</f>
        <v>#REF!</v>
      </c>
      <c r="O655" s="2" t="e">
        <f>IF(ISBLANK('Master Submitted DPDs'!#REF!),"",'Master Submitted DPDs'!#REF!)</f>
        <v>#REF!</v>
      </c>
      <c r="P655" s="2" t="e">
        <f>IF(ISBLANK('Master Submitted DPDs'!#REF!),"",'Master Submitted DPDs'!#REF!)</f>
        <v>#REF!</v>
      </c>
      <c r="Q655" t="e">
        <f>IF(ISBLANK('Master Submitted DPDs'!#REF!),"",'Master Submitted DPDs'!#REF!)</f>
        <v>#REF!</v>
      </c>
      <c r="R655" t="e">
        <f t="shared" si="21"/>
        <v>#REF!</v>
      </c>
      <c r="S655" s="3"/>
      <c r="T655" t="e">
        <f>IF(ISBLANK('Master Submitted DPDs'!#REF!),"",'Master Submitted DPDs'!#REF!)</f>
        <v>#REF!</v>
      </c>
    </row>
    <row r="656" spans="1:20" ht="15" x14ac:dyDescent="0.2">
      <c r="A656" s="3" t="str">
        <f>IF(ISBLANK('Master Submitted DPDs'!#REF!),"","Local Plans")</f>
        <v>Local Plans</v>
      </c>
      <c r="B656" t="e">
        <f>IF(ISBLANK('Master Submitted DPDs'!#REF!),"",'Master Submitted DPDs'!#REF!)</f>
        <v>#REF!</v>
      </c>
      <c r="C656" s="3" t="str">
        <f>IF(ISBLANK('Master Submitted DPDs'!#REF!),"","IH")</f>
        <v>IH</v>
      </c>
      <c r="D656" s="3" t="e">
        <f>LOOKUP($F656,'fuzzy LPA lookup'!$E:$E,'fuzzy LPA lookup'!$A:$A)</f>
        <v>#REF!</v>
      </c>
      <c r="E656" s="3" t="e">
        <f>LOOKUP($F656,'fuzzy LPA lookup'!$E:$E,'fuzzy LPA lookup'!$D:$D)</f>
        <v>#REF!</v>
      </c>
      <c r="F656" s="8" t="e">
        <f>IF(ISBLANK('Master Submitted DPDs'!#REF!),"",'Master Submitted DPDs'!#REF!)</f>
        <v>#REF!</v>
      </c>
      <c r="G656" t="str">
        <f>IF(ISBLANK('Master Submitted DPDs'!#REF!),"","Withdrawn")</f>
        <v>Withdrawn</v>
      </c>
      <c r="H656" s="2" t="e">
        <f>IF(ISBLANK('Master Submitted DPDs'!#REF!),"",'Master Submitted DPDs'!#REF!)</f>
        <v>#REF!</v>
      </c>
      <c r="I656" s="3"/>
      <c r="J656" s="3"/>
      <c r="K656" s="3"/>
      <c r="L656" s="2" t="e">
        <f>IF(ISBLANK('Master Submitted DPDs'!#REF!),"",'Master Submitted DPDs'!#REF!)</f>
        <v>#REF!</v>
      </c>
      <c r="M656" s="2" t="e">
        <f t="shared" si="20"/>
        <v>#REF!</v>
      </c>
      <c r="N656" s="2" t="e">
        <f>IF(ISBLANK('Master Submitted DPDs'!#REF!),IF(ISBLANK('Master Submitted DPDs'!#REF!),"",'Master Submitted DPDs'!#REF!),'Master Submitted DPDs'!#REF!)</f>
        <v>#REF!</v>
      </c>
      <c r="O656" s="2" t="e">
        <f>IF(ISBLANK('Master Submitted DPDs'!#REF!),"",'Master Submitted DPDs'!#REF!)</f>
        <v>#REF!</v>
      </c>
      <c r="P656" s="2" t="e">
        <f>IF(ISBLANK('Master Submitted DPDs'!#REF!),"",'Master Submitted DPDs'!#REF!)</f>
        <v>#REF!</v>
      </c>
      <c r="Q656" t="e">
        <f>IF(ISBLANK('Master Submitted DPDs'!#REF!),"",'Master Submitted DPDs'!#REF!)</f>
        <v>#REF!</v>
      </c>
      <c r="R656" t="e">
        <f t="shared" si="21"/>
        <v>#REF!</v>
      </c>
      <c r="S656" s="3"/>
      <c r="T656" t="e">
        <f>IF(ISBLANK('Master Submitted DPDs'!#REF!),"",'Master Submitted DPDs'!#REF!)</f>
        <v>#REF!</v>
      </c>
    </row>
    <row r="657" spans="1:20" ht="15" x14ac:dyDescent="0.2">
      <c r="A657" s="3" t="str">
        <f>IF(ISBLANK('Master Submitted DPDs'!#REF!),"","Local Plans")</f>
        <v>Local Plans</v>
      </c>
      <c r="B657" t="e">
        <f>IF(ISBLANK('Master Submitted DPDs'!#REF!),"",'Master Submitted DPDs'!#REF!)</f>
        <v>#REF!</v>
      </c>
      <c r="C657" s="3" t="str">
        <f>IF(ISBLANK('Master Submitted DPDs'!#REF!),"","IH")</f>
        <v>IH</v>
      </c>
      <c r="D657" s="3" t="e">
        <f>LOOKUP($F657,'fuzzy LPA lookup'!$E:$E,'fuzzy LPA lookup'!$A:$A)</f>
        <v>#REF!</v>
      </c>
      <c r="E657" s="3" t="e">
        <f>LOOKUP($F657,'fuzzy LPA lookup'!$E:$E,'fuzzy LPA lookup'!$D:$D)</f>
        <v>#REF!</v>
      </c>
      <c r="F657" s="8" t="e">
        <f>IF(ISBLANK('Master Submitted DPDs'!#REF!),"",'Master Submitted DPDs'!#REF!)</f>
        <v>#REF!</v>
      </c>
      <c r="G657" t="str">
        <f>IF(ISBLANK('Master Submitted DPDs'!#REF!),"","Withdrawn")</f>
        <v>Withdrawn</v>
      </c>
      <c r="H657" s="2" t="e">
        <f>IF(ISBLANK('Master Submitted DPDs'!#REF!),"",'Master Submitted DPDs'!#REF!)</f>
        <v>#REF!</v>
      </c>
      <c r="I657" s="3"/>
      <c r="J657" s="3"/>
      <c r="K657" s="3"/>
      <c r="L657" s="2" t="e">
        <f>IF(ISBLANK('Master Submitted DPDs'!#REF!),"",'Master Submitted DPDs'!#REF!)</f>
        <v>#REF!</v>
      </c>
      <c r="M657" s="2" t="e">
        <f t="shared" si="20"/>
        <v>#REF!</v>
      </c>
      <c r="N657" s="2" t="e">
        <f>IF(ISBLANK('Master Submitted DPDs'!#REF!),IF(ISBLANK('Master Submitted DPDs'!#REF!),"",'Master Submitted DPDs'!#REF!),'Master Submitted DPDs'!#REF!)</f>
        <v>#REF!</v>
      </c>
      <c r="O657" s="2" t="e">
        <f>IF(ISBLANK('Master Submitted DPDs'!#REF!),"",'Master Submitted DPDs'!#REF!)</f>
        <v>#REF!</v>
      </c>
      <c r="P657" s="2" t="e">
        <f>IF(ISBLANK('Master Submitted DPDs'!#REF!),"",'Master Submitted DPDs'!#REF!)</f>
        <v>#REF!</v>
      </c>
      <c r="Q657" t="e">
        <f>IF(ISBLANK('Master Submitted DPDs'!#REF!),"",'Master Submitted DPDs'!#REF!)</f>
        <v>#REF!</v>
      </c>
      <c r="R657" t="e">
        <f t="shared" si="21"/>
        <v>#REF!</v>
      </c>
      <c r="S657" s="3"/>
      <c r="T657" t="e">
        <f>IF(ISBLANK('Master Submitted DPDs'!#REF!),"",'Master Submitted DPDs'!#REF!)</f>
        <v>#REF!</v>
      </c>
    </row>
    <row r="658" spans="1:20" ht="15" x14ac:dyDescent="0.2">
      <c r="A658" s="3" t="str">
        <f>IF(ISBLANK('Master Submitted DPDs'!#REF!),"","Local Plans")</f>
        <v>Local Plans</v>
      </c>
      <c r="B658" t="e">
        <f>IF(ISBLANK('Master Submitted DPDs'!#REF!),"",'Master Submitted DPDs'!#REF!)</f>
        <v>#REF!</v>
      </c>
      <c r="C658" s="3" t="str">
        <f>IF(ISBLANK('Master Submitted DPDs'!#REF!),"","IH")</f>
        <v>IH</v>
      </c>
      <c r="D658" s="3" t="e">
        <f>LOOKUP($F658,'fuzzy LPA lookup'!$E:$E,'fuzzy LPA lookup'!$A:$A)</f>
        <v>#REF!</v>
      </c>
      <c r="E658" s="3" t="e">
        <f>LOOKUP($F658,'fuzzy LPA lookup'!$E:$E,'fuzzy LPA lookup'!$D:$D)</f>
        <v>#REF!</v>
      </c>
      <c r="F658" s="8" t="e">
        <f>IF(ISBLANK('Master Submitted DPDs'!#REF!),"",'Master Submitted DPDs'!#REF!)</f>
        <v>#REF!</v>
      </c>
      <c r="G658" t="str">
        <f>IF(ISBLANK('Master Submitted DPDs'!#REF!),"","Withdrawn")</f>
        <v>Withdrawn</v>
      </c>
      <c r="H658" s="2" t="e">
        <f>IF(ISBLANK('Master Submitted DPDs'!#REF!),"",'Master Submitted DPDs'!#REF!)</f>
        <v>#REF!</v>
      </c>
      <c r="I658" s="3"/>
      <c r="J658" s="3"/>
      <c r="K658" s="3"/>
      <c r="L658" s="2" t="e">
        <f>IF(ISBLANK('Master Submitted DPDs'!#REF!),"",'Master Submitted DPDs'!#REF!)</f>
        <v>#REF!</v>
      </c>
      <c r="M658" s="2" t="e">
        <f t="shared" si="20"/>
        <v>#REF!</v>
      </c>
      <c r="N658" s="2" t="e">
        <f>IF(ISBLANK('Master Submitted DPDs'!#REF!),IF(ISBLANK('Master Submitted DPDs'!#REF!),"",'Master Submitted DPDs'!#REF!),'Master Submitted DPDs'!#REF!)</f>
        <v>#REF!</v>
      </c>
      <c r="O658" s="2" t="e">
        <f>IF(ISBLANK('Master Submitted DPDs'!#REF!),"",'Master Submitted DPDs'!#REF!)</f>
        <v>#REF!</v>
      </c>
      <c r="P658" s="2" t="e">
        <f>IF(ISBLANK('Master Submitted DPDs'!#REF!),"",'Master Submitted DPDs'!#REF!)</f>
        <v>#REF!</v>
      </c>
      <c r="Q658" t="e">
        <f>IF(ISBLANK('Master Submitted DPDs'!#REF!),"",'Master Submitted DPDs'!#REF!)</f>
        <v>#REF!</v>
      </c>
      <c r="R658" t="e">
        <f t="shared" si="21"/>
        <v>#REF!</v>
      </c>
      <c r="S658" s="3"/>
      <c r="T658" t="e">
        <f>IF(ISBLANK('Master Submitted DPDs'!#REF!),"",'Master Submitted DPDs'!#REF!)</f>
        <v>#REF!</v>
      </c>
    </row>
    <row r="659" spans="1:20" ht="15" x14ac:dyDescent="0.2">
      <c r="A659" s="3" t="str">
        <f>IF(ISBLANK('Master Submitted DPDs'!#REF!),"","Local Plans")</f>
        <v>Local Plans</v>
      </c>
      <c r="B659" t="e">
        <f>IF(ISBLANK('Master Submitted DPDs'!#REF!),"",'Master Submitted DPDs'!#REF!)</f>
        <v>#REF!</v>
      </c>
      <c r="C659" s="3" t="str">
        <f>IF(ISBLANK('Master Submitted DPDs'!#REF!),"","IH")</f>
        <v>IH</v>
      </c>
      <c r="D659" s="3" t="e">
        <f>LOOKUP($F659,'fuzzy LPA lookup'!$E:$E,'fuzzy LPA lookup'!$A:$A)</f>
        <v>#REF!</v>
      </c>
      <c r="E659" s="3" t="e">
        <f>LOOKUP($F659,'fuzzy LPA lookup'!$E:$E,'fuzzy LPA lookup'!$D:$D)</f>
        <v>#REF!</v>
      </c>
      <c r="F659" s="8" t="e">
        <f>IF(ISBLANK('Master Submitted DPDs'!#REF!),"",'Master Submitted DPDs'!#REF!)</f>
        <v>#REF!</v>
      </c>
      <c r="G659" t="str">
        <f>IF(ISBLANK('Master Submitted DPDs'!#REF!),"","Withdrawn")</f>
        <v>Withdrawn</v>
      </c>
      <c r="H659" s="2" t="e">
        <f>IF(ISBLANK('Master Submitted DPDs'!#REF!),"",'Master Submitted DPDs'!#REF!)</f>
        <v>#REF!</v>
      </c>
      <c r="I659" s="3"/>
      <c r="J659" s="3"/>
      <c r="K659" s="3"/>
      <c r="L659" s="2" t="e">
        <f>IF(ISBLANK('Master Submitted DPDs'!#REF!),"",'Master Submitted DPDs'!#REF!)</f>
        <v>#REF!</v>
      </c>
      <c r="M659" s="2" t="e">
        <f t="shared" si="20"/>
        <v>#REF!</v>
      </c>
      <c r="N659" s="2" t="e">
        <f>IF(ISBLANK('Master Submitted DPDs'!#REF!),IF(ISBLANK('Master Submitted DPDs'!#REF!),"",'Master Submitted DPDs'!#REF!),'Master Submitted DPDs'!#REF!)</f>
        <v>#REF!</v>
      </c>
      <c r="O659" s="2" t="e">
        <f>IF(ISBLANK('Master Submitted DPDs'!#REF!),"",'Master Submitted DPDs'!#REF!)</f>
        <v>#REF!</v>
      </c>
      <c r="P659" s="2" t="e">
        <f>IF(ISBLANK('Master Submitted DPDs'!#REF!),"",'Master Submitted DPDs'!#REF!)</f>
        <v>#REF!</v>
      </c>
      <c r="Q659" t="e">
        <f>IF(ISBLANK('Master Submitted DPDs'!#REF!),"",'Master Submitted DPDs'!#REF!)</f>
        <v>#REF!</v>
      </c>
      <c r="R659" t="e">
        <f t="shared" si="21"/>
        <v>#REF!</v>
      </c>
      <c r="S659" s="3"/>
      <c r="T659" t="e">
        <f>IF(ISBLANK('Master Submitted DPDs'!#REF!),"",'Master Submitted DPDs'!#REF!)</f>
        <v>#REF!</v>
      </c>
    </row>
    <row r="660" spans="1:20" ht="15" x14ac:dyDescent="0.2">
      <c r="A660" s="3" t="str">
        <f>IF(ISBLANK('Master Submitted DPDs'!#REF!),"","Local Plans")</f>
        <v>Local Plans</v>
      </c>
      <c r="B660" t="e">
        <f>IF(ISBLANK('Master Submitted DPDs'!#REF!),"",'Master Submitted DPDs'!#REF!)</f>
        <v>#REF!</v>
      </c>
      <c r="C660" s="3" t="str">
        <f>IF(ISBLANK('Master Submitted DPDs'!#REF!),"","IH")</f>
        <v>IH</v>
      </c>
      <c r="D660" s="3" t="e">
        <f>LOOKUP($F660,'fuzzy LPA lookup'!$E:$E,'fuzzy LPA lookup'!$A:$A)</f>
        <v>#REF!</v>
      </c>
      <c r="E660" s="3" t="e">
        <f>LOOKUP($F660,'fuzzy LPA lookup'!$E:$E,'fuzzy LPA lookup'!$D:$D)</f>
        <v>#REF!</v>
      </c>
      <c r="F660" s="8" t="e">
        <f>IF(ISBLANK('Master Submitted DPDs'!#REF!),"",'Master Submitted DPDs'!#REF!)</f>
        <v>#REF!</v>
      </c>
      <c r="G660" t="str">
        <f>IF(ISBLANK('Master Submitted DPDs'!#REF!),"","Withdrawn")</f>
        <v>Withdrawn</v>
      </c>
      <c r="H660" s="2" t="e">
        <f>IF(ISBLANK('Master Submitted DPDs'!#REF!),"",'Master Submitted DPDs'!#REF!)</f>
        <v>#REF!</v>
      </c>
      <c r="I660" s="3"/>
      <c r="J660" s="3"/>
      <c r="K660" s="3"/>
      <c r="L660" s="2" t="e">
        <f>IF(ISBLANK('Master Submitted DPDs'!#REF!),"",'Master Submitted DPDs'!#REF!)</f>
        <v>#REF!</v>
      </c>
      <c r="M660" s="2" t="e">
        <f t="shared" si="20"/>
        <v>#REF!</v>
      </c>
      <c r="N660" s="2" t="e">
        <f>IF(ISBLANK('Master Submitted DPDs'!#REF!),IF(ISBLANK('Master Submitted DPDs'!#REF!),"",'Master Submitted DPDs'!#REF!),'Master Submitted DPDs'!#REF!)</f>
        <v>#REF!</v>
      </c>
      <c r="O660" s="2" t="e">
        <f>IF(ISBLANK('Master Submitted DPDs'!#REF!),"",'Master Submitted DPDs'!#REF!)</f>
        <v>#REF!</v>
      </c>
      <c r="P660" s="2" t="e">
        <f>IF(ISBLANK('Master Submitted DPDs'!#REF!),"",'Master Submitted DPDs'!#REF!)</f>
        <v>#REF!</v>
      </c>
      <c r="Q660" t="e">
        <f>IF(ISBLANK('Master Submitted DPDs'!#REF!),"",'Master Submitted DPDs'!#REF!)</f>
        <v>#REF!</v>
      </c>
      <c r="R660" t="e">
        <f t="shared" si="21"/>
        <v>#REF!</v>
      </c>
      <c r="S660" s="3"/>
      <c r="T660" t="e">
        <f>IF(ISBLANK('Master Submitted DPDs'!#REF!),"",'Master Submitted DPDs'!#REF!)</f>
        <v>#REF!</v>
      </c>
    </row>
    <row r="661" spans="1:20" ht="15" x14ac:dyDescent="0.2">
      <c r="A661" s="3" t="str">
        <f>IF(ISBLANK('Master Submitted DPDs'!#REF!),"","Local Plans")</f>
        <v>Local Plans</v>
      </c>
      <c r="B661" t="e">
        <f>IF(ISBLANK('Master Submitted DPDs'!#REF!),"",'Master Submitted DPDs'!#REF!)</f>
        <v>#REF!</v>
      </c>
      <c r="C661" s="3" t="str">
        <f>IF(ISBLANK('Master Submitted DPDs'!#REF!),"","IH")</f>
        <v>IH</v>
      </c>
      <c r="D661" s="3" t="e">
        <f>LOOKUP($F661,'fuzzy LPA lookup'!$E:$E,'fuzzy LPA lookup'!$A:$A)</f>
        <v>#REF!</v>
      </c>
      <c r="E661" s="3" t="e">
        <f>LOOKUP($F661,'fuzzy LPA lookup'!$E:$E,'fuzzy LPA lookup'!$D:$D)</f>
        <v>#REF!</v>
      </c>
      <c r="F661" s="8" t="e">
        <f>IF(ISBLANK('Master Submitted DPDs'!#REF!),"",'Master Submitted DPDs'!#REF!)</f>
        <v>#REF!</v>
      </c>
      <c r="G661" t="str">
        <f>IF(ISBLANK('Master Submitted DPDs'!#REF!),"","Withdrawn")</f>
        <v>Withdrawn</v>
      </c>
      <c r="H661" s="2" t="e">
        <f>IF(ISBLANK('Master Submitted DPDs'!#REF!),"",'Master Submitted DPDs'!#REF!)</f>
        <v>#REF!</v>
      </c>
      <c r="I661" s="3"/>
      <c r="J661" s="3"/>
      <c r="K661" s="3"/>
      <c r="L661" s="2" t="e">
        <f>IF(ISBLANK('Master Submitted DPDs'!#REF!),"",'Master Submitted DPDs'!#REF!)</f>
        <v>#REF!</v>
      </c>
      <c r="M661" s="2" t="e">
        <f t="shared" si="20"/>
        <v>#REF!</v>
      </c>
      <c r="N661" s="2" t="e">
        <f>IF(ISBLANK('Master Submitted DPDs'!#REF!),IF(ISBLANK('Master Submitted DPDs'!#REF!),"",'Master Submitted DPDs'!#REF!),'Master Submitted DPDs'!#REF!)</f>
        <v>#REF!</v>
      </c>
      <c r="O661" s="2" t="e">
        <f>IF(ISBLANK('Master Submitted DPDs'!#REF!),"",'Master Submitted DPDs'!#REF!)</f>
        <v>#REF!</v>
      </c>
      <c r="P661" s="2" t="e">
        <f>IF(ISBLANK('Master Submitted DPDs'!#REF!),"",'Master Submitted DPDs'!#REF!)</f>
        <v>#REF!</v>
      </c>
      <c r="Q661" t="e">
        <f>IF(ISBLANK('Master Submitted DPDs'!#REF!),"",'Master Submitted DPDs'!#REF!)</f>
        <v>#REF!</v>
      </c>
      <c r="R661" t="e">
        <f t="shared" si="21"/>
        <v>#REF!</v>
      </c>
      <c r="S661" s="3"/>
      <c r="T661" t="e">
        <f>IF(ISBLANK('Master Submitted DPDs'!#REF!),"",'Master Submitted DPDs'!#REF!)</f>
        <v>#REF!</v>
      </c>
    </row>
    <row r="662" spans="1:20" ht="15" x14ac:dyDescent="0.2">
      <c r="A662" s="3" t="str">
        <f>IF(ISBLANK('Master Submitted DPDs'!#REF!),"","Local Plans")</f>
        <v>Local Plans</v>
      </c>
      <c r="B662" t="e">
        <f>IF(ISBLANK('Master Submitted DPDs'!#REF!),"",'Master Submitted DPDs'!#REF!)</f>
        <v>#REF!</v>
      </c>
      <c r="C662" s="3" t="str">
        <f>IF(ISBLANK('Master Submitted DPDs'!#REF!),"","IH")</f>
        <v>IH</v>
      </c>
      <c r="D662" s="3" t="e">
        <f>LOOKUP($F662,'fuzzy LPA lookup'!$E:$E,'fuzzy LPA lookup'!$A:$A)</f>
        <v>#REF!</v>
      </c>
      <c r="E662" s="3" t="e">
        <f>LOOKUP($F662,'fuzzy LPA lookup'!$E:$E,'fuzzy LPA lookup'!$D:$D)</f>
        <v>#REF!</v>
      </c>
      <c r="F662" s="8" t="e">
        <f>IF(ISBLANK('Master Submitted DPDs'!#REF!),"",'Master Submitted DPDs'!#REF!)</f>
        <v>#REF!</v>
      </c>
      <c r="G662" t="str">
        <f>IF(ISBLANK('Master Submitted DPDs'!#REF!),"","Withdrawn")</f>
        <v>Withdrawn</v>
      </c>
      <c r="H662" s="2" t="e">
        <f>IF(ISBLANK('Master Submitted DPDs'!#REF!),"",'Master Submitted DPDs'!#REF!)</f>
        <v>#REF!</v>
      </c>
      <c r="I662" s="3"/>
      <c r="J662" s="3"/>
      <c r="K662" s="3"/>
      <c r="L662" s="2" t="e">
        <f>IF(ISBLANK('Master Submitted DPDs'!#REF!),"",'Master Submitted DPDs'!#REF!)</f>
        <v>#REF!</v>
      </c>
      <c r="M662" s="2" t="e">
        <f t="shared" si="20"/>
        <v>#REF!</v>
      </c>
      <c r="N662" s="2" t="e">
        <f>IF(ISBLANK('Master Submitted DPDs'!#REF!),IF(ISBLANK('Master Submitted DPDs'!#REF!),"",'Master Submitted DPDs'!#REF!),'Master Submitted DPDs'!#REF!)</f>
        <v>#REF!</v>
      </c>
      <c r="O662" s="2" t="e">
        <f>IF(ISBLANK('Master Submitted DPDs'!#REF!),"",'Master Submitted DPDs'!#REF!)</f>
        <v>#REF!</v>
      </c>
      <c r="P662" s="2" t="e">
        <f>IF(ISBLANK('Master Submitted DPDs'!#REF!),"",'Master Submitted DPDs'!#REF!)</f>
        <v>#REF!</v>
      </c>
      <c r="Q662" t="e">
        <f>IF(ISBLANK('Master Submitted DPDs'!#REF!),"",'Master Submitted DPDs'!#REF!)</f>
        <v>#REF!</v>
      </c>
      <c r="R662" t="e">
        <f t="shared" si="21"/>
        <v>#REF!</v>
      </c>
      <c r="S662" s="3"/>
      <c r="T662" t="e">
        <f>IF(ISBLANK('Master Submitted DPDs'!#REF!),"",'Master Submitted DPDs'!#REF!)</f>
        <v>#REF!</v>
      </c>
    </row>
    <row r="663" spans="1:20" ht="15" x14ac:dyDescent="0.2">
      <c r="A663" s="3" t="str">
        <f>IF(ISBLANK('Master Submitted DPDs'!#REF!),"","Local Plans")</f>
        <v>Local Plans</v>
      </c>
      <c r="B663" t="e">
        <f>IF(ISBLANK('Master Submitted DPDs'!#REF!),"",'Master Submitted DPDs'!#REF!)</f>
        <v>#REF!</v>
      </c>
      <c r="C663" s="3" t="str">
        <f>IF(ISBLANK('Master Submitted DPDs'!#REF!),"","IH")</f>
        <v>IH</v>
      </c>
      <c r="D663" s="3" t="e">
        <f>LOOKUP($F663,'fuzzy LPA lookup'!$E:$E,'fuzzy LPA lookup'!$A:$A)</f>
        <v>#REF!</v>
      </c>
      <c r="E663" s="3" t="e">
        <f>LOOKUP($F663,'fuzzy LPA lookup'!$E:$E,'fuzzy LPA lookup'!$D:$D)</f>
        <v>#REF!</v>
      </c>
      <c r="F663" s="8" t="e">
        <f>IF(ISBLANK('Master Submitted DPDs'!#REF!),"",'Master Submitted DPDs'!#REF!)</f>
        <v>#REF!</v>
      </c>
      <c r="G663" t="str">
        <f>IF(ISBLANK('Master Submitted DPDs'!#REF!),"","Withdrawn")</f>
        <v>Withdrawn</v>
      </c>
      <c r="H663" s="2" t="e">
        <f>IF(ISBLANK('Master Submitted DPDs'!#REF!),"",'Master Submitted DPDs'!#REF!)</f>
        <v>#REF!</v>
      </c>
      <c r="I663" s="3"/>
      <c r="J663" s="3"/>
      <c r="K663" s="3"/>
      <c r="L663" s="2" t="e">
        <f>IF(ISBLANK('Master Submitted DPDs'!#REF!),"",'Master Submitted DPDs'!#REF!)</f>
        <v>#REF!</v>
      </c>
      <c r="M663" s="2" t="e">
        <f t="shared" si="20"/>
        <v>#REF!</v>
      </c>
      <c r="N663" s="2" t="e">
        <f>IF(ISBLANK('Master Submitted DPDs'!#REF!),IF(ISBLANK('Master Submitted DPDs'!#REF!),"",'Master Submitted DPDs'!#REF!),'Master Submitted DPDs'!#REF!)</f>
        <v>#REF!</v>
      </c>
      <c r="O663" s="2" t="e">
        <f>IF(ISBLANK('Master Submitted DPDs'!#REF!),"",'Master Submitted DPDs'!#REF!)</f>
        <v>#REF!</v>
      </c>
      <c r="P663" s="2" t="e">
        <f>IF(ISBLANK('Master Submitted DPDs'!#REF!),"",'Master Submitted DPDs'!#REF!)</f>
        <v>#REF!</v>
      </c>
      <c r="Q663" t="e">
        <f>IF(ISBLANK('Master Submitted DPDs'!#REF!),"",'Master Submitted DPDs'!#REF!)</f>
        <v>#REF!</v>
      </c>
      <c r="R663" t="e">
        <f t="shared" si="21"/>
        <v>#REF!</v>
      </c>
      <c r="S663" s="3"/>
      <c r="T663" t="e">
        <f>IF(ISBLANK('Master Submitted DPDs'!#REF!),"",'Master Submitted DPDs'!#REF!)</f>
        <v>#REF!</v>
      </c>
    </row>
    <row r="664" spans="1:20" ht="15" x14ac:dyDescent="0.2">
      <c r="A664" s="3" t="str">
        <f>IF(ISBLANK('Master Submitted DPDs'!#REF!),"","Local Plans")</f>
        <v>Local Plans</v>
      </c>
      <c r="B664" t="e">
        <f>IF(ISBLANK('Master Submitted DPDs'!#REF!),"",'Master Submitted DPDs'!#REF!)</f>
        <v>#REF!</v>
      </c>
      <c r="C664" s="3" t="str">
        <f>IF(ISBLANK('Master Submitted DPDs'!#REF!),"","IH")</f>
        <v>IH</v>
      </c>
      <c r="D664" s="3" t="e">
        <f>LOOKUP($F664,'fuzzy LPA lookup'!$E:$E,'fuzzy LPA lookup'!$A:$A)</f>
        <v>#REF!</v>
      </c>
      <c r="E664" s="3" t="e">
        <f>LOOKUP($F664,'fuzzy LPA lookup'!$E:$E,'fuzzy LPA lookup'!$D:$D)</f>
        <v>#REF!</v>
      </c>
      <c r="F664" s="8" t="e">
        <f>IF(ISBLANK('Master Submitted DPDs'!#REF!),"",'Master Submitted DPDs'!#REF!)</f>
        <v>#REF!</v>
      </c>
      <c r="G664" t="str">
        <f>IF(ISBLANK('Master Submitted DPDs'!#REF!),"","Withdrawn")</f>
        <v>Withdrawn</v>
      </c>
      <c r="H664" s="2" t="e">
        <f>IF(ISBLANK('Master Submitted DPDs'!#REF!),"",'Master Submitted DPDs'!#REF!)</f>
        <v>#REF!</v>
      </c>
      <c r="I664" s="3"/>
      <c r="J664" s="3"/>
      <c r="K664" s="3"/>
      <c r="L664" s="2" t="e">
        <f>IF(ISBLANK('Master Submitted DPDs'!#REF!),"",'Master Submitted DPDs'!#REF!)</f>
        <v>#REF!</v>
      </c>
      <c r="M664" s="2" t="e">
        <f t="shared" si="20"/>
        <v>#REF!</v>
      </c>
      <c r="N664" s="2" t="e">
        <f>IF(ISBLANK('Master Submitted DPDs'!#REF!),IF(ISBLANK('Master Submitted DPDs'!#REF!),"",'Master Submitted DPDs'!#REF!),'Master Submitted DPDs'!#REF!)</f>
        <v>#REF!</v>
      </c>
      <c r="O664" s="2" t="e">
        <f>IF(ISBLANK('Master Submitted DPDs'!#REF!),"",'Master Submitted DPDs'!#REF!)</f>
        <v>#REF!</v>
      </c>
      <c r="P664" s="2" t="e">
        <f>IF(ISBLANK('Master Submitted DPDs'!#REF!),"",'Master Submitted DPDs'!#REF!)</f>
        <v>#REF!</v>
      </c>
      <c r="Q664" t="e">
        <f>IF(ISBLANK('Master Submitted DPDs'!#REF!),"",'Master Submitted DPDs'!#REF!)</f>
        <v>#REF!</v>
      </c>
      <c r="R664" t="e">
        <f t="shared" si="21"/>
        <v>#REF!</v>
      </c>
      <c r="S664" s="3"/>
      <c r="T664" t="e">
        <f>IF(ISBLANK('Master Submitted DPDs'!#REF!),"",'Master Submitted DPDs'!#REF!)</f>
        <v>#REF!</v>
      </c>
    </row>
    <row r="665" spans="1:20" ht="15" x14ac:dyDescent="0.2">
      <c r="A665" s="3" t="str">
        <f>IF(ISBLANK('Master Submitted DPDs'!#REF!),"","Local Plans")</f>
        <v>Local Plans</v>
      </c>
      <c r="B665" t="e">
        <f>IF(ISBLANK('Master Submitted DPDs'!#REF!),"",'Master Submitted DPDs'!#REF!)</f>
        <v>#REF!</v>
      </c>
      <c r="C665" s="3" t="str">
        <f>IF(ISBLANK('Master Submitted DPDs'!#REF!),"","IH")</f>
        <v>IH</v>
      </c>
      <c r="D665" s="3" t="e">
        <f>LOOKUP($F665,'fuzzy LPA lookup'!$E:$E,'fuzzy LPA lookup'!$A:$A)</f>
        <v>#REF!</v>
      </c>
      <c r="E665" s="3" t="e">
        <f>LOOKUP($F665,'fuzzy LPA lookup'!$E:$E,'fuzzy LPA lookup'!$D:$D)</f>
        <v>#REF!</v>
      </c>
      <c r="F665" s="8" t="e">
        <f>IF(ISBLANK('Master Submitted DPDs'!#REF!),"",'Master Submitted DPDs'!#REF!)</f>
        <v>#REF!</v>
      </c>
      <c r="G665" t="str">
        <f>IF(ISBLANK('Master Submitted DPDs'!#REF!),"","Withdrawn")</f>
        <v>Withdrawn</v>
      </c>
      <c r="H665" s="2" t="e">
        <f>IF(ISBLANK('Master Submitted DPDs'!#REF!),"",'Master Submitted DPDs'!#REF!)</f>
        <v>#REF!</v>
      </c>
      <c r="I665" s="3"/>
      <c r="J665" s="3"/>
      <c r="K665" s="3"/>
      <c r="L665" s="2" t="e">
        <f>IF(ISBLANK('Master Submitted DPDs'!#REF!),"",'Master Submitted DPDs'!#REF!)</f>
        <v>#REF!</v>
      </c>
      <c r="M665" s="2" t="e">
        <f t="shared" si="20"/>
        <v>#REF!</v>
      </c>
      <c r="N665" s="2" t="e">
        <f>IF(ISBLANK('Master Submitted DPDs'!#REF!),IF(ISBLANK('Master Submitted DPDs'!#REF!),"",'Master Submitted DPDs'!#REF!),'Master Submitted DPDs'!#REF!)</f>
        <v>#REF!</v>
      </c>
      <c r="O665" s="2" t="e">
        <f>IF(ISBLANK('Master Submitted DPDs'!#REF!),"",'Master Submitted DPDs'!#REF!)</f>
        <v>#REF!</v>
      </c>
      <c r="P665" s="2" t="e">
        <f>IF(ISBLANK('Master Submitted DPDs'!#REF!),"",'Master Submitted DPDs'!#REF!)</f>
        <v>#REF!</v>
      </c>
      <c r="Q665" t="e">
        <f>IF(ISBLANK('Master Submitted DPDs'!#REF!),"",'Master Submitted DPDs'!#REF!)</f>
        <v>#REF!</v>
      </c>
      <c r="R665" t="e">
        <f t="shared" si="21"/>
        <v>#REF!</v>
      </c>
      <c r="S665" s="3"/>
      <c r="T665" t="e">
        <f>IF(ISBLANK('Master Submitted DPDs'!#REF!),"",'Master Submitted DPDs'!#REF!)</f>
        <v>#REF!</v>
      </c>
    </row>
    <row r="666" spans="1:20" ht="15" x14ac:dyDescent="0.2">
      <c r="A666" s="3" t="str">
        <f>IF(ISBLANK('Master Submitted DPDs'!#REF!),"","Local Plans")</f>
        <v>Local Plans</v>
      </c>
      <c r="B666" t="e">
        <f>IF(ISBLANK('Master Submitted DPDs'!#REF!),"",'Master Submitted DPDs'!#REF!)</f>
        <v>#REF!</v>
      </c>
      <c r="C666" s="3" t="str">
        <f>IF(ISBLANK('Master Submitted DPDs'!#REF!),"","IH")</f>
        <v>IH</v>
      </c>
      <c r="D666" s="3" t="e">
        <f>LOOKUP($F666,'fuzzy LPA lookup'!$E:$E,'fuzzy LPA lookup'!$A:$A)</f>
        <v>#REF!</v>
      </c>
      <c r="E666" s="3" t="e">
        <f>LOOKUP($F666,'fuzzy LPA lookup'!$E:$E,'fuzzy LPA lookup'!$D:$D)</f>
        <v>#REF!</v>
      </c>
      <c r="F666" s="8" t="e">
        <f>IF(ISBLANK('Master Submitted DPDs'!#REF!),"",'Master Submitted DPDs'!#REF!)</f>
        <v>#REF!</v>
      </c>
      <c r="G666" t="str">
        <f>IF(ISBLANK('Master Submitted DPDs'!#REF!),"","Withdrawn")</f>
        <v>Withdrawn</v>
      </c>
      <c r="H666" s="2" t="e">
        <f>IF(ISBLANK('Master Submitted DPDs'!#REF!),"",'Master Submitted DPDs'!#REF!)</f>
        <v>#REF!</v>
      </c>
      <c r="I666" s="3"/>
      <c r="J666" s="3"/>
      <c r="K666" s="3"/>
      <c r="L666" s="2" t="e">
        <f>IF(ISBLANK('Master Submitted DPDs'!#REF!),"",'Master Submitted DPDs'!#REF!)</f>
        <v>#REF!</v>
      </c>
      <c r="M666" s="2" t="e">
        <f t="shared" si="20"/>
        <v>#REF!</v>
      </c>
      <c r="N666" s="2" t="e">
        <f>IF(ISBLANK('Master Submitted DPDs'!#REF!),IF(ISBLANK('Master Submitted DPDs'!#REF!),"",'Master Submitted DPDs'!#REF!),'Master Submitted DPDs'!#REF!)</f>
        <v>#REF!</v>
      </c>
      <c r="O666" s="2" t="e">
        <f>IF(ISBLANK('Master Submitted DPDs'!#REF!),"",'Master Submitted DPDs'!#REF!)</f>
        <v>#REF!</v>
      </c>
      <c r="P666" s="2" t="e">
        <f>IF(ISBLANK('Master Submitted DPDs'!#REF!),"",'Master Submitted DPDs'!#REF!)</f>
        <v>#REF!</v>
      </c>
      <c r="Q666" t="e">
        <f>IF(ISBLANK('Master Submitted DPDs'!#REF!),"",'Master Submitted DPDs'!#REF!)</f>
        <v>#REF!</v>
      </c>
      <c r="R666" t="e">
        <f t="shared" si="21"/>
        <v>#REF!</v>
      </c>
      <c r="S666" s="3"/>
      <c r="T666" t="e">
        <f>IF(ISBLANK('Master Submitted DPDs'!#REF!),"",'Master Submitted DPDs'!#REF!)</f>
        <v>#REF!</v>
      </c>
    </row>
    <row r="667" spans="1:20" ht="15" x14ac:dyDescent="0.2">
      <c r="A667" s="3" t="str">
        <f>IF(ISBLANK('Master Submitted DPDs'!#REF!),"","Local Plans")</f>
        <v>Local Plans</v>
      </c>
      <c r="B667" t="e">
        <f>IF(ISBLANK('Master Submitted DPDs'!#REF!),"",'Master Submitted DPDs'!#REF!)</f>
        <v>#REF!</v>
      </c>
      <c r="C667" s="3" t="str">
        <f>IF(ISBLANK('Master Submitted DPDs'!#REF!),"","IH")</f>
        <v>IH</v>
      </c>
      <c r="D667" s="3" t="e">
        <f>LOOKUP($F667,'fuzzy LPA lookup'!$E:$E,'fuzzy LPA lookup'!$A:$A)</f>
        <v>#REF!</v>
      </c>
      <c r="E667" s="3" t="e">
        <f>LOOKUP($F667,'fuzzy LPA lookup'!$E:$E,'fuzzy LPA lookup'!$D:$D)</f>
        <v>#REF!</v>
      </c>
      <c r="F667" s="8" t="e">
        <f>IF(ISBLANK('Master Submitted DPDs'!#REF!),"",'Master Submitted DPDs'!#REF!)</f>
        <v>#REF!</v>
      </c>
      <c r="G667" t="str">
        <f>IF(ISBLANK('Master Submitted DPDs'!#REF!),"","Withdrawn")</f>
        <v>Withdrawn</v>
      </c>
      <c r="H667" s="2" t="e">
        <f>IF(ISBLANK('Master Submitted DPDs'!#REF!),"",'Master Submitted DPDs'!#REF!)</f>
        <v>#REF!</v>
      </c>
      <c r="I667" s="3"/>
      <c r="J667" s="3"/>
      <c r="K667" s="3"/>
      <c r="L667" s="2" t="e">
        <f>IF(ISBLANK('Master Submitted DPDs'!#REF!),"",'Master Submitted DPDs'!#REF!)</f>
        <v>#REF!</v>
      </c>
      <c r="M667" s="2" t="e">
        <f t="shared" si="20"/>
        <v>#REF!</v>
      </c>
      <c r="N667" s="2" t="e">
        <f>IF(ISBLANK('Master Submitted DPDs'!#REF!),IF(ISBLANK('Master Submitted DPDs'!#REF!),"",'Master Submitted DPDs'!#REF!),'Master Submitted DPDs'!#REF!)</f>
        <v>#REF!</v>
      </c>
      <c r="O667" s="2" t="e">
        <f>IF(ISBLANK('Master Submitted DPDs'!#REF!),"",'Master Submitted DPDs'!#REF!)</f>
        <v>#REF!</v>
      </c>
      <c r="P667" s="2" t="e">
        <f>IF(ISBLANK('Master Submitted DPDs'!#REF!),"",'Master Submitted DPDs'!#REF!)</f>
        <v>#REF!</v>
      </c>
      <c r="Q667" t="e">
        <f>IF(ISBLANK('Master Submitted DPDs'!#REF!),"",'Master Submitted DPDs'!#REF!)</f>
        <v>#REF!</v>
      </c>
      <c r="R667" t="e">
        <f t="shared" si="21"/>
        <v>#REF!</v>
      </c>
      <c r="S667" s="3"/>
      <c r="T667" t="e">
        <f>IF(ISBLANK('Master Submitted DPDs'!#REF!),"",'Master Submitted DPDs'!#REF!)</f>
        <v>#REF!</v>
      </c>
    </row>
    <row r="668" spans="1:20" ht="15" x14ac:dyDescent="0.2">
      <c r="A668" s="3" t="str">
        <f>IF(ISBLANK('Master Submitted DPDs'!#REF!),"","Local Plans")</f>
        <v>Local Plans</v>
      </c>
      <c r="B668" t="e">
        <f>IF(ISBLANK('Master Submitted DPDs'!#REF!),"",'Master Submitted DPDs'!#REF!)</f>
        <v>#REF!</v>
      </c>
      <c r="C668" s="3" t="str">
        <f>IF(ISBLANK('Master Submitted DPDs'!#REF!),"","IH")</f>
        <v>IH</v>
      </c>
      <c r="D668" s="3" t="e">
        <f>LOOKUP($F668,'fuzzy LPA lookup'!$E:$E,'fuzzy LPA lookup'!$A:$A)</f>
        <v>#REF!</v>
      </c>
      <c r="E668" s="3" t="e">
        <f>LOOKUP($F668,'fuzzy LPA lookup'!$E:$E,'fuzzy LPA lookup'!$D:$D)</f>
        <v>#REF!</v>
      </c>
      <c r="F668" s="8" t="e">
        <f>IF(ISBLANK('Master Submitted DPDs'!#REF!),"",'Master Submitted DPDs'!#REF!)</f>
        <v>#REF!</v>
      </c>
      <c r="G668" t="str">
        <f>IF(ISBLANK('Master Submitted DPDs'!#REF!),"","Withdrawn")</f>
        <v>Withdrawn</v>
      </c>
      <c r="H668" s="2" t="e">
        <f>IF(ISBLANK('Master Submitted DPDs'!#REF!),"",'Master Submitted DPDs'!#REF!)</f>
        <v>#REF!</v>
      </c>
      <c r="I668" s="3"/>
      <c r="J668" s="3"/>
      <c r="K668" s="3"/>
      <c r="L668" s="2" t="e">
        <f>IF(ISBLANK('Master Submitted DPDs'!#REF!),"",'Master Submitted DPDs'!#REF!)</f>
        <v>#REF!</v>
      </c>
      <c r="M668" s="2" t="e">
        <f t="shared" si="20"/>
        <v>#REF!</v>
      </c>
      <c r="N668" s="2" t="e">
        <f>IF(ISBLANK('Master Submitted DPDs'!#REF!),IF(ISBLANK('Master Submitted DPDs'!#REF!),"",'Master Submitted DPDs'!#REF!),'Master Submitted DPDs'!#REF!)</f>
        <v>#REF!</v>
      </c>
      <c r="O668" s="2" t="e">
        <f>IF(ISBLANK('Master Submitted DPDs'!#REF!),"",'Master Submitted DPDs'!#REF!)</f>
        <v>#REF!</v>
      </c>
      <c r="P668" s="2" t="e">
        <f>IF(ISBLANK('Master Submitted DPDs'!#REF!),"",'Master Submitted DPDs'!#REF!)</f>
        <v>#REF!</v>
      </c>
      <c r="Q668" t="e">
        <f>IF(ISBLANK('Master Submitted DPDs'!#REF!),"",'Master Submitted DPDs'!#REF!)</f>
        <v>#REF!</v>
      </c>
      <c r="R668" t="e">
        <f t="shared" si="21"/>
        <v>#REF!</v>
      </c>
      <c r="S668" s="3"/>
      <c r="T668" t="e">
        <f>IF(ISBLANK('Master Submitted DPDs'!#REF!),"",'Master Submitted DPDs'!#REF!)</f>
        <v>#REF!</v>
      </c>
    </row>
    <row r="669" spans="1:20" ht="15" x14ac:dyDescent="0.2">
      <c r="A669" s="3" t="str">
        <f>IF(ISBLANK('Master Submitted DPDs'!#REF!),"","Local Plans")</f>
        <v>Local Plans</v>
      </c>
      <c r="B669" t="e">
        <f>IF(ISBLANK('Master Submitted DPDs'!#REF!),"",'Master Submitted DPDs'!#REF!)</f>
        <v>#REF!</v>
      </c>
      <c r="C669" s="3" t="str">
        <f>IF(ISBLANK('Master Submitted DPDs'!#REF!),"","IH")</f>
        <v>IH</v>
      </c>
      <c r="D669" s="3" t="e">
        <f>LOOKUP($F669,'fuzzy LPA lookup'!$E:$E,'fuzzy LPA lookup'!$A:$A)</f>
        <v>#REF!</v>
      </c>
      <c r="E669" s="3" t="e">
        <f>LOOKUP($F669,'fuzzy LPA lookup'!$E:$E,'fuzzy LPA lookup'!$D:$D)</f>
        <v>#REF!</v>
      </c>
      <c r="F669" s="8" t="e">
        <f>IF(ISBLANK('Master Submitted DPDs'!#REF!),"",'Master Submitted DPDs'!#REF!)</f>
        <v>#REF!</v>
      </c>
      <c r="G669" t="str">
        <f>IF(ISBLANK('Master Submitted DPDs'!#REF!),"","Withdrawn")</f>
        <v>Withdrawn</v>
      </c>
      <c r="H669" s="2" t="e">
        <f>IF(ISBLANK('Master Submitted DPDs'!#REF!),"",'Master Submitted DPDs'!#REF!)</f>
        <v>#REF!</v>
      </c>
      <c r="I669" s="3"/>
      <c r="J669" s="3"/>
      <c r="K669" s="3"/>
      <c r="L669" s="2" t="e">
        <f>IF(ISBLANK('Master Submitted DPDs'!#REF!),"",'Master Submitted DPDs'!#REF!)</f>
        <v>#REF!</v>
      </c>
      <c r="M669" s="2" t="e">
        <f t="shared" si="20"/>
        <v>#REF!</v>
      </c>
      <c r="N669" s="2" t="e">
        <f>IF(ISBLANK('Master Submitted DPDs'!#REF!),IF(ISBLANK('Master Submitted DPDs'!#REF!),"",'Master Submitted DPDs'!#REF!),'Master Submitted DPDs'!#REF!)</f>
        <v>#REF!</v>
      </c>
      <c r="O669" s="2" t="e">
        <f>IF(ISBLANK('Master Submitted DPDs'!#REF!),"",'Master Submitted DPDs'!#REF!)</f>
        <v>#REF!</v>
      </c>
      <c r="P669" s="2" t="e">
        <f>IF(ISBLANK('Master Submitted DPDs'!#REF!),"",'Master Submitted DPDs'!#REF!)</f>
        <v>#REF!</v>
      </c>
      <c r="Q669" t="e">
        <f>IF(ISBLANK('Master Submitted DPDs'!#REF!),"",'Master Submitted DPDs'!#REF!)</f>
        <v>#REF!</v>
      </c>
      <c r="R669" t="e">
        <f t="shared" si="21"/>
        <v>#REF!</v>
      </c>
      <c r="S669" s="3"/>
      <c r="T669" t="e">
        <f>IF(ISBLANK('Master Submitted DPDs'!#REF!),"",'Master Submitted DPDs'!#REF!)</f>
        <v>#REF!</v>
      </c>
    </row>
    <row r="670" spans="1:20" ht="15" x14ac:dyDescent="0.2">
      <c r="A670" s="3" t="str">
        <f>IF(ISBLANK('Master Submitted DPDs'!#REF!),"","Local Plans")</f>
        <v>Local Plans</v>
      </c>
      <c r="B670" t="e">
        <f>IF(ISBLANK('Master Submitted DPDs'!#REF!),"",'Master Submitted DPDs'!#REF!)</f>
        <v>#REF!</v>
      </c>
      <c r="C670" s="3" t="str">
        <f>IF(ISBLANK('Master Submitted DPDs'!#REF!),"","IH")</f>
        <v>IH</v>
      </c>
      <c r="D670" s="3" t="e">
        <f>LOOKUP($F670,'fuzzy LPA lookup'!$E:$E,'fuzzy LPA lookup'!$A:$A)</f>
        <v>#REF!</v>
      </c>
      <c r="E670" s="3" t="e">
        <f>LOOKUP($F670,'fuzzy LPA lookup'!$E:$E,'fuzzy LPA lookup'!$D:$D)</f>
        <v>#REF!</v>
      </c>
      <c r="F670" s="8" t="e">
        <f>IF(ISBLANK('Master Submitted DPDs'!#REF!),"",'Master Submitted DPDs'!#REF!)</f>
        <v>#REF!</v>
      </c>
      <c r="G670" t="str">
        <f>IF(ISBLANK('Master Submitted DPDs'!#REF!),"","Withdrawn")</f>
        <v>Withdrawn</v>
      </c>
      <c r="H670" s="2" t="e">
        <f>IF(ISBLANK('Master Submitted DPDs'!#REF!),"",'Master Submitted DPDs'!#REF!)</f>
        <v>#REF!</v>
      </c>
      <c r="I670" s="3"/>
      <c r="J670" s="3"/>
      <c r="K670" s="3"/>
      <c r="L670" s="2" t="e">
        <f>IF(ISBLANK('Master Submitted DPDs'!#REF!),"",'Master Submitted DPDs'!#REF!)</f>
        <v>#REF!</v>
      </c>
      <c r="M670" s="2" t="e">
        <f t="shared" si="20"/>
        <v>#REF!</v>
      </c>
      <c r="N670" s="2" t="e">
        <f>IF(ISBLANK('Master Submitted DPDs'!#REF!),IF(ISBLANK('Master Submitted DPDs'!#REF!),"",'Master Submitted DPDs'!#REF!),'Master Submitted DPDs'!#REF!)</f>
        <v>#REF!</v>
      </c>
      <c r="O670" s="2" t="e">
        <f>IF(ISBLANK('Master Submitted DPDs'!#REF!),"",'Master Submitted DPDs'!#REF!)</f>
        <v>#REF!</v>
      </c>
      <c r="P670" s="2" t="e">
        <f>IF(ISBLANK('Master Submitted DPDs'!#REF!),"",'Master Submitted DPDs'!#REF!)</f>
        <v>#REF!</v>
      </c>
      <c r="Q670" t="e">
        <f>IF(ISBLANK('Master Submitted DPDs'!#REF!),"",'Master Submitted DPDs'!#REF!)</f>
        <v>#REF!</v>
      </c>
      <c r="R670" t="e">
        <f t="shared" si="21"/>
        <v>#REF!</v>
      </c>
      <c r="S670" s="3"/>
      <c r="T670" t="e">
        <f>IF(ISBLANK('Master Submitted DPDs'!#REF!),"",'Master Submitted DPDs'!#REF!)</f>
        <v>#REF!</v>
      </c>
    </row>
    <row r="671" spans="1:20" ht="15" x14ac:dyDescent="0.2">
      <c r="A671" s="3" t="str">
        <f>IF(ISBLANK('Master Submitted DPDs'!#REF!),"","Local Plans")</f>
        <v>Local Plans</v>
      </c>
      <c r="B671" t="e">
        <f>IF(ISBLANK('Master Submitted DPDs'!#REF!),"",'Master Submitted DPDs'!#REF!)</f>
        <v>#REF!</v>
      </c>
      <c r="C671" s="3" t="str">
        <f>IF(ISBLANK('Master Submitted DPDs'!#REF!),"","IH")</f>
        <v>IH</v>
      </c>
      <c r="D671" s="3" t="e">
        <f>LOOKUP($F671,'fuzzy LPA lookup'!$E:$E,'fuzzy LPA lookup'!$A:$A)</f>
        <v>#REF!</v>
      </c>
      <c r="E671" s="3" t="e">
        <f>LOOKUP($F671,'fuzzy LPA lookup'!$E:$E,'fuzzy LPA lookup'!$D:$D)</f>
        <v>#REF!</v>
      </c>
      <c r="F671" s="8" t="e">
        <f>IF(ISBLANK('Master Submitted DPDs'!#REF!),"",'Master Submitted DPDs'!#REF!)</f>
        <v>#REF!</v>
      </c>
      <c r="G671" t="str">
        <f>IF(ISBLANK('Master Submitted DPDs'!#REF!),"","Withdrawn")</f>
        <v>Withdrawn</v>
      </c>
      <c r="H671" s="2" t="e">
        <f>IF(ISBLANK('Master Submitted DPDs'!#REF!),"",'Master Submitted DPDs'!#REF!)</f>
        <v>#REF!</v>
      </c>
      <c r="I671" s="3"/>
      <c r="J671" s="3"/>
      <c r="K671" s="3"/>
      <c r="L671" s="2" t="e">
        <f>IF(ISBLANK('Master Submitted DPDs'!#REF!),"",'Master Submitted DPDs'!#REF!)</f>
        <v>#REF!</v>
      </c>
      <c r="M671" s="2" t="e">
        <f t="shared" si="20"/>
        <v>#REF!</v>
      </c>
      <c r="N671" s="2" t="e">
        <f>IF(ISBLANK('Master Submitted DPDs'!#REF!),IF(ISBLANK('Master Submitted DPDs'!#REF!),"",'Master Submitted DPDs'!#REF!),'Master Submitted DPDs'!#REF!)</f>
        <v>#REF!</v>
      </c>
      <c r="O671" s="2" t="e">
        <f>IF(ISBLANK('Master Submitted DPDs'!#REF!),"",'Master Submitted DPDs'!#REF!)</f>
        <v>#REF!</v>
      </c>
      <c r="P671" s="2" t="e">
        <f>IF(ISBLANK('Master Submitted DPDs'!#REF!),"",'Master Submitted DPDs'!#REF!)</f>
        <v>#REF!</v>
      </c>
      <c r="Q671" t="e">
        <f>IF(ISBLANK('Master Submitted DPDs'!#REF!),"",'Master Submitted DPDs'!#REF!)</f>
        <v>#REF!</v>
      </c>
      <c r="R671" t="e">
        <f t="shared" si="21"/>
        <v>#REF!</v>
      </c>
      <c r="S671" s="3"/>
      <c r="T671" t="e">
        <f>IF(ISBLANK('Master Submitted DPDs'!#REF!),"",'Master Submitted DPDs'!#REF!)</f>
        <v>#REF!</v>
      </c>
    </row>
    <row r="672" spans="1:20" ht="15" x14ac:dyDescent="0.2">
      <c r="A672" s="3" t="str">
        <f>IF(ISBLANK('Master Submitted DPDs'!#REF!),"","Local Plans")</f>
        <v>Local Plans</v>
      </c>
      <c r="B672" t="e">
        <f>IF(ISBLANK('Master Submitted DPDs'!#REF!),"",'Master Submitted DPDs'!#REF!)</f>
        <v>#REF!</v>
      </c>
      <c r="C672" s="3" t="str">
        <f>IF(ISBLANK('Master Submitted DPDs'!#REF!),"","IH")</f>
        <v>IH</v>
      </c>
      <c r="D672" s="3" t="e">
        <f>LOOKUP($F672,'fuzzy LPA lookup'!$E:$E,'fuzzy LPA lookup'!$A:$A)</f>
        <v>#REF!</v>
      </c>
      <c r="E672" s="3" t="e">
        <f>LOOKUP($F672,'fuzzy LPA lookup'!$E:$E,'fuzzy LPA lookup'!$D:$D)</f>
        <v>#REF!</v>
      </c>
      <c r="F672" s="8" t="e">
        <f>IF(ISBLANK('Master Submitted DPDs'!#REF!),"",'Master Submitted DPDs'!#REF!)</f>
        <v>#REF!</v>
      </c>
      <c r="G672" t="str">
        <f>IF(ISBLANK('Master Submitted DPDs'!#REF!),"","Withdrawn")</f>
        <v>Withdrawn</v>
      </c>
      <c r="H672" s="2" t="e">
        <f>IF(ISBLANK('Master Submitted DPDs'!#REF!),"",'Master Submitted DPDs'!#REF!)</f>
        <v>#REF!</v>
      </c>
      <c r="I672" s="3"/>
      <c r="J672" s="3"/>
      <c r="K672" s="3"/>
      <c r="L672" s="2" t="e">
        <f>IF(ISBLANK('Master Submitted DPDs'!#REF!),"",'Master Submitted DPDs'!#REF!)</f>
        <v>#REF!</v>
      </c>
      <c r="M672" s="2" t="e">
        <f t="shared" si="20"/>
        <v>#REF!</v>
      </c>
      <c r="N672" s="2" t="e">
        <f>IF(ISBLANK('Master Submitted DPDs'!#REF!),IF(ISBLANK('Master Submitted DPDs'!#REF!),"",'Master Submitted DPDs'!#REF!),'Master Submitted DPDs'!#REF!)</f>
        <v>#REF!</v>
      </c>
      <c r="O672" s="2" t="e">
        <f>IF(ISBLANK('Master Submitted DPDs'!#REF!),"",'Master Submitted DPDs'!#REF!)</f>
        <v>#REF!</v>
      </c>
      <c r="P672" s="2" t="e">
        <f>IF(ISBLANK('Master Submitted DPDs'!#REF!),"",'Master Submitted DPDs'!#REF!)</f>
        <v>#REF!</v>
      </c>
      <c r="Q672" t="e">
        <f>IF(ISBLANK('Master Submitted DPDs'!#REF!),"",'Master Submitted DPDs'!#REF!)</f>
        <v>#REF!</v>
      </c>
      <c r="R672" t="e">
        <f t="shared" si="21"/>
        <v>#REF!</v>
      </c>
      <c r="S672" s="3"/>
      <c r="T672" t="e">
        <f>IF(ISBLANK('Master Submitted DPDs'!#REF!),"",'Master Submitted DPDs'!#REF!)</f>
        <v>#REF!</v>
      </c>
    </row>
    <row r="673" spans="1:20" ht="15" x14ac:dyDescent="0.2">
      <c r="A673" s="3" t="str">
        <f>IF(ISBLANK('Master Submitted DPDs'!#REF!),"","Local Plans")</f>
        <v>Local Plans</v>
      </c>
      <c r="B673" t="e">
        <f>IF(ISBLANK('Master Submitted DPDs'!#REF!),"",'Master Submitted DPDs'!#REF!)</f>
        <v>#REF!</v>
      </c>
      <c r="C673" s="3" t="str">
        <f>IF(ISBLANK('Master Submitted DPDs'!#REF!),"","IH")</f>
        <v>IH</v>
      </c>
      <c r="D673" s="3" t="e">
        <f>LOOKUP($F673,'fuzzy LPA lookup'!$E:$E,'fuzzy LPA lookup'!$A:$A)</f>
        <v>#REF!</v>
      </c>
      <c r="E673" s="3" t="e">
        <f>LOOKUP($F673,'fuzzy LPA lookup'!$E:$E,'fuzzy LPA lookup'!$D:$D)</f>
        <v>#REF!</v>
      </c>
      <c r="F673" s="8" t="e">
        <f>IF(ISBLANK('Master Submitted DPDs'!#REF!),"",'Master Submitted DPDs'!#REF!)</f>
        <v>#REF!</v>
      </c>
      <c r="G673" t="str">
        <f>IF(ISBLANK('Master Submitted DPDs'!#REF!),"","Withdrawn")</f>
        <v>Withdrawn</v>
      </c>
      <c r="H673" s="2" t="e">
        <f>IF(ISBLANK('Master Submitted DPDs'!#REF!),"",'Master Submitted DPDs'!#REF!)</f>
        <v>#REF!</v>
      </c>
      <c r="I673" s="3"/>
      <c r="J673" s="3"/>
      <c r="K673" s="3"/>
      <c r="L673" s="2" t="e">
        <f>IF(ISBLANK('Master Submitted DPDs'!#REF!),"",'Master Submitted DPDs'!#REF!)</f>
        <v>#REF!</v>
      </c>
      <c r="M673" s="2" t="e">
        <f t="shared" si="20"/>
        <v>#REF!</v>
      </c>
      <c r="N673" s="2" t="e">
        <f>IF(ISBLANK('Master Submitted DPDs'!#REF!),IF(ISBLANK('Master Submitted DPDs'!#REF!),"",'Master Submitted DPDs'!#REF!),'Master Submitted DPDs'!#REF!)</f>
        <v>#REF!</v>
      </c>
      <c r="O673" s="2" t="e">
        <f>IF(ISBLANK('Master Submitted DPDs'!#REF!),"",'Master Submitted DPDs'!#REF!)</f>
        <v>#REF!</v>
      </c>
      <c r="P673" s="2" t="e">
        <f>IF(ISBLANK('Master Submitted DPDs'!#REF!),"",'Master Submitted DPDs'!#REF!)</f>
        <v>#REF!</v>
      </c>
      <c r="Q673" t="e">
        <f>IF(ISBLANK('Master Submitted DPDs'!#REF!),"",'Master Submitted DPDs'!#REF!)</f>
        <v>#REF!</v>
      </c>
      <c r="R673" t="e">
        <f t="shared" si="21"/>
        <v>#REF!</v>
      </c>
      <c r="S673" s="3"/>
      <c r="T673" t="e">
        <f>IF(ISBLANK('Master Submitted DPDs'!#REF!),"",'Master Submitted DPDs'!#REF!)</f>
        <v>#REF!</v>
      </c>
    </row>
    <row r="674" spans="1:20" ht="15" x14ac:dyDescent="0.2">
      <c r="A674" s="3" t="str">
        <f>IF(ISBLANK('Master Submitted DPDs'!#REF!),"","Local Plans")</f>
        <v>Local Plans</v>
      </c>
      <c r="B674" t="e">
        <f>IF(ISBLANK('Master Submitted DPDs'!#REF!),"",'Master Submitted DPDs'!#REF!)</f>
        <v>#REF!</v>
      </c>
      <c r="C674" s="3" t="str">
        <f>IF(ISBLANK('Master Submitted DPDs'!#REF!),"","IH")</f>
        <v>IH</v>
      </c>
      <c r="D674" s="3" t="e">
        <f>LOOKUP($F674,'fuzzy LPA lookup'!$E:$E,'fuzzy LPA lookup'!$A:$A)</f>
        <v>#REF!</v>
      </c>
      <c r="E674" s="3" t="e">
        <f>LOOKUP($F674,'fuzzy LPA lookup'!$E:$E,'fuzzy LPA lookup'!$D:$D)</f>
        <v>#REF!</v>
      </c>
      <c r="F674" s="8" t="e">
        <f>IF(ISBLANK('Master Submitted DPDs'!#REF!),"",'Master Submitted DPDs'!#REF!)</f>
        <v>#REF!</v>
      </c>
      <c r="G674" t="str">
        <f>IF(ISBLANK('Master Submitted DPDs'!#REF!),"","Withdrawn")</f>
        <v>Withdrawn</v>
      </c>
      <c r="H674" s="2" t="e">
        <f>IF(ISBLANK('Master Submitted DPDs'!#REF!),"",'Master Submitted DPDs'!#REF!)</f>
        <v>#REF!</v>
      </c>
      <c r="I674" s="3"/>
      <c r="J674" s="3"/>
      <c r="K674" s="3"/>
      <c r="L674" s="2" t="e">
        <f>IF(ISBLANK('Master Submitted DPDs'!#REF!),"",'Master Submitted DPDs'!#REF!)</f>
        <v>#REF!</v>
      </c>
      <c r="M674" s="2" t="e">
        <f t="shared" si="20"/>
        <v>#REF!</v>
      </c>
      <c r="N674" s="2" t="e">
        <f>IF(ISBLANK('Master Submitted DPDs'!#REF!),IF(ISBLANK('Master Submitted DPDs'!#REF!),"",'Master Submitted DPDs'!#REF!),'Master Submitted DPDs'!#REF!)</f>
        <v>#REF!</v>
      </c>
      <c r="O674" s="2" t="e">
        <f>IF(ISBLANK('Master Submitted DPDs'!#REF!),"",'Master Submitted DPDs'!#REF!)</f>
        <v>#REF!</v>
      </c>
      <c r="P674" s="2" t="e">
        <f>IF(ISBLANK('Master Submitted DPDs'!#REF!),"",'Master Submitted DPDs'!#REF!)</f>
        <v>#REF!</v>
      </c>
      <c r="Q674" t="e">
        <f>IF(ISBLANK('Master Submitted DPDs'!#REF!),"",'Master Submitted DPDs'!#REF!)</f>
        <v>#REF!</v>
      </c>
      <c r="R674" t="e">
        <f t="shared" si="21"/>
        <v>#REF!</v>
      </c>
      <c r="S674" s="3"/>
      <c r="T674" t="e">
        <f>IF(ISBLANK('Master Submitted DPDs'!#REF!),"",'Master Submitted DPDs'!#REF!)</f>
        <v>#REF!</v>
      </c>
    </row>
    <row r="675" spans="1:20" ht="15" x14ac:dyDescent="0.2">
      <c r="A675" s="3" t="str">
        <f>IF(ISBLANK('Master Submitted DPDs'!#REF!),"","Local Plans")</f>
        <v>Local Plans</v>
      </c>
      <c r="B675" t="e">
        <f>IF(ISBLANK('Master Submitted DPDs'!#REF!),"",'Master Submitted DPDs'!#REF!)</f>
        <v>#REF!</v>
      </c>
      <c r="C675" s="3" t="str">
        <f>IF(ISBLANK('Master Submitted DPDs'!#REF!),"","IH")</f>
        <v>IH</v>
      </c>
      <c r="D675" s="3" t="e">
        <f>LOOKUP($F675,'fuzzy LPA lookup'!$E:$E,'fuzzy LPA lookup'!$A:$A)</f>
        <v>#REF!</v>
      </c>
      <c r="E675" s="3" t="e">
        <f>LOOKUP($F675,'fuzzy LPA lookup'!$E:$E,'fuzzy LPA lookup'!$D:$D)</f>
        <v>#REF!</v>
      </c>
      <c r="F675" s="8" t="e">
        <f>IF(ISBLANK('Master Submitted DPDs'!#REF!),"",'Master Submitted DPDs'!#REF!)</f>
        <v>#REF!</v>
      </c>
      <c r="G675" t="str">
        <f>IF(ISBLANK('Master Submitted DPDs'!#REF!),"","Withdrawn")</f>
        <v>Withdrawn</v>
      </c>
      <c r="H675" s="2" t="e">
        <f>IF(ISBLANK('Master Submitted DPDs'!#REF!),"",'Master Submitted DPDs'!#REF!)</f>
        <v>#REF!</v>
      </c>
      <c r="I675" s="3"/>
      <c r="J675" s="3"/>
      <c r="K675" s="3"/>
      <c r="L675" s="2" t="e">
        <f>IF(ISBLANK('Master Submitted DPDs'!#REF!),"",'Master Submitted DPDs'!#REF!)</f>
        <v>#REF!</v>
      </c>
      <c r="M675" s="2" t="e">
        <f t="shared" si="20"/>
        <v>#REF!</v>
      </c>
      <c r="N675" s="2" t="e">
        <f>IF(ISBLANK('Master Submitted DPDs'!#REF!),IF(ISBLANK('Master Submitted DPDs'!#REF!),"",'Master Submitted DPDs'!#REF!),'Master Submitted DPDs'!#REF!)</f>
        <v>#REF!</v>
      </c>
      <c r="O675" s="2" t="e">
        <f>IF(ISBLANK('Master Submitted DPDs'!#REF!),"",'Master Submitted DPDs'!#REF!)</f>
        <v>#REF!</v>
      </c>
      <c r="P675" s="2" t="e">
        <f>IF(ISBLANK('Master Submitted DPDs'!#REF!),"",'Master Submitted DPDs'!#REF!)</f>
        <v>#REF!</v>
      </c>
      <c r="Q675" t="e">
        <f>IF(ISBLANK('Master Submitted DPDs'!#REF!),"",'Master Submitted DPDs'!#REF!)</f>
        <v>#REF!</v>
      </c>
      <c r="R675" t="e">
        <f t="shared" si="21"/>
        <v>#REF!</v>
      </c>
      <c r="S675" s="3"/>
      <c r="T675" t="e">
        <f>IF(ISBLANK('Master Submitted DPDs'!#REF!),"",'Master Submitted DPDs'!#REF!)</f>
        <v>#REF!</v>
      </c>
    </row>
    <row r="676" spans="1:20" ht="15" x14ac:dyDescent="0.2">
      <c r="A676" s="3" t="str">
        <f>IF(ISBLANK('Master Submitted DPDs'!#REF!),"","Local Plans")</f>
        <v>Local Plans</v>
      </c>
      <c r="B676" t="e">
        <f>IF(ISBLANK('Master Submitted DPDs'!#REF!),"",'Master Submitted DPDs'!#REF!)</f>
        <v>#REF!</v>
      </c>
      <c r="C676" s="3" t="str">
        <f>IF(ISBLANK('Master Submitted DPDs'!#REF!),"","IH")</f>
        <v>IH</v>
      </c>
      <c r="D676" s="3" t="e">
        <f>LOOKUP($F676,'fuzzy LPA lookup'!$E:$E,'fuzzy LPA lookup'!$A:$A)</f>
        <v>#REF!</v>
      </c>
      <c r="E676" s="3" t="e">
        <f>LOOKUP($F676,'fuzzy LPA lookup'!$E:$E,'fuzzy LPA lookup'!$D:$D)</f>
        <v>#REF!</v>
      </c>
      <c r="F676" s="8" t="e">
        <f>IF(ISBLANK('Master Submitted DPDs'!#REF!),"",'Master Submitted DPDs'!#REF!)</f>
        <v>#REF!</v>
      </c>
      <c r="G676" t="str">
        <f>IF(ISBLANK('Master Submitted DPDs'!#REF!),"","Withdrawn")</f>
        <v>Withdrawn</v>
      </c>
      <c r="H676" s="2" t="e">
        <f>IF(ISBLANK('Master Submitted DPDs'!#REF!),"",'Master Submitted DPDs'!#REF!)</f>
        <v>#REF!</v>
      </c>
      <c r="I676" s="3"/>
      <c r="J676" s="3"/>
      <c r="K676" s="3"/>
      <c r="L676" s="2" t="e">
        <f>IF(ISBLANK('Master Submitted DPDs'!#REF!),"",'Master Submitted DPDs'!#REF!)</f>
        <v>#REF!</v>
      </c>
      <c r="M676" s="2" t="e">
        <f t="shared" si="20"/>
        <v>#REF!</v>
      </c>
      <c r="N676" s="2" t="e">
        <f>IF(ISBLANK('Master Submitted DPDs'!#REF!),IF(ISBLANK('Master Submitted DPDs'!#REF!),"",'Master Submitted DPDs'!#REF!),'Master Submitted DPDs'!#REF!)</f>
        <v>#REF!</v>
      </c>
      <c r="O676" s="2" t="e">
        <f>IF(ISBLANK('Master Submitted DPDs'!#REF!),"",'Master Submitted DPDs'!#REF!)</f>
        <v>#REF!</v>
      </c>
      <c r="P676" s="2" t="e">
        <f>IF(ISBLANK('Master Submitted DPDs'!#REF!),"",'Master Submitted DPDs'!#REF!)</f>
        <v>#REF!</v>
      </c>
      <c r="Q676" t="e">
        <f>IF(ISBLANK('Master Submitted DPDs'!#REF!),"",'Master Submitted DPDs'!#REF!)</f>
        <v>#REF!</v>
      </c>
      <c r="R676" t="e">
        <f t="shared" si="21"/>
        <v>#REF!</v>
      </c>
      <c r="S676" s="3"/>
      <c r="T676" t="e">
        <f>IF(ISBLANK('Master Submitted DPDs'!#REF!),"",'Master Submitted DPDs'!#REF!)</f>
        <v>#REF!</v>
      </c>
    </row>
    <row r="677" spans="1:20" ht="15" x14ac:dyDescent="0.2">
      <c r="A677" s="3" t="str">
        <f>IF(ISBLANK('Master Submitted DPDs'!#REF!),"","Local Plans")</f>
        <v>Local Plans</v>
      </c>
      <c r="B677" t="e">
        <f>IF(ISBLANK('Master Submitted DPDs'!#REF!),"",'Master Submitted DPDs'!#REF!)</f>
        <v>#REF!</v>
      </c>
      <c r="C677" s="3" t="str">
        <f>IF(ISBLANK('Master Submitted DPDs'!#REF!),"","IH")</f>
        <v>IH</v>
      </c>
      <c r="D677" s="3" t="e">
        <f>LOOKUP($F677,'fuzzy LPA lookup'!$E:$E,'fuzzy LPA lookup'!$A:$A)</f>
        <v>#REF!</v>
      </c>
      <c r="E677" s="3" t="e">
        <f>LOOKUP($F677,'fuzzy LPA lookup'!$E:$E,'fuzzy LPA lookup'!$D:$D)</f>
        <v>#REF!</v>
      </c>
      <c r="F677" s="8" t="e">
        <f>IF(ISBLANK('Master Submitted DPDs'!#REF!),"",'Master Submitted DPDs'!#REF!)</f>
        <v>#REF!</v>
      </c>
      <c r="G677" t="str">
        <f>IF(ISBLANK('Master Submitted DPDs'!#REF!),"","Withdrawn")</f>
        <v>Withdrawn</v>
      </c>
      <c r="H677" s="2" t="e">
        <f>IF(ISBLANK('Master Submitted DPDs'!#REF!),"",'Master Submitted DPDs'!#REF!)</f>
        <v>#REF!</v>
      </c>
      <c r="I677" s="3"/>
      <c r="J677" s="3"/>
      <c r="K677" s="3"/>
      <c r="L677" s="2" t="e">
        <f>IF(ISBLANK('Master Submitted DPDs'!#REF!),"",'Master Submitted DPDs'!#REF!)</f>
        <v>#REF!</v>
      </c>
      <c r="M677" s="2" t="e">
        <f t="shared" si="20"/>
        <v>#REF!</v>
      </c>
      <c r="N677" s="2" t="e">
        <f>IF(ISBLANK('Master Submitted DPDs'!#REF!),IF(ISBLANK('Master Submitted DPDs'!#REF!),"",'Master Submitted DPDs'!#REF!),'Master Submitted DPDs'!#REF!)</f>
        <v>#REF!</v>
      </c>
      <c r="O677" s="2" t="e">
        <f>IF(ISBLANK('Master Submitted DPDs'!#REF!),"",'Master Submitted DPDs'!#REF!)</f>
        <v>#REF!</v>
      </c>
      <c r="P677" s="2" t="e">
        <f>IF(ISBLANK('Master Submitted DPDs'!#REF!),"",'Master Submitted DPDs'!#REF!)</f>
        <v>#REF!</v>
      </c>
      <c r="Q677" t="e">
        <f>IF(ISBLANK('Master Submitted DPDs'!#REF!),"",'Master Submitted DPDs'!#REF!)</f>
        <v>#REF!</v>
      </c>
      <c r="R677" t="e">
        <f t="shared" si="21"/>
        <v>#REF!</v>
      </c>
      <c r="S677" s="3"/>
      <c r="T677" t="e">
        <f>IF(ISBLANK('Master Submitted DPDs'!#REF!),"",'Master Submitted DPDs'!#REF!)</f>
        <v>#REF!</v>
      </c>
    </row>
    <row r="678" spans="1:20" ht="15" x14ac:dyDescent="0.2">
      <c r="A678" s="3" t="str">
        <f>IF(ISBLANK('Master Submitted DPDs'!#REF!),"","Local Plans")</f>
        <v>Local Plans</v>
      </c>
      <c r="B678" t="e">
        <f>IF(ISBLANK('Master Submitted DPDs'!#REF!),"",'Master Submitted DPDs'!#REF!)</f>
        <v>#REF!</v>
      </c>
      <c r="C678" s="3" t="str">
        <f>IF(ISBLANK('Master Submitted DPDs'!#REF!),"","IH")</f>
        <v>IH</v>
      </c>
      <c r="D678" s="3" t="e">
        <f>LOOKUP($F678,'fuzzy LPA lookup'!$E:$E,'fuzzy LPA lookup'!$A:$A)</f>
        <v>#REF!</v>
      </c>
      <c r="E678" s="3" t="e">
        <f>LOOKUP($F678,'fuzzy LPA lookup'!$E:$E,'fuzzy LPA lookup'!$D:$D)</f>
        <v>#REF!</v>
      </c>
      <c r="F678" s="8" t="e">
        <f>IF(ISBLANK('Master Submitted DPDs'!#REF!),"",'Master Submitted DPDs'!#REF!)</f>
        <v>#REF!</v>
      </c>
      <c r="G678" t="str">
        <f>IF(ISBLANK('Master Submitted DPDs'!#REF!),"","Withdrawn")</f>
        <v>Withdrawn</v>
      </c>
      <c r="H678" s="2" t="e">
        <f>IF(ISBLANK('Master Submitted DPDs'!#REF!),"",'Master Submitted DPDs'!#REF!)</f>
        <v>#REF!</v>
      </c>
      <c r="I678" s="3"/>
      <c r="J678" s="3"/>
      <c r="K678" s="3"/>
      <c r="L678" s="2" t="e">
        <f>IF(ISBLANK('Master Submitted DPDs'!#REF!),"",'Master Submitted DPDs'!#REF!)</f>
        <v>#REF!</v>
      </c>
      <c r="M678" s="2" t="e">
        <f t="shared" si="20"/>
        <v>#REF!</v>
      </c>
      <c r="N678" s="2" t="e">
        <f>IF(ISBLANK('Master Submitted DPDs'!#REF!),IF(ISBLANK('Master Submitted DPDs'!#REF!),"",'Master Submitted DPDs'!#REF!),'Master Submitted DPDs'!#REF!)</f>
        <v>#REF!</v>
      </c>
      <c r="O678" s="2" t="e">
        <f>IF(ISBLANK('Master Submitted DPDs'!#REF!),"",'Master Submitted DPDs'!#REF!)</f>
        <v>#REF!</v>
      </c>
      <c r="P678" s="2" t="e">
        <f>IF(ISBLANK('Master Submitted DPDs'!#REF!),"",'Master Submitted DPDs'!#REF!)</f>
        <v>#REF!</v>
      </c>
      <c r="Q678" t="e">
        <f>IF(ISBLANK('Master Submitted DPDs'!#REF!),"",'Master Submitted DPDs'!#REF!)</f>
        <v>#REF!</v>
      </c>
      <c r="R678" t="e">
        <f t="shared" si="21"/>
        <v>#REF!</v>
      </c>
      <c r="S678" s="3"/>
      <c r="T678" t="e">
        <f>IF(ISBLANK('Master Submitted DPDs'!#REF!),"",'Master Submitted DPDs'!#REF!)</f>
        <v>#REF!</v>
      </c>
    </row>
    <row r="679" spans="1:20" ht="15" x14ac:dyDescent="0.2">
      <c r="A679" s="3" t="str">
        <f>IF(ISBLANK('Master Submitted DPDs'!#REF!),"","Local Plans")</f>
        <v>Local Plans</v>
      </c>
      <c r="B679" t="e">
        <f>IF(ISBLANK('Master Submitted DPDs'!#REF!),"",'Master Submitted DPDs'!#REF!)</f>
        <v>#REF!</v>
      </c>
      <c r="C679" s="3" t="str">
        <f>IF(ISBLANK('Master Submitted DPDs'!#REF!),"","IH")</f>
        <v>IH</v>
      </c>
      <c r="D679" s="3" t="e">
        <f>LOOKUP($F679,'fuzzy LPA lookup'!$E:$E,'fuzzy LPA lookup'!$A:$A)</f>
        <v>#REF!</v>
      </c>
      <c r="E679" s="3" t="e">
        <f>LOOKUP($F679,'fuzzy LPA lookup'!$E:$E,'fuzzy LPA lookup'!$D:$D)</f>
        <v>#REF!</v>
      </c>
      <c r="F679" s="8" t="e">
        <f>IF(ISBLANK('Master Submitted DPDs'!#REF!),"",'Master Submitted DPDs'!#REF!)</f>
        <v>#REF!</v>
      </c>
      <c r="G679" t="str">
        <f>IF(ISBLANK('Master Submitted DPDs'!#REF!),"","Withdrawn")</f>
        <v>Withdrawn</v>
      </c>
      <c r="H679" s="2" t="e">
        <f>IF(ISBLANK('Master Submitted DPDs'!#REF!),"",'Master Submitted DPDs'!#REF!)</f>
        <v>#REF!</v>
      </c>
      <c r="I679" s="3"/>
      <c r="J679" s="3"/>
      <c r="K679" s="3"/>
      <c r="L679" s="2" t="e">
        <f>IF(ISBLANK('Master Submitted DPDs'!#REF!),"",'Master Submitted DPDs'!#REF!)</f>
        <v>#REF!</v>
      </c>
      <c r="M679" s="2" t="e">
        <f t="shared" si="20"/>
        <v>#REF!</v>
      </c>
      <c r="N679" s="2" t="e">
        <f>IF(ISBLANK('Master Submitted DPDs'!#REF!),IF(ISBLANK('Master Submitted DPDs'!#REF!),"",'Master Submitted DPDs'!#REF!),'Master Submitted DPDs'!#REF!)</f>
        <v>#REF!</v>
      </c>
      <c r="O679" s="2" t="e">
        <f>IF(ISBLANK('Master Submitted DPDs'!#REF!),"",'Master Submitted DPDs'!#REF!)</f>
        <v>#REF!</v>
      </c>
      <c r="P679" s="2" t="e">
        <f>IF(ISBLANK('Master Submitted DPDs'!#REF!),"",'Master Submitted DPDs'!#REF!)</f>
        <v>#REF!</v>
      </c>
      <c r="Q679" t="e">
        <f>IF(ISBLANK('Master Submitted DPDs'!#REF!),"",'Master Submitted DPDs'!#REF!)</f>
        <v>#REF!</v>
      </c>
      <c r="R679" t="e">
        <f t="shared" si="21"/>
        <v>#REF!</v>
      </c>
      <c r="S679" s="3"/>
      <c r="T679" t="e">
        <f>IF(ISBLANK('Master Submitted DPDs'!#REF!),"",'Master Submitted DPDs'!#REF!)</f>
        <v>#REF!</v>
      </c>
    </row>
    <row r="680" spans="1:20" ht="15" x14ac:dyDescent="0.2">
      <c r="A680" s="3" t="str">
        <f>IF(ISBLANK('Master Submitted DPDs'!#REF!),"","Local Plans")</f>
        <v>Local Plans</v>
      </c>
      <c r="B680" t="str">
        <f>IF(ISBLANK('Master Submitted DPDs'!F2),"",'Master Submitted DPDs'!F2)</f>
        <v>LP</v>
      </c>
      <c r="C680" s="3" t="str">
        <f>IF(ISBLANK('Master Submitted DPDs'!$B2),"","IH")</f>
        <v>IH</v>
      </c>
      <c r="D680" s="3" t="str">
        <f>LOOKUP($F680,'fuzzy LPA lookup'!$E:$E,'fuzzy LPA lookup'!$A:$A)</f>
        <v>T3725</v>
      </c>
      <c r="E680" s="3" t="str">
        <f>LOOKUP($F680,'fuzzy LPA lookup'!$E:$E,'fuzzy LPA lookup'!$D:$D)</f>
        <v>Warwick District Council</v>
      </c>
      <c r="F680" s="8">
        <f>IF(ISBLANK('Master Submitted DPDs'!B2),"",'Master Submitted DPDs'!B2)</f>
        <v>1570</v>
      </c>
      <c r="G680" t="str">
        <f>IF(ISBLANK('Master Submitted DPDs'!AS2),"","Withdrawn")</f>
        <v/>
      </c>
      <c r="H680" s="2" t="str">
        <f>IF(ISBLANK('Master Submitted DPDs'!AS2),"",'Master Submitted DPDs'!AS2)</f>
        <v/>
      </c>
      <c r="I680" s="3"/>
      <c r="J680" s="3"/>
      <c r="K680" s="3"/>
      <c r="L680" s="2">
        <f>IF(ISBLANK('Master Submitted DPDs'!J2),"",'Master Submitted DPDs'!J2)</f>
        <v>42034</v>
      </c>
      <c r="M680" s="2">
        <f t="shared" si="20"/>
        <v>42034</v>
      </c>
      <c r="N680" s="2">
        <f>IF(ISBLANK('Master Submitted DPDs'!M2),IF(ISBLANK('Master Submitted DPDs'!O2),"",'Master Submitted DPDs'!O2),'Master Submitted DPDs'!M2)</f>
        <v>42034</v>
      </c>
      <c r="O680" s="2">
        <f>IF(ISBLANK('Master Submitted DPDs'!Q2),"",'Master Submitted DPDs'!Q2)</f>
        <v>42719</v>
      </c>
      <c r="P680" s="2">
        <f>IF(ISBLANK('Master Submitted DPDs'!AO2),"",'Master Submitted DPDs'!AO2)</f>
        <v>42944</v>
      </c>
      <c r="Q680" t="str">
        <f>IF(ISBLANK('Master Submitted DPDs'!AU2),"",'Master Submitted DPDs'!AU2)</f>
        <v>SOU</v>
      </c>
      <c r="R680" t="str">
        <f t="shared" si="21"/>
        <v>Closed</v>
      </c>
      <c r="S680" s="3"/>
      <c r="T680" t="str">
        <f>IF(ISBLANK('Master Submitted DPDs'!G2),"",'Master Submitted DPDs'!G2)</f>
        <v>B</v>
      </c>
    </row>
    <row r="681" spans="1:20" ht="15" x14ac:dyDescent="0.2">
      <c r="A681" s="3" t="str">
        <f>IF(ISBLANK('Master Submitted DPDs'!#REF!),"","Local Plans")</f>
        <v>Local Plans</v>
      </c>
      <c r="B681" t="str">
        <f>IF(ISBLANK('Master Submitted DPDs'!F3),"",'Master Submitted DPDs'!F3)</f>
        <v>LP</v>
      </c>
      <c r="C681" s="3" t="str">
        <f>IF(ISBLANK('Master Submitted DPDs'!$B3),"","IH")</f>
        <v>IH</v>
      </c>
      <c r="D681" s="3" t="str">
        <f>LOOKUP($F681,'fuzzy LPA lookup'!$E:$E,'fuzzy LPA lookup'!$A:$A)</f>
        <v>X1355</v>
      </c>
      <c r="E681" s="3" t="str">
        <f>LOOKUP($F681,'fuzzy LPA lookup'!$E:$E,'fuzzy LPA lookup'!$D:$D)</f>
        <v>Durham County Council</v>
      </c>
      <c r="F681" s="8">
        <f>IF(ISBLANK('Master Submitted DPDs'!B3),"",'Master Submitted DPDs'!B3)</f>
        <v>1089</v>
      </c>
      <c r="G681" t="str">
        <f>IF(ISBLANK('Master Submitted DPDs'!AS3),"","Withdrawn")</f>
        <v/>
      </c>
      <c r="H681" s="2" t="str">
        <f>IF(ISBLANK('Master Submitted DPDs'!AS3),"",'Master Submitted DPDs'!AS3)</f>
        <v/>
      </c>
      <c r="I681" s="3"/>
      <c r="J681" s="3"/>
      <c r="K681" s="3"/>
      <c r="L681" s="2">
        <f>IF(ISBLANK('Master Submitted DPDs'!J3),"",'Master Submitted DPDs'!J3)</f>
        <v>42034</v>
      </c>
      <c r="M681" s="2">
        <f t="shared" si="20"/>
        <v>42034</v>
      </c>
      <c r="N681" s="2">
        <f>IF(ISBLANK('Master Submitted DPDs'!M3),IF(ISBLANK('Master Submitted DPDs'!O3),"",'Master Submitted DPDs'!O3),'Master Submitted DPDs'!M3)</f>
        <v>42034</v>
      </c>
      <c r="O681" s="2">
        <f>IF(ISBLANK('Master Submitted DPDs'!Q3),"",'Master Submitted DPDs'!Q3)</f>
        <v>43006</v>
      </c>
      <c r="P681" s="2">
        <f>IF(ISBLANK('Master Submitted DPDs'!AO3),"",'Master Submitted DPDs'!AO3)</f>
        <v>43285</v>
      </c>
      <c r="Q681" t="str">
        <f>IF(ISBLANK('Master Submitted DPDs'!AU3),"",'Master Submitted DPDs'!AU3)</f>
        <v>SOU</v>
      </c>
      <c r="R681" t="str">
        <f t="shared" si="21"/>
        <v>Closed</v>
      </c>
      <c r="S681" s="3"/>
      <c r="T681" t="str">
        <f>IF(ISBLANK('Master Submitted DPDs'!G3),"",'Master Submitted DPDs'!G3)</f>
        <v>A</v>
      </c>
    </row>
    <row r="682" spans="1:20" ht="15" x14ac:dyDescent="0.2">
      <c r="A682" s="3" t="str">
        <f>IF(ISBLANK('Master Submitted DPDs'!#REF!),"","Local Plans")</f>
        <v>Local Plans</v>
      </c>
      <c r="B682" t="str">
        <f>IF(ISBLANK('Master Submitted DPDs'!F4),"",'Master Submitted DPDs'!F4)</f>
        <v>LP</v>
      </c>
      <c r="C682" s="3" t="str">
        <f>IF(ISBLANK('Master Submitted DPDs'!$B4),"","IH")</f>
        <v>IH</v>
      </c>
      <c r="D682" s="3" t="str">
        <f>LOOKUP($F682,'fuzzy LPA lookup'!$E:$E,'fuzzy LPA lookup'!$A:$A)</f>
        <v>M9584</v>
      </c>
      <c r="E682" s="3" t="str">
        <f>LOOKUP($F682,'fuzzy LPA lookup'!$E:$E,'fuzzy LPA lookup'!$D:$D)</f>
        <v>London Legacy Development Corporation</v>
      </c>
      <c r="F682" s="8">
        <f>IF(ISBLANK('Master Submitted DPDs'!B4),"",'Master Submitted DPDs'!B4)</f>
        <v>1617</v>
      </c>
      <c r="G682" t="str">
        <f>IF(ISBLANK('Master Submitted DPDs'!AS4),"","Withdrawn")</f>
        <v/>
      </c>
      <c r="H682" s="2" t="str">
        <f>IF(ISBLANK('Master Submitted DPDs'!AS4),"",'Master Submitted DPDs'!AS4)</f>
        <v/>
      </c>
      <c r="I682" s="3"/>
      <c r="J682" s="3"/>
      <c r="K682" s="3"/>
      <c r="L682" s="2">
        <f>IF(ISBLANK('Master Submitted DPDs'!J4),"",'Master Submitted DPDs'!J4)</f>
        <v>42040</v>
      </c>
      <c r="M682" s="2">
        <f t="shared" si="20"/>
        <v>42040</v>
      </c>
      <c r="N682" s="2">
        <f>IF(ISBLANK('Master Submitted DPDs'!M4),IF(ISBLANK('Master Submitted DPDs'!O4),"",'Master Submitted DPDs'!O4),'Master Submitted DPDs'!M4)</f>
        <v>42041</v>
      </c>
      <c r="O682" s="2">
        <f>IF(ISBLANK('Master Submitted DPDs'!Q4),"",'Master Submitted DPDs'!Q4)</f>
        <v>42180</v>
      </c>
      <c r="P682" s="2">
        <f>IF(ISBLANK('Master Submitted DPDs'!AO4),"",'Master Submitted DPDs'!AO4)</f>
        <v>42403</v>
      </c>
      <c r="Q682" t="str">
        <f>IF(ISBLANK('Master Submitted DPDs'!AU4),"",'Master Submitted DPDs'!AU4)</f>
        <v>SOU</v>
      </c>
      <c r="R682" t="str">
        <f t="shared" si="21"/>
        <v>Closed</v>
      </c>
      <c r="S682" s="3"/>
      <c r="T682" t="str">
        <f>IF(ISBLANK('Master Submitted DPDs'!G4),"",'Master Submitted DPDs'!G4)</f>
        <v>A</v>
      </c>
    </row>
    <row r="683" spans="1:20" ht="15" x14ac:dyDescent="0.2">
      <c r="A683" s="3" t="str">
        <f>IF(ISBLANK('Master Submitted DPDs'!#REF!),"","Local Plans")</f>
        <v>Local Plans</v>
      </c>
      <c r="B683" t="str">
        <f>IF(ISBLANK('Master Submitted DPDs'!F5),"",'Master Submitted DPDs'!F5)</f>
        <v>LP</v>
      </c>
      <c r="C683" s="3" t="str">
        <f>IF(ISBLANK('Master Submitted DPDs'!$B5),"","IH")</f>
        <v>IH</v>
      </c>
      <c r="D683" s="3" t="str">
        <f>LOOKUP($F683,'fuzzy LPA lookup'!$E:$E,'fuzzy LPA lookup'!$A:$A)</f>
        <v>H1033</v>
      </c>
      <c r="E683" s="3" t="str">
        <f>LOOKUP($F683,'fuzzy LPA lookup'!$E:$E,'fuzzy LPA lookup'!$D:$D)</f>
        <v>High Peak Borough Council</v>
      </c>
      <c r="F683" s="8">
        <f>IF(ISBLANK('Master Submitted DPDs'!B5),"",'Master Submitted DPDs'!B5)</f>
        <v>1435</v>
      </c>
      <c r="G683" t="str">
        <f>IF(ISBLANK('Master Submitted DPDs'!AS5),"","Withdrawn")</f>
        <v/>
      </c>
      <c r="H683" s="2" t="str">
        <f>IF(ISBLANK('Master Submitted DPDs'!AS5),"",'Master Submitted DPDs'!AS5)</f>
        <v/>
      </c>
      <c r="I683" s="3"/>
      <c r="J683" s="3"/>
      <c r="K683" s="3"/>
      <c r="L683" s="2">
        <f>IF(ISBLANK('Master Submitted DPDs'!J5),"",'Master Submitted DPDs'!J5)</f>
        <v>42040</v>
      </c>
      <c r="M683" s="2">
        <f t="shared" si="20"/>
        <v>42040</v>
      </c>
      <c r="N683" s="2">
        <f>IF(ISBLANK('Master Submitted DPDs'!M5),IF(ISBLANK('Master Submitted DPDs'!O5),"",'Master Submitted DPDs'!O5),'Master Submitted DPDs'!M5)</f>
        <v>42041</v>
      </c>
      <c r="O683" s="2">
        <f>IF(ISBLANK('Master Submitted DPDs'!Q5),"",'Master Submitted DPDs'!Q5)</f>
        <v>42514</v>
      </c>
      <c r="P683" s="2">
        <f>IF(ISBLANK('Master Submitted DPDs'!AO5),"",'Master Submitted DPDs'!AO5)</f>
        <v>42636</v>
      </c>
      <c r="Q683" t="str">
        <f>IF(ISBLANK('Master Submitted DPDs'!AU5),"",'Master Submitted DPDs'!AU5)</f>
        <v>SOU</v>
      </c>
      <c r="R683" t="str">
        <f t="shared" si="21"/>
        <v>Closed</v>
      </c>
      <c r="S683" s="3"/>
      <c r="T683" t="str">
        <f>IF(ISBLANK('Master Submitted DPDs'!G5),"",'Master Submitted DPDs'!G5)</f>
        <v>B</v>
      </c>
    </row>
    <row r="684" spans="1:20" ht="15" x14ac:dyDescent="0.2">
      <c r="A684" s="3" t="str">
        <f>IF(ISBLANK('Master Submitted DPDs'!#REF!),"","Local Plans")</f>
        <v>Local Plans</v>
      </c>
      <c r="B684" t="str">
        <f>IF(ISBLANK('Master Submitted DPDs'!F6),"",'Master Submitted DPDs'!F6)</f>
        <v>AAP</v>
      </c>
      <c r="C684" s="3" t="str">
        <f>IF(ISBLANK('Master Submitted DPDs'!$B6),"","IH")</f>
        <v>IH</v>
      </c>
      <c r="D684" s="3" t="str">
        <f>LOOKUP($F684,'fuzzy LPA lookup'!$E:$E,'fuzzy LPA lookup'!$A:$A)</f>
        <v>M9584</v>
      </c>
      <c r="E684" s="3" t="str">
        <f>LOOKUP($F684,'fuzzy LPA lookup'!$E:$E,'fuzzy LPA lookup'!$D:$D)</f>
        <v>London Legacy Development Corporation</v>
      </c>
      <c r="F684" s="8">
        <f>IF(ISBLANK('Master Submitted DPDs'!B6),"",'Master Submitted DPDs'!B6)</f>
        <v>1609</v>
      </c>
      <c r="G684" t="str">
        <f>IF(ISBLANK('Master Submitted DPDs'!AS6),"","Withdrawn")</f>
        <v/>
      </c>
      <c r="H684" s="2" t="str">
        <f>IF(ISBLANK('Master Submitted DPDs'!AS6),"",'Master Submitted DPDs'!AS6)</f>
        <v/>
      </c>
      <c r="I684" s="3"/>
      <c r="J684" s="3"/>
      <c r="K684" s="3"/>
      <c r="L684" s="2">
        <f>IF(ISBLANK('Master Submitted DPDs'!J6),"",'Master Submitted DPDs'!J6)</f>
        <v>42046</v>
      </c>
      <c r="M684" s="2">
        <f t="shared" si="20"/>
        <v>42046</v>
      </c>
      <c r="N684" s="2">
        <f>IF(ISBLANK('Master Submitted DPDs'!M6),IF(ISBLANK('Master Submitted DPDs'!O6),"",'Master Submitted DPDs'!O6),'Master Submitted DPDs'!M6)</f>
        <v>42047</v>
      </c>
      <c r="O684" s="2">
        <f>IF(ISBLANK('Master Submitted DPDs'!Q6),"",'Master Submitted DPDs'!Q6)</f>
        <v>42209</v>
      </c>
      <c r="P684" s="2">
        <f>IF(ISBLANK('Master Submitted DPDs'!AO6),"",'Master Submitted DPDs'!AO6)</f>
        <v>42507</v>
      </c>
      <c r="Q684" t="str">
        <f>IF(ISBLANK('Master Submitted DPDs'!AU6),"",'Master Submitted DPDs'!AU6)</f>
        <v>SOU</v>
      </c>
      <c r="R684" t="str">
        <f t="shared" si="21"/>
        <v>Closed</v>
      </c>
      <c r="S684" s="3"/>
      <c r="T684" t="str">
        <f>IF(ISBLANK('Master Submitted DPDs'!G6),"",'Master Submitted DPDs'!G6)</f>
        <v>D</v>
      </c>
    </row>
    <row r="685" spans="1:20" ht="15" x14ac:dyDescent="0.2">
      <c r="A685" s="3" t="str">
        <f>IF(ISBLANK('Master Submitted DPDs'!#REF!),"","Local Plans")</f>
        <v>Local Plans</v>
      </c>
      <c r="B685" t="str">
        <f>IF(ISBLANK('Master Submitted DPDs'!F7),"",'Master Submitted DPDs'!F7)</f>
        <v>M&amp;W</v>
      </c>
      <c r="C685" s="3" t="str">
        <f>IF(ISBLANK('Master Submitted DPDs'!$B7),"","IH")</f>
        <v>IH</v>
      </c>
      <c r="D685" s="3" t="str">
        <f>LOOKUP($F685,'fuzzy LPA lookup'!$E:$E,'fuzzy LPA lookup'!$A:$A)</f>
        <v>D1265</v>
      </c>
      <c r="E685" s="3" t="str">
        <f>LOOKUP($F685,'fuzzy LPA lookup'!$E:$E,'fuzzy LPA lookup'!$D:$D)</f>
        <v>Dorset</v>
      </c>
      <c r="F685" s="8">
        <f>IF(ISBLANK('Master Submitted DPDs'!B7),"",'Master Submitted DPDs'!B7)</f>
        <v>1530</v>
      </c>
      <c r="G685" t="str">
        <f>IF(ISBLANK('Master Submitted DPDs'!AS7),"","Withdrawn")</f>
        <v/>
      </c>
      <c r="H685" s="2" t="str">
        <f>IF(ISBLANK('Master Submitted DPDs'!AS7),"",'Master Submitted DPDs'!AS7)</f>
        <v/>
      </c>
      <c r="I685" s="3"/>
      <c r="J685" s="3"/>
      <c r="K685" s="3"/>
      <c r="L685" s="2">
        <f>IF(ISBLANK('Master Submitted DPDs'!J7),"",'Master Submitted DPDs'!J7)</f>
        <v>42052</v>
      </c>
      <c r="M685" s="2">
        <f t="shared" si="20"/>
        <v>42052</v>
      </c>
      <c r="N685" s="2">
        <f>IF(ISBLANK('Master Submitted DPDs'!M7),IF(ISBLANK('Master Submitted DPDs'!O7),"",'Master Submitted DPDs'!O7),'Master Submitted DPDs'!M7)</f>
        <v>42052</v>
      </c>
      <c r="O685" s="2">
        <f>IF(ISBLANK('Master Submitted DPDs'!Q7),"",'Master Submitted DPDs'!Q7)</f>
        <v>42152</v>
      </c>
      <c r="P685" s="2">
        <f>IF(ISBLANK('Master Submitted DPDs'!AO7),"",'Master Submitted DPDs'!AO7)</f>
        <v>42244</v>
      </c>
      <c r="Q685" t="str">
        <f>IF(ISBLANK('Master Submitted DPDs'!AU7),"",'Master Submitted DPDs'!AU7)</f>
        <v>SOU</v>
      </c>
      <c r="R685" t="str">
        <f t="shared" si="21"/>
        <v>Closed</v>
      </c>
      <c r="S685" s="3"/>
      <c r="T685" t="str">
        <f>IF(ISBLANK('Master Submitted DPDs'!G7),"",'Master Submitted DPDs'!G7)</f>
        <v>C</v>
      </c>
    </row>
    <row r="686" spans="1:20" ht="15" x14ac:dyDescent="0.2">
      <c r="A686" s="3" t="str">
        <f>IF(ISBLANK('Master Submitted DPDs'!#REF!),"","Local Plans")</f>
        <v>Local Plans</v>
      </c>
      <c r="B686" t="str">
        <f>IF(ISBLANK('Master Submitted DPDs'!F8),"",'Master Submitted DPDs'!F8)</f>
        <v>AAP</v>
      </c>
      <c r="C686" s="3" t="str">
        <f>IF(ISBLANK('Master Submitted DPDs'!$B8),"","IH")</f>
        <v>IH</v>
      </c>
      <c r="D686" s="3" t="str">
        <f>LOOKUP($F686,'fuzzy LPA lookup'!$E:$E,'fuzzy LPA lookup'!$A:$A)</f>
        <v>A4520</v>
      </c>
      <c r="E686" s="3" t="str">
        <f>LOOKUP($F686,'fuzzy LPA lookup'!$E:$E,'fuzzy LPA lookup'!$D:$D)</f>
        <v>South Tyneside Council</v>
      </c>
      <c r="F686" s="8">
        <f>IF(ISBLANK('Master Submitted DPDs'!B8),"",'Master Submitted DPDs'!B8)</f>
        <v>1511</v>
      </c>
      <c r="G686" t="str">
        <f>IF(ISBLANK('Master Submitted DPDs'!AS8),"","Withdrawn")</f>
        <v/>
      </c>
      <c r="H686" s="2" t="str">
        <f>IF(ISBLANK('Master Submitted DPDs'!AS8),"",'Master Submitted DPDs'!AS8)</f>
        <v/>
      </c>
      <c r="I686" s="3"/>
      <c r="J686" s="3"/>
      <c r="K686" s="3"/>
      <c r="L686" s="2">
        <f>IF(ISBLANK('Master Submitted DPDs'!J8),"",'Master Submitted DPDs'!J8)</f>
        <v>42062</v>
      </c>
      <c r="M686" s="2">
        <f t="shared" si="20"/>
        <v>42062</v>
      </c>
      <c r="N686" s="2">
        <f>IF(ISBLANK('Master Submitted DPDs'!M8),IF(ISBLANK('Master Submitted DPDs'!O8),"",'Master Submitted DPDs'!O8),'Master Submitted DPDs'!M8)</f>
        <v>42062</v>
      </c>
      <c r="O686" s="2">
        <f>IF(ISBLANK('Master Submitted DPDs'!Q8),"",'Master Submitted DPDs'!Q8)</f>
        <v>42333</v>
      </c>
      <c r="P686" s="2">
        <f>IF(ISBLANK('Master Submitted DPDs'!AO8),"",'Master Submitted DPDs'!AO8)</f>
        <v>42542</v>
      </c>
      <c r="Q686" t="str">
        <f>IF(ISBLANK('Master Submitted DPDs'!AU8),"",'Master Submitted DPDs'!AU8)</f>
        <v>SOU</v>
      </c>
      <c r="R686" t="str">
        <f t="shared" si="21"/>
        <v>Closed</v>
      </c>
      <c r="S686" s="3"/>
      <c r="T686" t="str">
        <f>IF(ISBLANK('Master Submitted DPDs'!G8),"",'Master Submitted DPDs'!G8)</f>
        <v>D</v>
      </c>
    </row>
    <row r="687" spans="1:20" ht="15" x14ac:dyDescent="0.2">
      <c r="A687" s="3" t="str">
        <f>IF(ISBLANK('Master Submitted DPDs'!#REF!),"","Local Plans")</f>
        <v>Local Plans</v>
      </c>
      <c r="B687" t="str">
        <f>IF(ISBLANK('Master Submitted DPDs'!F9),"",'Master Submitted DPDs'!F9)</f>
        <v>AAP</v>
      </c>
      <c r="C687" s="3" t="str">
        <f>IF(ISBLANK('Master Submitted DPDs'!$B9),"","IH")</f>
        <v>IH</v>
      </c>
      <c r="D687" s="3" t="str">
        <f>LOOKUP($F687,'fuzzy LPA lookup'!$E:$E,'fuzzy LPA lookup'!$A:$A)</f>
        <v>V2255</v>
      </c>
      <c r="E687" s="3" t="str">
        <f>LOOKUP($F687,'fuzzy LPA lookup'!$E:$E,'fuzzy LPA lookup'!$D:$D)</f>
        <v>Swale Borough Council</v>
      </c>
      <c r="F687" s="8">
        <f>IF(ISBLANK('Master Submitted DPDs'!B9),"",'Master Submitted DPDs'!B9)</f>
        <v>1641</v>
      </c>
      <c r="G687" t="str">
        <f>IF(ISBLANK('Master Submitted DPDs'!AS9),"","Withdrawn")</f>
        <v/>
      </c>
      <c r="H687" s="2" t="str">
        <f>IF(ISBLANK('Master Submitted DPDs'!AS9),"",'Master Submitted DPDs'!AS9)</f>
        <v/>
      </c>
      <c r="I687" s="3"/>
      <c r="J687" s="3"/>
      <c r="K687" s="3"/>
      <c r="L687" s="2">
        <f>IF(ISBLANK('Master Submitted DPDs'!J9),"",'Master Submitted DPDs'!J9)</f>
        <v>42068</v>
      </c>
      <c r="M687" s="2">
        <f t="shared" si="20"/>
        <v>42068</v>
      </c>
      <c r="N687" s="2">
        <f>IF(ISBLANK('Master Submitted DPDs'!M9),IF(ISBLANK('Master Submitted DPDs'!O9),"",'Master Submitted DPDs'!O9),'Master Submitted DPDs'!M9)</f>
        <v>42199</v>
      </c>
      <c r="O687" s="2">
        <f>IF(ISBLANK('Master Submitted DPDs'!Q9),"",'Master Submitted DPDs'!Q9)</f>
        <v>42201</v>
      </c>
      <c r="P687" s="2">
        <f>IF(ISBLANK('Master Submitted DPDs'!AO9),"",'Master Submitted DPDs'!AO9)</f>
        <v>42486</v>
      </c>
      <c r="Q687" t="str">
        <f>IF(ISBLANK('Master Submitted DPDs'!AU9),"",'Master Submitted DPDs'!AU9)</f>
        <v>SOU</v>
      </c>
      <c r="R687" t="str">
        <f t="shared" si="21"/>
        <v>Closed</v>
      </c>
      <c r="S687" s="3"/>
      <c r="T687" t="str">
        <f>IF(ISBLANK('Master Submitted DPDs'!G9),"",'Master Submitted DPDs'!G9)</f>
        <v>D</v>
      </c>
    </row>
    <row r="688" spans="1:20" ht="15" x14ac:dyDescent="0.2">
      <c r="A688" s="3" t="str">
        <f>IF(ISBLANK('Master Submitted DPDs'!#REF!),"","Local Plans")</f>
        <v>Local Plans</v>
      </c>
      <c r="B688" t="str">
        <f>IF(ISBLANK('Master Submitted DPDs'!F10),"",'Master Submitted DPDs'!F10)</f>
        <v>LP</v>
      </c>
      <c r="C688" s="3" t="str">
        <f>IF(ISBLANK('Master Submitted DPDs'!$B10),"","IH")</f>
        <v>IH</v>
      </c>
      <c r="D688" s="3" t="str">
        <f>LOOKUP($F688,'fuzzy LPA lookup'!$E:$E,'fuzzy LPA lookup'!$A:$A)</f>
        <v>M9584</v>
      </c>
      <c r="E688" s="3" t="str">
        <f>LOOKUP($F688,'fuzzy LPA lookup'!$E:$E,'fuzzy LPA lookup'!$D:$D)</f>
        <v>London Legacy Development Corporation</v>
      </c>
      <c r="F688" s="8">
        <f>IF(ISBLANK('Master Submitted DPDs'!B10),"",'Master Submitted DPDs'!B10)</f>
        <v>1625</v>
      </c>
      <c r="G688" t="str">
        <f>IF(ISBLANK('Master Submitted DPDs'!AS10),"","Withdrawn")</f>
        <v/>
      </c>
      <c r="H688" s="2" t="str">
        <f>IF(ISBLANK('Master Submitted DPDs'!AS10),"",'Master Submitted DPDs'!AS10)</f>
        <v/>
      </c>
      <c r="I688" s="3"/>
      <c r="J688" s="3"/>
      <c r="K688" s="3"/>
      <c r="L688" s="2">
        <f>IF(ISBLANK('Master Submitted DPDs'!J10),"",'Master Submitted DPDs'!J10)</f>
        <v>42074</v>
      </c>
      <c r="M688" s="2">
        <f t="shared" si="20"/>
        <v>42074</v>
      </c>
      <c r="N688" s="2">
        <f>IF(ISBLANK('Master Submitted DPDs'!M10),IF(ISBLANK('Master Submitted DPDs'!O10),"",'Master Submitted DPDs'!O10),'Master Submitted DPDs'!M10)</f>
        <v>42075</v>
      </c>
      <c r="O688" s="2">
        <f>IF(ISBLANK('Master Submitted DPDs'!Q10),"",'Master Submitted DPDs'!Q10)</f>
        <v>42200</v>
      </c>
      <c r="P688" s="2">
        <f>IF(ISBLANK('Master Submitted DPDs'!AO10),"",'Master Submitted DPDs'!AO10)</f>
        <v>42361</v>
      </c>
      <c r="Q688" t="str">
        <f>IF(ISBLANK('Master Submitted DPDs'!AU10),"",'Master Submitted DPDs'!AU10)</f>
        <v>SOU</v>
      </c>
      <c r="R688" t="str">
        <f t="shared" si="21"/>
        <v>Closed</v>
      </c>
      <c r="S688" s="3"/>
      <c r="T688" t="str">
        <f>IF(ISBLANK('Master Submitted DPDs'!G10),"",'Master Submitted DPDs'!G10)</f>
        <v>A</v>
      </c>
    </row>
    <row r="689" spans="1:20" ht="15" x14ac:dyDescent="0.2">
      <c r="A689" s="3" t="str">
        <f>IF(ISBLANK('Master Submitted DPDs'!#REF!),"","Local Plans")</f>
        <v>Local Plans</v>
      </c>
      <c r="B689" t="str">
        <f>IF(ISBLANK('Master Submitted DPDs'!F11),"",'Master Submitted DPDs'!F11)</f>
        <v>LP</v>
      </c>
      <c r="C689" s="3" t="str">
        <f>IF(ISBLANK('Master Submitted DPDs'!$B11),"","IH")</f>
        <v>IH</v>
      </c>
      <c r="D689" s="3" t="str">
        <f>LOOKUP($F689,'fuzzy LPA lookup'!$E:$E,'fuzzy LPA lookup'!$A:$A)</f>
        <v>V3120</v>
      </c>
      <c r="E689" s="3" t="str">
        <f>LOOKUP($F689,'fuzzy LPA lookup'!$E:$E,'fuzzy LPA lookup'!$D:$D)</f>
        <v>Vale of White Horse District Council</v>
      </c>
      <c r="F689" s="8">
        <f>IF(ISBLANK('Master Submitted DPDs'!B11),"",'Master Submitted DPDs'!B11)</f>
        <v>832</v>
      </c>
      <c r="G689" t="str">
        <f>IF(ISBLANK('Master Submitted DPDs'!AS11),"","Withdrawn")</f>
        <v/>
      </c>
      <c r="H689" s="2" t="str">
        <f>IF(ISBLANK('Master Submitted DPDs'!AS11),"",'Master Submitted DPDs'!AS11)</f>
        <v/>
      </c>
      <c r="I689" s="3"/>
      <c r="J689" s="3"/>
      <c r="K689" s="3"/>
      <c r="L689" s="2">
        <f>IF(ISBLANK('Master Submitted DPDs'!J11),"",'Master Submitted DPDs'!J11)</f>
        <v>42081</v>
      </c>
      <c r="M689" s="2">
        <f t="shared" si="20"/>
        <v>42081</v>
      </c>
      <c r="N689" s="2">
        <f>IF(ISBLANK('Master Submitted DPDs'!M11),IF(ISBLANK('Master Submitted DPDs'!O11),"",'Master Submitted DPDs'!O11),'Master Submitted DPDs'!M11)</f>
        <v>42081</v>
      </c>
      <c r="O689" s="2">
        <f>IF(ISBLANK('Master Submitted DPDs'!Q11),"",'Master Submitted DPDs'!Q11)</f>
        <v>42418</v>
      </c>
      <c r="P689" s="2">
        <f>IF(ISBLANK('Master Submitted DPDs'!AO11),"",'Master Submitted DPDs'!AO11)</f>
        <v>42704</v>
      </c>
      <c r="Q689" t="str">
        <f>IF(ISBLANK('Master Submitted DPDs'!AU11),"",'Master Submitted DPDs'!AU11)</f>
        <v>SOU</v>
      </c>
      <c r="R689" t="str">
        <f t="shared" si="21"/>
        <v>Closed</v>
      </c>
      <c r="S689" s="3"/>
      <c r="T689" t="str">
        <f>IF(ISBLANK('Master Submitted DPDs'!G11),"",'Master Submitted DPDs'!G11)</f>
        <v>A</v>
      </c>
    </row>
    <row r="690" spans="1:20" ht="15" x14ac:dyDescent="0.2">
      <c r="A690" s="3" t="str">
        <f>IF(ISBLANK('Master Submitted DPDs'!#REF!),"","Local Plans")</f>
        <v>Local Plans</v>
      </c>
      <c r="B690" t="str">
        <f>IF(ISBLANK('Master Submitted DPDs'!F12),"",'Master Submitted DPDs'!F12)</f>
        <v>AAP</v>
      </c>
      <c r="C690" s="3" t="str">
        <f>IF(ISBLANK('Master Submitted DPDs'!$B12),"","IH")</f>
        <v>IH</v>
      </c>
      <c r="D690" s="3" t="str">
        <f>LOOKUP($F690,'fuzzy LPA lookup'!$E:$E,'fuzzy LPA lookup'!$A:$A)</f>
        <v>M9584</v>
      </c>
      <c r="E690" s="3" t="str">
        <f>LOOKUP($F690,'fuzzy LPA lookup'!$E:$E,'fuzzy LPA lookup'!$D:$D)</f>
        <v>London Legacy Development Corporation</v>
      </c>
      <c r="F690" s="8">
        <f>IF(ISBLANK('Master Submitted DPDs'!B12),"",'Master Submitted DPDs'!B12)</f>
        <v>1620</v>
      </c>
      <c r="G690" t="str">
        <f>IF(ISBLANK('Master Submitted DPDs'!AS12),"","Withdrawn")</f>
        <v/>
      </c>
      <c r="H690" s="2" t="str">
        <f>IF(ISBLANK('Master Submitted DPDs'!AS12),"",'Master Submitted DPDs'!AS12)</f>
        <v/>
      </c>
      <c r="I690" s="3"/>
      <c r="J690" s="3"/>
      <c r="K690" s="3"/>
      <c r="L690" s="2">
        <f>IF(ISBLANK('Master Submitted DPDs'!J12),"",'Master Submitted DPDs'!J12)</f>
        <v>42083</v>
      </c>
      <c r="M690" s="2">
        <f t="shared" si="20"/>
        <v>42083</v>
      </c>
      <c r="N690" s="2">
        <f>IF(ISBLANK('Master Submitted DPDs'!M12),IF(ISBLANK('Master Submitted DPDs'!O12),"",'Master Submitted DPDs'!O12),'Master Submitted DPDs'!M12)</f>
        <v>42083</v>
      </c>
      <c r="O690" s="2">
        <f>IF(ISBLANK('Master Submitted DPDs'!Q12),"",'Master Submitted DPDs'!Q12)</f>
        <v>42297</v>
      </c>
      <c r="P690" s="2">
        <f>IF(ISBLANK('Master Submitted DPDs'!AO12),"",'Master Submitted DPDs'!AO12)</f>
        <v>42480</v>
      </c>
      <c r="Q690" t="str">
        <f>IF(ISBLANK('Master Submitted DPDs'!AU12),"",'Master Submitted DPDs'!AU12)</f>
        <v>SOU</v>
      </c>
      <c r="R690" t="str">
        <f t="shared" si="21"/>
        <v>Closed</v>
      </c>
      <c r="S690" s="3"/>
      <c r="T690" t="str">
        <f>IF(ISBLANK('Master Submitted DPDs'!G12),"",'Master Submitted DPDs'!G12)</f>
        <v>D</v>
      </c>
    </row>
    <row r="691" spans="1:20" ht="15" x14ac:dyDescent="0.2">
      <c r="A691" s="3" t="str">
        <f>IF(ISBLANK('Master Submitted DPDs'!#REF!),"","Local Plans")</f>
        <v>Local Plans</v>
      </c>
      <c r="B691" t="str">
        <f>IF(ISBLANK('Master Submitted DPDs'!F13),"",'Master Submitted DPDs'!F13)</f>
        <v>Other</v>
      </c>
      <c r="C691" s="3" t="str">
        <f>IF(ISBLANK('Master Submitted DPDs'!$B13),"","IH")</f>
        <v>IH</v>
      </c>
      <c r="D691" s="3" t="str">
        <f>LOOKUP($F691,'fuzzy LPA lookup'!$E:$E,'fuzzy LPA lookup'!$A:$A)</f>
        <v>M9584</v>
      </c>
      <c r="E691" s="3" t="str">
        <f>LOOKUP($F691,'fuzzy LPA lookup'!$E:$E,'fuzzy LPA lookup'!$D:$D)</f>
        <v>London Legacy Development Corporation</v>
      </c>
      <c r="F691" s="8">
        <f>IF(ISBLANK('Master Submitted DPDs'!B13),"",'Master Submitted DPDs'!B13)</f>
        <v>1630</v>
      </c>
      <c r="G691" t="str">
        <f>IF(ISBLANK('Master Submitted DPDs'!AS13),"","Withdrawn")</f>
        <v/>
      </c>
      <c r="H691" s="2" t="str">
        <f>IF(ISBLANK('Master Submitted DPDs'!AS13),"",'Master Submitted DPDs'!AS13)</f>
        <v/>
      </c>
      <c r="I691" s="3"/>
      <c r="J691" s="3"/>
      <c r="K691" s="3"/>
      <c r="L691" s="2">
        <f>IF(ISBLANK('Master Submitted DPDs'!J13),"",'Master Submitted DPDs'!J13)</f>
        <v>42088</v>
      </c>
      <c r="M691" s="2">
        <f t="shared" si="20"/>
        <v>42088</v>
      </c>
      <c r="N691" s="2">
        <f>IF(ISBLANK('Master Submitted DPDs'!M13),IF(ISBLANK('Master Submitted DPDs'!O13),"",'Master Submitted DPDs'!O13),'Master Submitted DPDs'!M13)</f>
        <v>42088</v>
      </c>
      <c r="O691" s="2">
        <f>IF(ISBLANK('Master Submitted DPDs'!Q13),"",'Master Submitted DPDs'!Q13)</f>
        <v>42380</v>
      </c>
      <c r="P691" s="2">
        <f>IF(ISBLANK('Master Submitted DPDs'!AO13),"",'Master Submitted DPDs'!AO13)</f>
        <v>42424</v>
      </c>
      <c r="Q691" t="str">
        <f>IF(ISBLANK('Master Submitted DPDs'!AU13),"",'Master Submitted DPDs'!AU13)</f>
        <v>SOU</v>
      </c>
      <c r="R691" t="str">
        <f t="shared" si="21"/>
        <v>Closed</v>
      </c>
      <c r="S691" s="3"/>
      <c r="T691" t="str">
        <f>IF(ISBLANK('Master Submitted DPDs'!G13),"",'Master Submitted DPDs'!G13)</f>
        <v>D</v>
      </c>
    </row>
    <row r="692" spans="1:20" ht="15" x14ac:dyDescent="0.2">
      <c r="A692" s="3" t="str">
        <f>IF(ISBLANK('Master Submitted DPDs'!#REF!),"","Local Plans")</f>
        <v>Local Plans</v>
      </c>
      <c r="B692" t="str">
        <f>IF(ISBLANK('Master Submitted DPDs'!F14),"",'Master Submitted DPDs'!F14)</f>
        <v>SA</v>
      </c>
      <c r="C692" s="3" t="str">
        <f>IF(ISBLANK('Master Submitted DPDs'!$B14),"","IH")</f>
        <v>IH</v>
      </c>
      <c r="D692" s="3" t="str">
        <f>LOOKUP($F692,'fuzzy LPA lookup'!$E:$E,'fuzzy LPA lookup'!$A:$A)</f>
        <v>T5150</v>
      </c>
      <c r="E692" s="3" t="str">
        <f>LOOKUP($F692,'fuzzy LPA lookup'!$E:$E,'fuzzy LPA lookup'!$D:$D)</f>
        <v>London Borough of Brent</v>
      </c>
      <c r="F692" s="8">
        <f>IF(ISBLANK('Master Submitted DPDs'!B14),"",'Master Submitted DPDs'!B14)</f>
        <v>1013</v>
      </c>
      <c r="G692" t="str">
        <f>IF(ISBLANK('Master Submitted DPDs'!AS14),"","Withdrawn")</f>
        <v/>
      </c>
      <c r="H692" s="2" t="str">
        <f>IF(ISBLANK('Master Submitted DPDs'!AS14),"",'Master Submitted DPDs'!AS14)</f>
        <v/>
      </c>
      <c r="I692" s="3"/>
      <c r="J692" s="3"/>
      <c r="K692" s="3"/>
      <c r="L692" s="2">
        <f>IF(ISBLANK('Master Submitted DPDs'!J14),"",'Master Submitted DPDs'!J14)</f>
        <v>42090</v>
      </c>
      <c r="M692" s="2">
        <f t="shared" si="20"/>
        <v>42090</v>
      </c>
      <c r="N692" s="2">
        <f>IF(ISBLANK('Master Submitted DPDs'!M14),IF(ISBLANK('Master Submitted DPDs'!O14),"",'Master Submitted DPDs'!O14),'Master Submitted DPDs'!M14)</f>
        <v>42090</v>
      </c>
      <c r="O692" s="2">
        <f>IF(ISBLANK('Master Submitted DPDs'!Q14),"",'Master Submitted DPDs'!Q14)</f>
        <v>42284</v>
      </c>
      <c r="P692" s="2">
        <f>IF(ISBLANK('Master Submitted DPDs'!AO14),"",'Master Submitted DPDs'!AO14)</f>
        <v>42507</v>
      </c>
      <c r="Q692" t="str">
        <f>IF(ISBLANK('Master Submitted DPDs'!AU14),"",'Master Submitted DPDs'!AU14)</f>
        <v>SOU</v>
      </c>
      <c r="R692" t="str">
        <f t="shared" si="21"/>
        <v>Closed</v>
      </c>
      <c r="S692" s="3"/>
      <c r="T692" t="str">
        <f>IF(ISBLANK('Master Submitted DPDs'!G14),"",'Master Submitted DPDs'!G14)</f>
        <v>B</v>
      </c>
    </row>
    <row r="693" spans="1:20" ht="15" x14ac:dyDescent="0.2">
      <c r="A693" s="3" t="str">
        <f>IF(ISBLANK('Master Submitted DPDs'!#REF!),"","Local Plans")</f>
        <v>Local Plans</v>
      </c>
      <c r="B693" t="str">
        <f>IF(ISBLANK('Master Submitted DPDs'!F15),"",'Master Submitted DPDs'!F15)</f>
        <v>LP</v>
      </c>
      <c r="C693" s="3" t="str">
        <f>IF(ISBLANK('Master Submitted DPDs'!$B15),"","IH")</f>
        <v>IH</v>
      </c>
      <c r="D693" s="3" t="str">
        <f>LOOKUP($F693,'fuzzy LPA lookup'!$E:$E,'fuzzy LPA lookup'!$A:$A)</f>
        <v>V2255</v>
      </c>
      <c r="E693" s="3" t="str">
        <f>LOOKUP($F693,'fuzzy LPA lookup'!$E:$E,'fuzzy LPA lookup'!$D:$D)</f>
        <v>Swale Borough Council</v>
      </c>
      <c r="F693" s="8">
        <f>IF(ISBLANK('Master Submitted DPDs'!B15),"",'Master Submitted DPDs'!B15)</f>
        <v>1636</v>
      </c>
      <c r="G693" t="str">
        <f>IF(ISBLANK('Master Submitted DPDs'!AS15),"","Withdrawn")</f>
        <v/>
      </c>
      <c r="H693" s="2" t="str">
        <f>IF(ISBLANK('Master Submitted DPDs'!AS15),"",'Master Submitted DPDs'!AS15)</f>
        <v/>
      </c>
      <c r="I693" s="3"/>
      <c r="J693" s="3"/>
      <c r="K693" s="3"/>
      <c r="L693" s="2">
        <f>IF(ISBLANK('Master Submitted DPDs'!J15),"",'Master Submitted DPDs'!J15)</f>
        <v>42114</v>
      </c>
      <c r="M693" s="2">
        <f t="shared" si="20"/>
        <v>42114</v>
      </c>
      <c r="N693" s="2">
        <f>IF(ISBLANK('Master Submitted DPDs'!M15),IF(ISBLANK('Master Submitted DPDs'!O15),"",'Master Submitted DPDs'!O15),'Master Submitted DPDs'!M15)</f>
        <v>42114</v>
      </c>
      <c r="O693" s="2">
        <f>IF(ISBLANK('Master Submitted DPDs'!Q15),"",'Master Submitted DPDs'!Q15)</f>
        <v>42774</v>
      </c>
      <c r="P693" s="2">
        <f>IF(ISBLANK('Master Submitted DPDs'!AO15),"",'Master Submitted DPDs'!AO15)</f>
        <v>42906</v>
      </c>
      <c r="Q693" t="str">
        <f>IF(ISBLANK('Master Submitted DPDs'!AU15),"",'Master Submitted DPDs'!AU15)</f>
        <v>SOU</v>
      </c>
      <c r="R693" t="str">
        <f t="shared" si="21"/>
        <v>Closed</v>
      </c>
      <c r="S693" s="3"/>
      <c r="T693" t="str">
        <f>IF(ISBLANK('Master Submitted DPDs'!G15),"",'Master Submitted DPDs'!G15)</f>
        <v>A</v>
      </c>
    </row>
    <row r="694" spans="1:20" ht="15" x14ac:dyDescent="0.2">
      <c r="A694" s="3" t="str">
        <f>IF(ISBLANK('Master Submitted DPDs'!#REF!),"","Local Plans")</f>
        <v>Local Plans</v>
      </c>
      <c r="B694" t="str">
        <f>IF(ISBLANK('Master Submitted DPDs'!F16),"",'Master Submitted DPDs'!F16)</f>
        <v>SA</v>
      </c>
      <c r="C694" s="3" t="str">
        <f>IF(ISBLANK('Master Submitted DPDs'!$B16),"","IH")</f>
        <v>IH</v>
      </c>
      <c r="D694" s="3" t="str">
        <f>LOOKUP($F694,'fuzzy LPA lookup'!$E:$E,'fuzzy LPA lookup'!$A:$A)</f>
        <v>V2255</v>
      </c>
      <c r="E694" s="3" t="str">
        <f>LOOKUP($F694,'fuzzy LPA lookup'!$E:$E,'fuzzy LPA lookup'!$D:$D)</f>
        <v>Swale Borough Council</v>
      </c>
      <c r="F694" s="8">
        <f>IF(ISBLANK('Master Submitted DPDs'!B16),"",'Master Submitted DPDs'!B16)</f>
        <v>1637</v>
      </c>
      <c r="G694" t="str">
        <f>IF(ISBLANK('Master Submitted DPDs'!AS16),"","Withdrawn")</f>
        <v/>
      </c>
      <c r="H694" s="2" t="str">
        <f>IF(ISBLANK('Master Submitted DPDs'!AS16),"",'Master Submitted DPDs'!AS16)</f>
        <v/>
      </c>
      <c r="I694" s="3"/>
      <c r="J694" s="3"/>
      <c r="K694" s="3"/>
      <c r="L694" s="2">
        <f>IF(ISBLANK('Master Submitted DPDs'!J16),"",'Master Submitted DPDs'!J16)</f>
        <v>42116</v>
      </c>
      <c r="M694" s="2">
        <f t="shared" si="20"/>
        <v>42116</v>
      </c>
      <c r="N694" s="2">
        <f>IF(ISBLANK('Master Submitted DPDs'!M16),IF(ISBLANK('Master Submitted DPDs'!O16),"",'Master Submitted DPDs'!O16),'Master Submitted DPDs'!M16)</f>
        <v>42116</v>
      </c>
      <c r="O694" s="2">
        <f>IF(ISBLANK('Master Submitted DPDs'!Q16),"",'Master Submitted DPDs'!Q16)</f>
        <v>42327</v>
      </c>
      <c r="P694" s="2">
        <f>IF(ISBLANK('Master Submitted DPDs'!AO16),"",'Master Submitted DPDs'!AO16)</f>
        <v>42604</v>
      </c>
      <c r="Q694" t="str">
        <f>IF(ISBLANK('Master Submitted DPDs'!AU16),"",'Master Submitted DPDs'!AU16)</f>
        <v>SOU</v>
      </c>
      <c r="R694" t="str">
        <f t="shared" si="21"/>
        <v>Closed</v>
      </c>
      <c r="S694" s="3"/>
      <c r="T694" t="str">
        <f>IF(ISBLANK('Master Submitted DPDs'!G16),"",'Master Submitted DPDs'!G16)</f>
        <v>B</v>
      </c>
    </row>
    <row r="695" spans="1:20" ht="15" x14ac:dyDescent="0.2">
      <c r="A695" s="3" t="str">
        <f>IF(ISBLANK('Master Submitted DPDs'!#REF!),"","Local Plans")</f>
        <v>Local Plans</v>
      </c>
      <c r="B695" t="str">
        <f>IF(ISBLANK('Master Submitted DPDs'!F17),"",'Master Submitted DPDs'!F17)</f>
        <v>M&amp;W</v>
      </c>
      <c r="C695" s="3" t="str">
        <f>IF(ISBLANK('Master Submitted DPDs'!$B17),"","IH")</f>
        <v>IH</v>
      </c>
      <c r="D695" s="3" t="str">
        <f>LOOKUP($F695,'fuzzy LPA lookup'!$E:$E,'fuzzy LPA lookup'!$A:$A)</f>
        <v>V2255</v>
      </c>
      <c r="E695" s="3" t="str">
        <f>LOOKUP($F695,'fuzzy LPA lookup'!$E:$E,'fuzzy LPA lookup'!$D:$D)</f>
        <v>Swale Borough Council</v>
      </c>
      <c r="F695" s="8">
        <f>IF(ISBLANK('Master Submitted DPDs'!B17),"",'Master Submitted DPDs'!B17)</f>
        <v>1639</v>
      </c>
      <c r="G695" t="str">
        <f>IF(ISBLANK('Master Submitted DPDs'!AS17),"","Withdrawn")</f>
        <v/>
      </c>
      <c r="H695" s="2" t="str">
        <f>IF(ISBLANK('Master Submitted DPDs'!AS17),"",'Master Submitted DPDs'!AS17)</f>
        <v/>
      </c>
      <c r="I695" s="3"/>
      <c r="J695" s="3"/>
      <c r="K695" s="3"/>
      <c r="L695" s="2">
        <f>IF(ISBLANK('Master Submitted DPDs'!J17),"",'Master Submitted DPDs'!J17)</f>
        <v>42160</v>
      </c>
      <c r="M695" s="2">
        <f t="shared" si="20"/>
        <v>42160</v>
      </c>
      <c r="N695" s="2">
        <f>IF(ISBLANK('Master Submitted DPDs'!M17),IF(ISBLANK('Master Submitted DPDs'!O17),"",'Master Submitted DPDs'!O17),'Master Submitted DPDs'!M17)</f>
        <v>42160</v>
      </c>
      <c r="O695" s="2">
        <f>IF(ISBLANK('Master Submitted DPDs'!Q17),"",'Master Submitted DPDs'!Q17)</f>
        <v>42293</v>
      </c>
      <c r="P695" s="2">
        <f>IF(ISBLANK('Master Submitted DPDs'!AO17),"",'Master Submitted DPDs'!AO17)</f>
        <v>42422</v>
      </c>
      <c r="Q695" t="str">
        <f>IF(ISBLANK('Master Submitted DPDs'!AU17),"",'Master Submitted DPDs'!AU17)</f>
        <v>SOU</v>
      </c>
      <c r="R695" t="str">
        <f t="shared" si="21"/>
        <v>Closed</v>
      </c>
      <c r="S695" s="3"/>
      <c r="T695">
        <f>IF(ISBLANK('Master Submitted DPDs'!G17),"",'Master Submitted DPDs'!G17)</f>
        <v>3</v>
      </c>
    </row>
    <row r="696" spans="1:20" ht="15" x14ac:dyDescent="0.2">
      <c r="A696" s="3" t="str">
        <f>IF(ISBLANK('Master Submitted DPDs'!#REF!),"","Local Plans")</f>
        <v>Local Plans</v>
      </c>
      <c r="B696" t="str">
        <f>IF(ISBLANK('Master Submitted DPDs'!F18),"",'Master Submitted DPDs'!F18)</f>
        <v>SA</v>
      </c>
      <c r="C696" s="3" t="str">
        <f>IF(ISBLANK('Master Submitted DPDs'!$B18),"","IH")</f>
        <v>IH</v>
      </c>
      <c r="D696" s="3" t="str">
        <f>LOOKUP($F696,'fuzzy LPA lookup'!$E:$E,'fuzzy LPA lookup'!$A:$A)</f>
        <v>N5660</v>
      </c>
      <c r="E696" s="3" t="str">
        <f>LOOKUP($F696,'fuzzy LPA lookup'!$E:$E,'fuzzy LPA lookup'!$D:$D)</f>
        <v>London Borough of Lambeth</v>
      </c>
      <c r="F696" s="8">
        <f>IF(ISBLANK('Master Submitted DPDs'!B18),"",'Master Submitted DPDs'!B18)</f>
        <v>1042</v>
      </c>
      <c r="G696" t="str">
        <f>IF(ISBLANK('Master Submitted DPDs'!AS18),"","Withdrawn")</f>
        <v/>
      </c>
      <c r="H696" s="2" t="str">
        <f>IF(ISBLANK('Master Submitted DPDs'!AS18),"",'Master Submitted DPDs'!AS18)</f>
        <v/>
      </c>
      <c r="I696" s="3"/>
      <c r="J696" s="3"/>
      <c r="K696" s="3"/>
      <c r="L696" s="2">
        <f>IF(ISBLANK('Master Submitted DPDs'!J18),"",'Master Submitted DPDs'!J18)</f>
        <v>42163</v>
      </c>
      <c r="M696" s="2">
        <f t="shared" si="20"/>
        <v>42163</v>
      </c>
      <c r="N696" s="2">
        <f>IF(ISBLANK('Master Submitted DPDs'!M18),IF(ISBLANK('Master Submitted DPDs'!O18),"",'Master Submitted DPDs'!O18),'Master Submitted DPDs'!M18)</f>
        <v>42163</v>
      </c>
      <c r="O696" s="2">
        <f>IF(ISBLANK('Master Submitted DPDs'!Q18),"",'Master Submitted DPDs'!Q18)</f>
        <v>42347</v>
      </c>
      <c r="P696" s="2">
        <f>IF(ISBLANK('Master Submitted DPDs'!AO18),"",'Master Submitted DPDs'!AO18)</f>
        <v>42530</v>
      </c>
      <c r="Q696" t="str">
        <f>IF(ISBLANK('Master Submitted DPDs'!AU18),"",'Master Submitted DPDs'!AU18)</f>
        <v>SOU</v>
      </c>
      <c r="R696" t="str">
        <f t="shared" si="21"/>
        <v>Closed</v>
      </c>
      <c r="S696" s="3"/>
      <c r="T696">
        <f>IF(ISBLANK('Master Submitted DPDs'!G18),"",'Master Submitted DPDs'!G18)</f>
        <v>3</v>
      </c>
    </row>
    <row r="697" spans="1:20" ht="15" x14ac:dyDescent="0.2">
      <c r="A697" s="3" t="str">
        <f>IF(ISBLANK('Master Submitted DPDs'!#REF!),"","Local Plans")</f>
        <v>Local Plans</v>
      </c>
      <c r="B697" t="str">
        <f>IF(ISBLANK('Master Submitted DPDs'!F19),"",'Master Submitted DPDs'!F19)</f>
        <v>LP</v>
      </c>
      <c r="C697" s="3" t="str">
        <f>IF(ISBLANK('Master Submitted DPDs'!$B19),"","IH")</f>
        <v>IH</v>
      </c>
      <c r="D697" s="3" t="str">
        <f>LOOKUP($F697,'fuzzy LPA lookup'!$E:$E,'fuzzy LPA lookup'!$A:$A)</f>
        <v>E0915</v>
      </c>
      <c r="E697" s="3" t="str">
        <f>LOOKUP($F697,'fuzzy LPA lookup'!$E:$E,'fuzzy LPA lookup'!$D:$D)</f>
        <v>Carlisle City Council</v>
      </c>
      <c r="F697" s="8">
        <f>IF(ISBLANK('Master Submitted DPDs'!B19),"",'Master Submitted DPDs'!B19)</f>
        <v>1657</v>
      </c>
      <c r="G697" t="str">
        <f>IF(ISBLANK('Master Submitted DPDs'!AS19),"","Withdrawn")</f>
        <v/>
      </c>
      <c r="H697" s="2" t="str">
        <f>IF(ISBLANK('Master Submitted DPDs'!AS19),"",'Master Submitted DPDs'!AS19)</f>
        <v/>
      </c>
      <c r="I697" s="3"/>
      <c r="J697" s="3"/>
      <c r="K697" s="3"/>
      <c r="L697" s="2">
        <f>IF(ISBLANK('Master Submitted DPDs'!J19),"",'Master Submitted DPDs'!J19)</f>
        <v>42174</v>
      </c>
      <c r="M697" s="2">
        <f t="shared" si="20"/>
        <v>42174</v>
      </c>
      <c r="N697" s="2">
        <f>IF(ISBLANK('Master Submitted DPDs'!M19),IF(ISBLANK('Master Submitted DPDs'!O19),"",'Master Submitted DPDs'!O19),'Master Submitted DPDs'!M19)</f>
        <v>42177</v>
      </c>
      <c r="O697" s="2">
        <f>IF(ISBLANK('Master Submitted DPDs'!Q19),"",'Master Submitted DPDs'!Q19)</f>
        <v>42389</v>
      </c>
      <c r="P697" s="2">
        <f>IF(ISBLANK('Master Submitted DPDs'!AO19),"",'Master Submitted DPDs'!AO19)</f>
        <v>42576</v>
      </c>
      <c r="Q697" t="str">
        <f>IF(ISBLANK('Master Submitted DPDs'!AU19),"",'Master Submitted DPDs'!AU19)</f>
        <v>SOU</v>
      </c>
      <c r="R697" t="str">
        <f t="shared" si="21"/>
        <v>Closed</v>
      </c>
      <c r="S697" s="3"/>
      <c r="T697">
        <f>IF(ISBLANK('Master Submitted DPDs'!G19),"",'Master Submitted DPDs'!G19)</f>
        <v>3</v>
      </c>
    </row>
    <row r="698" spans="1:20" ht="15" x14ac:dyDescent="0.2">
      <c r="A698" s="3" t="str">
        <f>IF(ISBLANK('Master Submitted DPDs'!#REF!),"","Local Plans")</f>
        <v>Local Plans</v>
      </c>
      <c r="B698" t="str">
        <f>IF(ISBLANK('Master Submitted DPDs'!F20),"",'Master Submitted DPDs'!F20)</f>
        <v>SA</v>
      </c>
      <c r="C698" s="3" t="str">
        <f>IF(ISBLANK('Master Submitted DPDs'!$B20),"","IH")</f>
        <v>IH</v>
      </c>
      <c r="D698" s="3" t="str">
        <f>LOOKUP($F698,'fuzzy LPA lookup'!$E:$E,'fuzzy LPA lookup'!$A:$A)</f>
        <v>Z1775</v>
      </c>
      <c r="E698" s="3" t="str">
        <f>LOOKUP($F698,'fuzzy LPA lookup'!$E:$E,'fuzzy LPA lookup'!$D:$D)</f>
        <v>Portsmouth City Council</v>
      </c>
      <c r="F698" s="8">
        <f>IF(ISBLANK('Master Submitted DPDs'!B20),"",'Master Submitted DPDs'!B20)</f>
        <v>1668</v>
      </c>
      <c r="G698" t="str">
        <f>IF(ISBLANK('Master Submitted DPDs'!AS20),"","Withdrawn")</f>
        <v/>
      </c>
      <c r="H698" s="2" t="str">
        <f>IF(ISBLANK('Master Submitted DPDs'!AS20),"",'Master Submitted DPDs'!AS20)</f>
        <v/>
      </c>
      <c r="I698" s="3"/>
      <c r="J698" s="3"/>
      <c r="K698" s="3"/>
      <c r="L698" s="2">
        <f>IF(ISBLANK('Master Submitted DPDs'!J20),"",'Master Submitted DPDs'!J20)</f>
        <v>42194</v>
      </c>
      <c r="M698" s="2">
        <f t="shared" si="20"/>
        <v>42194</v>
      </c>
      <c r="N698" s="2">
        <f>IF(ISBLANK('Master Submitted DPDs'!M20),IF(ISBLANK('Master Submitted DPDs'!O20),"",'Master Submitted DPDs'!O20),'Master Submitted DPDs'!M20)</f>
        <v>42195</v>
      </c>
      <c r="O698" s="2">
        <f>IF(ISBLANK('Master Submitted DPDs'!Q20),"",'Master Submitted DPDs'!Q20)</f>
        <v>42307</v>
      </c>
      <c r="P698" s="2">
        <f>IF(ISBLANK('Master Submitted DPDs'!AO20),"",'Master Submitted DPDs'!AO20)</f>
        <v>42415</v>
      </c>
      <c r="Q698" t="str">
        <f>IF(ISBLANK('Master Submitted DPDs'!AU20),"",'Master Submitted DPDs'!AU20)</f>
        <v>SOU</v>
      </c>
      <c r="R698" t="str">
        <f t="shared" si="21"/>
        <v>Closed</v>
      </c>
      <c r="S698" s="3"/>
      <c r="T698">
        <f>IF(ISBLANK('Master Submitted DPDs'!G20),"",'Master Submitted DPDs'!G20)</f>
        <v>3</v>
      </c>
    </row>
    <row r="699" spans="1:20" ht="15" x14ac:dyDescent="0.2">
      <c r="A699" s="3" t="str">
        <f>IF(ISBLANK('Master Submitted DPDs'!#REF!),"","Local Plans")</f>
        <v>Local Plans</v>
      </c>
      <c r="B699" t="str">
        <f>IF(ISBLANK('Master Submitted DPDs'!F21),"",'Master Submitted DPDs'!F21)</f>
        <v>Other</v>
      </c>
      <c r="C699" s="3" t="str">
        <f>IF(ISBLANK('Master Submitted DPDs'!$B21),"","IH")</f>
        <v>IH</v>
      </c>
      <c r="D699" s="3" t="str">
        <f>LOOKUP($F699,'fuzzy LPA lookup'!$E:$E,'fuzzy LPA lookup'!$A:$A)</f>
        <v>D1265</v>
      </c>
      <c r="E699" s="3" t="str">
        <f>LOOKUP($F699,'fuzzy LPA lookup'!$E:$E,'fuzzy LPA lookup'!$D:$D)</f>
        <v>Dorset</v>
      </c>
      <c r="F699" s="8">
        <f>IF(ISBLANK('Master Submitted DPDs'!B21),"",'Master Submitted DPDs'!B21)</f>
        <v>1518</v>
      </c>
      <c r="G699" t="str">
        <f>IF(ISBLANK('Master Submitted DPDs'!AS21),"","Withdrawn")</f>
        <v/>
      </c>
      <c r="H699" s="2" t="str">
        <f>IF(ISBLANK('Master Submitted DPDs'!AS21),"",'Master Submitted DPDs'!AS21)</f>
        <v/>
      </c>
      <c r="I699" s="3"/>
      <c r="J699" s="3"/>
      <c r="K699" s="3"/>
      <c r="L699" s="2">
        <f>IF(ISBLANK('Master Submitted DPDs'!J21),"",'Master Submitted DPDs'!J21)</f>
        <v>42194</v>
      </c>
      <c r="M699" s="2">
        <f t="shared" si="20"/>
        <v>42194</v>
      </c>
      <c r="N699" s="2">
        <f>IF(ISBLANK('Master Submitted DPDs'!M21),IF(ISBLANK('Master Submitted DPDs'!O21),"",'Master Submitted DPDs'!O21),'Master Submitted DPDs'!M21)</f>
        <v>42194</v>
      </c>
      <c r="O699" s="2">
        <f>IF(ISBLANK('Master Submitted DPDs'!Q21),"",'Master Submitted DPDs'!Q21)</f>
        <v>42321</v>
      </c>
      <c r="P699" s="2">
        <f>IF(ISBLANK('Master Submitted DPDs'!AO21),"",'Master Submitted DPDs'!AO21)</f>
        <v>42431</v>
      </c>
      <c r="Q699" t="str">
        <f>IF(ISBLANK('Master Submitted DPDs'!AU21),"",'Master Submitted DPDs'!AU21)</f>
        <v>SOU</v>
      </c>
      <c r="R699" t="str">
        <f t="shared" si="21"/>
        <v>Closed</v>
      </c>
      <c r="S699" s="3"/>
      <c r="T699">
        <f>IF(ISBLANK('Master Submitted DPDs'!G21),"",'Master Submitted DPDs'!G21)</f>
        <v>2</v>
      </c>
    </row>
    <row r="700" spans="1:20" ht="15" x14ac:dyDescent="0.2">
      <c r="A700" s="3" t="str">
        <f>IF(ISBLANK('Master Submitted DPDs'!#REF!),"","Local Plans")</f>
        <v>Local Plans</v>
      </c>
      <c r="B700" t="str">
        <f>IF(ISBLANK('Master Submitted DPDs'!F22),"",'Master Submitted DPDs'!F22)</f>
        <v/>
      </c>
      <c r="C700" s="3" t="str">
        <f>IF(ISBLANK('Master Submitted DPDs'!$B22),"","IH")</f>
        <v>IH</v>
      </c>
      <c r="D700" s="3" t="str">
        <f>LOOKUP($F700,'fuzzy LPA lookup'!$E:$E,'fuzzy LPA lookup'!$A:$A)</f>
        <v>V2255</v>
      </c>
      <c r="E700" s="3" t="str">
        <f>LOOKUP($F700,'fuzzy LPA lookup'!$E:$E,'fuzzy LPA lookup'!$D:$D)</f>
        <v>Swale Borough Council</v>
      </c>
      <c r="F700" s="8">
        <f>IF(ISBLANK('Master Submitted DPDs'!B22),"",'Master Submitted DPDs'!B22)</f>
        <v>1640</v>
      </c>
      <c r="G700" t="str">
        <f>IF(ISBLANK('Master Submitted DPDs'!AS22),"","Withdrawn")</f>
        <v/>
      </c>
      <c r="H700" s="2" t="str">
        <f>IF(ISBLANK('Master Submitted DPDs'!AS22),"",'Master Submitted DPDs'!AS22)</f>
        <v/>
      </c>
      <c r="I700" s="3"/>
      <c r="J700" s="3"/>
      <c r="K700" s="3"/>
      <c r="L700" s="2">
        <f>IF(ISBLANK('Master Submitted DPDs'!J22),"",'Master Submitted DPDs'!J22)</f>
        <v>42198</v>
      </c>
      <c r="M700" s="2">
        <f t="shared" si="20"/>
        <v>42198</v>
      </c>
      <c r="N700" s="2">
        <f>IF(ISBLANK('Master Submitted DPDs'!M22),IF(ISBLANK('Master Submitted DPDs'!O22),"",'Master Submitted DPDs'!O22),'Master Submitted DPDs'!M22)</f>
        <v>42198</v>
      </c>
      <c r="O700" s="2">
        <f>IF(ISBLANK('Master Submitted DPDs'!Q22),"",'Master Submitted DPDs'!Q22)</f>
        <v>42465</v>
      </c>
      <c r="P700" s="2">
        <f>IF(ISBLANK('Master Submitted DPDs'!AO22),"",'Master Submitted DPDs'!AO22)</f>
        <v>42691</v>
      </c>
      <c r="Q700" t="str">
        <f>IF(ISBLANK('Master Submitted DPDs'!AU22),"",'Master Submitted DPDs'!AU22)</f>
        <v>SOU</v>
      </c>
      <c r="R700" t="str">
        <f t="shared" si="21"/>
        <v>Closed</v>
      </c>
      <c r="S700" s="3"/>
      <c r="T700">
        <f>IF(ISBLANK('Master Submitted DPDs'!G22),"",'Master Submitted DPDs'!G22)</f>
        <v>3</v>
      </c>
    </row>
    <row r="701" spans="1:20" ht="15" x14ac:dyDescent="0.2">
      <c r="A701" s="3" t="str">
        <f>IF(ISBLANK('Master Submitted DPDs'!#REF!),"","Local Plans")</f>
        <v>Local Plans</v>
      </c>
      <c r="B701" t="str">
        <f>IF(ISBLANK('Master Submitted DPDs'!F23),"",'Master Submitted DPDs'!F23)</f>
        <v>LP</v>
      </c>
      <c r="C701" s="3" t="str">
        <f>IF(ISBLANK('Master Submitted DPDs'!$B23),"","IH")</f>
        <v>IH</v>
      </c>
      <c r="D701" s="3" t="str">
        <f>LOOKUP($F701,'fuzzy LPA lookup'!$E:$E,'fuzzy LPA lookup'!$A:$A)</f>
        <v>D3125</v>
      </c>
      <c r="E701" s="3" t="str">
        <f>LOOKUP($F701,'fuzzy LPA lookup'!$E:$E,'fuzzy LPA lookup'!$D:$D)</f>
        <v>West Oxfordshire District Council</v>
      </c>
      <c r="F701" s="8">
        <f>IF(ISBLANK('Master Submitted DPDs'!B23),"",'Master Submitted DPDs'!B23)</f>
        <v>928</v>
      </c>
      <c r="G701" t="str">
        <f>IF(ISBLANK('Master Submitted DPDs'!AS23),"","Withdrawn")</f>
        <v/>
      </c>
      <c r="H701" s="2" t="str">
        <f>IF(ISBLANK('Master Submitted DPDs'!AS23),"",'Master Submitted DPDs'!AS23)</f>
        <v/>
      </c>
      <c r="I701" s="3"/>
      <c r="J701" s="3"/>
      <c r="K701" s="3"/>
      <c r="L701" s="2">
        <f>IF(ISBLANK('Master Submitted DPDs'!J23),"",'Master Submitted DPDs'!J23)</f>
        <v>42199</v>
      </c>
      <c r="M701" s="2">
        <f t="shared" si="20"/>
        <v>42199</v>
      </c>
      <c r="N701" s="2">
        <f>IF(ISBLANK('Master Submitted DPDs'!M23),IF(ISBLANK('Master Submitted DPDs'!O23),"",'Master Submitted DPDs'!O23),'Master Submitted DPDs'!M23)</f>
        <v>42199</v>
      </c>
      <c r="O701" s="2">
        <f>IF(ISBLANK('Master Submitted DPDs'!Q23),"",'Master Submitted DPDs'!Q23)</f>
        <v>42936</v>
      </c>
      <c r="P701" s="2">
        <f>IF(ISBLANK('Master Submitted DPDs'!AO23),"",'Master Submitted DPDs'!AO23)</f>
        <v>43336</v>
      </c>
      <c r="Q701" t="str">
        <f>IF(ISBLANK('Master Submitted DPDs'!AU23),"",'Master Submitted DPDs'!AU23)</f>
        <v>SOU</v>
      </c>
      <c r="R701" t="str">
        <f t="shared" si="21"/>
        <v>Closed</v>
      </c>
      <c r="S701" s="3"/>
      <c r="T701">
        <f>IF(ISBLANK('Master Submitted DPDs'!G23),"",'Master Submitted DPDs'!G23)</f>
        <v>3</v>
      </c>
    </row>
    <row r="702" spans="1:20" ht="15" x14ac:dyDescent="0.2">
      <c r="A702" s="3" t="str">
        <f>IF(ISBLANK('Master Submitted DPDs'!#REF!),"","Local Plans")</f>
        <v>Local Plans</v>
      </c>
      <c r="B702" t="str">
        <f>IF(ISBLANK('Master Submitted DPDs'!F24),"",'Master Submitted DPDs'!F24)</f>
        <v>DM</v>
      </c>
      <c r="C702" s="3" t="str">
        <f>IF(ISBLANK('Master Submitted DPDs'!$B24),"","IH")</f>
        <v>IH</v>
      </c>
      <c r="D702" s="3" t="str">
        <f>LOOKUP($F702,'fuzzy LPA lookup'!$E:$E,'fuzzy LPA lookup'!$A:$A)</f>
        <v>Z1775</v>
      </c>
      <c r="E702" s="3" t="str">
        <f>LOOKUP($F702,'fuzzy LPA lookup'!$E:$E,'fuzzy LPA lookup'!$D:$D)</f>
        <v>Portsmouth City Council</v>
      </c>
      <c r="F702" s="8">
        <f>IF(ISBLANK('Master Submitted DPDs'!B24),"",'Master Submitted DPDs'!B24)</f>
        <v>1675</v>
      </c>
      <c r="G702" t="str">
        <f>IF(ISBLANK('Master Submitted DPDs'!AS24),"","Withdrawn")</f>
        <v/>
      </c>
      <c r="H702" s="2" t="str">
        <f>IF(ISBLANK('Master Submitted DPDs'!AS24),"",'Master Submitted DPDs'!AS24)</f>
        <v/>
      </c>
      <c r="I702" s="3"/>
      <c r="J702" s="3"/>
      <c r="K702" s="3"/>
      <c r="L702" s="2">
        <f>IF(ISBLANK('Master Submitted DPDs'!J24),"",'Master Submitted DPDs'!J24)</f>
        <v>42207</v>
      </c>
      <c r="M702" s="2">
        <f t="shared" si="20"/>
        <v>42207</v>
      </c>
      <c r="N702" s="2">
        <f>IF(ISBLANK('Master Submitted DPDs'!M24),IF(ISBLANK('Master Submitted DPDs'!O24),"",'Master Submitted DPDs'!O24),'Master Submitted DPDs'!M24)</f>
        <v>42207</v>
      </c>
      <c r="O702" s="2">
        <f>IF(ISBLANK('Master Submitted DPDs'!Q24),"",'Master Submitted DPDs'!Q24)</f>
        <v>42312</v>
      </c>
      <c r="P702" s="2">
        <f>IF(ISBLANK('Master Submitted DPDs'!AO24),"",'Master Submitted DPDs'!AO24)</f>
        <v>42486</v>
      </c>
      <c r="Q702" t="str">
        <f>IF(ISBLANK('Master Submitted DPDs'!AU24),"",'Master Submitted DPDs'!AU24)</f>
        <v>SOU</v>
      </c>
      <c r="R702" t="str">
        <f t="shared" si="21"/>
        <v>Closed</v>
      </c>
      <c r="S702" s="3"/>
      <c r="T702">
        <f>IF(ISBLANK('Master Submitted DPDs'!G24),"",'Master Submitted DPDs'!G24)</f>
        <v>2</v>
      </c>
    </row>
    <row r="703" spans="1:20" ht="15" x14ac:dyDescent="0.2">
      <c r="A703" s="3" t="str">
        <f>IF(ISBLANK('Master Submitted DPDs'!#REF!),"","Local Plans")</f>
        <v>Local Plans</v>
      </c>
      <c r="B703" t="str">
        <f>IF(ISBLANK('Master Submitted DPDs'!F25),"",'Master Submitted DPDs'!F25)</f>
        <v>LP</v>
      </c>
      <c r="C703" s="3" t="str">
        <f>IF(ISBLANK('Master Submitted DPDs'!$B25),"","IH")</f>
        <v>IH</v>
      </c>
      <c r="D703" s="3" t="str">
        <f>LOOKUP($F703,'fuzzy LPA lookup'!$E:$E,'fuzzy LPA lookup'!$A:$A)</f>
        <v>Z4718</v>
      </c>
      <c r="E703" s="3" t="str">
        <f>LOOKUP($F703,'fuzzy LPA lookup'!$E:$E,'fuzzy LPA lookup'!$D:$D)</f>
        <v>Kirklees Metropolitan Council</v>
      </c>
      <c r="F703" s="8">
        <f>IF(ISBLANK('Master Submitted DPDs'!B25),"",'Master Submitted DPDs'!B25)</f>
        <v>1367</v>
      </c>
      <c r="G703" t="str">
        <f>IF(ISBLANK('Master Submitted DPDs'!AS25),"","Withdrawn")</f>
        <v/>
      </c>
      <c r="H703" s="2" t="str">
        <f>IF(ISBLANK('Master Submitted DPDs'!AS25),"",'Master Submitted DPDs'!AS25)</f>
        <v/>
      </c>
      <c r="I703" s="3"/>
      <c r="J703" s="3"/>
      <c r="K703" s="3"/>
      <c r="L703" s="2">
        <f>IF(ISBLANK('Master Submitted DPDs'!J25),"",'Master Submitted DPDs'!J25)</f>
        <v>42216</v>
      </c>
      <c r="M703" s="2">
        <f t="shared" si="20"/>
        <v>42216</v>
      </c>
      <c r="N703" s="2">
        <f>IF(ISBLANK('Master Submitted DPDs'!M25),IF(ISBLANK('Master Submitted DPDs'!O25),"",'Master Submitted DPDs'!O25),'Master Submitted DPDs'!M25)</f>
        <v>42216</v>
      </c>
      <c r="O703" s="2">
        <f>IF(ISBLANK('Master Submitted DPDs'!Q25),"",'Master Submitted DPDs'!Q25)</f>
        <v>42335</v>
      </c>
      <c r="P703" s="2">
        <f>IF(ISBLANK('Master Submitted DPDs'!AO25),"",'Master Submitted DPDs'!AO25)</f>
        <v>42543</v>
      </c>
      <c r="Q703" t="str">
        <f>IF(ISBLANK('Master Submitted DPDs'!AU25),"",'Master Submitted DPDs'!AU25)</f>
        <v>SOU</v>
      </c>
      <c r="R703" t="str">
        <f t="shared" si="21"/>
        <v>Closed</v>
      </c>
      <c r="S703" s="3"/>
      <c r="T703">
        <f>IF(ISBLANK('Master Submitted DPDs'!G25),"",'Master Submitted DPDs'!G25)</f>
        <v>3</v>
      </c>
    </row>
    <row r="704" spans="1:20" ht="15" x14ac:dyDescent="0.2">
      <c r="A704" s="3" t="str">
        <f>IF(ISBLANK('Master Submitted DPDs'!#REF!),"","Local Plans")</f>
        <v>Local Plans</v>
      </c>
      <c r="B704" t="str">
        <f>IF(ISBLANK('Master Submitted DPDs'!F26),"",'Master Submitted DPDs'!F26)</f>
        <v>LP</v>
      </c>
      <c r="C704" s="3" t="str">
        <f>IF(ISBLANK('Master Submitted DPDs'!$B26),"","IH")</f>
        <v>IH</v>
      </c>
      <c r="D704" s="3" t="str">
        <f>LOOKUP($F704,'fuzzy LPA lookup'!$E:$E,'fuzzy LPA lookup'!$A:$A)</f>
        <v>Z0116</v>
      </c>
      <c r="E704" s="3" t="str">
        <f>LOOKUP($F704,'fuzzy LPA lookup'!$E:$E,'fuzzy LPA lookup'!$D:$D)</f>
        <v>Bristol City Council</v>
      </c>
      <c r="F704" s="8">
        <f>IF(ISBLANK('Master Submitted DPDs'!B26),"",'Master Submitted DPDs'!B26)</f>
        <v>1647</v>
      </c>
      <c r="G704" t="str">
        <f>IF(ISBLANK('Master Submitted DPDs'!AS26),"","Withdrawn")</f>
        <v/>
      </c>
      <c r="H704" s="2" t="str">
        <f>IF(ISBLANK('Master Submitted DPDs'!AS26),"",'Master Submitted DPDs'!AS26)</f>
        <v/>
      </c>
      <c r="I704" s="3"/>
      <c r="J704" s="3"/>
      <c r="K704" s="3"/>
      <c r="L704" s="2">
        <f>IF(ISBLANK('Master Submitted DPDs'!J26),"",'Master Submitted DPDs'!J26)</f>
        <v>42216</v>
      </c>
      <c r="M704" s="2">
        <f t="shared" si="20"/>
        <v>42216</v>
      </c>
      <c r="N704" s="2">
        <f>IF(ISBLANK('Master Submitted DPDs'!M26),IF(ISBLANK('Master Submitted DPDs'!O26),"",'Master Submitted DPDs'!O26),'Master Submitted DPDs'!M26)</f>
        <v>42216</v>
      </c>
      <c r="O704" s="2">
        <f>IF(ISBLANK('Master Submitted DPDs'!Q26),"",'Master Submitted DPDs'!Q26)</f>
        <v>42451</v>
      </c>
      <c r="P704" s="2">
        <f>IF(ISBLANK('Master Submitted DPDs'!AO26),"",'Master Submitted DPDs'!AO26)</f>
        <v>42627</v>
      </c>
      <c r="Q704" t="str">
        <f>IF(ISBLANK('Master Submitted DPDs'!AU26),"",'Master Submitted DPDs'!AU26)</f>
        <v>SOU</v>
      </c>
      <c r="R704" t="str">
        <f t="shared" si="21"/>
        <v>Closed</v>
      </c>
      <c r="S704" s="3"/>
      <c r="T704">
        <f>IF(ISBLANK('Master Submitted DPDs'!G26),"",'Master Submitted DPDs'!G26)</f>
        <v>3</v>
      </c>
    </row>
    <row r="705" spans="1:20" ht="15" x14ac:dyDescent="0.2">
      <c r="A705" s="3" t="str">
        <f>IF(ISBLANK('Master Submitted DPDs'!#REF!),"","Local Plans")</f>
        <v>Local Plans</v>
      </c>
      <c r="B705" t="str">
        <f>IF(ISBLANK('Master Submitted DPDs'!F27),"",'Master Submitted DPDs'!F27)</f>
        <v>AAP</v>
      </c>
      <c r="C705" s="3" t="str">
        <f>IF(ISBLANK('Master Submitted DPDs'!$B27),"","IH")</f>
        <v>IH</v>
      </c>
      <c r="D705" s="3" t="str">
        <f>LOOKUP($F705,'fuzzy LPA lookup'!$E:$E,'fuzzy LPA lookup'!$A:$A)</f>
        <v>E0915</v>
      </c>
      <c r="E705" s="3" t="str">
        <f>LOOKUP($F705,'fuzzy LPA lookup'!$E:$E,'fuzzy LPA lookup'!$D:$D)</f>
        <v>Carlisle City Council</v>
      </c>
      <c r="F705" s="8">
        <f>IF(ISBLANK('Master Submitted DPDs'!B27),"",'Master Submitted DPDs'!B27)</f>
        <v>1661</v>
      </c>
      <c r="G705" t="str">
        <f>IF(ISBLANK('Master Submitted DPDs'!AS27),"","Withdrawn")</f>
        <v/>
      </c>
      <c r="H705" s="2" t="str">
        <f>IF(ISBLANK('Master Submitted DPDs'!AS27),"",'Master Submitted DPDs'!AS27)</f>
        <v/>
      </c>
      <c r="I705" s="3"/>
      <c r="J705" s="3"/>
      <c r="K705" s="3"/>
      <c r="L705" s="2">
        <f>IF(ISBLANK('Master Submitted DPDs'!J27),"",'Master Submitted DPDs'!J27)</f>
        <v>42216</v>
      </c>
      <c r="M705" s="2">
        <f t="shared" si="20"/>
        <v>42216</v>
      </c>
      <c r="N705" s="2">
        <f>IF(ISBLANK('Master Submitted DPDs'!M27),IF(ISBLANK('Master Submitted DPDs'!O27),"",'Master Submitted DPDs'!O27),'Master Submitted DPDs'!M27)</f>
        <v>42216</v>
      </c>
      <c r="O705" s="2">
        <f>IF(ISBLANK('Master Submitted DPDs'!Q27),"",'Master Submitted DPDs'!Q27)</f>
        <v>42647</v>
      </c>
      <c r="P705" s="2">
        <f>IF(ISBLANK('Master Submitted DPDs'!AO27),"",'Master Submitted DPDs'!AO27)</f>
        <v>42787</v>
      </c>
      <c r="Q705" t="str">
        <f>IF(ISBLANK('Master Submitted DPDs'!AU27),"",'Master Submitted DPDs'!AU27)</f>
        <v>SOU</v>
      </c>
      <c r="R705" t="str">
        <f t="shared" si="21"/>
        <v>Closed</v>
      </c>
      <c r="S705" s="3"/>
      <c r="T705">
        <f>IF(ISBLANK('Master Submitted DPDs'!G27),"",'Master Submitted DPDs'!G27)</f>
        <v>3</v>
      </c>
    </row>
    <row r="706" spans="1:20" ht="15" x14ac:dyDescent="0.2">
      <c r="A706" s="3" t="str">
        <f>IF(ISBLANK('Master Submitted DPDs'!#REF!),"","Local Plans")</f>
        <v>Local Plans</v>
      </c>
      <c r="B706" t="str">
        <f>IF(ISBLANK('Master Submitted DPDs'!F28),"",'Master Submitted DPDs'!F28)</f>
        <v>LP</v>
      </c>
      <c r="C706" s="3" t="str">
        <f>IF(ISBLANK('Master Submitted DPDs'!$B28),"","IH")</f>
        <v>IH</v>
      </c>
      <c r="D706" s="3" t="str">
        <f>LOOKUP($F706,'fuzzy LPA lookup'!$E:$E,'fuzzy LPA lookup'!$A:$A)</f>
        <v>M4320</v>
      </c>
      <c r="E706" s="3" t="str">
        <f>LOOKUP($F706,'fuzzy LPA lookup'!$E:$E,'fuzzy LPA lookup'!$D:$D)</f>
        <v>Sefton Metropolitan Borough Council</v>
      </c>
      <c r="F706" s="8">
        <f>IF(ISBLANK('Master Submitted DPDs'!B28),"",'Master Submitted DPDs'!B28)</f>
        <v>1645</v>
      </c>
      <c r="G706" t="str">
        <f>IF(ISBLANK('Master Submitted DPDs'!AS28),"","Withdrawn")</f>
        <v/>
      </c>
      <c r="H706" s="2" t="str">
        <f>IF(ISBLANK('Master Submitted DPDs'!AS28),"",'Master Submitted DPDs'!AS28)</f>
        <v/>
      </c>
      <c r="I706" s="3"/>
      <c r="J706" s="3"/>
      <c r="K706" s="3"/>
      <c r="L706" s="2">
        <f>IF(ISBLANK('Master Submitted DPDs'!J28),"",'Master Submitted DPDs'!J28)</f>
        <v>42219</v>
      </c>
      <c r="M706" s="2">
        <f t="shared" ref="M706:M769" si="22">L706</f>
        <v>42219</v>
      </c>
      <c r="N706" s="2">
        <f>IF(ISBLANK('Master Submitted DPDs'!M28),IF(ISBLANK('Master Submitted DPDs'!O28),"",'Master Submitted DPDs'!O28),'Master Submitted DPDs'!M28)</f>
        <v>42219</v>
      </c>
      <c r="O706" s="2">
        <f>IF(ISBLANK('Master Submitted DPDs'!Q28),"",'Master Submitted DPDs'!Q28)</f>
        <v>42676</v>
      </c>
      <c r="P706" s="2">
        <f>IF(ISBLANK('Master Submitted DPDs'!AO28),"",'Master Submitted DPDs'!AO28)</f>
        <v>42808</v>
      </c>
      <c r="Q706" t="str">
        <f>IF(ISBLANK('Master Submitted DPDs'!AU28),"",'Master Submitted DPDs'!AU28)</f>
        <v>SOU</v>
      </c>
      <c r="R706" t="str">
        <f t="shared" ref="R706:R769" si="23">IF(F706="","",IF(AND(H706="",Q706&lt;&gt;"UNS",P706=""),"Open","Closed"))</f>
        <v>Closed</v>
      </c>
      <c r="S706" s="3"/>
      <c r="T706">
        <f>IF(ISBLANK('Master Submitted DPDs'!G28),"",'Master Submitted DPDs'!G28)</f>
        <v>3</v>
      </c>
    </row>
    <row r="707" spans="1:20" ht="15" x14ac:dyDescent="0.2">
      <c r="A707" s="3" t="str">
        <f>IF(ISBLANK('Master Submitted DPDs'!#REF!),"","Local Plans")</f>
        <v>Local Plans</v>
      </c>
      <c r="B707" t="str">
        <f>IF(ISBLANK('Master Submitted DPDs'!F29),"",'Master Submitted DPDs'!F29)</f>
        <v>SA</v>
      </c>
      <c r="C707" s="3" t="str">
        <f>IF(ISBLANK('Master Submitted DPDs'!$B29),"","IH")</f>
        <v>IH</v>
      </c>
      <c r="D707" s="3" t="str">
        <f>LOOKUP($F707,'fuzzy LPA lookup'!$E:$E,'fuzzy LPA lookup'!$A:$A)</f>
        <v>L2250</v>
      </c>
      <c r="E707" s="3" t="str">
        <f>LOOKUP($F707,'fuzzy LPA lookup'!$E:$E,'fuzzy LPA lookup'!$D:$D)</f>
        <v>Shepway District Council</v>
      </c>
      <c r="F707" s="8">
        <f>IF(ISBLANK('Master Submitted DPDs'!B29),"",'Master Submitted DPDs'!B29)</f>
        <v>1596</v>
      </c>
      <c r="G707" t="str">
        <f>IF(ISBLANK('Master Submitted DPDs'!AS29),"","Withdrawn")</f>
        <v/>
      </c>
      <c r="H707" s="2" t="str">
        <f>IF(ISBLANK('Master Submitted DPDs'!AS29),"",'Master Submitted DPDs'!AS29)</f>
        <v/>
      </c>
      <c r="I707" s="3"/>
      <c r="J707" s="3"/>
      <c r="K707" s="3"/>
      <c r="L707" s="2">
        <f>IF(ISBLANK('Master Submitted DPDs'!J29),"",'Master Submitted DPDs'!J29)</f>
        <v>42244</v>
      </c>
      <c r="M707" s="2">
        <f t="shared" si="22"/>
        <v>42244</v>
      </c>
      <c r="N707" s="2">
        <f>IF(ISBLANK('Master Submitted DPDs'!M29),IF(ISBLANK('Master Submitted DPDs'!O29),"",'Master Submitted DPDs'!O29),'Master Submitted DPDs'!M29)</f>
        <v>42244</v>
      </c>
      <c r="O707" s="2">
        <f>IF(ISBLANK('Master Submitted DPDs'!Q29),"",'Master Submitted DPDs'!Q29)</f>
        <v>42930</v>
      </c>
      <c r="P707" s="2">
        <f>IF(ISBLANK('Master Submitted DPDs'!AO29),"",'Master Submitted DPDs'!AO29)</f>
        <v>43271</v>
      </c>
      <c r="Q707" t="str">
        <f>IF(ISBLANK('Master Submitted DPDs'!AU29),"",'Master Submitted DPDs'!AU29)</f>
        <v>SOU</v>
      </c>
      <c r="R707" t="str">
        <f t="shared" si="23"/>
        <v>Closed</v>
      </c>
      <c r="S707" s="3"/>
      <c r="T707">
        <f>IF(ISBLANK('Master Submitted DPDs'!G29),"",'Master Submitted DPDs'!G29)</f>
        <v>3</v>
      </c>
    </row>
    <row r="708" spans="1:20" ht="15" x14ac:dyDescent="0.2">
      <c r="A708" s="3" t="str">
        <f>IF(ISBLANK('Master Submitted DPDs'!#REF!),"","Local Plans")</f>
        <v>Local Plans</v>
      </c>
      <c r="B708" t="str">
        <f>IF(ISBLANK('Master Submitted DPDs'!F30),"",'Master Submitted DPDs'!F30)</f>
        <v>AAP</v>
      </c>
      <c r="C708" s="3" t="str">
        <f>IF(ISBLANK('Master Submitted DPDs'!$B30),"","IH")</f>
        <v>IH</v>
      </c>
      <c r="D708" s="3" t="str">
        <f>LOOKUP($F708,'fuzzy LPA lookup'!$E:$E,'fuzzy LPA lookup'!$A:$A)</f>
        <v>W3710</v>
      </c>
      <c r="E708" s="3" t="str">
        <f>LOOKUP($F708,'fuzzy LPA lookup'!$E:$E,'fuzzy LPA lookup'!$D:$D)</f>
        <v>Nuneaton and Bedworth Borough Council</v>
      </c>
      <c r="F708" s="8">
        <f>IF(ISBLANK('Master Submitted DPDs'!B30),"",'Master Submitted DPDs'!B30)</f>
        <v>1679</v>
      </c>
      <c r="G708" t="str">
        <f>IF(ISBLANK('Master Submitted DPDs'!AS30),"","Withdrawn")</f>
        <v/>
      </c>
      <c r="H708" s="2" t="str">
        <f>IF(ISBLANK('Master Submitted DPDs'!AS30),"",'Master Submitted DPDs'!AS30)</f>
        <v/>
      </c>
      <c r="I708" s="3"/>
      <c r="J708" s="3"/>
      <c r="K708" s="3"/>
      <c r="L708" s="2">
        <f>IF(ISBLANK('Master Submitted DPDs'!J30),"",'Master Submitted DPDs'!J30)</f>
        <v>42276</v>
      </c>
      <c r="M708" s="2">
        <f t="shared" si="22"/>
        <v>42276</v>
      </c>
      <c r="N708" s="2">
        <f>IF(ISBLANK('Master Submitted DPDs'!M30),IF(ISBLANK('Master Submitted DPDs'!O30),"",'Master Submitted DPDs'!O30),'Master Submitted DPDs'!M30)</f>
        <v>42276</v>
      </c>
      <c r="O708" s="2">
        <f>IF(ISBLANK('Master Submitted DPDs'!Q30),"",'Master Submitted DPDs'!Q30)</f>
        <v>42394</v>
      </c>
      <c r="P708" s="2">
        <f>IF(ISBLANK('Master Submitted DPDs'!AO30),"",'Master Submitted DPDs'!AO30)</f>
        <v>42562</v>
      </c>
      <c r="Q708" t="str">
        <f>IF(ISBLANK('Master Submitted DPDs'!AU30),"",'Master Submitted DPDs'!AU30)</f>
        <v>SOU</v>
      </c>
      <c r="R708" t="str">
        <f t="shared" si="23"/>
        <v>Closed</v>
      </c>
      <c r="S708" s="3"/>
      <c r="T708">
        <f>IF(ISBLANK('Master Submitted DPDs'!G30),"",'Master Submitted DPDs'!G30)</f>
        <v>2</v>
      </c>
    </row>
    <row r="709" spans="1:20" ht="15" x14ac:dyDescent="0.2">
      <c r="A709" s="3" t="str">
        <f>IF(ISBLANK('Master Submitted DPDs'!#REF!),"","Local Plans")</f>
        <v>Local Plans</v>
      </c>
      <c r="B709" t="str">
        <f>IF(ISBLANK('Master Submitted DPDs'!F31),"",'Master Submitted DPDs'!F31)</f>
        <v>SA</v>
      </c>
      <c r="C709" s="3" t="str">
        <f>IF(ISBLANK('Master Submitted DPDs'!$B31),"","IH")</f>
        <v>IH</v>
      </c>
      <c r="D709" s="3" t="str">
        <f>LOOKUP($F709,'fuzzy LPA lookup'!$E:$E,'fuzzy LPA lookup'!$A:$A)</f>
        <v>W3710</v>
      </c>
      <c r="E709" s="3" t="str">
        <f>LOOKUP($F709,'fuzzy LPA lookup'!$E:$E,'fuzzy LPA lookup'!$D:$D)</f>
        <v>Nuneaton and Bedworth Borough Council</v>
      </c>
      <c r="F709" s="8">
        <f>IF(ISBLANK('Master Submitted DPDs'!B31),"",'Master Submitted DPDs'!B31)</f>
        <v>1690</v>
      </c>
      <c r="G709" t="str">
        <f>IF(ISBLANK('Master Submitted DPDs'!AS31),"","Withdrawn")</f>
        <v/>
      </c>
      <c r="H709" s="2" t="str">
        <f>IF(ISBLANK('Master Submitted DPDs'!AS31),"",'Master Submitted DPDs'!AS31)</f>
        <v/>
      </c>
      <c r="I709" s="3"/>
      <c r="J709" s="3"/>
      <c r="K709" s="3"/>
      <c r="L709" s="2">
        <f>IF(ISBLANK('Master Submitted DPDs'!J31),"",'Master Submitted DPDs'!J31)</f>
        <v>42324</v>
      </c>
      <c r="M709" s="2">
        <f t="shared" si="22"/>
        <v>42324</v>
      </c>
      <c r="N709" s="2">
        <f>IF(ISBLANK('Master Submitted DPDs'!M31),IF(ISBLANK('Master Submitted DPDs'!O31),"",'Master Submitted DPDs'!O31),'Master Submitted DPDs'!M31)</f>
        <v>42324</v>
      </c>
      <c r="O709" s="2">
        <f>IF(ISBLANK('Master Submitted DPDs'!Q31),"",'Master Submitted DPDs'!Q31)</f>
        <v>42474</v>
      </c>
      <c r="P709" s="2">
        <f>IF(ISBLANK('Master Submitted DPDs'!AO31),"",'Master Submitted DPDs'!AO31)</f>
        <v>42627</v>
      </c>
      <c r="Q709" t="str">
        <f>IF(ISBLANK('Master Submitted DPDs'!AU31),"",'Master Submitted DPDs'!AU31)</f>
        <v>SOU</v>
      </c>
      <c r="R709" t="str">
        <f t="shared" si="23"/>
        <v>Closed</v>
      </c>
      <c r="S709" s="3"/>
      <c r="T709">
        <f>IF(ISBLANK('Master Submitted DPDs'!G31),"",'Master Submitted DPDs'!G31)</f>
        <v>3</v>
      </c>
    </row>
    <row r="710" spans="1:20" ht="15" x14ac:dyDescent="0.2">
      <c r="A710" s="3" t="str">
        <f>IF(ISBLANK('Master Submitted DPDs'!#REF!),"","Local Plans")</f>
        <v>Local Plans</v>
      </c>
      <c r="B710" t="str">
        <f>IF(ISBLANK('Master Submitted DPDs'!F32),"",'Master Submitted DPDs'!F32)</f>
        <v>AAP</v>
      </c>
      <c r="C710" s="3" t="str">
        <f>IF(ISBLANK('Master Submitted DPDs'!$B32),"","IH")</f>
        <v>IH</v>
      </c>
      <c r="D710" s="3" t="str">
        <f>LOOKUP($F710,'fuzzy LPA lookup'!$E:$E,'fuzzy LPA lookup'!$A:$A)</f>
        <v>W3710</v>
      </c>
      <c r="E710" s="3" t="str">
        <f>LOOKUP($F710,'fuzzy LPA lookup'!$E:$E,'fuzzy LPA lookup'!$D:$D)</f>
        <v>Nuneaton and Bedworth Borough Council</v>
      </c>
      <c r="F710" s="8">
        <f>IF(ISBLANK('Master Submitted DPDs'!B32),"",'Master Submitted DPDs'!B32)</f>
        <v>1682</v>
      </c>
      <c r="G710" t="str">
        <f>IF(ISBLANK('Master Submitted DPDs'!AS32),"","Withdrawn")</f>
        <v/>
      </c>
      <c r="H710" s="2" t="str">
        <f>IF(ISBLANK('Master Submitted DPDs'!AS32),"",'Master Submitted DPDs'!AS32)</f>
        <v/>
      </c>
      <c r="I710" s="3"/>
      <c r="J710" s="3"/>
      <c r="K710" s="3"/>
      <c r="L710" s="2">
        <f>IF(ISBLANK('Master Submitted DPDs'!J32),"",'Master Submitted DPDs'!J32)</f>
        <v>42338</v>
      </c>
      <c r="M710" s="2">
        <f t="shared" si="22"/>
        <v>42338</v>
      </c>
      <c r="N710" s="2">
        <f>IF(ISBLANK('Master Submitted DPDs'!M32),IF(ISBLANK('Master Submitted DPDs'!O32),"",'Master Submitted DPDs'!O32),'Master Submitted DPDs'!M32)</f>
        <v>42338</v>
      </c>
      <c r="O710" s="2">
        <f>IF(ISBLANK('Master Submitted DPDs'!Q32),"",'Master Submitted DPDs'!Q32)</f>
        <v>42424</v>
      </c>
      <c r="P710" s="2">
        <f>IF(ISBLANK('Master Submitted DPDs'!AO32),"",'Master Submitted DPDs'!AO32)</f>
        <v>42521</v>
      </c>
      <c r="Q710" t="str">
        <f>IF(ISBLANK('Master Submitted DPDs'!AU32),"",'Master Submitted DPDs'!AU32)</f>
        <v>SOU</v>
      </c>
      <c r="R710" t="str">
        <f t="shared" si="23"/>
        <v>Closed</v>
      </c>
      <c r="S710" s="3"/>
      <c r="T710">
        <f>IF(ISBLANK('Master Submitted DPDs'!G32),"",'Master Submitted DPDs'!G32)</f>
        <v>2</v>
      </c>
    </row>
    <row r="711" spans="1:20" ht="15" x14ac:dyDescent="0.2">
      <c r="A711" s="3" t="str">
        <f>IF(ISBLANK('Master Submitted DPDs'!#REF!),"","Local Plans")</f>
        <v>Local Plans</v>
      </c>
      <c r="B711" t="str">
        <f>IF(ISBLANK('Master Submitted DPDs'!F33),"",'Master Submitted DPDs'!F33)</f>
        <v>PR</v>
      </c>
      <c r="C711" s="3" t="str">
        <f>IF(ISBLANK('Master Submitted DPDs'!$B33),"","IH")</f>
        <v>IH</v>
      </c>
      <c r="D711" s="3" t="str">
        <f>LOOKUP($F711,'fuzzy LPA lookup'!$E:$E,'fuzzy LPA lookup'!$A:$A)</f>
        <v>B0230</v>
      </c>
      <c r="E711" s="3" t="str">
        <f>LOOKUP($F711,'fuzzy LPA lookup'!$E:$E,'fuzzy LPA lookup'!$D:$D)</f>
        <v>Luton Borough Council</v>
      </c>
      <c r="F711" s="8">
        <f>IF(ISBLANK('Master Submitted DPDs'!B33),"",'Master Submitted DPDs'!B33)</f>
        <v>1711</v>
      </c>
      <c r="G711" t="str">
        <f>IF(ISBLANK('Master Submitted DPDs'!AS33),"","Withdrawn")</f>
        <v/>
      </c>
      <c r="H711" s="2" t="str">
        <f>IF(ISBLANK('Master Submitted DPDs'!AS33),"",'Master Submitted DPDs'!AS33)</f>
        <v/>
      </c>
      <c r="I711" s="3"/>
      <c r="J711" s="3"/>
      <c r="K711" s="3"/>
      <c r="L711" s="2">
        <f>IF(ISBLANK('Master Submitted DPDs'!J33),"",'Master Submitted DPDs'!J33)</f>
        <v>42339</v>
      </c>
      <c r="M711" s="2">
        <f t="shared" si="22"/>
        <v>42339</v>
      </c>
      <c r="N711" s="2">
        <f>IF(ISBLANK('Master Submitted DPDs'!M33),IF(ISBLANK('Master Submitted DPDs'!O33),"",'Master Submitted DPDs'!O33),'Master Submitted DPDs'!M33)</f>
        <v>42339</v>
      </c>
      <c r="O711" s="2">
        <f>IF(ISBLANK('Master Submitted DPDs'!Q33),"",'Master Submitted DPDs'!Q33)</f>
        <v>42437</v>
      </c>
      <c r="P711" s="2">
        <f>IF(ISBLANK('Master Submitted DPDs'!AO33),"",'Master Submitted DPDs'!AO33)</f>
        <v>42549</v>
      </c>
      <c r="Q711" t="str">
        <f>IF(ISBLANK('Master Submitted DPDs'!AU33),"",'Master Submitted DPDs'!AU33)</f>
        <v>SOU</v>
      </c>
      <c r="R711" t="str">
        <f t="shared" si="23"/>
        <v>Closed</v>
      </c>
      <c r="S711" s="3"/>
      <c r="T711">
        <f>IF(ISBLANK('Master Submitted DPDs'!G33),"",'Master Submitted DPDs'!G33)</f>
        <v>2</v>
      </c>
    </row>
    <row r="712" spans="1:20" ht="15" x14ac:dyDescent="0.2">
      <c r="A712" s="3" t="str">
        <f>IF(ISBLANK('Master Submitted DPDs'!#REF!),"","Local Plans")</f>
        <v>Local Plans</v>
      </c>
      <c r="B712" t="str">
        <f>IF(ISBLANK('Master Submitted DPDs'!F34),"",'Master Submitted DPDs'!F34)</f>
        <v>PR</v>
      </c>
      <c r="C712" s="3" t="str">
        <f>IF(ISBLANK('Master Submitted DPDs'!$B34),"","IH")</f>
        <v>IH</v>
      </c>
      <c r="D712" s="3" t="str">
        <f>LOOKUP($F712,'fuzzy LPA lookup'!$E:$E,'fuzzy LPA lookup'!$A:$A)</f>
        <v>B0230</v>
      </c>
      <c r="E712" s="3" t="str">
        <f>LOOKUP($F712,'fuzzy LPA lookup'!$E:$E,'fuzzy LPA lookup'!$D:$D)</f>
        <v>Luton Borough Council</v>
      </c>
      <c r="F712" s="8">
        <f>IF(ISBLANK('Master Submitted DPDs'!B34),"",'Master Submitted DPDs'!B34)</f>
        <v>1712</v>
      </c>
      <c r="G712" t="str">
        <f>IF(ISBLANK('Master Submitted DPDs'!AS34),"","Withdrawn")</f>
        <v/>
      </c>
      <c r="H712" s="2" t="str">
        <f>IF(ISBLANK('Master Submitted DPDs'!AS34),"",'Master Submitted DPDs'!AS34)</f>
        <v/>
      </c>
      <c r="I712" s="3"/>
      <c r="J712" s="3"/>
      <c r="K712" s="3"/>
      <c r="L712" s="2">
        <f>IF(ISBLANK('Master Submitted DPDs'!J34),"",'Master Submitted DPDs'!J34)</f>
        <v>42339</v>
      </c>
      <c r="M712" s="2">
        <f t="shared" si="22"/>
        <v>42339</v>
      </c>
      <c r="N712" s="2">
        <f>IF(ISBLANK('Master Submitted DPDs'!M34),IF(ISBLANK('Master Submitted DPDs'!O34),"",'Master Submitted DPDs'!O34),'Master Submitted DPDs'!M34)</f>
        <v>42339</v>
      </c>
      <c r="O712" s="2">
        <f>IF(ISBLANK('Master Submitted DPDs'!Q34),"",'Master Submitted DPDs'!Q34)</f>
        <v>42438</v>
      </c>
      <c r="P712" s="2">
        <f>IF(ISBLANK('Master Submitted DPDs'!AO34),"",'Master Submitted DPDs'!AO34)</f>
        <v>42549</v>
      </c>
      <c r="Q712" t="str">
        <f>IF(ISBLANK('Master Submitted DPDs'!AU34),"",'Master Submitted DPDs'!AU34)</f>
        <v>SOU</v>
      </c>
      <c r="R712" t="str">
        <f t="shared" si="23"/>
        <v>Closed</v>
      </c>
      <c r="S712" s="3"/>
      <c r="T712">
        <f>IF(ISBLANK('Master Submitted DPDs'!G34),"",'Master Submitted DPDs'!G34)</f>
        <v>2</v>
      </c>
    </row>
    <row r="713" spans="1:20" ht="15" x14ac:dyDescent="0.2">
      <c r="A713" s="3" t="str">
        <f>IF(ISBLANK('Master Submitted DPDs'!#REF!),"","Local Plans")</f>
        <v>Local Plans</v>
      </c>
      <c r="B713" t="str">
        <f>IF(ISBLANK('Master Submitted DPDs'!F35),"",'Master Submitted DPDs'!F35)</f>
        <v>SA</v>
      </c>
      <c r="C713" s="3" t="str">
        <f>IF(ISBLANK('Master Submitted DPDs'!$B35),"","IH")</f>
        <v>IH</v>
      </c>
      <c r="D713" s="3" t="str">
        <f>LOOKUP($F713,'fuzzy LPA lookup'!$E:$E,'fuzzy LPA lookup'!$A:$A)</f>
        <v>C1055</v>
      </c>
      <c r="E713" s="3" t="str">
        <f>LOOKUP($F713,'fuzzy LPA lookup'!$E:$E,'fuzzy LPA lookup'!$D:$D)</f>
        <v>Derby City Council</v>
      </c>
      <c r="F713" s="8">
        <f>IF(ISBLANK('Master Submitted DPDs'!B35),"",'Master Submitted DPDs'!B35)</f>
        <v>1702</v>
      </c>
      <c r="G713" t="str">
        <f>IF(ISBLANK('Master Submitted DPDs'!AS35),"","Withdrawn")</f>
        <v/>
      </c>
      <c r="H713" s="2" t="str">
        <f>IF(ISBLANK('Master Submitted DPDs'!AS35),"",'Master Submitted DPDs'!AS35)</f>
        <v/>
      </c>
      <c r="I713" s="3"/>
      <c r="J713" s="3"/>
      <c r="K713" s="3"/>
      <c r="L713" s="2">
        <f>IF(ISBLANK('Master Submitted DPDs'!J35),"",'Master Submitted DPDs'!J35)</f>
        <v>42349</v>
      </c>
      <c r="M713" s="2">
        <f t="shared" si="22"/>
        <v>42349</v>
      </c>
      <c r="N713" s="2">
        <f>IF(ISBLANK('Master Submitted DPDs'!M35),IF(ISBLANK('Master Submitted DPDs'!O35),"",'Master Submitted DPDs'!O35),'Master Submitted DPDs'!M35)</f>
        <v>42352</v>
      </c>
      <c r="O713" s="2">
        <f>IF(ISBLANK('Master Submitted DPDs'!Q35),"",'Master Submitted DPDs'!Q35)</f>
        <v>42495</v>
      </c>
      <c r="P713" s="2">
        <f>IF(ISBLANK('Master Submitted DPDs'!AO35),"",'Master Submitted DPDs'!AO35)</f>
        <v>42625</v>
      </c>
      <c r="Q713" t="str">
        <f>IF(ISBLANK('Master Submitted DPDs'!AU35),"",'Master Submitted DPDs'!AU35)</f>
        <v>SOU</v>
      </c>
      <c r="R713" t="str">
        <f t="shared" si="23"/>
        <v>Closed</v>
      </c>
      <c r="S713" s="3"/>
      <c r="T713">
        <f>IF(ISBLANK('Master Submitted DPDs'!G35),"",'Master Submitted DPDs'!G35)</f>
        <v>3</v>
      </c>
    </row>
    <row r="714" spans="1:20" ht="15" x14ac:dyDescent="0.2">
      <c r="A714" s="3" t="str">
        <f>IF(ISBLANK('Master Submitted DPDs'!#REF!),"","Local Plans")</f>
        <v>Local Plans</v>
      </c>
      <c r="B714" t="str">
        <f>IF(ISBLANK('Master Submitted DPDs'!F36),"",'Master Submitted DPDs'!F36)</f>
        <v>LP</v>
      </c>
      <c r="C714" s="3" t="str">
        <f>IF(ISBLANK('Master Submitted DPDs'!$B36),"","IH")</f>
        <v>IH</v>
      </c>
      <c r="D714" s="3" t="str">
        <f>LOOKUP($F714,'fuzzy LPA lookup'!$E:$E,'fuzzy LPA lookup'!$A:$A)</f>
        <v>D1265</v>
      </c>
      <c r="E714" s="3" t="str">
        <f>LOOKUP($F714,'fuzzy LPA lookup'!$E:$E,'fuzzy LPA lookup'!$D:$D)</f>
        <v>Dorset</v>
      </c>
      <c r="F714" s="8">
        <f>IF(ISBLANK('Master Submitted DPDs'!B36),"",'Master Submitted DPDs'!B36)</f>
        <v>1531</v>
      </c>
      <c r="G714" t="str">
        <f>IF(ISBLANK('Master Submitted DPDs'!AS36),"","Withdrawn")</f>
        <v/>
      </c>
      <c r="H714" s="2" t="str">
        <f>IF(ISBLANK('Master Submitted DPDs'!AS36),"",'Master Submitted DPDs'!AS36)</f>
        <v/>
      </c>
      <c r="I714" s="3"/>
      <c r="J714" s="3"/>
      <c r="K714" s="3"/>
      <c r="L714" s="2">
        <f>IF(ISBLANK('Master Submitted DPDs'!J36),"",'Master Submitted DPDs'!J36)</f>
        <v>42352</v>
      </c>
      <c r="M714" s="2">
        <f t="shared" si="22"/>
        <v>42352</v>
      </c>
      <c r="N714" s="2">
        <f>IF(ISBLANK('Master Submitted DPDs'!M36),IF(ISBLANK('Master Submitted DPDs'!O36),"",'Master Submitted DPDs'!O36),'Master Submitted DPDs'!M36)</f>
        <v>42352</v>
      </c>
      <c r="O714" s="2">
        <f>IF(ISBLANK('Master Submitted DPDs'!Q36),"",'Master Submitted DPDs'!Q36)</f>
        <v>42550</v>
      </c>
      <c r="P714" s="2">
        <f>IF(ISBLANK('Master Submitted DPDs'!AO36),"",'Master Submitted DPDs'!AO36)</f>
        <v>42752</v>
      </c>
      <c r="Q714" t="str">
        <f>IF(ISBLANK('Master Submitted DPDs'!AU36),"",'Master Submitted DPDs'!AU36)</f>
        <v>SOU</v>
      </c>
      <c r="R714" t="str">
        <f t="shared" si="23"/>
        <v>Closed</v>
      </c>
      <c r="S714" s="3"/>
      <c r="T714">
        <f>IF(ISBLANK('Master Submitted DPDs'!G36),"",'Master Submitted DPDs'!G36)</f>
        <v>3</v>
      </c>
    </row>
    <row r="715" spans="1:20" ht="15" x14ac:dyDescent="0.2">
      <c r="A715" s="3" t="str">
        <f>IF(ISBLANK('Master Submitted DPDs'!#REF!),"","Local Plans")</f>
        <v>Local Plans</v>
      </c>
      <c r="B715" t="str">
        <f>IF(ISBLANK('Master Submitted DPDs'!F37),"",'Master Submitted DPDs'!F37)</f>
        <v>SA</v>
      </c>
      <c r="C715" s="3" t="str">
        <f>IF(ISBLANK('Master Submitted DPDs'!$B37),"","IH")</f>
        <v>IH</v>
      </c>
      <c r="D715" s="3" t="str">
        <f>LOOKUP($F715,'fuzzy LPA lookup'!$E:$E,'fuzzy LPA lookup'!$A:$A)</f>
        <v>R3515</v>
      </c>
      <c r="E715" s="3" t="str">
        <f>LOOKUP($F715,'fuzzy LPA lookup'!$E:$E,'fuzzy LPA lookup'!$D:$D)</f>
        <v>Ipswich Borough Council</v>
      </c>
      <c r="F715" s="8">
        <f>IF(ISBLANK('Master Submitted DPDs'!B37),"",'Master Submitted DPDs'!B37)</f>
        <v>868</v>
      </c>
      <c r="G715" t="str">
        <f>IF(ISBLANK('Master Submitted DPDs'!AS37),"","Withdrawn")</f>
        <v/>
      </c>
      <c r="H715" s="2" t="str">
        <f>IF(ISBLANK('Master Submitted DPDs'!AS37),"",'Master Submitted DPDs'!AS37)</f>
        <v/>
      </c>
      <c r="I715" s="3"/>
      <c r="J715" s="3"/>
      <c r="K715" s="3"/>
      <c r="L715" s="2">
        <f>IF(ISBLANK('Master Submitted DPDs'!J37),"",'Master Submitted DPDs'!J37)</f>
        <v>42352</v>
      </c>
      <c r="M715" s="2">
        <f t="shared" si="22"/>
        <v>42352</v>
      </c>
      <c r="N715" s="2">
        <f>IF(ISBLANK('Master Submitted DPDs'!M37),IF(ISBLANK('Master Submitted DPDs'!O37),"",'Master Submitted DPDs'!O37),'Master Submitted DPDs'!M37)</f>
        <v>42352</v>
      </c>
      <c r="O715" s="2">
        <f>IF(ISBLANK('Master Submitted DPDs'!Q37),"",'Master Submitted DPDs'!Q37)</f>
        <v>42572</v>
      </c>
      <c r="P715" s="2">
        <f>IF(ISBLANK('Master Submitted DPDs'!AO37),"",'Master Submitted DPDs'!AO37)</f>
        <v>42752</v>
      </c>
      <c r="Q715" t="str">
        <f>IF(ISBLANK('Master Submitted DPDs'!AU37),"",'Master Submitted DPDs'!AU37)</f>
        <v>SOU</v>
      </c>
      <c r="R715" t="str">
        <f t="shared" si="23"/>
        <v>Closed</v>
      </c>
      <c r="S715" s="3"/>
      <c r="T715">
        <f>IF(ISBLANK('Master Submitted DPDs'!G37),"",'Master Submitted DPDs'!G37)</f>
        <v>3</v>
      </c>
    </row>
    <row r="716" spans="1:20" ht="15" x14ac:dyDescent="0.2">
      <c r="A716" s="3" t="str">
        <f>IF(ISBLANK('Master Submitted DPDs'!#REF!),"","Local Plans")</f>
        <v>Local Plans</v>
      </c>
      <c r="B716" t="str">
        <f>IF(ISBLANK('Master Submitted DPDs'!F38),"",'Master Submitted DPDs'!F38)</f>
        <v>LP</v>
      </c>
      <c r="C716" s="3" t="str">
        <f>IF(ISBLANK('Master Submitted DPDs'!$B38),"","IH")</f>
        <v>IH</v>
      </c>
      <c r="D716" s="3" t="str">
        <f>LOOKUP($F716,'fuzzy LPA lookup'!$E:$E,'fuzzy LPA lookup'!$A:$A)</f>
        <v>C1055</v>
      </c>
      <c r="E716" s="3" t="str">
        <f>LOOKUP($F716,'fuzzy LPA lookup'!$E:$E,'fuzzy LPA lookup'!$D:$D)</f>
        <v>Derby City Council</v>
      </c>
      <c r="F716" s="8">
        <f>IF(ISBLANK('Master Submitted DPDs'!B38),"",'Master Submitted DPDs'!B38)</f>
        <v>1693</v>
      </c>
      <c r="G716" t="str">
        <f>IF(ISBLANK('Master Submitted DPDs'!AS38),"","Withdrawn")</f>
        <v/>
      </c>
      <c r="H716" s="2" t="str">
        <f>IF(ISBLANK('Master Submitted DPDs'!AS38),"",'Master Submitted DPDs'!AS38)</f>
        <v/>
      </c>
      <c r="I716" s="3"/>
      <c r="J716" s="3"/>
      <c r="K716" s="3"/>
      <c r="L716" s="2">
        <f>IF(ISBLANK('Master Submitted DPDs'!J38),"",'Master Submitted DPDs'!J38)</f>
        <v>42356</v>
      </c>
      <c r="M716" s="2">
        <f t="shared" si="22"/>
        <v>42356</v>
      </c>
      <c r="N716" s="2">
        <f>IF(ISBLANK('Master Submitted DPDs'!M38),IF(ISBLANK('Master Submitted DPDs'!O38),"",'Master Submitted DPDs'!O38),'Master Submitted DPDs'!M38)</f>
        <v>42356</v>
      </c>
      <c r="O716" s="2">
        <f>IF(ISBLANK('Master Submitted DPDs'!Q38),"",'Master Submitted DPDs'!Q38)</f>
        <v>42495</v>
      </c>
      <c r="P716" s="2">
        <f>IF(ISBLANK('Master Submitted DPDs'!AO38),"",'Master Submitted DPDs'!AO38)</f>
        <v>42709</v>
      </c>
      <c r="Q716" t="str">
        <f>IF(ISBLANK('Master Submitted DPDs'!AU38),"",'Master Submitted DPDs'!AU38)</f>
        <v>SOU</v>
      </c>
      <c r="R716" t="str">
        <f t="shared" si="23"/>
        <v>Closed</v>
      </c>
      <c r="S716" s="3"/>
      <c r="T716">
        <f>IF(ISBLANK('Master Submitted DPDs'!G38),"",'Master Submitted DPDs'!G38)</f>
        <v>3</v>
      </c>
    </row>
    <row r="717" spans="1:20" ht="15" x14ac:dyDescent="0.2">
      <c r="A717" s="3" t="str">
        <f>IF(ISBLANK('Master Submitted DPDs'!#REF!),"","Local Plans")</f>
        <v>Local Plans</v>
      </c>
      <c r="B717" t="str">
        <f>IF(ISBLANK('Master Submitted DPDs'!F39),"",'Master Submitted DPDs'!F39)</f>
        <v>LP</v>
      </c>
      <c r="C717" s="3" t="str">
        <f>IF(ISBLANK('Master Submitted DPDs'!$B39),"","IH")</f>
        <v>IH</v>
      </c>
      <c r="D717" s="3" t="str">
        <f>LOOKUP($F717,'fuzzy LPA lookup'!$E:$E,'fuzzy LPA lookup'!$A:$A)</f>
        <v>C1055</v>
      </c>
      <c r="E717" s="3" t="str">
        <f>LOOKUP($F717,'fuzzy LPA lookup'!$E:$E,'fuzzy LPA lookup'!$D:$D)</f>
        <v>Derby City Council</v>
      </c>
      <c r="F717" s="8">
        <f>IF(ISBLANK('Master Submitted DPDs'!B39),"",'Master Submitted DPDs'!B39)</f>
        <v>1706</v>
      </c>
      <c r="G717" t="str">
        <f>IF(ISBLANK('Master Submitted DPDs'!AS39),"","Withdrawn")</f>
        <v/>
      </c>
      <c r="H717" s="2" t="str">
        <f>IF(ISBLANK('Master Submitted DPDs'!AS39),"",'Master Submitted DPDs'!AS39)</f>
        <v/>
      </c>
      <c r="I717" s="3"/>
      <c r="J717" s="3"/>
      <c r="K717" s="3"/>
      <c r="L717" s="2">
        <f>IF(ISBLANK('Master Submitted DPDs'!J39),"",'Master Submitted DPDs'!J39)</f>
        <v>42361</v>
      </c>
      <c r="M717" s="2">
        <f t="shared" si="22"/>
        <v>42361</v>
      </c>
      <c r="N717" s="2">
        <f>IF(ISBLANK('Master Submitted DPDs'!M39),IF(ISBLANK('Master Submitted DPDs'!O39),"",'Master Submitted DPDs'!O39),'Master Submitted DPDs'!M39)</f>
        <v>42361</v>
      </c>
      <c r="O717" s="2">
        <f>IF(ISBLANK('Master Submitted DPDs'!Q39),"",'Master Submitted DPDs'!Q39)</f>
        <v>42859</v>
      </c>
      <c r="P717" s="2">
        <f>IF(ISBLANK('Master Submitted DPDs'!AO39),"",'Master Submitted DPDs'!AO39)</f>
        <v>43342</v>
      </c>
      <c r="Q717" t="str">
        <f>IF(ISBLANK('Master Submitted DPDs'!AU39),"",'Master Submitted DPDs'!AU39)</f>
        <v>SOU</v>
      </c>
      <c r="R717" t="str">
        <f t="shared" si="23"/>
        <v>Closed</v>
      </c>
      <c r="S717" s="3"/>
      <c r="T717">
        <f>IF(ISBLANK('Master Submitted DPDs'!G39),"",'Master Submitted DPDs'!G39)</f>
        <v>3</v>
      </c>
    </row>
    <row r="718" spans="1:20" ht="15" x14ac:dyDescent="0.2">
      <c r="A718" s="3" t="str">
        <f>IF(ISBLANK('Master Submitted DPDs'!#REF!),"","Local Plans")</f>
        <v>Local Plans</v>
      </c>
      <c r="B718" t="str">
        <f>IF(ISBLANK('Master Submitted DPDs'!F40),"",'Master Submitted DPDs'!F40)</f>
        <v>M&amp;W</v>
      </c>
      <c r="C718" s="3" t="str">
        <f>IF(ISBLANK('Master Submitted DPDs'!$B40),"","IH")</f>
        <v>IH</v>
      </c>
      <c r="D718" s="3" t="str">
        <f>LOOKUP($F718,'fuzzy LPA lookup'!$E:$E,'fuzzy LPA lookup'!$A:$A)</f>
        <v>C1055</v>
      </c>
      <c r="E718" s="3" t="str">
        <f>LOOKUP($F718,'fuzzy LPA lookup'!$E:$E,'fuzzy LPA lookup'!$D:$D)</f>
        <v>Derby City Council</v>
      </c>
      <c r="F718" s="8">
        <f>IF(ISBLANK('Master Submitted DPDs'!B40),"",'Master Submitted DPDs'!B40)</f>
        <v>1696</v>
      </c>
      <c r="G718" t="str">
        <f>IF(ISBLANK('Master Submitted DPDs'!AS40),"","Withdrawn")</f>
        <v/>
      </c>
      <c r="H718" s="2" t="str">
        <f>IF(ISBLANK('Master Submitted DPDs'!AS40),"",'Master Submitted DPDs'!AS40)</f>
        <v/>
      </c>
      <c r="I718" s="3"/>
      <c r="J718" s="3"/>
      <c r="K718" s="3"/>
      <c r="L718" s="2">
        <f>IF(ISBLANK('Master Submitted DPDs'!J40),"",'Master Submitted DPDs'!J40)</f>
        <v>42368</v>
      </c>
      <c r="M718" s="2">
        <f t="shared" si="22"/>
        <v>42368</v>
      </c>
      <c r="N718" s="2">
        <f>IF(ISBLANK('Master Submitted DPDs'!M40),IF(ISBLANK('Master Submitted DPDs'!O40),"",'Master Submitted DPDs'!O40),'Master Submitted DPDs'!M40)</f>
        <v>42368</v>
      </c>
      <c r="O718" s="2">
        <f>IF(ISBLANK('Master Submitted DPDs'!Q40),"",'Master Submitted DPDs'!Q40)</f>
        <v>42643</v>
      </c>
      <c r="P718" s="2">
        <f>IF(ISBLANK('Master Submitted DPDs'!AO40),"",'Master Submitted DPDs'!AO40)</f>
        <v>42901</v>
      </c>
      <c r="Q718" t="str">
        <f>IF(ISBLANK('Master Submitted DPDs'!AU40),"",'Master Submitted DPDs'!AU40)</f>
        <v>SOU</v>
      </c>
      <c r="R718" t="str">
        <f t="shared" si="23"/>
        <v>Closed</v>
      </c>
      <c r="S718" s="3"/>
      <c r="T718">
        <f>IF(ISBLANK('Master Submitted DPDs'!G40),"",'Master Submitted DPDs'!G40)</f>
        <v>3</v>
      </c>
    </row>
    <row r="719" spans="1:20" ht="15" x14ac:dyDescent="0.2">
      <c r="A719" s="3" t="str">
        <f>IF(ISBLANK('Master Submitted DPDs'!#REF!),"","Local Plans")</f>
        <v>Local Plans</v>
      </c>
      <c r="B719" t="str">
        <f>IF(ISBLANK('Master Submitted DPDs'!F41),"",'Master Submitted DPDs'!F41)</f>
        <v>PR</v>
      </c>
      <c r="C719" s="3" t="str">
        <f>IF(ISBLANK('Master Submitted DPDs'!$B41),"","IH")</f>
        <v>IH</v>
      </c>
      <c r="D719" s="3" t="str">
        <f>LOOKUP($F719,'fuzzy LPA lookup'!$E:$E,'fuzzy LPA lookup'!$A:$A)</f>
        <v>H2733</v>
      </c>
      <c r="E719" s="3" t="str">
        <f>LOOKUP($F719,'fuzzy LPA lookup'!$E:$E,'fuzzy LPA lookup'!$D:$D)</f>
        <v>Scarborough Borough Council</v>
      </c>
      <c r="F719" s="8">
        <f>IF(ISBLANK('Master Submitted DPDs'!B41),"",'Master Submitted DPDs'!B41)</f>
        <v>1716</v>
      </c>
      <c r="G719" t="str">
        <f>IF(ISBLANK('Master Submitted DPDs'!AS41),"","Withdrawn")</f>
        <v/>
      </c>
      <c r="H719" s="2" t="str">
        <f>IF(ISBLANK('Master Submitted DPDs'!AS41),"",'Master Submitted DPDs'!AS41)</f>
        <v/>
      </c>
      <c r="I719" s="3"/>
      <c r="J719" s="3"/>
      <c r="K719" s="3"/>
      <c r="L719" s="2">
        <f>IF(ISBLANK('Master Submitted DPDs'!J41),"",'Master Submitted DPDs'!J41)</f>
        <v>42377</v>
      </c>
      <c r="M719" s="2">
        <f t="shared" si="22"/>
        <v>42377</v>
      </c>
      <c r="N719" s="2">
        <f>IF(ISBLANK('Master Submitted DPDs'!M41),IF(ISBLANK('Master Submitted DPDs'!O41),"",'Master Submitted DPDs'!O41),'Master Submitted DPDs'!M41)</f>
        <v>42380</v>
      </c>
      <c r="O719" s="2">
        <f>IF(ISBLANK('Master Submitted DPDs'!Q41),"",'Master Submitted DPDs'!Q41)</f>
        <v>42544</v>
      </c>
      <c r="P719" s="2">
        <f>IF(ISBLANK('Master Submitted DPDs'!AO41),"",'Master Submitted DPDs'!AO41)</f>
        <v>42682</v>
      </c>
      <c r="Q719" t="str">
        <f>IF(ISBLANK('Master Submitted DPDs'!AU41),"",'Master Submitted DPDs'!AU41)</f>
        <v>SOU</v>
      </c>
      <c r="R719" t="str">
        <f t="shared" si="23"/>
        <v>Closed</v>
      </c>
      <c r="S719" s="3"/>
      <c r="T719">
        <f>IF(ISBLANK('Master Submitted DPDs'!G41),"",'Master Submitted DPDs'!G41)</f>
        <v>3</v>
      </c>
    </row>
    <row r="720" spans="1:20" ht="15" x14ac:dyDescent="0.2">
      <c r="A720" s="3" t="str">
        <f>IF(ISBLANK('Master Submitted DPDs'!#REF!),"","Local Plans")</f>
        <v>Local Plans</v>
      </c>
      <c r="B720" t="str">
        <f>IF(ISBLANK('Master Submitted DPDs'!F42),"",'Master Submitted DPDs'!F42)</f>
        <v>M&amp;W</v>
      </c>
      <c r="C720" s="3" t="str">
        <f>IF(ISBLANK('Master Submitted DPDs'!$B42),"","IH")</f>
        <v>IH</v>
      </c>
      <c r="D720" s="3" t="str">
        <f>LOOKUP($F720,'fuzzy LPA lookup'!$E:$E,'fuzzy LPA lookup'!$A:$A)</f>
        <v>W3710</v>
      </c>
      <c r="E720" s="3" t="str">
        <f>LOOKUP($F720,'fuzzy LPA lookup'!$E:$E,'fuzzy LPA lookup'!$D:$D)</f>
        <v>Nuneaton and Bedworth Borough Council</v>
      </c>
      <c r="F720" s="8">
        <f>IF(ISBLANK('Master Submitted DPDs'!B42),"",'Master Submitted DPDs'!B42)</f>
        <v>1681</v>
      </c>
      <c r="G720" t="str">
        <f>IF(ISBLANK('Master Submitted DPDs'!AS42),"","Withdrawn")</f>
        <v/>
      </c>
      <c r="H720" s="2" t="str">
        <f>IF(ISBLANK('Master Submitted DPDs'!AS42),"",'Master Submitted DPDs'!AS42)</f>
        <v/>
      </c>
      <c r="I720" s="3"/>
      <c r="J720" s="3"/>
      <c r="K720" s="3"/>
      <c r="L720" s="2">
        <f>IF(ISBLANK('Master Submitted DPDs'!J42),"",'Master Submitted DPDs'!J42)</f>
        <v>42377</v>
      </c>
      <c r="M720" s="2">
        <f t="shared" si="22"/>
        <v>42377</v>
      </c>
      <c r="N720" s="2">
        <f>IF(ISBLANK('Master Submitted DPDs'!M42),IF(ISBLANK('Master Submitted DPDs'!O42),"",'Master Submitted DPDs'!O42),'Master Submitted DPDs'!M42)</f>
        <v>42377</v>
      </c>
      <c r="O720" s="2">
        <f>IF(ISBLANK('Master Submitted DPDs'!Q42),"",'Master Submitted DPDs'!Q42)</f>
        <v>42473</v>
      </c>
      <c r="P720" s="2">
        <f>IF(ISBLANK('Master Submitted DPDs'!AO42),"",'Master Submitted DPDs'!AO42)</f>
        <v>42699</v>
      </c>
      <c r="Q720" t="str">
        <f>IF(ISBLANK('Master Submitted DPDs'!AU42),"",'Master Submitted DPDs'!AU42)</f>
        <v>SOU</v>
      </c>
      <c r="R720" t="str">
        <f t="shared" si="23"/>
        <v>Closed</v>
      </c>
      <c r="S720" s="3"/>
      <c r="T720">
        <f>IF(ISBLANK('Master Submitted DPDs'!G42),"",'Master Submitted DPDs'!G42)</f>
        <v>3</v>
      </c>
    </row>
    <row r="721" spans="1:20" ht="15" x14ac:dyDescent="0.2">
      <c r="A721" s="3" t="str">
        <f>IF(ISBLANK('Master Submitted DPDs'!#REF!),"","Local Plans")</f>
        <v>Local Plans</v>
      </c>
      <c r="B721" t="str">
        <f>IF(ISBLANK('Master Submitted DPDs'!F43),"",'Master Submitted DPDs'!F43)</f>
        <v>DM</v>
      </c>
      <c r="C721" s="3" t="str">
        <f>IF(ISBLANK('Master Submitted DPDs'!$B43),"","IH")</f>
        <v>IH</v>
      </c>
      <c r="D721" s="3" t="str">
        <f>LOOKUP($F721,'fuzzy LPA lookup'!$E:$E,'fuzzy LPA lookup'!$A:$A)</f>
        <v>C5690</v>
      </c>
      <c r="E721" s="3" t="str">
        <f>LOOKUP($F721,'fuzzy LPA lookup'!$E:$E,'fuzzy LPA lookup'!$D:$D)</f>
        <v>London Borough of Lewisham</v>
      </c>
      <c r="F721" s="8">
        <f>IF(ISBLANK('Master Submitted DPDs'!B43),"",'Master Submitted DPDs'!B43)</f>
        <v>775</v>
      </c>
      <c r="G721" t="str">
        <f>IF(ISBLANK('Master Submitted DPDs'!AS43),"","Withdrawn")</f>
        <v/>
      </c>
      <c r="H721" s="2" t="str">
        <f>IF(ISBLANK('Master Submitted DPDs'!AS43),"",'Master Submitted DPDs'!AS43)</f>
        <v/>
      </c>
      <c r="I721" s="3"/>
      <c r="J721" s="3"/>
      <c r="K721" s="3"/>
      <c r="L721" s="2">
        <f>IF(ISBLANK('Master Submitted DPDs'!J43),"",'Master Submitted DPDs'!J43)</f>
        <v>42394</v>
      </c>
      <c r="M721" s="2">
        <f t="shared" si="22"/>
        <v>42394</v>
      </c>
      <c r="N721" s="2">
        <f>IF(ISBLANK('Master Submitted DPDs'!M43),IF(ISBLANK('Master Submitted DPDs'!O43),"",'Master Submitted DPDs'!O43),'Master Submitted DPDs'!M43)</f>
        <v>42394</v>
      </c>
      <c r="O721" s="2">
        <f>IF(ISBLANK('Master Submitted DPDs'!Q43),"",'Master Submitted DPDs'!Q43)</f>
        <v>42494</v>
      </c>
      <c r="P721" s="2">
        <f>IF(ISBLANK('Master Submitted DPDs'!AO43),"",'Master Submitted DPDs'!AO43)</f>
        <v>42632</v>
      </c>
      <c r="Q721" t="str">
        <f>IF(ISBLANK('Master Submitted DPDs'!AU43),"",'Master Submitted DPDs'!AU43)</f>
        <v>SOU</v>
      </c>
      <c r="R721" t="str">
        <f t="shared" si="23"/>
        <v>Closed</v>
      </c>
      <c r="S721" s="3"/>
      <c r="T721">
        <f>IF(ISBLANK('Master Submitted DPDs'!G43),"",'Master Submitted DPDs'!G43)</f>
        <v>2</v>
      </c>
    </row>
    <row r="722" spans="1:20" ht="15" x14ac:dyDescent="0.2">
      <c r="A722" s="3" t="str">
        <f>IF(ISBLANK('Master Submitted DPDs'!#REF!),"","Local Plans")</f>
        <v>Local Plans</v>
      </c>
      <c r="B722" t="str">
        <f>IF(ISBLANK('Master Submitted DPDs'!F44),"",'Master Submitted DPDs'!F44)</f>
        <v>LP</v>
      </c>
      <c r="C722" s="3" t="str">
        <f>IF(ISBLANK('Master Submitted DPDs'!$B44),"","IH")</f>
        <v>IH</v>
      </c>
      <c r="D722" s="3" t="str">
        <f>LOOKUP($F722,'fuzzy LPA lookup'!$E:$E,'fuzzy LPA lookup'!$A:$A)</f>
        <v>W3710</v>
      </c>
      <c r="E722" s="3" t="str">
        <f>LOOKUP($F722,'fuzzy LPA lookup'!$E:$E,'fuzzy LPA lookup'!$D:$D)</f>
        <v>Nuneaton and Bedworth Borough Council</v>
      </c>
      <c r="F722" s="8">
        <f>IF(ISBLANK('Master Submitted DPDs'!B44),"",'Master Submitted DPDs'!B44)</f>
        <v>1688</v>
      </c>
      <c r="G722" t="str">
        <f>IF(ISBLANK('Master Submitted DPDs'!AS44),"","Withdrawn")</f>
        <v/>
      </c>
      <c r="H722" s="2" t="str">
        <f>IF(ISBLANK('Master Submitted DPDs'!AS44),"",'Master Submitted DPDs'!AS44)</f>
        <v/>
      </c>
      <c r="I722" s="3"/>
      <c r="J722" s="3"/>
      <c r="K722" s="3"/>
      <c r="L722" s="2">
        <f>IF(ISBLANK('Master Submitted DPDs'!J44),"",'Master Submitted DPDs'!J44)</f>
        <v>42397</v>
      </c>
      <c r="M722" s="2">
        <f t="shared" si="22"/>
        <v>42397</v>
      </c>
      <c r="N722" s="2">
        <f>IF(ISBLANK('Master Submitted DPDs'!M44),IF(ISBLANK('Master Submitted DPDs'!O44),"",'Master Submitted DPDs'!O44),'Master Submitted DPDs'!M44)</f>
        <v>42397</v>
      </c>
      <c r="O722" s="2">
        <f>IF(ISBLANK('Master Submitted DPDs'!Q44),"",'Master Submitted DPDs'!Q44)</f>
        <v>42573</v>
      </c>
      <c r="P722" s="2">
        <f>IF(ISBLANK('Master Submitted DPDs'!AO44),"",'Master Submitted DPDs'!AO44)</f>
        <v>42719</v>
      </c>
      <c r="Q722" t="str">
        <f>IF(ISBLANK('Master Submitted DPDs'!AU44),"",'Master Submitted DPDs'!AU44)</f>
        <v>SOU</v>
      </c>
      <c r="R722" t="str">
        <f t="shared" si="23"/>
        <v>Closed</v>
      </c>
      <c r="S722" s="3"/>
      <c r="T722">
        <f>IF(ISBLANK('Master Submitted DPDs'!G44),"",'Master Submitted DPDs'!G44)</f>
        <v>3</v>
      </c>
    </row>
    <row r="723" spans="1:20" ht="15" x14ac:dyDescent="0.2">
      <c r="A723" s="3" t="str">
        <f>IF(ISBLANK('Master Submitted DPDs'!#REF!),"","Local Plans")</f>
        <v>Local Plans</v>
      </c>
      <c r="B723" t="str">
        <f>IF(ISBLANK('Master Submitted DPDs'!F45),"",'Master Submitted DPDs'!F45)</f>
        <v>Other</v>
      </c>
      <c r="C723" s="3" t="str">
        <f>IF(ISBLANK('Master Submitted DPDs'!$B45),"","IH")</f>
        <v>IH</v>
      </c>
      <c r="D723" s="3" t="str">
        <f>LOOKUP($F723,'fuzzy LPA lookup'!$E:$E,'fuzzy LPA lookup'!$A:$A)</f>
        <v>C1055</v>
      </c>
      <c r="E723" s="3" t="str">
        <f>LOOKUP($F723,'fuzzy LPA lookup'!$E:$E,'fuzzy LPA lookup'!$D:$D)</f>
        <v>Derby City Council</v>
      </c>
      <c r="F723" s="8">
        <f>IF(ISBLANK('Master Submitted DPDs'!B45),"",'Master Submitted DPDs'!B45)</f>
        <v>1704</v>
      </c>
      <c r="G723" t="str">
        <f>IF(ISBLANK('Master Submitted DPDs'!AS45),"","Withdrawn")</f>
        <v/>
      </c>
      <c r="H723" s="2" t="str">
        <f>IF(ISBLANK('Master Submitted DPDs'!AS45),"",'Master Submitted DPDs'!AS45)</f>
        <v/>
      </c>
      <c r="I723" s="3"/>
      <c r="J723" s="3"/>
      <c r="K723" s="3"/>
      <c r="L723" s="2">
        <f>IF(ISBLANK('Master Submitted DPDs'!J45),"",'Master Submitted DPDs'!J45)</f>
        <v>42404</v>
      </c>
      <c r="M723" s="2">
        <f t="shared" si="22"/>
        <v>42404</v>
      </c>
      <c r="N723" s="2">
        <f>IF(ISBLANK('Master Submitted DPDs'!M45),IF(ISBLANK('Master Submitted DPDs'!O45),"",'Master Submitted DPDs'!O45),'Master Submitted DPDs'!M45)</f>
        <v>42404</v>
      </c>
      <c r="O723" s="2">
        <f>IF(ISBLANK('Master Submitted DPDs'!Q45),"",'Master Submitted DPDs'!Q45)</f>
        <v>42535</v>
      </c>
      <c r="P723" s="2">
        <f>IF(ISBLANK('Master Submitted DPDs'!AO45),"",'Master Submitted DPDs'!AO45)</f>
        <v>42664</v>
      </c>
      <c r="Q723" t="str">
        <f>IF(ISBLANK('Master Submitted DPDs'!AU45),"",'Master Submitted DPDs'!AU45)</f>
        <v>SOU</v>
      </c>
      <c r="R723" t="str">
        <f t="shared" si="23"/>
        <v>Closed</v>
      </c>
      <c r="S723" s="3"/>
      <c r="T723">
        <f>IF(ISBLANK('Master Submitted DPDs'!G45),"",'Master Submitted DPDs'!G45)</f>
        <v>2</v>
      </c>
    </row>
    <row r="724" spans="1:20" ht="15" x14ac:dyDescent="0.2">
      <c r="A724" s="3" t="str">
        <f>IF(ISBLANK('Master Submitted DPDs'!#REF!),"","Local Plans")</f>
        <v>Local Plans</v>
      </c>
      <c r="B724" t="str">
        <f>IF(ISBLANK('Master Submitted DPDs'!F46),"",'Master Submitted DPDs'!F46)</f>
        <v>Other</v>
      </c>
      <c r="C724" s="3" t="str">
        <f>IF(ISBLANK('Master Submitted DPDs'!$B46),"","IH")</f>
        <v>IH</v>
      </c>
      <c r="D724" s="3" t="str">
        <f>LOOKUP($F724,'fuzzy LPA lookup'!$E:$E,'fuzzy LPA lookup'!$A:$A)</f>
        <v>C1055</v>
      </c>
      <c r="E724" s="3" t="str">
        <f>LOOKUP($F724,'fuzzy LPA lookup'!$E:$E,'fuzzy LPA lookup'!$D:$D)</f>
        <v>Derby City Council</v>
      </c>
      <c r="F724" s="8">
        <f>IF(ISBLANK('Master Submitted DPDs'!B46),"",'Master Submitted DPDs'!B46)</f>
        <v>1705</v>
      </c>
      <c r="G724" t="str">
        <f>IF(ISBLANK('Master Submitted DPDs'!AS46),"","Withdrawn")</f>
        <v/>
      </c>
      <c r="H724" s="2" t="str">
        <f>IF(ISBLANK('Master Submitted DPDs'!AS46),"",'Master Submitted DPDs'!AS46)</f>
        <v/>
      </c>
      <c r="I724" s="3"/>
      <c r="J724" s="3"/>
      <c r="K724" s="3"/>
      <c r="L724" s="2">
        <f>IF(ISBLANK('Master Submitted DPDs'!J46),"",'Master Submitted DPDs'!J46)</f>
        <v>42404</v>
      </c>
      <c r="M724" s="2">
        <f t="shared" si="22"/>
        <v>42404</v>
      </c>
      <c r="N724" s="2">
        <f>IF(ISBLANK('Master Submitted DPDs'!M46),IF(ISBLANK('Master Submitted DPDs'!O46),"",'Master Submitted DPDs'!O46),'Master Submitted DPDs'!M46)</f>
        <v>42404</v>
      </c>
      <c r="O724" s="2">
        <f>IF(ISBLANK('Master Submitted DPDs'!Q46),"",'Master Submitted DPDs'!Q46)</f>
        <v>42536</v>
      </c>
      <c r="P724" s="2">
        <f>IF(ISBLANK('Master Submitted DPDs'!AO46),"",'Master Submitted DPDs'!AO46)</f>
        <v>42664</v>
      </c>
      <c r="Q724" t="str">
        <f>IF(ISBLANK('Master Submitted DPDs'!AU46),"",'Master Submitted DPDs'!AU46)</f>
        <v>SOU</v>
      </c>
      <c r="R724" t="str">
        <f t="shared" si="23"/>
        <v>Closed</v>
      </c>
      <c r="S724" s="3"/>
      <c r="T724">
        <f>IF(ISBLANK('Master Submitted DPDs'!G46),"",'Master Submitted DPDs'!G46)</f>
        <v>2</v>
      </c>
    </row>
    <row r="725" spans="1:20" ht="15" x14ac:dyDescent="0.2">
      <c r="A725" s="3" t="str">
        <f>IF(ISBLANK('Master Submitted DPDs'!#REF!),"","Local Plans")</f>
        <v>Local Plans</v>
      </c>
      <c r="B725" t="str">
        <f>IF(ISBLANK('Master Submitted DPDs'!F47),"",'Master Submitted DPDs'!F47)</f>
        <v>SA</v>
      </c>
      <c r="C725" s="3" t="str">
        <f>IF(ISBLANK('Master Submitted DPDs'!$B47),"","IH")</f>
        <v>IH</v>
      </c>
      <c r="D725" s="3" t="str">
        <f>LOOKUP($F725,'fuzzy LPA lookup'!$E:$E,'fuzzy LPA lookup'!$A:$A)</f>
        <v>P0240</v>
      </c>
      <c r="E725" s="3" t="str">
        <f>LOOKUP($F725,'fuzzy LPA lookup'!$E:$E,'fuzzy LPA lookup'!$D:$D)</f>
        <v>Central Bedfordshire</v>
      </c>
      <c r="F725" s="8">
        <f>IF(ISBLANK('Master Submitted DPDs'!B47),"",'Master Submitted DPDs'!B47)</f>
        <v>985</v>
      </c>
      <c r="G725" t="str">
        <f>IF(ISBLANK('Master Submitted DPDs'!AS47),"","Withdrawn")</f>
        <v/>
      </c>
      <c r="H725" s="2" t="str">
        <f>IF(ISBLANK('Master Submitted DPDs'!AS47),"",'Master Submitted DPDs'!AS47)</f>
        <v/>
      </c>
      <c r="I725" s="3"/>
      <c r="J725" s="3"/>
      <c r="K725" s="3"/>
      <c r="L725" s="2">
        <f>IF(ISBLANK('Master Submitted DPDs'!J47),"",'Master Submitted DPDs'!J47)</f>
        <v>42405</v>
      </c>
      <c r="M725" s="2">
        <f t="shared" si="22"/>
        <v>42405</v>
      </c>
      <c r="N725" s="2">
        <f>IF(ISBLANK('Master Submitted DPDs'!M47),IF(ISBLANK('Master Submitted DPDs'!O47),"",'Master Submitted DPDs'!O47),'Master Submitted DPDs'!M47)</f>
        <v>42405</v>
      </c>
      <c r="O725" s="2">
        <f>IF(ISBLANK('Master Submitted DPDs'!Q47),"",'Master Submitted DPDs'!Q47)</f>
        <v>42656</v>
      </c>
      <c r="P725" s="2">
        <f>IF(ISBLANK('Master Submitted DPDs'!AO47),"",'Master Submitted DPDs'!AO47)</f>
        <v>42831</v>
      </c>
      <c r="Q725" t="str">
        <f>IF(ISBLANK('Master Submitted DPDs'!AU47),"",'Master Submitted DPDs'!AU47)</f>
        <v>SOU</v>
      </c>
      <c r="R725" t="str">
        <f t="shared" si="23"/>
        <v>Closed</v>
      </c>
      <c r="S725" s="3"/>
      <c r="T725">
        <f>IF(ISBLANK('Master Submitted DPDs'!G47),"",'Master Submitted DPDs'!G47)</f>
        <v>3</v>
      </c>
    </row>
    <row r="726" spans="1:20" ht="15" x14ac:dyDescent="0.2">
      <c r="A726" s="3" t="str">
        <f>IF(ISBLANK('Master Submitted DPDs'!#REF!),"","Local Plans")</f>
        <v>Local Plans</v>
      </c>
      <c r="B726" t="str">
        <f>IF(ISBLANK('Master Submitted DPDs'!F48),"",'Master Submitted DPDs'!F48)</f>
        <v>M&amp;W</v>
      </c>
      <c r="C726" s="3" t="str">
        <f>IF(ISBLANK('Master Submitted DPDs'!$B48),"","IH")</f>
        <v>IH</v>
      </c>
      <c r="D726" s="3" t="str">
        <f>LOOKUP($F726,'fuzzy LPA lookup'!$E:$E,'fuzzy LPA lookup'!$A:$A)</f>
        <v>B1740</v>
      </c>
      <c r="E726" s="3" t="str">
        <f>LOOKUP($F726,'fuzzy LPA lookup'!$E:$E,'fuzzy LPA lookup'!$D:$D)</f>
        <v>New Forest District Council</v>
      </c>
      <c r="F726" s="8">
        <f>IF(ISBLANK('Master Submitted DPDs'!B48),"",'Master Submitted DPDs'!B48)</f>
        <v>850</v>
      </c>
      <c r="G726" t="str">
        <f>IF(ISBLANK('Master Submitted DPDs'!AS48),"","Withdrawn")</f>
        <v/>
      </c>
      <c r="H726" s="2" t="str">
        <f>IF(ISBLANK('Master Submitted DPDs'!AS48),"",'Master Submitted DPDs'!AS48)</f>
        <v/>
      </c>
      <c r="I726" s="3"/>
      <c r="J726" s="3"/>
      <c r="K726" s="3"/>
      <c r="L726" s="2">
        <f>IF(ISBLANK('Master Submitted DPDs'!J48),"",'Master Submitted DPDs'!J48)</f>
        <v>42415</v>
      </c>
      <c r="M726" s="2">
        <f t="shared" si="22"/>
        <v>42415</v>
      </c>
      <c r="N726" s="2">
        <f>IF(ISBLANK('Master Submitted DPDs'!M48),IF(ISBLANK('Master Submitted DPDs'!O48),"",'Master Submitted DPDs'!O48),'Master Submitted DPDs'!M48)</f>
        <v>42415</v>
      </c>
      <c r="O726" s="2">
        <f>IF(ISBLANK('Master Submitted DPDs'!Q48),"",'Master Submitted DPDs'!Q48)</f>
        <v>42517</v>
      </c>
      <c r="P726" s="2">
        <f>IF(ISBLANK('Master Submitted DPDs'!AO48),"",'Master Submitted DPDs'!AO48)</f>
        <v>42660</v>
      </c>
      <c r="Q726" t="str">
        <f>IF(ISBLANK('Master Submitted DPDs'!AU48),"",'Master Submitted DPDs'!AU48)</f>
        <v>SOU</v>
      </c>
      <c r="R726" t="str">
        <f t="shared" si="23"/>
        <v>Closed</v>
      </c>
      <c r="S726" s="3"/>
      <c r="T726">
        <f>IF(ISBLANK('Master Submitted DPDs'!G48),"",'Master Submitted DPDs'!G48)</f>
        <v>3</v>
      </c>
    </row>
    <row r="727" spans="1:20" ht="15" x14ac:dyDescent="0.2">
      <c r="A727" s="3" t="str">
        <f>IF(ISBLANK('Master Submitted DPDs'!#REF!),"","Local Plans")</f>
        <v>Local Plans</v>
      </c>
      <c r="B727" t="str">
        <f>IF(ISBLANK('Master Submitted DPDs'!F49),"",'Master Submitted DPDs'!F49)</f>
        <v>SA</v>
      </c>
      <c r="C727" s="3" t="str">
        <f>IF(ISBLANK('Master Submitted DPDs'!$B49),"","IH")</f>
        <v>IH</v>
      </c>
      <c r="D727" s="3" t="str">
        <f>LOOKUP($F727,'fuzzy LPA lookup'!$E:$E,'fuzzy LPA lookup'!$A:$A)</f>
        <v>M9584</v>
      </c>
      <c r="E727" s="3" t="str">
        <f>LOOKUP($F727,'fuzzy LPA lookup'!$E:$E,'fuzzy LPA lookup'!$D:$D)</f>
        <v>London Legacy Development Corporation</v>
      </c>
      <c r="F727" s="8">
        <f>IF(ISBLANK('Master Submitted DPDs'!B49),"",'Master Submitted DPDs'!B49)</f>
        <v>1633</v>
      </c>
      <c r="G727" t="str">
        <f>IF(ISBLANK('Master Submitted DPDs'!AS49),"","Withdrawn")</f>
        <v/>
      </c>
      <c r="H727" s="2" t="str">
        <f>IF(ISBLANK('Master Submitted DPDs'!AS49),"",'Master Submitted DPDs'!AS49)</f>
        <v/>
      </c>
      <c r="I727" s="3"/>
      <c r="J727" s="3"/>
      <c r="K727" s="3"/>
      <c r="L727" s="2">
        <f>IF(ISBLANK('Master Submitted DPDs'!J49),"",'Master Submitted DPDs'!J49)</f>
        <v>42423</v>
      </c>
      <c r="M727" s="2">
        <f t="shared" si="22"/>
        <v>42423</v>
      </c>
      <c r="N727" s="2">
        <f>IF(ISBLANK('Master Submitted DPDs'!M49),IF(ISBLANK('Master Submitted DPDs'!O49),"",'Master Submitted DPDs'!O49),'Master Submitted DPDs'!M49)</f>
        <v>42423</v>
      </c>
      <c r="O727" s="2">
        <f>IF(ISBLANK('Master Submitted DPDs'!Q49),"",'Master Submitted DPDs'!Q49)</f>
        <v>42551</v>
      </c>
      <c r="P727" s="2">
        <f>IF(ISBLANK('Master Submitted DPDs'!AO49),"",'Master Submitted DPDs'!AO49)</f>
        <v>42667</v>
      </c>
      <c r="Q727" t="str">
        <f>IF(ISBLANK('Master Submitted DPDs'!AU49),"",'Master Submitted DPDs'!AU49)</f>
        <v>SOU</v>
      </c>
      <c r="R727" t="str">
        <f t="shared" si="23"/>
        <v>Closed</v>
      </c>
      <c r="S727" s="3"/>
      <c r="T727">
        <f>IF(ISBLANK('Master Submitted DPDs'!G49),"",'Master Submitted DPDs'!G49)</f>
        <v>2</v>
      </c>
    </row>
    <row r="728" spans="1:20" ht="15" x14ac:dyDescent="0.2">
      <c r="A728" s="3" t="str">
        <f>IF(ISBLANK('Master Submitted DPDs'!#REF!),"","Local Plans")</f>
        <v>Local Plans</v>
      </c>
      <c r="B728" t="str">
        <f>IF(ISBLANK('Master Submitted DPDs'!F50),"",'Master Submitted DPDs'!F50)</f>
        <v>DM</v>
      </c>
      <c r="C728" s="3" t="str">
        <f>IF(ISBLANK('Master Submitted DPDs'!$B50),"","IH")</f>
        <v>IH</v>
      </c>
      <c r="D728" s="3" t="str">
        <f>LOOKUP($F728,'fuzzy LPA lookup'!$E:$E,'fuzzy LPA lookup'!$A:$A)</f>
        <v>C1055</v>
      </c>
      <c r="E728" s="3" t="str">
        <f>LOOKUP($F728,'fuzzy LPA lookup'!$E:$E,'fuzzy LPA lookup'!$D:$D)</f>
        <v>Derby City Council</v>
      </c>
      <c r="F728" s="8">
        <f>IF(ISBLANK('Master Submitted DPDs'!B50),"",'Master Submitted DPDs'!B50)</f>
        <v>1701</v>
      </c>
      <c r="G728" t="str">
        <f>IF(ISBLANK('Master Submitted DPDs'!AS50),"","Withdrawn")</f>
        <v/>
      </c>
      <c r="H728" s="2" t="str">
        <f>IF(ISBLANK('Master Submitted DPDs'!AS50),"",'Master Submitted DPDs'!AS50)</f>
        <v/>
      </c>
      <c r="I728" s="3"/>
      <c r="J728" s="3"/>
      <c r="K728" s="3"/>
      <c r="L728" s="2">
        <f>IF(ISBLANK('Master Submitted DPDs'!J50),"",'Master Submitted DPDs'!J50)</f>
        <v>42424</v>
      </c>
      <c r="M728" s="2">
        <f t="shared" si="22"/>
        <v>42424</v>
      </c>
      <c r="N728" s="2">
        <f>IF(ISBLANK('Master Submitted DPDs'!M50),IF(ISBLANK('Master Submitted DPDs'!O50),"",'Master Submitted DPDs'!O50),'Master Submitted DPDs'!M50)</f>
        <v>42424</v>
      </c>
      <c r="O728" s="2">
        <f>IF(ISBLANK('Master Submitted DPDs'!Q50),"",'Master Submitted DPDs'!Q50)</f>
        <v>42500</v>
      </c>
      <c r="P728" s="2">
        <f>IF(ISBLANK('Master Submitted DPDs'!AO50),"",'Master Submitted DPDs'!AO50)</f>
        <v>42583</v>
      </c>
      <c r="Q728" t="str">
        <f>IF(ISBLANK('Master Submitted DPDs'!AU50),"",'Master Submitted DPDs'!AU50)</f>
        <v>SOU</v>
      </c>
      <c r="R728" t="str">
        <f t="shared" si="23"/>
        <v>Closed</v>
      </c>
      <c r="S728" s="3"/>
      <c r="T728">
        <f>IF(ISBLANK('Master Submitted DPDs'!G50),"",'Master Submitted DPDs'!G50)</f>
        <v>2</v>
      </c>
    </row>
    <row r="729" spans="1:20" ht="15" x14ac:dyDescent="0.2">
      <c r="A729" s="3" t="str">
        <f>IF(ISBLANK('Master Submitted DPDs'!#REF!),"","Local Plans")</f>
        <v>Local Plans</v>
      </c>
      <c r="B729" t="str">
        <f>IF(ISBLANK('Master Submitted DPDs'!F51),"",'Master Submitted DPDs'!F51)</f>
        <v>AAP</v>
      </c>
      <c r="C729" s="3" t="str">
        <f>IF(ISBLANK('Master Submitted DPDs'!$B51),"","IH")</f>
        <v>IH</v>
      </c>
      <c r="D729" s="3" t="str">
        <f>LOOKUP($F729,'fuzzy LPA lookup'!$E:$E,'fuzzy LPA lookup'!$A:$A)</f>
        <v>C1950</v>
      </c>
      <c r="E729" s="3" t="str">
        <f>LOOKUP($F729,'fuzzy LPA lookup'!$E:$E,'fuzzy LPA lookup'!$D:$D)</f>
        <v>Welwyn Hatfield Council</v>
      </c>
      <c r="F729" s="8">
        <f>IF(ISBLANK('Master Submitted DPDs'!B51),"",'Master Submitted DPDs'!B51)</f>
        <v>1720</v>
      </c>
      <c r="G729" t="str">
        <f>IF(ISBLANK('Master Submitted DPDs'!AS51),"","Withdrawn")</f>
        <v/>
      </c>
      <c r="H729" s="2" t="str">
        <f>IF(ISBLANK('Master Submitted DPDs'!AS51),"",'Master Submitted DPDs'!AS51)</f>
        <v/>
      </c>
      <c r="I729" s="3"/>
      <c r="J729" s="3"/>
      <c r="K729" s="3"/>
      <c r="L729" s="2">
        <f>IF(ISBLANK('Master Submitted DPDs'!J51),"",'Master Submitted DPDs'!J51)</f>
        <v>42432</v>
      </c>
      <c r="M729" s="2">
        <f t="shared" si="22"/>
        <v>42432</v>
      </c>
      <c r="N729" s="2">
        <f>IF(ISBLANK('Master Submitted DPDs'!M51),IF(ISBLANK('Master Submitted DPDs'!O51),"",'Master Submitted DPDs'!O51),'Master Submitted DPDs'!M51)</f>
        <v>42432</v>
      </c>
      <c r="O729" s="2">
        <f>IF(ISBLANK('Master Submitted DPDs'!Q51),"",'Master Submitted DPDs'!Q51)</f>
        <v>42535</v>
      </c>
      <c r="P729" s="2">
        <f>IF(ISBLANK('Master Submitted DPDs'!AO51),"",'Master Submitted DPDs'!AO51)</f>
        <v>42683</v>
      </c>
      <c r="Q729" t="str">
        <f>IF(ISBLANK('Master Submitted DPDs'!AU51),"",'Master Submitted DPDs'!AU51)</f>
        <v>SOU</v>
      </c>
      <c r="R729" t="str">
        <f t="shared" si="23"/>
        <v>Closed</v>
      </c>
      <c r="S729" s="3"/>
      <c r="T729">
        <f>IF(ISBLANK('Master Submitted DPDs'!G51),"",'Master Submitted DPDs'!G51)</f>
        <v>2</v>
      </c>
    </row>
    <row r="730" spans="1:20" ht="15" x14ac:dyDescent="0.2">
      <c r="A730" s="3" t="str">
        <f>IF(ISBLANK('Master Submitted DPDs'!#REF!),"","Local Plans")</f>
        <v>Local Plans</v>
      </c>
      <c r="B730" t="str">
        <f>IF(ISBLANK('Master Submitted DPDs'!F52),"",'Master Submitted DPDs'!F52)</f>
        <v>DM</v>
      </c>
      <c r="C730" s="3" t="str">
        <f>IF(ISBLANK('Master Submitted DPDs'!$B52),"","IH")</f>
        <v>IH</v>
      </c>
      <c r="D730" s="3" t="str">
        <f>LOOKUP($F730,'fuzzy LPA lookup'!$E:$E,'fuzzy LPA lookup'!$A:$A)</f>
        <v>C1950</v>
      </c>
      <c r="E730" s="3" t="str">
        <f>LOOKUP($F730,'fuzzy LPA lookup'!$E:$E,'fuzzy LPA lookup'!$D:$D)</f>
        <v>Welwyn Hatfield Council</v>
      </c>
      <c r="F730" s="8">
        <f>IF(ISBLANK('Master Submitted DPDs'!B52),"",'Master Submitted DPDs'!B52)</f>
        <v>1731</v>
      </c>
      <c r="G730" t="str">
        <f>IF(ISBLANK('Master Submitted DPDs'!AS52),"","Withdrawn")</f>
        <v/>
      </c>
      <c r="H730" s="2" t="str">
        <f>IF(ISBLANK('Master Submitted DPDs'!AS52),"",'Master Submitted DPDs'!AS52)</f>
        <v/>
      </c>
      <c r="I730" s="3"/>
      <c r="J730" s="3"/>
      <c r="K730" s="3"/>
      <c r="L730" s="2">
        <f>IF(ISBLANK('Master Submitted DPDs'!J52),"",'Master Submitted DPDs'!J52)</f>
        <v>42439</v>
      </c>
      <c r="M730" s="2">
        <f t="shared" si="22"/>
        <v>42439</v>
      </c>
      <c r="N730" s="2">
        <f>IF(ISBLANK('Master Submitted DPDs'!M52),IF(ISBLANK('Master Submitted DPDs'!O52),"",'Master Submitted DPDs'!O52),'Master Submitted DPDs'!M52)</f>
        <v>42439</v>
      </c>
      <c r="O730" s="2">
        <f>IF(ISBLANK('Master Submitted DPDs'!Q52),"",'Master Submitted DPDs'!Q52)</f>
        <v>42508</v>
      </c>
      <c r="P730" s="2">
        <f>IF(ISBLANK('Master Submitted DPDs'!AO52),"",'Master Submitted DPDs'!AO52)</f>
        <v>42675</v>
      </c>
      <c r="Q730" t="str">
        <f>IF(ISBLANK('Master Submitted DPDs'!AU52),"",'Master Submitted DPDs'!AU52)</f>
        <v>SOU</v>
      </c>
      <c r="R730" t="str">
        <f t="shared" si="23"/>
        <v>Closed</v>
      </c>
      <c r="S730" s="3"/>
      <c r="T730">
        <f>IF(ISBLANK('Master Submitted DPDs'!G52),"",'Master Submitted DPDs'!G52)</f>
        <v>3</v>
      </c>
    </row>
    <row r="731" spans="1:20" ht="15" x14ac:dyDescent="0.2">
      <c r="A731" s="3" t="str">
        <f>IF(ISBLANK('Master Submitted DPDs'!#REF!),"","Local Plans")</f>
        <v>Local Plans</v>
      </c>
      <c r="B731" t="str">
        <f>IF(ISBLANK('Master Submitted DPDs'!F53),"",'Master Submitted DPDs'!F53)</f>
        <v>AAP</v>
      </c>
      <c r="C731" s="3" t="str">
        <f>IF(ISBLANK('Master Submitted DPDs'!$B53),"","IH")</f>
        <v>IH</v>
      </c>
      <c r="D731" s="3" t="str">
        <f>LOOKUP($F731,'fuzzy LPA lookup'!$E:$E,'fuzzy LPA lookup'!$A:$A)</f>
        <v>C1950</v>
      </c>
      <c r="E731" s="3" t="str">
        <f>LOOKUP($F731,'fuzzy LPA lookup'!$E:$E,'fuzzy LPA lookup'!$D:$D)</f>
        <v>Welwyn Hatfield Council</v>
      </c>
      <c r="F731" s="8">
        <f>IF(ISBLANK('Master Submitted DPDs'!B53),"",'Master Submitted DPDs'!B53)</f>
        <v>1721</v>
      </c>
      <c r="G731" t="str">
        <f>IF(ISBLANK('Master Submitted DPDs'!AS53),"","Withdrawn")</f>
        <v/>
      </c>
      <c r="H731" s="2" t="str">
        <f>IF(ISBLANK('Master Submitted DPDs'!AS53),"",'Master Submitted DPDs'!AS53)</f>
        <v/>
      </c>
      <c r="I731" s="3"/>
      <c r="J731" s="3"/>
      <c r="K731" s="3"/>
      <c r="L731" s="2">
        <f>IF(ISBLANK('Master Submitted DPDs'!J53),"",'Master Submitted DPDs'!J53)</f>
        <v>42450</v>
      </c>
      <c r="M731" s="2">
        <f t="shared" si="22"/>
        <v>42450</v>
      </c>
      <c r="N731" s="2">
        <f>IF(ISBLANK('Master Submitted DPDs'!M53),IF(ISBLANK('Master Submitted DPDs'!O53),"",'Master Submitted DPDs'!O53),'Master Submitted DPDs'!M53)</f>
        <v>42450</v>
      </c>
      <c r="O731" s="2">
        <f>IF(ISBLANK('Master Submitted DPDs'!Q53),"",'Master Submitted DPDs'!Q53)</f>
        <v>42577</v>
      </c>
      <c r="P731" s="2">
        <f>IF(ISBLANK('Master Submitted DPDs'!AO53),"",'Master Submitted DPDs'!AO53)</f>
        <v>42830</v>
      </c>
      <c r="Q731" t="str">
        <f>IF(ISBLANK('Master Submitted DPDs'!AU53),"",'Master Submitted DPDs'!AU53)</f>
        <v>SOU</v>
      </c>
      <c r="R731" t="str">
        <f t="shared" si="23"/>
        <v>Closed</v>
      </c>
      <c r="S731" s="3"/>
      <c r="T731">
        <f>IF(ISBLANK('Master Submitted DPDs'!G53),"",'Master Submitted DPDs'!G53)</f>
        <v>2</v>
      </c>
    </row>
    <row r="732" spans="1:20" ht="15" x14ac:dyDescent="0.2">
      <c r="A732" s="3" t="str">
        <f>IF(ISBLANK('Master Submitted DPDs'!#REF!),"","Local Plans")</f>
        <v>Local Plans</v>
      </c>
      <c r="B732" t="str">
        <f>IF(ISBLANK('Master Submitted DPDs'!F54),"",'Master Submitted DPDs'!F54)</f>
        <v>SA</v>
      </c>
      <c r="C732" s="3" t="str">
        <f>IF(ISBLANK('Master Submitted DPDs'!$B54),"","IH")</f>
        <v>IH</v>
      </c>
      <c r="D732" s="3" t="str">
        <f>LOOKUP($F732,'fuzzy LPA lookup'!$E:$E,'fuzzy LPA lookup'!$A:$A)</f>
        <v>Z0923</v>
      </c>
      <c r="E732" s="3" t="str">
        <f>LOOKUP($F732,'fuzzy LPA lookup'!$E:$E,'fuzzy LPA lookup'!$D:$D)</f>
        <v>Copeland Borough Council</v>
      </c>
      <c r="F732" s="8">
        <f>IF(ISBLANK('Master Submitted DPDs'!B54),"",'Master Submitted DPDs'!B54)</f>
        <v>1388</v>
      </c>
      <c r="G732" t="str">
        <f>IF(ISBLANK('Master Submitted DPDs'!AS54),"","Withdrawn")</f>
        <v/>
      </c>
      <c r="H732" s="2" t="str">
        <f>IF(ISBLANK('Master Submitted DPDs'!AS54),"",'Master Submitted DPDs'!AS54)</f>
        <v/>
      </c>
      <c r="I732" s="3"/>
      <c r="J732" s="3"/>
      <c r="K732" s="3"/>
      <c r="L732" s="2">
        <f>IF(ISBLANK('Master Submitted DPDs'!J54),"",'Master Submitted DPDs'!J54)</f>
        <v>42451</v>
      </c>
      <c r="M732" s="2">
        <f t="shared" si="22"/>
        <v>42451</v>
      </c>
      <c r="N732" s="2">
        <f>IF(ISBLANK('Master Submitted DPDs'!M54),IF(ISBLANK('Master Submitted DPDs'!O54),"",'Master Submitted DPDs'!O54),'Master Submitted DPDs'!M54)</f>
        <v>42451</v>
      </c>
      <c r="O732" s="2">
        <f>IF(ISBLANK('Master Submitted DPDs'!Q54),"",'Master Submitted DPDs'!Q54)</f>
        <v>42571</v>
      </c>
      <c r="P732" s="2">
        <f>IF(ISBLANK('Master Submitted DPDs'!AO54),"",'Master Submitted DPDs'!AO54)</f>
        <v>42766</v>
      </c>
      <c r="Q732" t="str">
        <f>IF(ISBLANK('Master Submitted DPDs'!AU54),"",'Master Submitted DPDs'!AU54)</f>
        <v>SOU</v>
      </c>
      <c r="R732" t="str">
        <f t="shared" si="23"/>
        <v>Closed</v>
      </c>
      <c r="S732" s="3"/>
      <c r="T732">
        <f>IF(ISBLANK('Master Submitted DPDs'!G54),"",'Master Submitted DPDs'!G54)</f>
        <v>3</v>
      </c>
    </row>
    <row r="733" spans="1:20" ht="15" x14ac:dyDescent="0.2">
      <c r="A733" s="3" t="str">
        <f>IF(ISBLANK('Master Submitted DPDs'!#REF!),"","Local Plans")</f>
        <v>Local Plans</v>
      </c>
      <c r="B733" t="str">
        <f>IF(ISBLANK('Master Submitted DPDs'!F55),"",'Master Submitted DPDs'!F55)</f>
        <v>SA</v>
      </c>
      <c r="C733" s="3" t="str">
        <f>IF(ISBLANK('Master Submitted DPDs'!$B55),"","IH")</f>
        <v>IH</v>
      </c>
      <c r="D733" s="3" t="str">
        <f>LOOKUP($F733,'fuzzy LPA lookup'!$E:$E,'fuzzy LPA lookup'!$A:$A)</f>
        <v>C1055</v>
      </c>
      <c r="E733" s="3" t="str">
        <f>LOOKUP($F733,'fuzzy LPA lookup'!$E:$E,'fuzzy LPA lookup'!$D:$D)</f>
        <v>Derby City Council</v>
      </c>
      <c r="F733" s="8">
        <f>IF(ISBLANK('Master Submitted DPDs'!B55),"",'Master Submitted DPDs'!B55)</f>
        <v>1700</v>
      </c>
      <c r="G733" t="str">
        <f>IF(ISBLANK('Master Submitted DPDs'!AS55),"","Withdrawn")</f>
        <v/>
      </c>
      <c r="H733" s="2" t="str">
        <f>IF(ISBLANK('Master Submitted DPDs'!AS55),"",'Master Submitted DPDs'!AS55)</f>
        <v/>
      </c>
      <c r="I733" s="3"/>
      <c r="J733" s="3"/>
      <c r="K733" s="3"/>
      <c r="L733" s="2">
        <f>IF(ISBLANK('Master Submitted DPDs'!J55),"",'Master Submitted DPDs'!J55)</f>
        <v>42453</v>
      </c>
      <c r="M733" s="2">
        <f t="shared" si="22"/>
        <v>42453</v>
      </c>
      <c r="N733" s="2">
        <f>IF(ISBLANK('Master Submitted DPDs'!M55),IF(ISBLANK('Master Submitted DPDs'!O55),"",'Master Submitted DPDs'!O55),'Master Submitted DPDs'!M55)</f>
        <v>42453</v>
      </c>
      <c r="O733" s="2">
        <f>IF(ISBLANK('Master Submitted DPDs'!Q55),"",'Master Submitted DPDs'!Q55)</f>
        <v>43028</v>
      </c>
      <c r="P733" s="2">
        <f>IF(ISBLANK('Master Submitted DPDs'!AO55),"",'Master Submitted DPDs'!AO55)</f>
        <v>43194</v>
      </c>
      <c r="Q733" t="str">
        <f>IF(ISBLANK('Master Submitted DPDs'!AU55),"",'Master Submitted DPDs'!AU55)</f>
        <v>SOU</v>
      </c>
      <c r="R733" t="str">
        <f t="shared" si="23"/>
        <v>Closed</v>
      </c>
      <c r="S733" s="3"/>
      <c r="T733">
        <f>IF(ISBLANK('Master Submitted DPDs'!G55),"",'Master Submitted DPDs'!G55)</f>
        <v>3</v>
      </c>
    </row>
    <row r="734" spans="1:20" ht="15" x14ac:dyDescent="0.2">
      <c r="A734" s="3" t="str">
        <f>IF(ISBLANK('Master Submitted DPDs'!#REF!),"","Local Plans")</f>
        <v>Local Plans</v>
      </c>
      <c r="B734" t="str">
        <f>IF(ISBLANK('Master Submitted DPDs'!F56),"",'Master Submitted DPDs'!F56)</f>
        <v>M&amp;W</v>
      </c>
      <c r="C734" s="3" t="str">
        <f>IF(ISBLANK('Master Submitted DPDs'!$B56),"","IH")</f>
        <v>IH</v>
      </c>
      <c r="D734" s="3" t="str">
        <f>LOOKUP($F734,'fuzzy LPA lookup'!$E:$E,'fuzzy LPA lookup'!$A:$A)</f>
        <v>B1930</v>
      </c>
      <c r="E734" s="3" t="str">
        <f>LOOKUP($F734,'fuzzy LPA lookup'!$E:$E,'fuzzy LPA lookup'!$D:$D)</f>
        <v>St Albans City Council</v>
      </c>
      <c r="F734" s="8">
        <f>IF(ISBLANK('Master Submitted DPDs'!B56),"",'Master Submitted DPDs'!B56)</f>
        <v>1739</v>
      </c>
      <c r="G734" t="str">
        <f>IF(ISBLANK('Master Submitted DPDs'!AS56),"","Withdrawn")</f>
        <v/>
      </c>
      <c r="H734" s="2" t="str">
        <f>IF(ISBLANK('Master Submitted DPDs'!AS56),"",'Master Submitted DPDs'!AS56)</f>
        <v/>
      </c>
      <c r="I734" s="3"/>
      <c r="J734" s="3"/>
      <c r="K734" s="3"/>
      <c r="L734" s="2">
        <f>IF(ISBLANK('Master Submitted DPDs'!J56),"",'Master Submitted DPDs'!J56)</f>
        <v>42460</v>
      </c>
      <c r="M734" s="2">
        <f t="shared" si="22"/>
        <v>42460</v>
      </c>
      <c r="N734" s="2">
        <f>IF(ISBLANK('Master Submitted DPDs'!M56),IF(ISBLANK('Master Submitted DPDs'!O56),"",'Master Submitted DPDs'!O56),'Master Submitted DPDs'!M56)</f>
        <v>42465</v>
      </c>
      <c r="O734" s="2">
        <f>IF(ISBLANK('Master Submitted DPDs'!Q56),"",'Master Submitted DPDs'!Q56)</f>
        <v>42662</v>
      </c>
      <c r="P734" s="2">
        <f>IF(ISBLANK('Master Submitted DPDs'!AO56),"",'Master Submitted DPDs'!AO56)</f>
        <v>42844</v>
      </c>
      <c r="Q734" t="str">
        <f>IF(ISBLANK('Master Submitted DPDs'!AU56),"",'Master Submitted DPDs'!AU56)</f>
        <v>SOU</v>
      </c>
      <c r="R734" t="str">
        <f t="shared" si="23"/>
        <v>Closed</v>
      </c>
      <c r="S734" s="3"/>
      <c r="T734">
        <f>IF(ISBLANK('Master Submitted DPDs'!G56),"",'Master Submitted DPDs'!G56)</f>
        <v>2</v>
      </c>
    </row>
    <row r="735" spans="1:20" ht="15" x14ac:dyDescent="0.2">
      <c r="A735" s="3" t="str">
        <f>IF(ISBLANK('Master Submitted DPDs'!#REF!),"","Local Plans")</f>
        <v>Local Plans</v>
      </c>
      <c r="B735" t="str">
        <f>IF(ISBLANK('Master Submitted DPDs'!F57),"",'Master Submitted DPDs'!F57)</f>
        <v>LP</v>
      </c>
      <c r="C735" s="3" t="str">
        <f>IF(ISBLANK('Master Submitted DPDs'!$B57),"","IH")</f>
        <v>IH</v>
      </c>
      <c r="D735" s="3" t="str">
        <f>LOOKUP($F735,'fuzzy LPA lookup'!$E:$E,'fuzzy LPA lookup'!$A:$A)</f>
        <v>B1930</v>
      </c>
      <c r="E735" s="3" t="str">
        <f>LOOKUP($F735,'fuzzy LPA lookup'!$E:$E,'fuzzy LPA lookup'!$D:$D)</f>
        <v>St Albans City Council</v>
      </c>
      <c r="F735" s="8">
        <f>IF(ISBLANK('Master Submitted DPDs'!B57),"",'Master Submitted DPDs'!B57)</f>
        <v>1741</v>
      </c>
      <c r="G735" t="str">
        <f>IF(ISBLANK('Master Submitted DPDs'!AS57),"","Withdrawn")</f>
        <v/>
      </c>
      <c r="H735" s="2" t="str">
        <f>IF(ISBLANK('Master Submitted DPDs'!AS57),"",'Master Submitted DPDs'!AS57)</f>
        <v/>
      </c>
      <c r="I735" s="3"/>
      <c r="J735" s="3"/>
      <c r="K735" s="3"/>
      <c r="L735" s="2">
        <f>IF(ISBLANK('Master Submitted DPDs'!J57),"",'Master Submitted DPDs'!J57)</f>
        <v>42461</v>
      </c>
      <c r="M735" s="2">
        <f t="shared" si="22"/>
        <v>42461</v>
      </c>
      <c r="N735" s="2">
        <f>IF(ISBLANK('Master Submitted DPDs'!M57),IF(ISBLANK('Master Submitted DPDs'!O57),"",'Master Submitted DPDs'!O57),'Master Submitted DPDs'!M57)</f>
        <v>42461</v>
      </c>
      <c r="O735" s="2">
        <f>IF(ISBLANK('Master Submitted DPDs'!Q57),"",'Master Submitted DPDs'!Q57)</f>
        <v>42753</v>
      </c>
      <c r="P735" s="2">
        <f>IF(ISBLANK('Master Submitted DPDs'!AO57),"",'Master Submitted DPDs'!AO57)</f>
        <v>43021</v>
      </c>
      <c r="Q735" t="str">
        <f>IF(ISBLANK('Master Submitted DPDs'!AU57),"",'Master Submitted DPDs'!AU57)</f>
        <v>SOU</v>
      </c>
      <c r="R735" t="str">
        <f t="shared" si="23"/>
        <v>Closed</v>
      </c>
      <c r="S735" s="3"/>
      <c r="T735">
        <f>IF(ISBLANK('Master Submitted DPDs'!G57),"",'Master Submitted DPDs'!G57)</f>
        <v>3</v>
      </c>
    </row>
    <row r="736" spans="1:20" ht="15" x14ac:dyDescent="0.2">
      <c r="A736" s="3" t="str">
        <f>IF(ISBLANK('Master Submitted DPDs'!#REF!),"","Local Plans")</f>
        <v>Local Plans</v>
      </c>
      <c r="B736" t="str">
        <f>IF(ISBLANK('Master Submitted DPDs'!F58),"",'Master Submitted DPDs'!F58)</f>
        <v>AAP</v>
      </c>
      <c r="C736" s="3" t="str">
        <f>IF(ISBLANK('Master Submitted DPDs'!$B58),"","IH")</f>
        <v>IH</v>
      </c>
      <c r="D736" s="3" t="str">
        <f>LOOKUP($F736,'fuzzy LPA lookup'!$E:$E,'fuzzy LPA lookup'!$A:$A)</f>
        <v>B1930</v>
      </c>
      <c r="E736" s="3" t="str">
        <f>LOOKUP($F736,'fuzzy LPA lookup'!$E:$E,'fuzzy LPA lookup'!$D:$D)</f>
        <v>St Albans City Council</v>
      </c>
      <c r="F736" s="8">
        <f>IF(ISBLANK('Master Submitted DPDs'!B58),"",'Master Submitted DPDs'!B58)</f>
        <v>1742</v>
      </c>
      <c r="G736" t="str">
        <f>IF(ISBLANK('Master Submitted DPDs'!AS58),"","Withdrawn")</f>
        <v/>
      </c>
      <c r="H736" s="2" t="str">
        <f>IF(ISBLANK('Master Submitted DPDs'!AS58),"",'Master Submitted DPDs'!AS58)</f>
        <v/>
      </c>
      <c r="I736" s="3"/>
      <c r="J736" s="3"/>
      <c r="K736" s="3"/>
      <c r="L736" s="2">
        <f>IF(ISBLANK('Master Submitted DPDs'!J58),"",'Master Submitted DPDs'!J58)</f>
        <v>42461</v>
      </c>
      <c r="M736" s="2">
        <f t="shared" si="22"/>
        <v>42461</v>
      </c>
      <c r="N736" s="2">
        <f>IF(ISBLANK('Master Submitted DPDs'!M58),IF(ISBLANK('Master Submitted DPDs'!O58),"",'Master Submitted DPDs'!O58),'Master Submitted DPDs'!M58)</f>
        <v>42461</v>
      </c>
      <c r="O736" s="2">
        <f>IF(ISBLANK('Master Submitted DPDs'!Q58),"",'Master Submitted DPDs'!Q58)</f>
        <v>42930</v>
      </c>
      <c r="P736" s="2">
        <f>IF(ISBLANK('Master Submitted DPDs'!AO58),"",'Master Submitted DPDs'!AO58)</f>
        <v>43046</v>
      </c>
      <c r="Q736" t="str">
        <f>IF(ISBLANK('Master Submitted DPDs'!AU58),"",'Master Submitted DPDs'!AU58)</f>
        <v>SOU</v>
      </c>
      <c r="R736" t="str">
        <f t="shared" si="23"/>
        <v>Closed</v>
      </c>
      <c r="S736" s="3"/>
      <c r="T736">
        <f>IF(ISBLANK('Master Submitted DPDs'!G58),"",'Master Submitted DPDs'!G58)</f>
        <v>2</v>
      </c>
    </row>
    <row r="737" spans="1:20" ht="15" x14ac:dyDescent="0.2">
      <c r="A737" s="3" t="str">
        <f>IF(ISBLANK('Master Submitted DPDs'!#REF!),"","Local Plans")</f>
        <v>Local Plans</v>
      </c>
      <c r="B737" t="str">
        <f>IF(ISBLANK('Master Submitted DPDs'!F59),"",'Master Submitted DPDs'!F59)</f>
        <v>SA</v>
      </c>
      <c r="C737" s="3" t="str">
        <f>IF(ISBLANK('Master Submitted DPDs'!$B59),"","IH")</f>
        <v>IH</v>
      </c>
      <c r="D737" s="3" t="str">
        <f>LOOKUP($F737,'fuzzy LPA lookup'!$E:$E,'fuzzy LPA lookup'!$A:$A)</f>
        <v>C1950</v>
      </c>
      <c r="E737" s="3" t="str">
        <f>LOOKUP($F737,'fuzzy LPA lookup'!$E:$E,'fuzzy LPA lookup'!$D:$D)</f>
        <v>Welwyn Hatfield Council</v>
      </c>
      <c r="F737" s="8">
        <f>IF(ISBLANK('Master Submitted DPDs'!B59),"",'Master Submitted DPDs'!B59)</f>
        <v>1718</v>
      </c>
      <c r="G737" t="str">
        <f>IF(ISBLANK('Master Submitted DPDs'!AS59),"","Withdrawn")</f>
        <v/>
      </c>
      <c r="H737" s="2" t="str">
        <f>IF(ISBLANK('Master Submitted DPDs'!AS59),"",'Master Submitted DPDs'!AS59)</f>
        <v/>
      </c>
      <c r="I737" s="3"/>
      <c r="J737" s="3"/>
      <c r="K737" s="3"/>
      <c r="L737" s="2">
        <f>IF(ISBLANK('Master Submitted DPDs'!J59),"",'Master Submitted DPDs'!J59)</f>
        <v>42466</v>
      </c>
      <c r="M737" s="2">
        <f t="shared" si="22"/>
        <v>42466</v>
      </c>
      <c r="N737" s="2">
        <f>IF(ISBLANK('Master Submitted DPDs'!M59),IF(ISBLANK('Master Submitted DPDs'!O59),"",'Master Submitted DPDs'!O59),'Master Submitted DPDs'!M59)</f>
        <v>42466</v>
      </c>
      <c r="O737" s="2">
        <f>IF(ISBLANK('Master Submitted DPDs'!Q59),"",'Master Submitted DPDs'!Q59)</f>
        <v>42565</v>
      </c>
      <c r="P737" s="2">
        <f>IF(ISBLANK('Master Submitted DPDs'!AO59),"",'Master Submitted DPDs'!AO59)</f>
        <v>42831</v>
      </c>
      <c r="Q737" t="str">
        <f>IF(ISBLANK('Master Submitted DPDs'!AU59),"",'Master Submitted DPDs'!AU59)</f>
        <v>SOU</v>
      </c>
      <c r="R737" t="str">
        <f t="shared" si="23"/>
        <v>Closed</v>
      </c>
      <c r="S737" s="3"/>
      <c r="T737">
        <f>IF(ISBLANK('Master Submitted DPDs'!G59),"",'Master Submitted DPDs'!G59)</f>
        <v>3</v>
      </c>
    </row>
    <row r="738" spans="1:20" ht="15" x14ac:dyDescent="0.2">
      <c r="A738" s="3" t="str">
        <f>IF(ISBLANK('Master Submitted DPDs'!#REF!),"","Local Plans")</f>
        <v>Local Plans</v>
      </c>
      <c r="B738" t="str">
        <f>IF(ISBLANK('Master Submitted DPDs'!F60),"",'Master Submitted DPDs'!F60)</f>
        <v>SA</v>
      </c>
      <c r="C738" s="3" t="str">
        <f>IF(ISBLANK('Master Submitted DPDs'!$B60),"","IH")</f>
        <v>IH</v>
      </c>
      <c r="D738" s="3" t="str">
        <f>LOOKUP($F738,'fuzzy LPA lookup'!$E:$E,'fuzzy LPA lookup'!$A:$A)</f>
        <v>B1930</v>
      </c>
      <c r="E738" s="3" t="str">
        <f>LOOKUP($F738,'fuzzy LPA lookup'!$E:$E,'fuzzy LPA lookup'!$D:$D)</f>
        <v>St Albans City Council</v>
      </c>
      <c r="F738" s="8">
        <f>IF(ISBLANK('Master Submitted DPDs'!B60),"",'Master Submitted DPDs'!B60)</f>
        <v>1733</v>
      </c>
      <c r="G738" t="str">
        <f>IF(ISBLANK('Master Submitted DPDs'!AS60),"","Withdrawn")</f>
        <v/>
      </c>
      <c r="H738" s="2" t="str">
        <f>IF(ISBLANK('Master Submitted DPDs'!AS60),"",'Master Submitted DPDs'!AS60)</f>
        <v/>
      </c>
      <c r="I738" s="3"/>
      <c r="J738" s="3"/>
      <c r="K738" s="3"/>
      <c r="L738" s="2">
        <f>IF(ISBLANK('Master Submitted DPDs'!J60),"",'Master Submitted DPDs'!J60)</f>
        <v>42472</v>
      </c>
      <c r="M738" s="2">
        <f t="shared" si="22"/>
        <v>42472</v>
      </c>
      <c r="N738" s="2">
        <f>IF(ISBLANK('Master Submitted DPDs'!M60),IF(ISBLANK('Master Submitted DPDs'!O60),"",'Master Submitted DPDs'!O60),'Master Submitted DPDs'!M60)</f>
        <v>42473</v>
      </c>
      <c r="O738" s="2">
        <f>IF(ISBLANK('Master Submitted DPDs'!Q60),"",'Master Submitted DPDs'!Q60)</f>
        <v>42656</v>
      </c>
      <c r="P738" s="2">
        <f>IF(ISBLANK('Master Submitted DPDs'!AO60),"",'Master Submitted DPDs'!AO60)</f>
        <v>42914</v>
      </c>
      <c r="Q738" t="str">
        <f>IF(ISBLANK('Master Submitted DPDs'!AU60),"",'Master Submitted DPDs'!AU60)</f>
        <v>SOU</v>
      </c>
      <c r="R738" t="str">
        <f t="shared" si="23"/>
        <v>Closed</v>
      </c>
      <c r="S738" s="3"/>
      <c r="T738">
        <f>IF(ISBLANK('Master Submitted DPDs'!G60),"",'Master Submitted DPDs'!G60)</f>
        <v>3</v>
      </c>
    </row>
    <row r="739" spans="1:20" ht="15" x14ac:dyDescent="0.2">
      <c r="A739" s="3" t="str">
        <f>IF(ISBLANK('Master Submitted DPDs'!#REF!),"","Local Plans")</f>
        <v>Local Plans</v>
      </c>
      <c r="B739" t="str">
        <f>IF(ISBLANK('Master Submitted DPDs'!F61),"",'Master Submitted DPDs'!F61)</f>
        <v>M&amp;W</v>
      </c>
      <c r="C739" s="3" t="str">
        <f>IF(ISBLANK('Master Submitted DPDs'!$B61),"","IH")</f>
        <v>IH</v>
      </c>
      <c r="D739" s="3" t="str">
        <f>LOOKUP($F739,'fuzzy LPA lookup'!$E:$E,'fuzzy LPA lookup'!$A:$A)</f>
        <v>G2625</v>
      </c>
      <c r="E739" s="3" t="str">
        <f>LOOKUP($F739,'fuzzy LPA lookup'!$E:$E,'fuzzy LPA lookup'!$D:$D)</f>
        <v>Norwich City Council</v>
      </c>
      <c r="F739" s="8">
        <f>IF(ISBLANK('Master Submitted DPDs'!B61),"",'Master Submitted DPDs'!B61)</f>
        <v>902</v>
      </c>
      <c r="G739" t="str">
        <f>IF(ISBLANK('Master Submitted DPDs'!AS61),"","Withdrawn")</f>
        <v/>
      </c>
      <c r="H739" s="2" t="str">
        <f>IF(ISBLANK('Master Submitted DPDs'!AS61),"",'Master Submitted DPDs'!AS61)</f>
        <v/>
      </c>
      <c r="I739" s="3"/>
      <c r="J739" s="3"/>
      <c r="K739" s="3"/>
      <c r="L739" s="2">
        <f>IF(ISBLANK('Master Submitted DPDs'!J61),"",'Master Submitted DPDs'!J61)</f>
        <v>42475</v>
      </c>
      <c r="M739" s="2">
        <f t="shared" si="22"/>
        <v>42475</v>
      </c>
      <c r="N739" s="2">
        <f>IF(ISBLANK('Master Submitted DPDs'!M61),IF(ISBLANK('Master Submitted DPDs'!O61),"",'Master Submitted DPDs'!O61),'Master Submitted DPDs'!M61)</f>
        <v>42475</v>
      </c>
      <c r="O739" s="2">
        <f>IF(ISBLANK('Master Submitted DPDs'!Q61),"",'Master Submitted DPDs'!Q61)</f>
        <v>42586</v>
      </c>
      <c r="P739" s="2">
        <f>IF(ISBLANK('Master Submitted DPDs'!AO61),"",'Master Submitted DPDs'!AO61)</f>
        <v>42681</v>
      </c>
      <c r="Q739" t="str">
        <f>IF(ISBLANK('Master Submitted DPDs'!AU61),"",'Master Submitted DPDs'!AU61)</f>
        <v>SOU</v>
      </c>
      <c r="R739" t="str">
        <f t="shared" si="23"/>
        <v>Closed</v>
      </c>
      <c r="S739" s="3"/>
      <c r="T739">
        <f>IF(ISBLANK('Master Submitted DPDs'!G61),"",'Master Submitted DPDs'!G61)</f>
        <v>3</v>
      </c>
    </row>
    <row r="740" spans="1:20" ht="15" x14ac:dyDescent="0.2">
      <c r="A740" s="3" t="str">
        <f>IF(ISBLANK('Master Submitted DPDs'!#REF!),"","Local Plans")</f>
        <v>Local Plans</v>
      </c>
      <c r="B740" t="str">
        <f>IF(ISBLANK('Master Submitted DPDs'!F62),"",'Master Submitted DPDs'!F62)</f>
        <v>LP</v>
      </c>
      <c r="C740" s="3" t="str">
        <f>IF(ISBLANK('Master Submitted DPDs'!$B62),"","IH")</f>
        <v>IH</v>
      </c>
      <c r="D740" s="3" t="str">
        <f>LOOKUP($F740,'fuzzy LPA lookup'!$E:$E,'fuzzy LPA lookup'!$A:$A)</f>
        <v>B0230</v>
      </c>
      <c r="E740" s="3" t="str">
        <f>LOOKUP($F740,'fuzzy LPA lookup'!$E:$E,'fuzzy LPA lookup'!$D:$D)</f>
        <v>Luton Borough Council</v>
      </c>
      <c r="F740" s="8">
        <f>IF(ISBLANK('Master Submitted DPDs'!B62),"",'Master Submitted DPDs'!B62)</f>
        <v>1709</v>
      </c>
      <c r="G740" t="str">
        <f>IF(ISBLANK('Master Submitted DPDs'!AS62),"","Withdrawn")</f>
        <v/>
      </c>
      <c r="H740" s="2" t="str">
        <f>IF(ISBLANK('Master Submitted DPDs'!AS62),"",'Master Submitted DPDs'!AS62)</f>
        <v/>
      </c>
      <c r="I740" s="3"/>
      <c r="J740" s="3"/>
      <c r="K740" s="3"/>
      <c r="L740" s="2">
        <f>IF(ISBLANK('Master Submitted DPDs'!J62),"",'Master Submitted DPDs'!J62)</f>
        <v>42482</v>
      </c>
      <c r="M740" s="2">
        <f t="shared" si="22"/>
        <v>42482</v>
      </c>
      <c r="N740" s="2">
        <f>IF(ISBLANK('Master Submitted DPDs'!M62),IF(ISBLANK('Master Submitted DPDs'!O62),"",'Master Submitted DPDs'!O62),'Master Submitted DPDs'!M62)</f>
        <v>42485</v>
      </c>
      <c r="O740" s="2">
        <f>IF(ISBLANK('Master Submitted DPDs'!Q62),"",'Master Submitted DPDs'!Q62)</f>
        <v>42747</v>
      </c>
      <c r="P740" s="2">
        <f>IF(ISBLANK('Master Submitted DPDs'!AO62),"",'Master Submitted DPDs'!AO62)</f>
        <v>42948</v>
      </c>
      <c r="Q740" t="str">
        <f>IF(ISBLANK('Master Submitted DPDs'!AU62),"",'Master Submitted DPDs'!AU62)</f>
        <v>SOU</v>
      </c>
      <c r="R740" t="str">
        <f t="shared" si="23"/>
        <v>Closed</v>
      </c>
      <c r="S740" s="3"/>
      <c r="T740">
        <f>IF(ISBLANK('Master Submitted DPDs'!G62),"",'Master Submitted DPDs'!G62)</f>
        <v>3</v>
      </c>
    </row>
    <row r="741" spans="1:20" ht="15" x14ac:dyDescent="0.2">
      <c r="A741" s="3" t="str">
        <f>IF(ISBLANK('Master Submitted DPDs'!#REF!),"","Local Plans")</f>
        <v>Local Plans</v>
      </c>
      <c r="B741" t="str">
        <f>IF(ISBLANK('Master Submitted DPDs'!F63),"",'Master Submitted DPDs'!F63)</f>
        <v>AAP</v>
      </c>
      <c r="C741" s="3" t="str">
        <f>IF(ISBLANK('Master Submitted DPDs'!$B63),"","IH")</f>
        <v>IH</v>
      </c>
      <c r="D741" s="3" t="str">
        <f>LOOKUP($F741,'fuzzy LPA lookup'!$E:$E,'fuzzy LPA lookup'!$A:$A)</f>
        <v>C1950</v>
      </c>
      <c r="E741" s="3" t="str">
        <f>LOOKUP($F741,'fuzzy LPA lookup'!$E:$E,'fuzzy LPA lookup'!$D:$D)</f>
        <v>Welwyn Hatfield Council</v>
      </c>
      <c r="F741" s="8">
        <f>IF(ISBLANK('Master Submitted DPDs'!B63),"",'Master Submitted DPDs'!B63)</f>
        <v>1724</v>
      </c>
      <c r="G741" t="str">
        <f>IF(ISBLANK('Master Submitted DPDs'!AS63),"","Withdrawn")</f>
        <v/>
      </c>
      <c r="H741" s="2" t="str">
        <f>IF(ISBLANK('Master Submitted DPDs'!AS63),"",'Master Submitted DPDs'!AS63)</f>
        <v/>
      </c>
      <c r="I741" s="3"/>
      <c r="J741" s="3"/>
      <c r="K741" s="3"/>
      <c r="L741" s="2">
        <f>IF(ISBLANK('Master Submitted DPDs'!J63),"",'Master Submitted DPDs'!J63)</f>
        <v>42482</v>
      </c>
      <c r="M741" s="2">
        <f t="shared" si="22"/>
        <v>42482</v>
      </c>
      <c r="N741" s="2">
        <f>IF(ISBLANK('Master Submitted DPDs'!M63),IF(ISBLANK('Master Submitted DPDs'!O63),"",'Master Submitted DPDs'!O63),'Master Submitted DPDs'!M63)</f>
        <v>42482</v>
      </c>
      <c r="O741" s="2">
        <f>IF(ISBLANK('Master Submitted DPDs'!Q63),"",'Master Submitted DPDs'!Q63)</f>
        <v>42795</v>
      </c>
      <c r="P741" s="2">
        <f>IF(ISBLANK('Master Submitted DPDs'!AO63),"",'Master Submitted DPDs'!AO63)</f>
        <v>43010</v>
      </c>
      <c r="Q741" t="str">
        <f>IF(ISBLANK('Master Submitted DPDs'!AU63),"",'Master Submitted DPDs'!AU63)</f>
        <v>SOU</v>
      </c>
      <c r="R741" t="str">
        <f t="shared" si="23"/>
        <v>Closed</v>
      </c>
      <c r="S741" s="3"/>
      <c r="T741">
        <f>IF(ISBLANK('Master Submitted DPDs'!G63),"",'Master Submitted DPDs'!G63)</f>
        <v>2</v>
      </c>
    </row>
    <row r="742" spans="1:20" ht="15" x14ac:dyDescent="0.2">
      <c r="A742" s="3" t="str">
        <f>IF(ISBLANK('Master Submitted DPDs'!#REF!),"","Local Plans")</f>
        <v>Local Plans</v>
      </c>
      <c r="B742" t="str">
        <f>IF(ISBLANK('Master Submitted DPDs'!F64),"",'Master Submitted DPDs'!F64)</f>
        <v>AAP</v>
      </c>
      <c r="C742" s="3" t="str">
        <f>IF(ISBLANK('Master Submitted DPDs'!$B64),"","IH")</f>
        <v>IH</v>
      </c>
      <c r="D742" s="3" t="str">
        <f>LOOKUP($F742,'fuzzy LPA lookup'!$E:$E,'fuzzy LPA lookup'!$A:$A)</f>
        <v>C1950</v>
      </c>
      <c r="E742" s="3" t="str">
        <f>LOOKUP($F742,'fuzzy LPA lookup'!$E:$E,'fuzzy LPA lookup'!$D:$D)</f>
        <v>Welwyn Hatfield Council</v>
      </c>
      <c r="F742" s="8">
        <f>IF(ISBLANK('Master Submitted DPDs'!B64),"",'Master Submitted DPDs'!B64)</f>
        <v>1723</v>
      </c>
      <c r="G742" t="str">
        <f>IF(ISBLANK('Master Submitted DPDs'!AS64),"","Withdrawn")</f>
        <v/>
      </c>
      <c r="H742" s="2" t="str">
        <f>IF(ISBLANK('Master Submitted DPDs'!AS64),"",'Master Submitted DPDs'!AS64)</f>
        <v/>
      </c>
      <c r="I742" s="3"/>
      <c r="J742" s="3"/>
      <c r="K742" s="3"/>
      <c r="L742" s="2">
        <f>IF(ISBLANK('Master Submitted DPDs'!J64),"",'Master Submitted DPDs'!J64)</f>
        <v>42482</v>
      </c>
      <c r="M742" s="2">
        <f t="shared" si="22"/>
        <v>42482</v>
      </c>
      <c r="N742" s="2">
        <f>IF(ISBLANK('Master Submitted DPDs'!M64),IF(ISBLANK('Master Submitted DPDs'!O64),"",'Master Submitted DPDs'!O64),'Master Submitted DPDs'!M64)</f>
        <v>42471</v>
      </c>
      <c r="O742" s="2">
        <f>IF(ISBLANK('Master Submitted DPDs'!Q64),"",'Master Submitted DPDs'!Q64)</f>
        <v>42795</v>
      </c>
      <c r="P742" s="2">
        <f>IF(ISBLANK('Master Submitted DPDs'!AO64),"",'Master Submitted DPDs'!AO64)</f>
        <v>43010</v>
      </c>
      <c r="Q742" t="str">
        <f>IF(ISBLANK('Master Submitted DPDs'!AU64),"",'Master Submitted DPDs'!AU64)</f>
        <v>SOU</v>
      </c>
      <c r="R742" t="str">
        <f t="shared" si="23"/>
        <v>Closed</v>
      </c>
      <c r="S742" s="3"/>
      <c r="T742">
        <f>IF(ISBLANK('Master Submitted DPDs'!G64),"",'Master Submitted DPDs'!G64)</f>
        <v>2</v>
      </c>
    </row>
    <row r="743" spans="1:20" ht="15" x14ac:dyDescent="0.2">
      <c r="A743" s="3" t="str">
        <f>IF(ISBLANK('Master Submitted DPDs'!#REF!),"","Local Plans")</f>
        <v>Local Plans</v>
      </c>
      <c r="B743" t="str">
        <f>IF(ISBLANK('Master Submitted DPDs'!F65),"",'Master Submitted DPDs'!F65)</f>
        <v>SA</v>
      </c>
      <c r="C743" s="3" t="str">
        <f>IF(ISBLANK('Master Submitted DPDs'!$B65),"","IH")</f>
        <v>IH</v>
      </c>
      <c r="D743" s="3" t="str">
        <f>LOOKUP($F743,'fuzzy LPA lookup'!$E:$E,'fuzzy LPA lookup'!$A:$A)</f>
        <v>C1950</v>
      </c>
      <c r="E743" s="3" t="str">
        <f>LOOKUP($F743,'fuzzy LPA lookup'!$E:$E,'fuzzy LPA lookup'!$D:$D)</f>
        <v>Welwyn Hatfield Council</v>
      </c>
      <c r="F743" s="8">
        <f>IF(ISBLANK('Master Submitted DPDs'!B65),"",'Master Submitted DPDs'!B65)</f>
        <v>1719</v>
      </c>
      <c r="G743" t="str">
        <f>IF(ISBLANK('Master Submitted DPDs'!AS65),"","Withdrawn")</f>
        <v/>
      </c>
      <c r="H743" s="2" t="str">
        <f>IF(ISBLANK('Master Submitted DPDs'!AS65),"",'Master Submitted DPDs'!AS65)</f>
        <v/>
      </c>
      <c r="I743" s="3"/>
      <c r="J743" s="3"/>
      <c r="K743" s="3"/>
      <c r="L743" s="2">
        <f>IF(ISBLANK('Master Submitted DPDs'!J65),"",'Master Submitted DPDs'!J65)</f>
        <v>42486</v>
      </c>
      <c r="M743" s="2">
        <f t="shared" si="22"/>
        <v>42486</v>
      </c>
      <c r="N743" s="2">
        <f>IF(ISBLANK('Master Submitted DPDs'!M65),IF(ISBLANK('Master Submitted DPDs'!O65),"",'Master Submitted DPDs'!O65),'Master Submitted DPDs'!M65)</f>
        <v>42486</v>
      </c>
      <c r="O743" s="2">
        <f>IF(ISBLANK('Master Submitted DPDs'!Q65),"",'Master Submitted DPDs'!Q65)</f>
        <v>42584</v>
      </c>
      <c r="P743" s="2">
        <f>IF(ISBLANK('Master Submitted DPDs'!AO65),"",'Master Submitted DPDs'!AO65)</f>
        <v>42732</v>
      </c>
      <c r="Q743" t="str">
        <f>IF(ISBLANK('Master Submitted DPDs'!AU65),"",'Master Submitted DPDs'!AU65)</f>
        <v>SOU</v>
      </c>
      <c r="R743" t="str">
        <f t="shared" si="23"/>
        <v>Closed</v>
      </c>
      <c r="S743" s="3"/>
      <c r="T743">
        <f>IF(ISBLANK('Master Submitted DPDs'!G65),"",'Master Submitted DPDs'!G65)</f>
        <v>3</v>
      </c>
    </row>
    <row r="744" spans="1:20" ht="15" x14ac:dyDescent="0.2">
      <c r="A744" s="3" t="str">
        <f>IF(ISBLANK('Master Submitted DPDs'!#REF!),"","Local Plans")</f>
        <v>Local Plans</v>
      </c>
      <c r="B744" t="str">
        <f>IF(ISBLANK('Master Submitted DPDs'!F66),"",'Master Submitted DPDs'!F66)</f>
        <v>AAP</v>
      </c>
      <c r="C744" s="3" t="str">
        <f>IF(ISBLANK('Master Submitted DPDs'!$B66),"","IH")</f>
        <v>IH</v>
      </c>
      <c r="D744" s="3" t="str">
        <f>LOOKUP($F744,'fuzzy LPA lookup'!$E:$E,'fuzzy LPA lookup'!$A:$A)</f>
        <v>B1930</v>
      </c>
      <c r="E744" s="3" t="str">
        <f>LOOKUP($F744,'fuzzy LPA lookup'!$E:$E,'fuzzy LPA lookup'!$D:$D)</f>
        <v>St Albans City Council</v>
      </c>
      <c r="F744" s="8">
        <f>IF(ISBLANK('Master Submitted DPDs'!B66),"",'Master Submitted DPDs'!B66)</f>
        <v>1738</v>
      </c>
      <c r="G744" t="str">
        <f>IF(ISBLANK('Master Submitted DPDs'!AS66),"","Withdrawn")</f>
        <v/>
      </c>
      <c r="H744" s="2" t="str">
        <f>IF(ISBLANK('Master Submitted DPDs'!AS66),"",'Master Submitted DPDs'!AS66)</f>
        <v/>
      </c>
      <c r="I744" s="3"/>
      <c r="J744" s="3"/>
      <c r="K744" s="3"/>
      <c r="L744" s="2">
        <f>IF(ISBLANK('Master Submitted DPDs'!J66),"",'Master Submitted DPDs'!J66)</f>
        <v>42496</v>
      </c>
      <c r="M744" s="2">
        <f t="shared" si="22"/>
        <v>42496</v>
      </c>
      <c r="N744" s="2">
        <f>IF(ISBLANK('Master Submitted DPDs'!M66),IF(ISBLANK('Master Submitted DPDs'!O66),"",'Master Submitted DPDs'!O66),'Master Submitted DPDs'!M66)</f>
        <v>42496</v>
      </c>
      <c r="O744" s="2">
        <f>IF(ISBLANK('Master Submitted DPDs'!Q66),"",'Master Submitted DPDs'!Q66)</f>
        <v>42604</v>
      </c>
      <c r="P744" s="2">
        <f>IF(ISBLANK('Master Submitted DPDs'!AO66),"",'Master Submitted DPDs'!AO66)</f>
        <v>42775</v>
      </c>
      <c r="Q744" t="str">
        <f>IF(ISBLANK('Master Submitted DPDs'!AU66),"",'Master Submitted DPDs'!AU66)</f>
        <v>SOU</v>
      </c>
      <c r="R744" t="str">
        <f t="shared" si="23"/>
        <v>Closed</v>
      </c>
      <c r="S744" s="3"/>
      <c r="T744">
        <f>IF(ISBLANK('Master Submitted DPDs'!G66),"",'Master Submitted DPDs'!G66)</f>
        <v>3</v>
      </c>
    </row>
    <row r="745" spans="1:20" ht="15" x14ac:dyDescent="0.2">
      <c r="A745" s="3" t="str">
        <f>IF(ISBLANK('Master Submitted DPDs'!#REF!),"","Local Plans")</f>
        <v>Local Plans</v>
      </c>
      <c r="B745" t="str">
        <f>IF(ISBLANK('Master Submitted DPDs'!F67),"",'Master Submitted DPDs'!F67)</f>
        <v>LP</v>
      </c>
      <c r="C745" s="3" t="str">
        <f>IF(ISBLANK('Master Submitted DPDs'!$B67),"","IH")</f>
        <v>IH</v>
      </c>
      <c r="D745" s="3" t="str">
        <f>LOOKUP($F745,'fuzzy LPA lookup'!$E:$E,'fuzzy LPA lookup'!$A:$A)</f>
        <v>F9498</v>
      </c>
      <c r="E745" s="3" t="str">
        <f>LOOKUP($F745,'fuzzy LPA lookup'!$E:$E,'fuzzy LPA lookup'!$D:$D)</f>
        <v>Exmoor</v>
      </c>
      <c r="F745" s="8">
        <f>IF(ISBLANK('Master Submitted DPDs'!B67),"",'Master Submitted DPDs'!B67)</f>
        <v>574</v>
      </c>
      <c r="G745" t="str">
        <f>IF(ISBLANK('Master Submitted DPDs'!AS67),"","Withdrawn")</f>
        <v/>
      </c>
      <c r="H745" s="2" t="str">
        <f>IF(ISBLANK('Master Submitted DPDs'!AS67),"",'Master Submitted DPDs'!AS67)</f>
        <v/>
      </c>
      <c r="I745" s="3"/>
      <c r="J745" s="3"/>
      <c r="K745" s="3"/>
      <c r="L745" s="2">
        <f>IF(ISBLANK('Master Submitted DPDs'!J67),"",'Master Submitted DPDs'!J67)</f>
        <v>42496</v>
      </c>
      <c r="M745" s="2">
        <f t="shared" si="22"/>
        <v>42496</v>
      </c>
      <c r="N745" s="2">
        <f>IF(ISBLANK('Master Submitted DPDs'!M67),IF(ISBLANK('Master Submitted DPDs'!O67),"",'Master Submitted DPDs'!O67),'Master Submitted DPDs'!M67)</f>
        <v>42496</v>
      </c>
      <c r="O745" s="2">
        <f>IF(ISBLANK('Master Submitted DPDs'!Q67),"",'Master Submitted DPDs'!Q67)</f>
        <v>42566</v>
      </c>
      <c r="P745" s="2">
        <f>IF(ISBLANK('Master Submitted DPDs'!AO67),"",'Master Submitted DPDs'!AO67)</f>
        <v>42901</v>
      </c>
      <c r="Q745" t="str">
        <f>IF(ISBLANK('Master Submitted DPDs'!AU67),"",'Master Submitted DPDs'!AU67)</f>
        <v>SOU</v>
      </c>
      <c r="R745" t="str">
        <f t="shared" si="23"/>
        <v>Closed</v>
      </c>
      <c r="S745" s="3"/>
      <c r="T745">
        <f>IF(ISBLANK('Master Submitted DPDs'!G67),"",'Master Submitted DPDs'!G67)</f>
        <v>3</v>
      </c>
    </row>
    <row r="746" spans="1:20" ht="15" x14ac:dyDescent="0.2">
      <c r="A746" s="3" t="str">
        <f>IF(ISBLANK('Master Submitted DPDs'!#REF!),"","Local Plans")</f>
        <v>Local Plans</v>
      </c>
      <c r="B746" t="str">
        <f>IF(ISBLANK('Master Submitted DPDs'!F68),"",'Master Submitted DPDs'!F68)</f>
        <v>LP</v>
      </c>
      <c r="C746" s="3" t="str">
        <f>IF(ISBLANK('Master Submitted DPDs'!$B68),"","IH")</f>
        <v>IH</v>
      </c>
      <c r="D746" s="3" t="str">
        <f>LOOKUP($F746,'fuzzy LPA lookup'!$E:$E,'fuzzy LPA lookup'!$A:$A)</f>
        <v>H2733</v>
      </c>
      <c r="E746" s="3" t="str">
        <f>LOOKUP($F746,'fuzzy LPA lookup'!$E:$E,'fuzzy LPA lookup'!$D:$D)</f>
        <v>Scarborough Borough Council</v>
      </c>
      <c r="F746" s="8">
        <f>IF(ISBLANK('Master Submitted DPDs'!B68),"",'Master Submitted DPDs'!B68)</f>
        <v>1715</v>
      </c>
      <c r="G746" t="str">
        <f>IF(ISBLANK('Master Submitted DPDs'!AS68),"","Withdrawn")</f>
        <v/>
      </c>
      <c r="H746" s="2" t="str">
        <f>IF(ISBLANK('Master Submitted DPDs'!AS68),"",'Master Submitted DPDs'!AS68)</f>
        <v/>
      </c>
      <c r="I746" s="3"/>
      <c r="J746" s="3"/>
      <c r="K746" s="3"/>
      <c r="L746" s="2">
        <f>IF(ISBLANK('Master Submitted DPDs'!J68),"",'Master Submitted DPDs'!J68)</f>
        <v>42499</v>
      </c>
      <c r="M746" s="2">
        <f t="shared" si="22"/>
        <v>42499</v>
      </c>
      <c r="N746" s="2">
        <f>IF(ISBLANK('Master Submitted DPDs'!M68),IF(ISBLANK('Master Submitted DPDs'!O68),"",'Master Submitted DPDs'!O68),'Master Submitted DPDs'!M68)</f>
        <v>42499</v>
      </c>
      <c r="O746" s="2">
        <f>IF(ISBLANK('Master Submitted DPDs'!Q68),"",'Master Submitted DPDs'!Q68)</f>
        <v>42759</v>
      </c>
      <c r="P746" s="2">
        <f>IF(ISBLANK('Master Submitted DPDs'!AO68),"",'Master Submitted DPDs'!AO68)</f>
        <v>42775</v>
      </c>
      <c r="Q746" t="str">
        <f>IF(ISBLANK('Master Submitted DPDs'!AU68),"",'Master Submitted DPDs'!AU68)</f>
        <v>SOU</v>
      </c>
      <c r="R746" t="str">
        <f t="shared" si="23"/>
        <v>Closed</v>
      </c>
      <c r="S746" s="3"/>
      <c r="T746">
        <f>IF(ISBLANK('Master Submitted DPDs'!G68),"",'Master Submitted DPDs'!G68)</f>
        <v>3</v>
      </c>
    </row>
    <row r="747" spans="1:20" ht="15" x14ac:dyDescent="0.2">
      <c r="A747" s="3" t="str">
        <f>IF(ISBLANK('Master Submitted DPDs'!#REF!),"","Local Plans")</f>
        <v>Local Plans</v>
      </c>
      <c r="B747" t="str">
        <f>IF(ISBLANK('Master Submitted DPDs'!F69),"",'Master Submitted DPDs'!F69)</f>
        <v>PR</v>
      </c>
      <c r="C747" s="3" t="str">
        <f>IF(ISBLANK('Master Submitted DPDs'!$B69),"","IH")</f>
        <v>IH</v>
      </c>
      <c r="D747" s="3" t="str">
        <f>LOOKUP($F747,'fuzzy LPA lookup'!$E:$E,'fuzzy LPA lookup'!$A:$A)</f>
        <v>C1950</v>
      </c>
      <c r="E747" s="3" t="str">
        <f>LOOKUP($F747,'fuzzy LPA lookup'!$E:$E,'fuzzy LPA lookup'!$D:$D)</f>
        <v>Welwyn Hatfield Council</v>
      </c>
      <c r="F747" s="8">
        <f>IF(ISBLANK('Master Submitted DPDs'!B69),"",'Master Submitted DPDs'!B69)</f>
        <v>1727</v>
      </c>
      <c r="G747" t="str">
        <f>IF(ISBLANK('Master Submitted DPDs'!AS69),"","Withdrawn")</f>
        <v/>
      </c>
      <c r="H747" s="2" t="str">
        <f>IF(ISBLANK('Master Submitted DPDs'!AS69),"",'Master Submitted DPDs'!AS69)</f>
        <v/>
      </c>
      <c r="I747" s="3"/>
      <c r="J747" s="3"/>
      <c r="K747" s="3"/>
      <c r="L747" s="2">
        <f>IF(ISBLANK('Master Submitted DPDs'!J69),"",'Master Submitted DPDs'!J69)</f>
        <v>42501</v>
      </c>
      <c r="M747" s="2">
        <f t="shared" si="22"/>
        <v>42501</v>
      </c>
      <c r="N747" s="2">
        <f>IF(ISBLANK('Master Submitted DPDs'!M69),IF(ISBLANK('Master Submitted DPDs'!O69),"",'Master Submitted DPDs'!O69),'Master Submitted DPDs'!M69)</f>
        <v>42501</v>
      </c>
      <c r="O747" s="2" t="str">
        <f>IF(ISBLANK('Master Submitted DPDs'!Q69),"",'Master Submitted DPDs'!Q69)</f>
        <v/>
      </c>
      <c r="P747" s="2">
        <f>IF(ISBLANK('Master Submitted DPDs'!AO69),"",'Master Submitted DPDs'!AO69)</f>
        <v>42613</v>
      </c>
      <c r="Q747" t="str">
        <f>IF(ISBLANK('Master Submitted DPDs'!AU69),"",'Master Submitted DPDs'!AU69)</f>
        <v>SOU</v>
      </c>
      <c r="R747" t="str">
        <f t="shared" si="23"/>
        <v>Closed</v>
      </c>
      <c r="S747" s="3"/>
      <c r="T747">
        <f>IF(ISBLANK('Master Submitted DPDs'!G69),"",'Master Submitted DPDs'!G69)</f>
        <v>2</v>
      </c>
    </row>
    <row r="748" spans="1:20" ht="15" x14ac:dyDescent="0.2">
      <c r="A748" s="3" t="str">
        <f>IF(ISBLANK('Master Submitted DPDs'!#REF!),"","Local Plans")</f>
        <v>Local Plans</v>
      </c>
      <c r="B748" t="str">
        <f>IF(ISBLANK('Master Submitted DPDs'!F70),"",'Master Submitted DPDs'!F70)</f>
        <v>M&amp;W</v>
      </c>
      <c r="C748" s="3" t="str">
        <f>IF(ISBLANK('Master Submitted DPDs'!$B70),"","IH")</f>
        <v>IH</v>
      </c>
      <c r="D748" s="3" t="str">
        <f>LOOKUP($F748,'fuzzy LPA lookup'!$E:$E,'fuzzy LPA lookup'!$A:$A)</f>
        <v>C1950</v>
      </c>
      <c r="E748" s="3" t="str">
        <f>LOOKUP($F748,'fuzzy LPA lookup'!$E:$E,'fuzzy LPA lookup'!$D:$D)</f>
        <v>Welwyn Hatfield Council</v>
      </c>
      <c r="F748" s="8">
        <f>IF(ISBLANK('Master Submitted DPDs'!B70),"",'Master Submitted DPDs'!B70)</f>
        <v>1722</v>
      </c>
      <c r="G748" t="str">
        <f>IF(ISBLANK('Master Submitted DPDs'!AS70),"","Withdrawn")</f>
        <v/>
      </c>
      <c r="H748" s="2" t="str">
        <f>IF(ISBLANK('Master Submitted DPDs'!AS70),"",'Master Submitted DPDs'!AS70)</f>
        <v/>
      </c>
      <c r="I748" s="3"/>
      <c r="J748" s="3"/>
      <c r="K748" s="3"/>
      <c r="L748" s="2">
        <f>IF(ISBLANK('Master Submitted DPDs'!J70),"",'Master Submitted DPDs'!J70)</f>
        <v>42501</v>
      </c>
      <c r="M748" s="2">
        <f t="shared" si="22"/>
        <v>42501</v>
      </c>
      <c r="N748" s="2">
        <f>IF(ISBLANK('Master Submitted DPDs'!M70),IF(ISBLANK('Master Submitted DPDs'!O70),"",'Master Submitted DPDs'!O70),'Master Submitted DPDs'!M70)</f>
        <v>42501</v>
      </c>
      <c r="O748" s="2" t="str">
        <f>IF(ISBLANK('Master Submitted DPDs'!Q70),"",'Master Submitted DPDs'!Q70)</f>
        <v>NA</v>
      </c>
      <c r="P748" s="2">
        <f>IF(ISBLANK('Master Submitted DPDs'!AO70),"",'Master Submitted DPDs'!AO70)</f>
        <v>42941</v>
      </c>
      <c r="Q748" t="str">
        <f>IF(ISBLANK('Master Submitted DPDs'!AU70),"",'Master Submitted DPDs'!AU70)</f>
        <v>SOU</v>
      </c>
      <c r="R748" t="str">
        <f t="shared" si="23"/>
        <v>Closed</v>
      </c>
      <c r="S748" s="3"/>
      <c r="T748">
        <f>IF(ISBLANK('Master Submitted DPDs'!G70),"",'Master Submitted DPDs'!G70)</f>
        <v>3</v>
      </c>
    </row>
    <row r="749" spans="1:20" ht="15" x14ac:dyDescent="0.2">
      <c r="A749" s="3" t="str">
        <f>IF(ISBLANK('Master Submitted DPDs'!#REF!),"","Local Plans")</f>
        <v>Local Plans</v>
      </c>
      <c r="B749" t="str">
        <f>IF(ISBLANK('Master Submitted DPDs'!F71),"",'Master Submitted DPDs'!F71)</f>
        <v>LP</v>
      </c>
      <c r="C749" s="3" t="str">
        <f>IF(ISBLANK('Master Submitted DPDs'!$B71),"","IH")</f>
        <v>IH</v>
      </c>
      <c r="D749" s="3" t="str">
        <f>LOOKUP($F749,'fuzzy LPA lookup'!$E:$E,'fuzzy LPA lookup'!$A:$A)</f>
        <v>J0350</v>
      </c>
      <c r="E749" s="3" t="str">
        <f>LOOKUP($F749,'fuzzy LPA lookup'!$E:$E,'fuzzy LPA lookup'!$D:$D)</f>
        <v>Slough Borough Council</v>
      </c>
      <c r="F749" s="8">
        <f>IF(ISBLANK('Master Submitted DPDs'!B71),"",'Master Submitted DPDs'!B71)</f>
        <v>693</v>
      </c>
      <c r="G749" t="str">
        <f>IF(ISBLANK('Master Submitted DPDs'!AS71),"","Withdrawn")</f>
        <v/>
      </c>
      <c r="H749" s="2" t="str">
        <f>IF(ISBLANK('Master Submitted DPDs'!AS71),"",'Master Submitted DPDs'!AS71)</f>
        <v/>
      </c>
      <c r="I749" s="3"/>
      <c r="J749" s="3"/>
      <c r="K749" s="3"/>
      <c r="L749" s="2">
        <f>IF(ISBLANK('Master Submitted DPDs'!J71),"",'Master Submitted DPDs'!J71)</f>
        <v>42510</v>
      </c>
      <c r="M749" s="2">
        <f t="shared" si="22"/>
        <v>42510</v>
      </c>
      <c r="N749" s="2">
        <f>IF(ISBLANK('Master Submitted DPDs'!M71),IF(ISBLANK('Master Submitted DPDs'!O71),"",'Master Submitted DPDs'!O71),'Master Submitted DPDs'!M71)</f>
        <v>42510</v>
      </c>
      <c r="O749" s="2">
        <f>IF(ISBLANK('Master Submitted DPDs'!Q71),"",'Master Submitted DPDs'!Q71)</f>
        <v>42759</v>
      </c>
      <c r="P749" s="2">
        <f>IF(ISBLANK('Master Submitted DPDs'!AO71),"",'Master Submitted DPDs'!AO71)</f>
        <v>42943</v>
      </c>
      <c r="Q749" t="str">
        <f>IF(ISBLANK('Master Submitted DPDs'!AU71),"",'Master Submitted DPDs'!AU71)</f>
        <v>SOU</v>
      </c>
      <c r="R749" t="str">
        <f t="shared" si="23"/>
        <v>Closed</v>
      </c>
      <c r="S749" s="3"/>
      <c r="T749">
        <f>IF(ISBLANK('Master Submitted DPDs'!G71),"",'Master Submitted DPDs'!G71)</f>
        <v>3</v>
      </c>
    </row>
    <row r="750" spans="1:20" ht="15" x14ac:dyDescent="0.2">
      <c r="A750" s="3" t="str">
        <f>IF(ISBLANK('Master Submitted DPDs'!#REF!),"","Local Plans")</f>
        <v>Local Plans</v>
      </c>
      <c r="B750" t="str">
        <f>IF(ISBLANK('Master Submitted DPDs'!F72),"",'Master Submitted DPDs'!F72)</f>
        <v>LP</v>
      </c>
      <c r="C750" s="3" t="str">
        <f>IF(ISBLANK('Master Submitted DPDs'!$B72),"","IH")</f>
        <v>IH</v>
      </c>
      <c r="D750" s="3" t="str">
        <f>LOOKUP($F750,'fuzzy LPA lookup'!$E:$E,'fuzzy LPA lookup'!$A:$A)</f>
        <v>B1930</v>
      </c>
      <c r="E750" s="3" t="str">
        <f>LOOKUP($F750,'fuzzy LPA lookup'!$E:$E,'fuzzy LPA lookup'!$D:$D)</f>
        <v>St Albans City Council</v>
      </c>
      <c r="F750" s="8">
        <f>IF(ISBLANK('Master Submitted DPDs'!B72),"",'Master Submitted DPDs'!B72)</f>
        <v>1734</v>
      </c>
      <c r="G750" t="str">
        <f>IF(ISBLANK('Master Submitted DPDs'!AS72),"","Withdrawn")</f>
        <v/>
      </c>
      <c r="H750" s="2" t="str">
        <f>IF(ISBLANK('Master Submitted DPDs'!AS72),"",'Master Submitted DPDs'!AS72)</f>
        <v/>
      </c>
      <c r="I750" s="3"/>
      <c r="J750" s="3"/>
      <c r="K750" s="3"/>
      <c r="L750" s="2">
        <f>IF(ISBLANK('Master Submitted DPDs'!J72),"",'Master Submitted DPDs'!J72)</f>
        <v>42514</v>
      </c>
      <c r="M750" s="2">
        <f t="shared" si="22"/>
        <v>42514</v>
      </c>
      <c r="N750" s="2">
        <f>IF(ISBLANK('Master Submitted DPDs'!M72),IF(ISBLANK('Master Submitted DPDs'!O72),"",'Master Submitted DPDs'!O72),'Master Submitted DPDs'!M72)</f>
        <v>42514</v>
      </c>
      <c r="O750" s="2">
        <f>IF(ISBLANK('Master Submitted DPDs'!Q72),"",'Master Submitted DPDs'!Q72)</f>
        <v>42621</v>
      </c>
      <c r="P750" s="2">
        <f>IF(ISBLANK('Master Submitted DPDs'!AO72),"",'Master Submitted DPDs'!AO72)</f>
        <v>42853</v>
      </c>
      <c r="Q750" t="str">
        <f>IF(ISBLANK('Master Submitted DPDs'!AU72),"",'Master Submitted DPDs'!AU72)</f>
        <v>SOU</v>
      </c>
      <c r="R750" t="str">
        <f t="shared" si="23"/>
        <v>Closed</v>
      </c>
      <c r="S750" s="3"/>
      <c r="T750">
        <f>IF(ISBLANK('Master Submitted DPDs'!G72),"",'Master Submitted DPDs'!G72)</f>
        <v>3</v>
      </c>
    </row>
    <row r="751" spans="1:20" ht="15" x14ac:dyDescent="0.2">
      <c r="A751" s="3" t="str">
        <f>IF(ISBLANK('Master Submitted DPDs'!#REF!),"","Local Plans")</f>
        <v>Local Plans</v>
      </c>
      <c r="B751" t="str">
        <f>IF(ISBLANK('Master Submitted DPDs'!F73),"",'Master Submitted DPDs'!F73)</f>
        <v>DM</v>
      </c>
      <c r="C751" s="3" t="str">
        <f>IF(ISBLANK('Master Submitted DPDs'!$B73),"","IH")</f>
        <v>IH</v>
      </c>
      <c r="D751" s="3" t="str">
        <f>LOOKUP($F751,'fuzzy LPA lookup'!$E:$E,'fuzzy LPA lookup'!$A:$A)</f>
        <v>B1930</v>
      </c>
      <c r="E751" s="3" t="str">
        <f>LOOKUP($F751,'fuzzy LPA lookup'!$E:$E,'fuzzy LPA lookup'!$D:$D)</f>
        <v>St Albans City Council</v>
      </c>
      <c r="F751" s="8">
        <f>IF(ISBLANK('Master Submitted DPDs'!B73),"",'Master Submitted DPDs'!B73)</f>
        <v>1735</v>
      </c>
      <c r="G751" t="str">
        <f>IF(ISBLANK('Master Submitted DPDs'!AS73),"","Withdrawn")</f>
        <v/>
      </c>
      <c r="H751" s="2" t="str">
        <f>IF(ISBLANK('Master Submitted DPDs'!AS73),"",'Master Submitted DPDs'!AS73)</f>
        <v/>
      </c>
      <c r="I751" s="3"/>
      <c r="J751" s="3"/>
      <c r="K751" s="3"/>
      <c r="L751" s="2">
        <f>IF(ISBLANK('Master Submitted DPDs'!J73),"",'Master Submitted DPDs'!J73)</f>
        <v>42514</v>
      </c>
      <c r="M751" s="2">
        <f t="shared" si="22"/>
        <v>42514</v>
      </c>
      <c r="N751" s="2">
        <f>IF(ISBLANK('Master Submitted DPDs'!M73),IF(ISBLANK('Master Submitted DPDs'!O73),"",'Master Submitted DPDs'!O73),'Master Submitted DPDs'!M73)</f>
        <v>42514</v>
      </c>
      <c r="O751" s="2">
        <f>IF(ISBLANK('Master Submitted DPDs'!Q73),"",'Master Submitted DPDs'!Q73)</f>
        <v>42621</v>
      </c>
      <c r="P751" s="2">
        <f>IF(ISBLANK('Master Submitted DPDs'!AO73),"",'Master Submitted DPDs'!AO73)</f>
        <v>42853</v>
      </c>
      <c r="Q751" t="str">
        <f>IF(ISBLANK('Master Submitted DPDs'!AU73),"",'Master Submitted DPDs'!AU73)</f>
        <v>SOU</v>
      </c>
      <c r="R751" t="str">
        <f t="shared" si="23"/>
        <v>Closed</v>
      </c>
      <c r="S751" s="3"/>
      <c r="T751">
        <f>IF(ISBLANK('Master Submitted DPDs'!G73),"",'Master Submitted DPDs'!G73)</f>
        <v>2</v>
      </c>
    </row>
    <row r="752" spans="1:20" ht="15" x14ac:dyDescent="0.2">
      <c r="A752" s="3" t="str">
        <f>IF(ISBLANK('Master Submitted DPDs'!#REF!),"","Local Plans")</f>
        <v>Local Plans</v>
      </c>
      <c r="B752" t="str">
        <f>IF(ISBLANK('Master Submitted DPDs'!F74),"",'Master Submitted DPDs'!F74)</f>
        <v>SA</v>
      </c>
      <c r="C752" s="3" t="str">
        <f>IF(ISBLANK('Master Submitted DPDs'!$B74),"","IH")</f>
        <v>IH</v>
      </c>
      <c r="D752" s="3" t="str">
        <f>LOOKUP($F752,'fuzzy LPA lookup'!$E:$E,'fuzzy LPA lookup'!$A:$A)</f>
        <v>B1930</v>
      </c>
      <c r="E752" s="3" t="str">
        <f>LOOKUP($F752,'fuzzy LPA lookup'!$E:$E,'fuzzy LPA lookup'!$D:$D)</f>
        <v>St Albans City Council</v>
      </c>
      <c r="F752" s="8">
        <f>IF(ISBLANK('Master Submitted DPDs'!B74),"",'Master Submitted DPDs'!B74)</f>
        <v>1736</v>
      </c>
      <c r="G752" t="str">
        <f>IF(ISBLANK('Master Submitted DPDs'!AS74),"","Withdrawn")</f>
        <v/>
      </c>
      <c r="H752" s="2" t="str">
        <f>IF(ISBLANK('Master Submitted DPDs'!AS74),"",'Master Submitted DPDs'!AS74)</f>
        <v/>
      </c>
      <c r="I752" s="3"/>
      <c r="J752" s="3"/>
      <c r="K752" s="3"/>
      <c r="L752" s="2">
        <f>IF(ISBLANK('Master Submitted DPDs'!J74),"",'Master Submitted DPDs'!J74)</f>
        <v>42514</v>
      </c>
      <c r="M752" s="2">
        <f t="shared" si="22"/>
        <v>42514</v>
      </c>
      <c r="N752" s="2">
        <f>IF(ISBLANK('Master Submitted DPDs'!M74),IF(ISBLANK('Master Submitted DPDs'!O74),"",'Master Submitted DPDs'!O74),'Master Submitted DPDs'!M74)</f>
        <v>42514</v>
      </c>
      <c r="O752" s="2">
        <f>IF(ISBLANK('Master Submitted DPDs'!Q74),"",'Master Submitted DPDs'!Q74)</f>
        <v>42621</v>
      </c>
      <c r="P752" s="2">
        <f>IF(ISBLANK('Master Submitted DPDs'!AO74),"",'Master Submitted DPDs'!AO74)</f>
        <v>42853</v>
      </c>
      <c r="Q752" t="str">
        <f>IF(ISBLANK('Master Submitted DPDs'!AU74),"",'Master Submitted DPDs'!AU74)</f>
        <v>SOU</v>
      </c>
      <c r="R752" t="str">
        <f t="shared" si="23"/>
        <v>Closed</v>
      </c>
      <c r="S752" s="3"/>
      <c r="T752">
        <f>IF(ISBLANK('Master Submitted DPDs'!G74),"",'Master Submitted DPDs'!G74)</f>
        <v>3</v>
      </c>
    </row>
    <row r="753" spans="1:20" ht="15" x14ac:dyDescent="0.2">
      <c r="A753" s="3" t="str">
        <f>IF(ISBLANK('Master Submitted DPDs'!#REF!),"","Local Plans")</f>
        <v>Local Plans</v>
      </c>
      <c r="B753" t="str">
        <f>IF(ISBLANK('Master Submitted DPDs'!F75),"",'Master Submitted DPDs'!F75)</f>
        <v>AAP</v>
      </c>
      <c r="C753" s="3" t="str">
        <f>IF(ISBLANK('Master Submitted DPDs'!$B75),"","IH")</f>
        <v>IH</v>
      </c>
      <c r="D753" s="3" t="str">
        <f>LOOKUP($F753,'fuzzy LPA lookup'!$E:$E,'fuzzy LPA lookup'!$A:$A)</f>
        <v>B1930</v>
      </c>
      <c r="E753" s="3" t="str">
        <f>LOOKUP($F753,'fuzzy LPA lookup'!$E:$E,'fuzzy LPA lookup'!$D:$D)</f>
        <v>St Albans City Council</v>
      </c>
      <c r="F753" s="8">
        <f>IF(ISBLANK('Master Submitted DPDs'!B75),"",'Master Submitted DPDs'!B75)</f>
        <v>1737</v>
      </c>
      <c r="G753" t="str">
        <f>IF(ISBLANK('Master Submitted DPDs'!AS75),"","Withdrawn")</f>
        <v/>
      </c>
      <c r="H753" s="2" t="str">
        <f>IF(ISBLANK('Master Submitted DPDs'!AS75),"",'Master Submitted DPDs'!AS75)</f>
        <v/>
      </c>
      <c r="I753" s="3"/>
      <c r="J753" s="3"/>
      <c r="K753" s="3"/>
      <c r="L753" s="2">
        <f>IF(ISBLANK('Master Submitted DPDs'!J75),"",'Master Submitted DPDs'!J75)</f>
        <v>42514</v>
      </c>
      <c r="M753" s="2">
        <f t="shared" si="22"/>
        <v>42514</v>
      </c>
      <c r="N753" s="2">
        <f>IF(ISBLANK('Master Submitted DPDs'!M75),IF(ISBLANK('Master Submitted DPDs'!O75),"",'Master Submitted DPDs'!O75),'Master Submitted DPDs'!M75)</f>
        <v>42514</v>
      </c>
      <c r="O753" s="2">
        <f>IF(ISBLANK('Master Submitted DPDs'!Q75),"",'Master Submitted DPDs'!Q75)</f>
        <v>42621</v>
      </c>
      <c r="P753" s="2">
        <f>IF(ISBLANK('Master Submitted DPDs'!AO75),"",'Master Submitted DPDs'!AO75)</f>
        <v>42853</v>
      </c>
      <c r="Q753" t="str">
        <f>IF(ISBLANK('Master Submitted DPDs'!AU75),"",'Master Submitted DPDs'!AU75)</f>
        <v>SOU</v>
      </c>
      <c r="R753" t="str">
        <f t="shared" si="23"/>
        <v>Closed</v>
      </c>
      <c r="S753" s="3"/>
      <c r="T753">
        <f>IF(ISBLANK('Master Submitted DPDs'!G75),"",'Master Submitted DPDs'!G75)</f>
        <v>2</v>
      </c>
    </row>
    <row r="754" spans="1:20" ht="15" x14ac:dyDescent="0.2">
      <c r="A754" s="3" t="str">
        <f>IF(ISBLANK('Master Submitted DPDs'!#REF!),"","Local Plans")</f>
        <v>Local Plans</v>
      </c>
      <c r="B754" t="str">
        <f>IF(ISBLANK('Master Submitted DPDs'!F76),"",'Master Submitted DPDs'!F76)</f>
        <v>M&amp;W</v>
      </c>
      <c r="C754" s="3" t="str">
        <f>IF(ISBLANK('Master Submitted DPDs'!$B76),"","IH")</f>
        <v>IH</v>
      </c>
      <c r="D754" s="3" t="str">
        <f>LOOKUP($F754,'fuzzy LPA lookup'!$E:$E,'fuzzy LPA lookup'!$A:$A)</f>
        <v>B1550</v>
      </c>
      <c r="E754" s="3" t="str">
        <f>LOOKUP($F754,'fuzzy LPA lookup'!$E:$E,'fuzzy LPA lookup'!$D:$D)</f>
        <v>Rochford District Council</v>
      </c>
      <c r="F754" s="8">
        <f>IF(ISBLANK('Master Submitted DPDs'!B76),"",'Master Submitted DPDs'!B76)</f>
        <v>822</v>
      </c>
      <c r="G754" t="str">
        <f>IF(ISBLANK('Master Submitted DPDs'!AS76),"","Withdrawn")</f>
        <v/>
      </c>
      <c r="H754" s="2" t="str">
        <f>IF(ISBLANK('Master Submitted DPDs'!AS76),"",'Master Submitted DPDs'!AS76)</f>
        <v/>
      </c>
      <c r="I754" s="3"/>
      <c r="J754" s="3"/>
      <c r="K754" s="3"/>
      <c r="L754" s="2">
        <f>IF(ISBLANK('Master Submitted DPDs'!J76),"",'Master Submitted DPDs'!J76)</f>
        <v>42531</v>
      </c>
      <c r="M754" s="2">
        <f t="shared" si="22"/>
        <v>42531</v>
      </c>
      <c r="N754" s="2">
        <f>IF(ISBLANK('Master Submitted DPDs'!M76),IF(ISBLANK('Master Submitted DPDs'!O76),"",'Master Submitted DPDs'!O76),'Master Submitted DPDs'!M76)</f>
        <v>42531</v>
      </c>
      <c r="O754" s="2">
        <f>IF(ISBLANK('Master Submitted DPDs'!Q76),"",'Master Submitted DPDs'!Q76)</f>
        <v>42650</v>
      </c>
      <c r="P754" s="2">
        <f>IF(ISBLANK('Master Submitted DPDs'!AO76),"",'Master Submitted DPDs'!AO76)</f>
        <v>42905</v>
      </c>
      <c r="Q754" t="str">
        <f>IF(ISBLANK('Master Submitted DPDs'!AU76),"",'Master Submitted DPDs'!AU76)</f>
        <v>SOU</v>
      </c>
      <c r="R754" t="str">
        <f t="shared" si="23"/>
        <v>Closed</v>
      </c>
      <c r="S754" s="3"/>
      <c r="T754">
        <f>IF(ISBLANK('Master Submitted DPDs'!G76),"",'Master Submitted DPDs'!G76)</f>
        <v>3</v>
      </c>
    </row>
    <row r="755" spans="1:20" ht="15" x14ac:dyDescent="0.2">
      <c r="A755" s="3" t="str">
        <f>IF(ISBLANK('Master Submitted DPDs'!#REF!),"","Local Plans")</f>
        <v>Local Plans</v>
      </c>
      <c r="B755" t="str">
        <f>IF(ISBLANK('Master Submitted DPDs'!F77),"",'Master Submitted DPDs'!F77)</f>
        <v>LP</v>
      </c>
      <c r="C755" s="3" t="str">
        <f>IF(ISBLANK('Master Submitted DPDs'!$B77),"","IH")</f>
        <v>IH</v>
      </c>
      <c r="D755" s="3" t="str">
        <f>LOOKUP($F755,'fuzzy LPA lookup'!$E:$E,'fuzzy LPA lookup'!$A:$A)</f>
        <v>L2250</v>
      </c>
      <c r="E755" s="3" t="str">
        <f>LOOKUP($F755,'fuzzy LPA lookup'!$E:$E,'fuzzy LPA lookup'!$D:$D)</f>
        <v>Shepway District Council</v>
      </c>
      <c r="F755" s="8">
        <f>IF(ISBLANK('Master Submitted DPDs'!B77),"",'Master Submitted DPDs'!B77)</f>
        <v>1585</v>
      </c>
      <c r="G755" t="str">
        <f>IF(ISBLANK('Master Submitted DPDs'!AS77),"","Withdrawn")</f>
        <v/>
      </c>
      <c r="H755" s="2" t="str">
        <f>IF(ISBLANK('Master Submitted DPDs'!AS77),"",'Master Submitted DPDs'!AS77)</f>
        <v/>
      </c>
      <c r="I755" s="3"/>
      <c r="J755" s="3"/>
      <c r="K755" s="3"/>
      <c r="L755" s="2">
        <f>IF(ISBLANK('Master Submitted DPDs'!J77),"",'Master Submitted DPDs'!J77)</f>
        <v>42531</v>
      </c>
      <c r="M755" s="2">
        <f t="shared" si="22"/>
        <v>42531</v>
      </c>
      <c r="N755" s="2">
        <f>IF(ISBLANK('Master Submitted DPDs'!M77),IF(ISBLANK('Master Submitted DPDs'!O77),"",'Master Submitted DPDs'!O77),'Master Submitted DPDs'!M77)</f>
        <v>42531</v>
      </c>
      <c r="O755" s="2">
        <f>IF(ISBLANK('Master Submitted DPDs'!Q77),"",'Master Submitted DPDs'!Q77)</f>
        <v>43117</v>
      </c>
      <c r="P755" s="2">
        <f>IF(ISBLANK('Master Submitted DPDs'!AO77),"",'Master Submitted DPDs'!AO77)</f>
        <v>43354</v>
      </c>
      <c r="Q755" t="str">
        <f>IF(ISBLANK('Master Submitted DPDs'!AU77),"",'Master Submitted DPDs'!AU77)</f>
        <v>SOU</v>
      </c>
      <c r="R755" t="str">
        <f t="shared" si="23"/>
        <v>Closed</v>
      </c>
      <c r="S755" s="3"/>
      <c r="T755">
        <f>IF(ISBLANK('Master Submitted DPDs'!G77),"",'Master Submitted DPDs'!G77)</f>
        <v>3</v>
      </c>
    </row>
    <row r="756" spans="1:20" ht="15" x14ac:dyDescent="0.2">
      <c r="A756" s="3" t="str">
        <f>IF(ISBLANK('Master Submitted DPDs'!#REF!),"","Local Plans")</f>
        <v>Local Plans</v>
      </c>
      <c r="B756" t="str">
        <f>IF(ISBLANK('Master Submitted DPDs'!F78),"",'Master Submitted DPDs'!F78)</f>
        <v>AAP</v>
      </c>
      <c r="C756" s="3" t="str">
        <f>IF(ISBLANK('Master Submitted DPDs'!$B78),"","IH")</f>
        <v>IH</v>
      </c>
      <c r="D756" s="3" t="str">
        <f>LOOKUP($F756,'fuzzy LPA lookup'!$E:$E,'fuzzy LPA lookup'!$A:$A)</f>
        <v>V4630</v>
      </c>
      <c r="E756" s="3" t="str">
        <f>LOOKUP($F756,'fuzzy LPA lookup'!$E:$E,'fuzzy LPA lookup'!$D:$D)</f>
        <v>Walsall Metropolitan Borough Council</v>
      </c>
      <c r="F756" s="8">
        <f>IF(ISBLANK('Master Submitted DPDs'!B78),"",'Master Submitted DPDs'!B78)</f>
        <v>1754</v>
      </c>
      <c r="G756" t="str">
        <f>IF(ISBLANK('Master Submitted DPDs'!AS78),"","Withdrawn")</f>
        <v/>
      </c>
      <c r="H756" s="2" t="str">
        <f>IF(ISBLANK('Master Submitted DPDs'!AS78),"",'Master Submitted DPDs'!AS78)</f>
        <v/>
      </c>
      <c r="I756" s="3"/>
      <c r="J756" s="3"/>
      <c r="K756" s="3"/>
      <c r="L756" s="2">
        <f>IF(ISBLANK('Master Submitted DPDs'!J78),"",'Master Submitted DPDs'!J78)</f>
        <v>42541</v>
      </c>
      <c r="M756" s="2">
        <f t="shared" si="22"/>
        <v>42541</v>
      </c>
      <c r="N756" s="2">
        <f>IF(ISBLANK('Master Submitted DPDs'!M78),IF(ISBLANK('Master Submitted DPDs'!O78),"",'Master Submitted DPDs'!O78),'Master Submitted DPDs'!M78)</f>
        <v>42542</v>
      </c>
      <c r="O756" s="2">
        <f>IF(ISBLANK('Master Submitted DPDs'!Q78),"",'Master Submitted DPDs'!Q78)</f>
        <v>42615</v>
      </c>
      <c r="P756" s="2">
        <f>IF(ISBLANK('Master Submitted DPDs'!AO78),"",'Master Submitted DPDs'!AO78)</f>
        <v>42751</v>
      </c>
      <c r="Q756" t="str">
        <f>IF(ISBLANK('Master Submitted DPDs'!AU78),"",'Master Submitted DPDs'!AU78)</f>
        <v>SOU</v>
      </c>
      <c r="R756" t="str">
        <f t="shared" si="23"/>
        <v>Closed</v>
      </c>
      <c r="S756" s="3"/>
      <c r="T756">
        <f>IF(ISBLANK('Master Submitted DPDs'!G78),"",'Master Submitted DPDs'!G78)</f>
        <v>2</v>
      </c>
    </row>
    <row r="757" spans="1:20" ht="15" x14ac:dyDescent="0.2">
      <c r="A757" s="3" t="str">
        <f>IF(ISBLANK('Master Submitted DPDs'!#REF!),"","Local Plans")</f>
        <v>Local Plans</v>
      </c>
      <c r="B757" t="str">
        <f>IF(ISBLANK('Master Submitted DPDs'!F79),"",'Master Submitted DPDs'!F79)</f>
        <v>SA</v>
      </c>
      <c r="C757" s="3" t="str">
        <f>IF(ISBLANK('Master Submitted DPDs'!$B79),"","IH")</f>
        <v>IH</v>
      </c>
      <c r="D757" s="3" t="str">
        <f>LOOKUP($F757,'fuzzy LPA lookup'!$E:$E,'fuzzy LPA lookup'!$A:$A)</f>
        <v>V4630</v>
      </c>
      <c r="E757" s="3" t="str">
        <f>LOOKUP($F757,'fuzzy LPA lookup'!$E:$E,'fuzzy LPA lookup'!$D:$D)</f>
        <v>Walsall Metropolitan Borough Council</v>
      </c>
      <c r="F757" s="8">
        <f>IF(ISBLANK('Master Submitted DPDs'!B79),"",'Master Submitted DPDs'!B79)</f>
        <v>1755</v>
      </c>
      <c r="G757" t="str">
        <f>IF(ISBLANK('Master Submitted DPDs'!AS79),"","Withdrawn")</f>
        <v/>
      </c>
      <c r="H757" s="2" t="str">
        <f>IF(ISBLANK('Master Submitted DPDs'!AS79),"",'Master Submitted DPDs'!AS79)</f>
        <v/>
      </c>
      <c r="I757" s="3"/>
      <c r="J757" s="3"/>
      <c r="K757" s="3"/>
      <c r="L757" s="2">
        <f>IF(ISBLANK('Master Submitted DPDs'!J79),"",'Master Submitted DPDs'!J79)</f>
        <v>42541</v>
      </c>
      <c r="M757" s="2">
        <f t="shared" si="22"/>
        <v>42541</v>
      </c>
      <c r="N757" s="2">
        <f>IF(ISBLANK('Master Submitted DPDs'!M79),IF(ISBLANK('Master Submitted DPDs'!O79),"",'Master Submitted DPDs'!O79),'Master Submitted DPDs'!M79)</f>
        <v>42542</v>
      </c>
      <c r="O757" s="2">
        <f>IF(ISBLANK('Master Submitted DPDs'!Q79),"",'Master Submitted DPDs'!Q79)</f>
        <v>42615</v>
      </c>
      <c r="P757" s="2">
        <f>IF(ISBLANK('Master Submitted DPDs'!AO79),"",'Master Submitted DPDs'!AO79)</f>
        <v>42751</v>
      </c>
      <c r="Q757" t="str">
        <f>IF(ISBLANK('Master Submitted DPDs'!AU79),"",'Master Submitted DPDs'!AU79)</f>
        <v>SOU</v>
      </c>
      <c r="R757" t="str">
        <f t="shared" si="23"/>
        <v>Closed</v>
      </c>
      <c r="S757" s="3"/>
      <c r="T757">
        <f>IF(ISBLANK('Master Submitted DPDs'!G79),"",'Master Submitted DPDs'!G79)</f>
        <v>3</v>
      </c>
    </row>
    <row r="758" spans="1:20" ht="15" x14ac:dyDescent="0.2">
      <c r="A758" s="3" t="str">
        <f>IF(ISBLANK('Master Submitted DPDs'!#REF!),"","Local Plans")</f>
        <v>Local Plans</v>
      </c>
      <c r="B758" t="str">
        <f>IF(ISBLANK('Master Submitted DPDs'!F80),"",'Master Submitted DPDs'!F80)</f>
        <v>DM</v>
      </c>
      <c r="C758" s="3" t="str">
        <f>IF(ISBLANK('Master Submitted DPDs'!$B80),"","IH")</f>
        <v>IH</v>
      </c>
      <c r="D758" s="3" t="str">
        <f>LOOKUP($F758,'fuzzy LPA lookup'!$E:$E,'fuzzy LPA lookup'!$A:$A)</f>
        <v>H1033</v>
      </c>
      <c r="E758" s="3" t="str">
        <f>LOOKUP($F758,'fuzzy LPA lookup'!$E:$E,'fuzzy LPA lookup'!$D:$D)</f>
        <v>High Peak Borough Council</v>
      </c>
      <c r="F758" s="8">
        <f>IF(ISBLANK('Master Submitted DPDs'!B80),"",'Master Submitted DPDs'!B80)</f>
        <v>1449</v>
      </c>
      <c r="G758" t="str">
        <f>IF(ISBLANK('Master Submitted DPDs'!AS80),"","Withdrawn")</f>
        <v/>
      </c>
      <c r="H758" s="2" t="str">
        <f>IF(ISBLANK('Master Submitted DPDs'!AS80),"",'Master Submitted DPDs'!AS80)</f>
        <v/>
      </c>
      <c r="I758" s="3"/>
      <c r="J758" s="3"/>
      <c r="K758" s="3"/>
      <c r="L758" s="2">
        <f>IF(ISBLANK('Master Submitted DPDs'!J80),"",'Master Submitted DPDs'!J80)</f>
        <v>42542</v>
      </c>
      <c r="M758" s="2">
        <f t="shared" si="22"/>
        <v>42542</v>
      </c>
      <c r="N758" s="2">
        <f>IF(ISBLANK('Master Submitted DPDs'!M80),IF(ISBLANK('Master Submitted DPDs'!O80),"",'Master Submitted DPDs'!O80),'Master Submitted DPDs'!M80)</f>
        <v>42543</v>
      </c>
      <c r="O758" s="2">
        <f>IF(ISBLANK('Master Submitted DPDs'!Q80),"",'Master Submitted DPDs'!Q80)</f>
        <v>42664</v>
      </c>
      <c r="P758" s="2">
        <f>IF(ISBLANK('Master Submitted DPDs'!AO80),"",'Master Submitted DPDs'!AO80)</f>
        <v>42916</v>
      </c>
      <c r="Q758" t="str">
        <f>IF(ISBLANK('Master Submitted DPDs'!AU80),"",'Master Submitted DPDs'!AU80)</f>
        <v>SOU</v>
      </c>
      <c r="R758" t="str">
        <f t="shared" si="23"/>
        <v>Closed</v>
      </c>
      <c r="S758" s="3"/>
      <c r="T758">
        <f>IF(ISBLANK('Master Submitted DPDs'!G80),"",'Master Submitted DPDs'!G80)</f>
        <v>2</v>
      </c>
    </row>
    <row r="759" spans="1:20" ht="15" x14ac:dyDescent="0.2">
      <c r="A759" s="3" t="str">
        <f>IF(ISBLANK('Master Submitted DPDs'!#REF!),"","Local Plans")</f>
        <v>Local Plans</v>
      </c>
      <c r="B759" t="str">
        <f>IF(ISBLANK('Master Submitted DPDs'!F81),"",'Master Submitted DPDs'!F81)</f>
        <v>LP</v>
      </c>
      <c r="C759" s="3" t="str">
        <f>IF(ISBLANK('Master Submitted DPDs'!$B81),"","IH")</f>
        <v>IH</v>
      </c>
      <c r="D759" s="3" t="str">
        <f>LOOKUP($F759,'fuzzy LPA lookup'!$E:$E,'fuzzy LPA lookup'!$A:$A)</f>
        <v>B1930</v>
      </c>
      <c r="E759" s="3" t="str">
        <f>LOOKUP($F759,'fuzzy LPA lookup'!$E:$E,'fuzzy LPA lookup'!$D:$D)</f>
        <v>St Albans City Council</v>
      </c>
      <c r="F759" s="8">
        <f>IF(ISBLANK('Master Submitted DPDs'!B81),"",'Master Submitted DPDs'!B81)</f>
        <v>1746</v>
      </c>
      <c r="G759" t="str">
        <f>IF(ISBLANK('Master Submitted DPDs'!AS81),"","Withdrawn")</f>
        <v/>
      </c>
      <c r="H759" s="2" t="str">
        <f>IF(ISBLANK('Master Submitted DPDs'!AS81),"",'Master Submitted DPDs'!AS81)</f>
        <v/>
      </c>
      <c r="I759" s="3"/>
      <c r="J759" s="3"/>
      <c r="K759" s="3"/>
      <c r="L759" s="2">
        <f>IF(ISBLANK('Master Submitted DPDs'!J81),"",'Master Submitted DPDs'!J81)</f>
        <v>42545</v>
      </c>
      <c r="M759" s="2">
        <f t="shared" si="22"/>
        <v>42545</v>
      </c>
      <c r="N759" s="2">
        <f>IF(ISBLANK('Master Submitted DPDs'!M81),IF(ISBLANK('Master Submitted DPDs'!O81),"",'Master Submitted DPDs'!O81),'Master Submitted DPDs'!M81)</f>
        <v>42545</v>
      </c>
      <c r="O759" s="2">
        <f>IF(ISBLANK('Master Submitted DPDs'!Q81),"",'Master Submitted DPDs'!Q81)</f>
        <v>42668</v>
      </c>
      <c r="P759" s="2">
        <f>IF(ISBLANK('Master Submitted DPDs'!AO81),"",'Master Submitted DPDs'!AO81)</f>
        <v>42865</v>
      </c>
      <c r="Q759" t="str">
        <f>IF(ISBLANK('Master Submitted DPDs'!AU81),"",'Master Submitted DPDs'!AU81)</f>
        <v>SOU</v>
      </c>
      <c r="R759" t="str">
        <f t="shared" si="23"/>
        <v>Closed</v>
      </c>
      <c r="S759" s="3"/>
      <c r="T759">
        <f>IF(ISBLANK('Master Submitted DPDs'!G81),"",'Master Submitted DPDs'!G81)</f>
        <v>3</v>
      </c>
    </row>
    <row r="760" spans="1:20" ht="15" x14ac:dyDescent="0.2">
      <c r="A760" s="3" t="str">
        <f>IF(ISBLANK('Master Submitted DPDs'!#REF!),"","Local Plans")</f>
        <v>Local Plans</v>
      </c>
      <c r="B760" t="str">
        <f>IF(ISBLANK('Master Submitted DPDs'!F82),"",'Master Submitted DPDs'!F82)</f>
        <v>LP</v>
      </c>
      <c r="C760" s="3" t="str">
        <f>IF(ISBLANK('Master Submitted DPDs'!$B82),"","IH")</f>
        <v>IH</v>
      </c>
      <c r="D760" s="3" t="str">
        <f>LOOKUP($F760,'fuzzy LPA lookup'!$E:$E,'fuzzy LPA lookup'!$A:$A)</f>
        <v>V4630</v>
      </c>
      <c r="E760" s="3" t="str">
        <f>LOOKUP($F760,'fuzzy LPA lookup'!$E:$E,'fuzzy LPA lookup'!$D:$D)</f>
        <v>Walsall Metropolitan Borough Council</v>
      </c>
      <c r="F760" s="8">
        <f>IF(ISBLANK('Master Submitted DPDs'!B82),"",'Master Submitted DPDs'!B82)</f>
        <v>1753</v>
      </c>
      <c r="G760" t="str">
        <f>IF(ISBLANK('Master Submitted DPDs'!AS82),"","Withdrawn")</f>
        <v/>
      </c>
      <c r="H760" s="2" t="str">
        <f>IF(ISBLANK('Master Submitted DPDs'!AS82),"",'Master Submitted DPDs'!AS82)</f>
        <v/>
      </c>
      <c r="I760" s="3"/>
      <c r="J760" s="3"/>
      <c r="K760" s="3"/>
      <c r="L760" s="2">
        <f>IF(ISBLANK('Master Submitted DPDs'!J82),"",'Master Submitted DPDs'!J82)</f>
        <v>42551</v>
      </c>
      <c r="M760" s="2">
        <f t="shared" si="22"/>
        <v>42551</v>
      </c>
      <c r="N760" s="2">
        <f>IF(ISBLANK('Master Submitted DPDs'!M82),IF(ISBLANK('Master Submitted DPDs'!O82),"",'Master Submitted DPDs'!O82),'Master Submitted DPDs'!M82)</f>
        <v>42552</v>
      </c>
      <c r="O760" s="2">
        <f>IF(ISBLANK('Master Submitted DPDs'!Q82),"",'Master Submitted DPDs'!Q82)</f>
        <v>42718</v>
      </c>
      <c r="P760" s="2">
        <f>IF(ISBLANK('Master Submitted DPDs'!AO82),"",'Master Submitted DPDs'!AO82)</f>
        <v>42835</v>
      </c>
      <c r="Q760" t="str">
        <f>IF(ISBLANK('Master Submitted DPDs'!AU82),"",'Master Submitted DPDs'!AU82)</f>
        <v>SOU</v>
      </c>
      <c r="R760" t="str">
        <f t="shared" si="23"/>
        <v>Closed</v>
      </c>
      <c r="S760" s="3"/>
      <c r="T760">
        <f>IF(ISBLANK('Master Submitted DPDs'!G82),"",'Master Submitted DPDs'!G82)</f>
        <v>3</v>
      </c>
    </row>
    <row r="761" spans="1:20" ht="15" x14ac:dyDescent="0.2">
      <c r="A761" s="3" t="str">
        <f>IF(ISBLANK('Master Submitted DPDs'!#REF!),"","Local Plans")</f>
        <v>Local Plans</v>
      </c>
      <c r="B761" t="str">
        <f>IF(ISBLANK('Master Submitted DPDs'!F83),"",'Master Submitted DPDs'!F83)</f>
        <v>LP</v>
      </c>
      <c r="C761" s="3" t="str">
        <f>IF(ISBLANK('Master Submitted DPDs'!$B83),"","IH")</f>
        <v>IH</v>
      </c>
      <c r="D761" s="3" t="str">
        <f>LOOKUP($F761,'fuzzy LPA lookup'!$E:$E,'fuzzy LPA lookup'!$A:$A)</f>
        <v>A4520</v>
      </c>
      <c r="E761" s="3" t="str">
        <f>LOOKUP($F761,'fuzzy LPA lookup'!$E:$E,'fuzzy LPA lookup'!$D:$D)</f>
        <v>South Tyneside Council</v>
      </c>
      <c r="F761" s="8">
        <f>IF(ISBLANK('Master Submitted DPDs'!B83),"",'Master Submitted DPDs'!B83)</f>
        <v>1510</v>
      </c>
      <c r="G761" t="str">
        <f>IF(ISBLANK('Master Submitted DPDs'!AS83),"","Withdrawn")</f>
        <v/>
      </c>
      <c r="H761" s="2" t="str">
        <f>IF(ISBLANK('Master Submitted DPDs'!AS83),"",'Master Submitted DPDs'!AS83)</f>
        <v/>
      </c>
      <c r="I761" s="3"/>
      <c r="J761" s="3"/>
      <c r="K761" s="3"/>
      <c r="L761" s="2">
        <f>IF(ISBLANK('Master Submitted DPDs'!J83),"",'Master Submitted DPDs'!J83)</f>
        <v>42551</v>
      </c>
      <c r="M761" s="2">
        <f t="shared" si="22"/>
        <v>42551</v>
      </c>
      <c r="N761" s="2">
        <f>IF(ISBLANK('Master Submitted DPDs'!M83),IF(ISBLANK('Master Submitted DPDs'!O83),"",'Master Submitted DPDs'!O83),'Master Submitted DPDs'!M83)</f>
        <v>42552</v>
      </c>
      <c r="O761" s="2">
        <f>IF(ISBLANK('Master Submitted DPDs'!Q83),"",'Master Submitted DPDs'!Q83)</f>
        <v>42711</v>
      </c>
      <c r="P761" s="2">
        <f>IF(ISBLANK('Master Submitted DPDs'!AO83),"",'Master Submitted DPDs'!AO83)</f>
        <v>42864</v>
      </c>
      <c r="Q761" t="str">
        <f>IF(ISBLANK('Master Submitted DPDs'!AU83),"",'Master Submitted DPDs'!AU83)</f>
        <v>SOU</v>
      </c>
      <c r="R761" t="str">
        <f t="shared" si="23"/>
        <v>Closed</v>
      </c>
      <c r="S761" s="3"/>
      <c r="T761">
        <f>IF(ISBLANK('Master Submitted DPDs'!G83),"",'Master Submitted DPDs'!G83)</f>
        <v>3</v>
      </c>
    </row>
    <row r="762" spans="1:20" ht="15" x14ac:dyDescent="0.2">
      <c r="A762" s="3" t="str">
        <f>IF(ISBLANK('Master Submitted DPDs'!#REF!),"","Local Plans")</f>
        <v>Local Plans</v>
      </c>
      <c r="B762" t="str">
        <f>IF(ISBLANK('Master Submitted DPDs'!F84),"",'Master Submitted DPDs'!F84)</f>
        <v>LP</v>
      </c>
      <c r="C762" s="3" t="str">
        <f>IF(ISBLANK('Master Submitted DPDs'!$B84),"","IH")</f>
        <v>IH</v>
      </c>
      <c r="D762" s="3" t="str">
        <f>LOOKUP($F762,'fuzzy LPA lookup'!$E:$E,'fuzzy LPA lookup'!$A:$A)</f>
        <v>B1930</v>
      </c>
      <c r="E762" s="3" t="str">
        <f>LOOKUP($F762,'fuzzy LPA lookup'!$E:$E,'fuzzy LPA lookup'!$D:$D)</f>
        <v>St Albans City Council</v>
      </c>
      <c r="F762" s="8">
        <f>IF(ISBLANK('Master Submitted DPDs'!B84),"",'Master Submitted DPDs'!B84)</f>
        <v>1740</v>
      </c>
      <c r="G762" t="str">
        <f>IF(ISBLANK('Master Submitted DPDs'!AS84),"","Withdrawn")</f>
        <v/>
      </c>
      <c r="H762" s="2" t="str">
        <f>IF(ISBLANK('Master Submitted DPDs'!AS84),"",'Master Submitted DPDs'!AS84)</f>
        <v/>
      </c>
      <c r="I762" s="3"/>
      <c r="J762" s="3"/>
      <c r="K762" s="3"/>
      <c r="L762" s="2">
        <f>IF(ISBLANK('Master Submitted DPDs'!J84),"",'Master Submitted DPDs'!J84)</f>
        <v>42551</v>
      </c>
      <c r="M762" s="2">
        <f t="shared" si="22"/>
        <v>42551</v>
      </c>
      <c r="N762" s="2">
        <f>IF(ISBLANK('Master Submitted DPDs'!M84),IF(ISBLANK('Master Submitted DPDs'!O84),"",'Master Submitted DPDs'!O84),'Master Submitted DPDs'!M84)</f>
        <v>42551</v>
      </c>
      <c r="O762" s="2">
        <f>IF(ISBLANK('Master Submitted DPDs'!Q84),"",'Master Submitted DPDs'!Q84)</f>
        <v>42776</v>
      </c>
      <c r="P762" s="2">
        <f>IF(ISBLANK('Master Submitted DPDs'!AO84),"",'Master Submitted DPDs'!AO84)</f>
        <v>43045</v>
      </c>
      <c r="Q762" t="str">
        <f>IF(ISBLANK('Master Submitted DPDs'!AU84),"",'Master Submitted DPDs'!AU84)</f>
        <v>SOU</v>
      </c>
      <c r="R762" t="str">
        <f t="shared" si="23"/>
        <v>Closed</v>
      </c>
      <c r="S762" s="3"/>
      <c r="T762">
        <f>IF(ISBLANK('Master Submitted DPDs'!G84),"",'Master Submitted DPDs'!G84)</f>
        <v>3</v>
      </c>
    </row>
    <row r="763" spans="1:20" ht="15" x14ac:dyDescent="0.2">
      <c r="A763" s="3" t="str">
        <f>IF(ISBLANK('Master Submitted DPDs'!#REF!),"","Local Plans")</f>
        <v>Local Plans</v>
      </c>
      <c r="B763" t="str">
        <f>IF(ISBLANK('Master Submitted DPDs'!F85),"",'Master Submitted DPDs'!F85)</f>
        <v>LP</v>
      </c>
      <c r="C763" s="3" t="str">
        <f>IF(ISBLANK('Master Submitted DPDs'!$B85),"","IH")</f>
        <v>IH</v>
      </c>
      <c r="D763" s="3" t="str">
        <f>LOOKUP($F763,'fuzzy LPA lookup'!$E:$E,'fuzzy LPA lookup'!$A:$A)</f>
        <v>B1740</v>
      </c>
      <c r="E763" s="3" t="str">
        <f>LOOKUP($F763,'fuzzy LPA lookup'!$E:$E,'fuzzy LPA lookup'!$D:$D)</f>
        <v>New Forest District Council</v>
      </c>
      <c r="F763" s="8">
        <f>IF(ISBLANK('Master Submitted DPDs'!B85),"",'Master Submitted DPDs'!B85)</f>
        <v>844</v>
      </c>
      <c r="G763" t="str">
        <f>IF(ISBLANK('Master Submitted DPDs'!AS85),"","Withdrawn")</f>
        <v/>
      </c>
      <c r="H763" s="2" t="str">
        <f>IF(ISBLANK('Master Submitted DPDs'!AS85),"",'Master Submitted DPDs'!AS85)</f>
        <v/>
      </c>
      <c r="I763" s="3"/>
      <c r="J763" s="3"/>
      <c r="K763" s="3"/>
      <c r="L763" s="2">
        <f>IF(ISBLANK('Master Submitted DPDs'!J85),"",'Master Submitted DPDs'!J85)</f>
        <v>42573</v>
      </c>
      <c r="M763" s="2">
        <f t="shared" si="22"/>
        <v>42573</v>
      </c>
      <c r="N763" s="2">
        <f>IF(ISBLANK('Master Submitted DPDs'!M85),IF(ISBLANK('Master Submitted DPDs'!O85),"",'Master Submitted DPDs'!O85),'Master Submitted DPDs'!M85)</f>
        <v>42573</v>
      </c>
      <c r="O763" s="2">
        <f>IF(ISBLANK('Master Submitted DPDs'!Q85),"",'Master Submitted DPDs'!Q85)</f>
        <v>42825</v>
      </c>
      <c r="P763" s="2">
        <f>IF(ISBLANK('Master Submitted DPDs'!AO85),"",'Master Submitted DPDs'!AO85)</f>
        <v>43026</v>
      </c>
      <c r="Q763" t="str">
        <f>IF(ISBLANK('Master Submitted DPDs'!AU85),"",'Master Submitted DPDs'!AU85)</f>
        <v>SOU</v>
      </c>
      <c r="R763" t="str">
        <f t="shared" si="23"/>
        <v>Closed</v>
      </c>
      <c r="S763" s="3"/>
      <c r="T763">
        <f>IF(ISBLANK('Master Submitted DPDs'!G85),"",'Master Submitted DPDs'!G85)</f>
        <v>3</v>
      </c>
    </row>
    <row r="764" spans="1:20" ht="15" x14ac:dyDescent="0.2">
      <c r="A764" s="3" t="str">
        <f>IF(ISBLANK('Master Submitted DPDs'!#REF!),"","Local Plans")</f>
        <v>Local Plans</v>
      </c>
      <c r="B764" t="str">
        <f>IF(ISBLANK('Master Submitted DPDs'!F86),"",'Master Submitted DPDs'!F86)</f>
        <v>LP</v>
      </c>
      <c r="C764" s="3" t="str">
        <f>IF(ISBLANK('Master Submitted DPDs'!$B86),"","IH")</f>
        <v>IH</v>
      </c>
      <c r="D764" s="3" t="str">
        <f>LOOKUP($F764,'fuzzy LPA lookup'!$E:$E,'fuzzy LPA lookup'!$A:$A)</f>
        <v>B1930</v>
      </c>
      <c r="E764" s="3" t="str">
        <f>LOOKUP($F764,'fuzzy LPA lookup'!$E:$E,'fuzzy LPA lookup'!$D:$D)</f>
        <v>St Albans City Council</v>
      </c>
      <c r="F764" s="8">
        <f>IF(ISBLANK('Master Submitted DPDs'!B86),"",'Master Submitted DPDs'!B86)</f>
        <v>1732</v>
      </c>
      <c r="G764" t="str">
        <f>IF(ISBLANK('Master Submitted DPDs'!AS86),"","Withdrawn")</f>
        <v>Withdrawn</v>
      </c>
      <c r="H764" s="2">
        <f>IF(ISBLANK('Master Submitted DPDs'!AS86),"",'Master Submitted DPDs'!AS86)</f>
        <v>43105</v>
      </c>
      <c r="I764" s="3"/>
      <c r="J764" s="3"/>
      <c r="K764" s="3"/>
      <c r="L764" s="2">
        <f>IF(ISBLANK('Master Submitted DPDs'!J86),"",'Master Submitted DPDs'!J86)</f>
        <v>42584</v>
      </c>
      <c r="M764" s="2">
        <f t="shared" si="22"/>
        <v>42584</v>
      </c>
      <c r="N764" s="2">
        <f>IF(ISBLANK('Master Submitted DPDs'!M86),IF(ISBLANK('Master Submitted DPDs'!O86),"",'Master Submitted DPDs'!O86),'Master Submitted DPDs'!M86)</f>
        <v>42585</v>
      </c>
      <c r="O764" s="2" t="str">
        <f>IF(ISBLANK('Master Submitted DPDs'!Q86),"",'Master Submitted DPDs'!Q86)</f>
        <v/>
      </c>
      <c r="P764" s="2" t="str">
        <f>IF(ISBLANK('Master Submitted DPDs'!AO86),"",'Master Submitted DPDs'!AO86)</f>
        <v/>
      </c>
      <c r="Q764" t="str">
        <f>IF(ISBLANK('Master Submitted DPDs'!AU86),"",'Master Submitted DPDs'!AU86)</f>
        <v>DPDW</v>
      </c>
      <c r="R764" t="str">
        <f t="shared" si="23"/>
        <v>Closed</v>
      </c>
      <c r="S764" s="3"/>
      <c r="T764">
        <f>IF(ISBLANK('Master Submitted DPDs'!G86),"",'Master Submitted DPDs'!G86)</f>
        <v>3</v>
      </c>
    </row>
    <row r="765" spans="1:20" ht="15" x14ac:dyDescent="0.2">
      <c r="A765" s="3" t="str">
        <f>IF(ISBLANK('Master Submitted DPDs'!#REF!),"","Local Plans")</f>
        <v>Local Plans</v>
      </c>
      <c r="B765" t="str">
        <f>IF(ISBLANK('Master Submitted DPDs'!F87),"",'Master Submitted DPDs'!F87)</f>
        <v>LP</v>
      </c>
      <c r="C765" s="3" t="str">
        <f>IF(ISBLANK('Master Submitted DPDs'!$B87),"","IH")</f>
        <v>IH</v>
      </c>
      <c r="D765" s="3" t="str">
        <f>LOOKUP($F765,'fuzzy LPA lookup'!$E:$E,'fuzzy LPA lookup'!$A:$A)</f>
        <v>Z1775</v>
      </c>
      <c r="E765" s="3" t="str">
        <f>LOOKUP($F765,'fuzzy LPA lookup'!$E:$E,'fuzzy LPA lookup'!$D:$D)</f>
        <v>Portsmouth City Council</v>
      </c>
      <c r="F765" s="8">
        <f>IF(ISBLANK('Master Submitted DPDs'!B87),"",'Master Submitted DPDs'!B87)</f>
        <v>1676</v>
      </c>
      <c r="G765" t="str">
        <f>IF(ISBLANK('Master Submitted DPDs'!AS87),"","Withdrawn")</f>
        <v/>
      </c>
      <c r="H765" s="2" t="str">
        <f>IF(ISBLANK('Master Submitted DPDs'!AS87),"",'Master Submitted DPDs'!AS87)</f>
        <v/>
      </c>
      <c r="I765" s="3"/>
      <c r="J765" s="3"/>
      <c r="K765" s="3"/>
      <c r="L765" s="2">
        <f>IF(ISBLANK('Master Submitted DPDs'!J87),"",'Master Submitted DPDs'!J87)</f>
        <v>42599</v>
      </c>
      <c r="M765" s="2">
        <f t="shared" si="22"/>
        <v>42599</v>
      </c>
      <c r="N765" s="2">
        <f>IF(ISBLANK('Master Submitted DPDs'!M87),IF(ISBLANK('Master Submitted DPDs'!O87),"",'Master Submitted DPDs'!O87),'Master Submitted DPDs'!M87)</f>
        <v>42597</v>
      </c>
      <c r="O765" s="2">
        <f>IF(ISBLANK('Master Submitted DPDs'!Q87),"",'Master Submitted DPDs'!Q87)</f>
        <v>43136</v>
      </c>
      <c r="P765" s="2">
        <f>IF(ISBLANK('Master Submitted DPDs'!AO87),"",'Master Submitted DPDs'!AO87)</f>
        <v>43171</v>
      </c>
      <c r="Q765" t="str">
        <f>IF(ISBLANK('Master Submitted DPDs'!AU87),"",'Master Submitted DPDs'!AU87)</f>
        <v>SOU</v>
      </c>
      <c r="R765" t="str">
        <f t="shared" si="23"/>
        <v>Closed</v>
      </c>
      <c r="S765" s="3"/>
      <c r="T765">
        <f>IF(ISBLANK('Master Submitted DPDs'!G87),"",'Master Submitted DPDs'!G87)</f>
        <v>3</v>
      </c>
    </row>
    <row r="766" spans="1:20" ht="15" x14ac:dyDescent="0.2">
      <c r="A766" s="3" t="str">
        <f>IF(ISBLANK('Master Submitted DPDs'!#REF!),"","Local Plans")</f>
        <v>Local Plans</v>
      </c>
      <c r="B766" t="str">
        <f>IF(ISBLANK('Master Submitted DPDs'!F88),"",'Master Submitted DPDs'!F88)</f>
        <v>M&amp;W</v>
      </c>
      <c r="C766" s="3" t="str">
        <f>IF(ISBLANK('Master Submitted DPDs'!$B88),"","IH")</f>
        <v>IH</v>
      </c>
      <c r="D766" s="3" t="str">
        <f>LOOKUP($F766,'fuzzy LPA lookup'!$E:$E,'fuzzy LPA lookup'!$A:$A)</f>
        <v>V4630</v>
      </c>
      <c r="E766" s="3" t="str">
        <f>LOOKUP($F766,'fuzzy LPA lookup'!$E:$E,'fuzzy LPA lookup'!$D:$D)</f>
        <v>Walsall Metropolitan Borough Council</v>
      </c>
      <c r="F766" s="8">
        <f>IF(ISBLANK('Master Submitted DPDs'!B88),"",'Master Submitted DPDs'!B88)</f>
        <v>1762</v>
      </c>
      <c r="G766" t="str">
        <f>IF(ISBLANK('Master Submitted DPDs'!AS88),"","Withdrawn")</f>
        <v/>
      </c>
      <c r="H766" s="2" t="str">
        <f>IF(ISBLANK('Master Submitted DPDs'!AS88),"",'Master Submitted DPDs'!AS88)</f>
        <v/>
      </c>
      <c r="I766" s="3"/>
      <c r="J766" s="3"/>
      <c r="K766" s="3"/>
      <c r="L766" s="2">
        <f>IF(ISBLANK('Master Submitted DPDs'!J88),"",'Master Submitted DPDs'!J88)</f>
        <v>42600</v>
      </c>
      <c r="M766" s="2">
        <f t="shared" si="22"/>
        <v>42600</v>
      </c>
      <c r="N766" s="2">
        <f>IF(ISBLANK('Master Submitted DPDs'!M88),IF(ISBLANK('Master Submitted DPDs'!O88),"",'Master Submitted DPDs'!O88),'Master Submitted DPDs'!M88)</f>
        <v>42601</v>
      </c>
      <c r="O766" s="2">
        <f>IF(ISBLANK('Master Submitted DPDs'!Q88),"",'Master Submitted DPDs'!Q88)</f>
        <v>42704</v>
      </c>
      <c r="P766" s="2">
        <f>IF(ISBLANK('Master Submitted DPDs'!AO88),"",'Master Submitted DPDs'!AO88)</f>
        <v>42823</v>
      </c>
      <c r="Q766" t="str">
        <f>IF(ISBLANK('Master Submitted DPDs'!AU88),"",'Master Submitted DPDs'!AU88)</f>
        <v>SOU</v>
      </c>
      <c r="R766" t="str">
        <f t="shared" si="23"/>
        <v>Closed</v>
      </c>
      <c r="S766" s="3"/>
      <c r="T766">
        <f>IF(ISBLANK('Master Submitted DPDs'!G88),"",'Master Submitted DPDs'!G88)</f>
        <v>2</v>
      </c>
    </row>
    <row r="767" spans="1:20" ht="15" x14ac:dyDescent="0.2">
      <c r="A767" s="3" t="str">
        <f>IF(ISBLANK('Master Submitted DPDs'!#REF!),"","Local Plans")</f>
        <v>Local Plans</v>
      </c>
      <c r="B767" t="str">
        <f>IF(ISBLANK('Master Submitted DPDs'!F89),"",'Master Submitted DPDs'!F89)</f>
        <v>LP</v>
      </c>
      <c r="C767" s="3" t="str">
        <f>IF(ISBLANK('Master Submitted DPDs'!$B89),"","IH")</f>
        <v>IH</v>
      </c>
      <c r="D767" s="3" t="str">
        <f>LOOKUP($F767,'fuzzy LPA lookup'!$E:$E,'fuzzy LPA lookup'!$A:$A)</f>
        <v>V4630</v>
      </c>
      <c r="E767" s="3" t="str">
        <f>LOOKUP($F767,'fuzzy LPA lookup'!$E:$E,'fuzzy LPA lookup'!$D:$D)</f>
        <v>Walsall Metropolitan Borough Council</v>
      </c>
      <c r="F767" s="8">
        <f>IF(ISBLANK('Master Submitted DPDs'!B89),"",'Master Submitted DPDs'!B89)</f>
        <v>1757</v>
      </c>
      <c r="G767" t="str">
        <f>IF(ISBLANK('Master Submitted DPDs'!AS89),"","Withdrawn")</f>
        <v/>
      </c>
      <c r="H767" s="2" t="str">
        <f>IF(ISBLANK('Master Submitted DPDs'!AS89),"",'Master Submitted DPDs'!AS89)</f>
        <v/>
      </c>
      <c r="I767" s="3"/>
      <c r="J767" s="3"/>
      <c r="K767" s="3"/>
      <c r="L767" s="2">
        <f>IF(ISBLANK('Master Submitted DPDs'!J89),"",'Master Submitted DPDs'!J89)</f>
        <v>42607</v>
      </c>
      <c r="M767" s="2">
        <f t="shared" si="22"/>
        <v>42607</v>
      </c>
      <c r="N767" s="2">
        <f>IF(ISBLANK('Master Submitted DPDs'!M89),IF(ISBLANK('Master Submitted DPDs'!O89),"",'Master Submitted DPDs'!O89),'Master Submitted DPDs'!M89)</f>
        <v>42607</v>
      </c>
      <c r="O767" s="2">
        <f>IF(ISBLANK('Master Submitted DPDs'!Q89),"",'Master Submitted DPDs'!Q89)</f>
        <v>42716</v>
      </c>
      <c r="P767" s="2">
        <f>IF(ISBLANK('Master Submitted DPDs'!AO89),"",'Master Submitted DPDs'!AO89)</f>
        <v>42804</v>
      </c>
      <c r="Q767" t="str">
        <f>IF(ISBLANK('Master Submitted DPDs'!AU89),"",'Master Submitted DPDs'!AU89)</f>
        <v>UNS</v>
      </c>
      <c r="R767" t="str">
        <f t="shared" si="23"/>
        <v>Closed</v>
      </c>
      <c r="S767" s="3"/>
      <c r="T767">
        <f>IF(ISBLANK('Master Submitted DPDs'!G89),"",'Master Submitted DPDs'!G89)</f>
        <v>3</v>
      </c>
    </row>
    <row r="768" spans="1:20" ht="15" x14ac:dyDescent="0.2">
      <c r="A768" s="3" t="str">
        <f>IF(ISBLANK('Master Submitted DPDs'!#REF!),"","Local Plans")</f>
        <v>Local Plans</v>
      </c>
      <c r="B768" t="str">
        <f>IF(ISBLANK('Master Submitted DPDs'!F90),"",'Master Submitted DPDs'!F90)</f>
        <v>M&amp;W</v>
      </c>
      <c r="C768" s="3" t="str">
        <f>IF(ISBLANK('Master Submitted DPDs'!$B90),"","IH")</f>
        <v>IH</v>
      </c>
      <c r="D768" s="3" t="str">
        <f>LOOKUP($F768,'fuzzy LPA lookup'!$E:$E,'fuzzy LPA lookup'!$A:$A)</f>
        <v>V4630</v>
      </c>
      <c r="E768" s="3" t="str">
        <f>LOOKUP($F768,'fuzzy LPA lookup'!$E:$E,'fuzzy LPA lookup'!$D:$D)</f>
        <v>Walsall Metropolitan Borough Council</v>
      </c>
      <c r="F768" s="8">
        <f>IF(ISBLANK('Master Submitted DPDs'!B90),"",'Master Submitted DPDs'!B90)</f>
        <v>1761</v>
      </c>
      <c r="G768" t="str">
        <f>IF(ISBLANK('Master Submitted DPDs'!AS90),"","Withdrawn")</f>
        <v/>
      </c>
      <c r="H768" s="2" t="str">
        <f>IF(ISBLANK('Master Submitted DPDs'!AS90),"",'Master Submitted DPDs'!AS90)</f>
        <v/>
      </c>
      <c r="I768" s="3"/>
      <c r="J768" s="3"/>
      <c r="K768" s="3"/>
      <c r="L768" s="2">
        <f>IF(ISBLANK('Master Submitted DPDs'!J90),"",'Master Submitted DPDs'!J90)</f>
        <v>42621</v>
      </c>
      <c r="M768" s="2">
        <f t="shared" si="22"/>
        <v>42621</v>
      </c>
      <c r="N768" s="2">
        <f>IF(ISBLANK('Master Submitted DPDs'!M90),IF(ISBLANK('Master Submitted DPDs'!O90),"",'Master Submitted DPDs'!O90),'Master Submitted DPDs'!M90)</f>
        <v>42622</v>
      </c>
      <c r="O768" s="2">
        <f>IF(ISBLANK('Master Submitted DPDs'!Q90),"",'Master Submitted DPDs'!Q90)</f>
        <v>42718</v>
      </c>
      <c r="P768" s="2">
        <f>IF(ISBLANK('Master Submitted DPDs'!AO90),"",'Master Submitted DPDs'!AO90)</f>
        <v>42915</v>
      </c>
      <c r="Q768" t="str">
        <f>IF(ISBLANK('Master Submitted DPDs'!AU90),"",'Master Submitted DPDs'!AU90)</f>
        <v>SOU</v>
      </c>
      <c r="R768" t="str">
        <f t="shared" si="23"/>
        <v>Closed</v>
      </c>
      <c r="S768" s="3"/>
      <c r="T768">
        <f>IF(ISBLANK('Master Submitted DPDs'!G90),"",'Master Submitted DPDs'!G90)</f>
        <v>3</v>
      </c>
    </row>
    <row r="769" spans="1:20" ht="15" x14ac:dyDescent="0.2">
      <c r="A769" s="3" t="str">
        <f>IF(ISBLANK('Master Submitted DPDs'!#REF!),"","Local Plans")</f>
        <v>Local Plans</v>
      </c>
      <c r="B769" t="str">
        <f>IF(ISBLANK('Master Submitted DPDs'!F91),"",'Master Submitted DPDs'!F91)</f>
        <v>Other</v>
      </c>
      <c r="C769" s="3" t="str">
        <f>IF(ISBLANK('Master Submitted DPDs'!$B91),"","IH")</f>
        <v>IH</v>
      </c>
      <c r="D769" s="3" t="str">
        <f>LOOKUP($F769,'fuzzy LPA lookup'!$E:$E,'fuzzy LPA lookup'!$A:$A)</f>
        <v>N3020</v>
      </c>
      <c r="E769" s="3" t="str">
        <f>LOOKUP($F769,'fuzzy LPA lookup'!$E:$E,'fuzzy LPA lookup'!$D:$D)</f>
        <v>Gedling Borough Council</v>
      </c>
      <c r="F769" s="8">
        <f>IF(ISBLANK('Master Submitted DPDs'!B91),"",'Master Submitted DPDs'!B91)</f>
        <v>1771</v>
      </c>
      <c r="G769" t="str">
        <f>IF(ISBLANK('Master Submitted DPDs'!AS91),"","Withdrawn")</f>
        <v/>
      </c>
      <c r="H769" s="2" t="str">
        <f>IF(ISBLANK('Master Submitted DPDs'!AS91),"",'Master Submitted DPDs'!AS91)</f>
        <v/>
      </c>
      <c r="I769" s="3"/>
      <c r="J769" s="3"/>
      <c r="K769" s="3"/>
      <c r="L769" s="2">
        <f>IF(ISBLANK('Master Submitted DPDs'!J91),"",'Master Submitted DPDs'!J91)</f>
        <v>42636</v>
      </c>
      <c r="M769" s="2">
        <f t="shared" si="22"/>
        <v>42636</v>
      </c>
      <c r="N769" s="2">
        <f>IF(ISBLANK('Master Submitted DPDs'!M91),IF(ISBLANK('Master Submitted DPDs'!O91),"",'Master Submitted DPDs'!O91),'Master Submitted DPDs'!M91)</f>
        <v>42636</v>
      </c>
      <c r="O769" s="2">
        <f>IF(ISBLANK('Master Submitted DPDs'!Q91),"",'Master Submitted DPDs'!Q91)</f>
        <v>42754</v>
      </c>
      <c r="P769" s="2">
        <f>IF(ISBLANK('Master Submitted DPDs'!AO91),"",'Master Submitted DPDs'!AO91)</f>
        <v>42914</v>
      </c>
      <c r="Q769" t="str">
        <f>IF(ISBLANK('Master Submitted DPDs'!AU91),"",'Master Submitted DPDs'!AU91)</f>
        <v>SOU</v>
      </c>
      <c r="R769" t="str">
        <f t="shared" si="23"/>
        <v>Closed</v>
      </c>
      <c r="S769" s="3"/>
      <c r="T769">
        <f>IF(ISBLANK('Master Submitted DPDs'!G91),"",'Master Submitted DPDs'!G91)</f>
        <v>2</v>
      </c>
    </row>
    <row r="770" spans="1:20" ht="15" x14ac:dyDescent="0.2">
      <c r="A770" s="3" t="str">
        <f>IF(ISBLANK('Master Submitted DPDs'!#REF!),"","Local Plans")</f>
        <v>Local Plans</v>
      </c>
      <c r="B770" t="str">
        <f>IF(ISBLANK('Master Submitted DPDs'!F92),"",'Master Submitted DPDs'!F92)</f>
        <v>AAP</v>
      </c>
      <c r="C770" s="3" t="str">
        <f>IF(ISBLANK('Master Submitted DPDs'!$B92),"","IH")</f>
        <v>IH</v>
      </c>
      <c r="D770" s="3" t="str">
        <f>LOOKUP($F770,'fuzzy LPA lookup'!$E:$E,'fuzzy LPA lookup'!$A:$A)</f>
        <v>C1055</v>
      </c>
      <c r="E770" s="3" t="str">
        <f>LOOKUP($F770,'fuzzy LPA lookup'!$E:$E,'fuzzy LPA lookup'!$D:$D)</f>
        <v>Derby City Council</v>
      </c>
      <c r="F770" s="8">
        <f>IF(ISBLANK('Master Submitted DPDs'!B92),"",'Master Submitted DPDs'!B92)</f>
        <v>1697</v>
      </c>
      <c r="G770" t="str">
        <f>IF(ISBLANK('Master Submitted DPDs'!AS92),"","Withdrawn")</f>
        <v/>
      </c>
      <c r="H770" s="2" t="str">
        <f>IF(ISBLANK('Master Submitted DPDs'!AS92),"",'Master Submitted DPDs'!AS92)</f>
        <v/>
      </c>
      <c r="I770" s="3"/>
      <c r="J770" s="3"/>
      <c r="K770" s="3"/>
      <c r="L770" s="2">
        <f>IF(ISBLANK('Master Submitted DPDs'!J92),"",'Master Submitted DPDs'!J92)</f>
        <v>42636</v>
      </c>
      <c r="M770" s="2">
        <f t="shared" ref="M770:M808" si="24">L770</f>
        <v>42636</v>
      </c>
      <c r="N770" s="2">
        <f>IF(ISBLANK('Master Submitted DPDs'!M92),IF(ISBLANK('Master Submitted DPDs'!O92),"",'Master Submitted DPDs'!O92),'Master Submitted DPDs'!M92)</f>
        <v>42636</v>
      </c>
      <c r="O770" s="2">
        <f>IF(ISBLANK('Master Submitted DPDs'!Q92),"",'Master Submitted DPDs'!Q92)</f>
        <v>42761</v>
      </c>
      <c r="P770" s="2">
        <f>IF(ISBLANK('Master Submitted DPDs'!AO92),"",'Master Submitted DPDs'!AO92)</f>
        <v>42955</v>
      </c>
      <c r="Q770" t="str">
        <f>IF(ISBLANK('Master Submitted DPDs'!AU92),"",'Master Submitted DPDs'!AU92)</f>
        <v>SOU</v>
      </c>
      <c r="R770" t="str">
        <f t="shared" ref="R770:R808" si="25">IF(F770="","",IF(AND(H770="",Q770&lt;&gt;"UNS",P770=""),"Open","Closed"))</f>
        <v>Closed</v>
      </c>
      <c r="S770" s="3"/>
      <c r="T770">
        <f>IF(ISBLANK('Master Submitted DPDs'!G92),"",'Master Submitted DPDs'!G92)</f>
        <v>2</v>
      </c>
    </row>
    <row r="771" spans="1:20" ht="15" x14ac:dyDescent="0.2">
      <c r="A771" s="3" t="str">
        <f>IF(ISBLANK('Master Submitted DPDs'!#REF!),"","Local Plans")</f>
        <v>Local Plans</v>
      </c>
      <c r="B771" t="str">
        <f>IF(ISBLANK('Master Submitted DPDs'!F93),"",'Master Submitted DPDs'!F93)</f>
        <v>LP</v>
      </c>
      <c r="C771" s="3" t="str">
        <f>IF(ISBLANK('Master Submitted DPDs'!$B93),"","IH")</f>
        <v>IH</v>
      </c>
      <c r="D771" s="3" t="str">
        <f>LOOKUP($F771,'fuzzy LPA lookup'!$E:$E,'fuzzy LPA lookup'!$A:$A)</f>
        <v>N3020</v>
      </c>
      <c r="E771" s="3" t="str">
        <f>LOOKUP($F771,'fuzzy LPA lookup'!$E:$E,'fuzzy LPA lookup'!$D:$D)</f>
        <v>Gedling Borough Council</v>
      </c>
      <c r="F771" s="8">
        <f>IF(ISBLANK('Master Submitted DPDs'!B93),"",'Master Submitted DPDs'!B93)</f>
        <v>1770</v>
      </c>
      <c r="G771" t="str">
        <f>IF(ISBLANK('Master Submitted DPDs'!AS93),"","Withdrawn")</f>
        <v/>
      </c>
      <c r="H771" s="2" t="str">
        <f>IF(ISBLANK('Master Submitted DPDs'!AS93),"",'Master Submitted DPDs'!AS93)</f>
        <v/>
      </c>
      <c r="I771" s="3"/>
      <c r="J771" s="3"/>
      <c r="K771" s="3"/>
      <c r="L771" s="2">
        <f>IF(ISBLANK('Master Submitted DPDs'!J93),"",'Master Submitted DPDs'!J93)</f>
        <v>42647</v>
      </c>
      <c r="M771" s="2">
        <f t="shared" si="24"/>
        <v>42647</v>
      </c>
      <c r="N771" s="2">
        <f>IF(ISBLANK('Master Submitted DPDs'!M93),IF(ISBLANK('Master Submitted DPDs'!O93),"",'Master Submitted DPDs'!O93),'Master Submitted DPDs'!M93)</f>
        <v>42647</v>
      </c>
      <c r="O771" s="2">
        <f>IF(ISBLANK('Master Submitted DPDs'!Q93),"",'Master Submitted DPDs'!Q93)</f>
        <v>42816</v>
      </c>
      <c r="P771" s="2">
        <f>IF(ISBLANK('Master Submitted DPDs'!AO93),"",'Master Submitted DPDs'!AO93)</f>
        <v>43020</v>
      </c>
      <c r="Q771" t="str">
        <f>IF(ISBLANK('Master Submitted DPDs'!AU93),"",'Master Submitted DPDs'!AU93)</f>
        <v>SOU</v>
      </c>
      <c r="R771" t="str">
        <f t="shared" si="25"/>
        <v>Closed</v>
      </c>
      <c r="S771" s="3"/>
      <c r="T771">
        <f>IF(ISBLANK('Master Submitted DPDs'!G93),"",'Master Submitted DPDs'!G93)</f>
        <v>3</v>
      </c>
    </row>
    <row r="772" spans="1:20" ht="15" x14ac:dyDescent="0.2">
      <c r="A772" s="3" t="str">
        <f>IF(ISBLANK('Master Submitted DPDs'!#REF!),"","Local Plans")</f>
        <v>Local Plans</v>
      </c>
      <c r="B772" t="str">
        <f>IF(ISBLANK('Master Submitted DPDs'!F94),"",'Master Submitted DPDs'!F94)</f>
        <v>SA</v>
      </c>
      <c r="C772" s="3" t="str">
        <f>IF(ISBLANK('Master Submitted DPDs'!$B94),"","IH")</f>
        <v>IH</v>
      </c>
      <c r="D772" s="3" t="str">
        <f>LOOKUP($F772,'fuzzy LPA lookup'!$E:$E,'fuzzy LPA lookup'!$A:$A)</f>
        <v>N3020</v>
      </c>
      <c r="E772" s="3" t="str">
        <f>LOOKUP($F772,'fuzzy LPA lookup'!$E:$E,'fuzzy LPA lookup'!$D:$D)</f>
        <v>Gedling Borough Council</v>
      </c>
      <c r="F772" s="8">
        <f>IF(ISBLANK('Master Submitted DPDs'!B94),"",'Master Submitted DPDs'!B94)</f>
        <v>1765</v>
      </c>
      <c r="G772" t="str">
        <f>IF(ISBLANK('Master Submitted DPDs'!AS94),"","Withdrawn")</f>
        <v/>
      </c>
      <c r="H772" s="2" t="str">
        <f>IF(ISBLANK('Master Submitted DPDs'!AS94),"",'Master Submitted DPDs'!AS94)</f>
        <v/>
      </c>
      <c r="I772" s="3"/>
      <c r="J772" s="3"/>
      <c r="K772" s="3"/>
      <c r="L772" s="2">
        <f>IF(ISBLANK('Master Submitted DPDs'!J94),"",'Master Submitted DPDs'!J94)</f>
        <v>42660</v>
      </c>
      <c r="M772" s="2">
        <f t="shared" si="24"/>
        <v>42660</v>
      </c>
      <c r="N772" s="2">
        <f>IF(ISBLANK('Master Submitted DPDs'!M94),IF(ISBLANK('Master Submitted DPDs'!O94),"",'Master Submitted DPDs'!O94),'Master Submitted DPDs'!M94)</f>
        <v>42661</v>
      </c>
      <c r="O772" s="2">
        <f>IF(ISBLANK('Master Submitted DPDs'!Q94),"",'Master Submitted DPDs'!Q94)</f>
        <v>43074</v>
      </c>
      <c r="P772" s="2">
        <f>IF(ISBLANK('Master Submitted DPDs'!AO94),"",'Master Submitted DPDs'!AO94)</f>
        <v>43277</v>
      </c>
      <c r="Q772" t="str">
        <f>IF(ISBLANK('Master Submitted DPDs'!AU94),"",'Master Submitted DPDs'!AU94)</f>
        <v>SOU</v>
      </c>
      <c r="R772" t="str">
        <f t="shared" si="25"/>
        <v>Closed</v>
      </c>
      <c r="S772" s="3"/>
      <c r="T772">
        <f>IF(ISBLANK('Master Submitted DPDs'!G94),"",'Master Submitted DPDs'!G94)</f>
        <v>3</v>
      </c>
    </row>
    <row r="773" spans="1:20" ht="15" x14ac:dyDescent="0.2">
      <c r="A773" s="3" t="str">
        <f>IF(ISBLANK('Master Submitted DPDs'!#REF!),"","Local Plans")</f>
        <v>Local Plans</v>
      </c>
      <c r="B773" t="str">
        <f>IF(ISBLANK('Master Submitted DPDs'!F95),"",'Master Submitted DPDs'!F95)</f>
        <v>LP</v>
      </c>
      <c r="C773" s="3" t="str">
        <f>IF(ISBLANK('Master Submitted DPDs'!$B95),"","IH")</f>
        <v>IH</v>
      </c>
      <c r="D773" s="3" t="str">
        <f>LOOKUP($F773,'fuzzy LPA lookup'!$E:$E,'fuzzy LPA lookup'!$A:$A)</f>
        <v>P5870</v>
      </c>
      <c r="E773" s="3" t="str">
        <f>LOOKUP($F773,'fuzzy LPA lookup'!$E:$E,'fuzzy LPA lookup'!$D:$D)</f>
        <v>London Borough of Sutton</v>
      </c>
      <c r="F773" s="8">
        <f>IF(ISBLANK('Master Submitted DPDs'!B95),"",'Master Submitted DPDs'!B95)</f>
        <v>995</v>
      </c>
      <c r="G773" t="str">
        <f>IF(ISBLANK('Master Submitted DPDs'!AS95),"","Withdrawn")</f>
        <v/>
      </c>
      <c r="H773" s="2" t="str">
        <f>IF(ISBLANK('Master Submitted DPDs'!AS95),"",'Master Submitted DPDs'!AS95)</f>
        <v/>
      </c>
      <c r="I773" s="3"/>
      <c r="J773" s="3"/>
      <c r="K773" s="3"/>
      <c r="L773" s="2">
        <f>IF(ISBLANK('Master Submitted DPDs'!J95),"",'Master Submitted DPDs'!J95)</f>
        <v>42663</v>
      </c>
      <c r="M773" s="2">
        <f t="shared" si="24"/>
        <v>42663</v>
      </c>
      <c r="N773" s="2">
        <f>IF(ISBLANK('Master Submitted DPDs'!M95),IF(ISBLANK('Master Submitted DPDs'!O95),"",'Master Submitted DPDs'!O95),'Master Submitted DPDs'!M95)</f>
        <v>42664</v>
      </c>
      <c r="O773" s="2">
        <f>IF(ISBLANK('Master Submitted DPDs'!Q95),"",'Master Submitted DPDs'!Q95)</f>
        <v>42774</v>
      </c>
      <c r="P773" s="2">
        <f>IF(ISBLANK('Master Submitted DPDs'!AO95),"",'Master Submitted DPDs'!AO95)</f>
        <v>43007</v>
      </c>
      <c r="Q773" t="str">
        <f>IF(ISBLANK('Master Submitted DPDs'!AU95),"",'Master Submitted DPDs'!AU95)</f>
        <v>SOU</v>
      </c>
      <c r="R773" t="str">
        <f t="shared" si="25"/>
        <v>Closed</v>
      </c>
      <c r="S773" s="3"/>
      <c r="T773">
        <f>IF(ISBLANK('Master Submitted DPDs'!G95),"",'Master Submitted DPDs'!G95)</f>
        <v>3</v>
      </c>
    </row>
    <row r="774" spans="1:20" ht="15" x14ac:dyDescent="0.2">
      <c r="A774" s="3" t="str">
        <f>IF(ISBLANK('Master Submitted DPDs'!#REF!),"","Local Plans")</f>
        <v>Local Plans</v>
      </c>
      <c r="B774" t="str">
        <f>IF(ISBLANK('Master Submitted DPDs'!F96),"",'Master Submitted DPDs'!F96)</f>
        <v>SA</v>
      </c>
      <c r="C774" s="3" t="str">
        <f>IF(ISBLANK('Master Submitted DPDs'!$B96),"","IH")</f>
        <v>IH</v>
      </c>
      <c r="D774" s="3" t="str">
        <f>LOOKUP($F774,'fuzzy LPA lookup'!$E:$E,'fuzzy LPA lookup'!$A:$A)</f>
        <v>Z1775</v>
      </c>
      <c r="E774" s="3" t="str">
        <f>LOOKUP($F774,'fuzzy LPA lookup'!$E:$E,'fuzzy LPA lookup'!$D:$D)</f>
        <v>Portsmouth City Council</v>
      </c>
      <c r="F774" s="8">
        <f>IF(ISBLANK('Master Submitted DPDs'!B96),"",'Master Submitted DPDs'!B96)</f>
        <v>1673</v>
      </c>
      <c r="G774" t="str">
        <f>IF(ISBLANK('Master Submitted DPDs'!AS96),"","Withdrawn")</f>
        <v/>
      </c>
      <c r="H774" s="2" t="str">
        <f>IF(ISBLANK('Master Submitted DPDs'!AS96),"",'Master Submitted DPDs'!AS96)</f>
        <v/>
      </c>
      <c r="I774" s="3"/>
      <c r="J774" s="3"/>
      <c r="K774" s="3"/>
      <c r="L774" s="2">
        <f>IF(ISBLANK('Master Submitted DPDs'!J96),"",'Master Submitted DPDs'!J96)</f>
        <v>42688</v>
      </c>
      <c r="M774" s="2">
        <f t="shared" si="24"/>
        <v>42688</v>
      </c>
      <c r="N774" s="2">
        <f>IF(ISBLANK('Master Submitted DPDs'!M96),IF(ISBLANK('Master Submitted DPDs'!O96),"",'Master Submitted DPDs'!O96),'Master Submitted DPDs'!M96)</f>
        <v>42688</v>
      </c>
      <c r="O774" s="2">
        <f>IF(ISBLANK('Master Submitted DPDs'!Q96),"",'Master Submitted DPDs'!Q96)</f>
        <v>42789</v>
      </c>
      <c r="P774" s="2">
        <f>IF(ISBLANK('Master Submitted DPDs'!AO96),"",'Master Submitted DPDs'!AO96)</f>
        <v>42999</v>
      </c>
      <c r="Q774" t="str">
        <f>IF(ISBLANK('Master Submitted DPDs'!AU96),"",'Master Submitted DPDs'!AU96)</f>
        <v>SOU</v>
      </c>
      <c r="R774" t="str">
        <f t="shared" si="25"/>
        <v>Closed</v>
      </c>
      <c r="S774" s="3"/>
      <c r="T774">
        <f>IF(ISBLANK('Master Submitted DPDs'!G96),"",'Master Submitted DPDs'!G96)</f>
        <v>3</v>
      </c>
    </row>
    <row r="775" spans="1:20" ht="15" x14ac:dyDescent="0.2">
      <c r="A775" s="3" t="str">
        <f>IF(ISBLANK('Master Submitted DPDs'!#REF!),"","Local Plans")</f>
        <v>Local Plans</v>
      </c>
      <c r="B775" t="str">
        <f>IF(ISBLANK('Master Submitted DPDs'!F97),"",'Master Submitted DPDs'!F97)</f>
        <v>M&amp;W</v>
      </c>
      <c r="C775" s="3" t="str">
        <f>IF(ISBLANK('Master Submitted DPDs'!$B97),"","IH")</f>
        <v>IH</v>
      </c>
      <c r="D775" s="3" t="str">
        <f>LOOKUP($F775,'fuzzy LPA lookup'!$E:$E,'fuzzy LPA lookup'!$A:$A)</f>
        <v>V4630</v>
      </c>
      <c r="E775" s="3" t="str">
        <f>LOOKUP($F775,'fuzzy LPA lookup'!$E:$E,'fuzzy LPA lookup'!$D:$D)</f>
        <v>Walsall Metropolitan Borough Council</v>
      </c>
      <c r="F775" s="8">
        <f>IF(ISBLANK('Master Submitted DPDs'!B97),"",'Master Submitted DPDs'!B97)</f>
        <v>1758</v>
      </c>
      <c r="G775" t="str">
        <f>IF(ISBLANK('Master Submitted DPDs'!AS97),"","Withdrawn")</f>
        <v/>
      </c>
      <c r="H775" s="2" t="str">
        <f>IF(ISBLANK('Master Submitted DPDs'!AS97),"",'Master Submitted DPDs'!AS97)</f>
        <v/>
      </c>
      <c r="I775" s="3"/>
      <c r="J775" s="3"/>
      <c r="K775" s="3"/>
      <c r="L775" s="2">
        <f>IF(ISBLANK('Master Submitted DPDs'!J97),"",'Master Submitted DPDs'!J97)</f>
        <v>42712</v>
      </c>
      <c r="M775" s="2">
        <f t="shared" si="24"/>
        <v>42712</v>
      </c>
      <c r="N775" s="2">
        <f>IF(ISBLANK('Master Submitted DPDs'!M97),IF(ISBLANK('Master Submitted DPDs'!O97),"",'Master Submitted DPDs'!O97),'Master Submitted DPDs'!M97)</f>
        <v>42712</v>
      </c>
      <c r="O775" s="2">
        <f>IF(ISBLANK('Master Submitted DPDs'!Q97),"",'Master Submitted DPDs'!Q97)</f>
        <v>42809</v>
      </c>
      <c r="P775" s="2">
        <f>IF(ISBLANK('Master Submitted DPDs'!AO97),"",'Master Submitted DPDs'!AO97)</f>
        <v>43007</v>
      </c>
      <c r="Q775" t="str">
        <f>IF(ISBLANK('Master Submitted DPDs'!AU97),"",'Master Submitted DPDs'!AU97)</f>
        <v>SOU</v>
      </c>
      <c r="R775" t="str">
        <f t="shared" si="25"/>
        <v>Closed</v>
      </c>
      <c r="S775" s="3"/>
      <c r="T775">
        <f>IF(ISBLANK('Master Submitted DPDs'!G97),"",'Master Submitted DPDs'!G97)</f>
        <v>2</v>
      </c>
    </row>
    <row r="776" spans="1:20" ht="15" x14ac:dyDescent="0.2">
      <c r="A776" s="3" t="str">
        <f>IF(ISBLANK('Master Submitted DPDs'!#REF!),"","Local Plans")</f>
        <v>Local Plans</v>
      </c>
      <c r="B776" t="str">
        <f>IF(ISBLANK('Master Submitted DPDs'!F98),"",'Master Submitted DPDs'!F98)</f>
        <v>LP</v>
      </c>
      <c r="C776" s="3" t="str">
        <f>IF(ISBLANK('Master Submitted DPDs'!$B98),"","IH")</f>
        <v>IH</v>
      </c>
      <c r="D776" s="3" t="str">
        <f>LOOKUP($F776,'fuzzy LPA lookup'!$E:$E,'fuzzy LPA lookup'!$A:$A)</f>
        <v>J4525</v>
      </c>
      <c r="E776" s="3" t="str">
        <f>LOOKUP($F776,'fuzzy LPA lookup'!$E:$E,'fuzzy LPA lookup'!$D:$D)</f>
        <v>Sunderland City Council</v>
      </c>
      <c r="F776" s="8">
        <f>IF(ISBLANK('Master Submitted DPDs'!B98),"",'Master Submitted DPDs'!B98)</f>
        <v>1782</v>
      </c>
      <c r="G776" t="str">
        <f>IF(ISBLANK('Master Submitted DPDs'!AS98),"","Withdrawn")</f>
        <v/>
      </c>
      <c r="H776" s="2" t="str">
        <f>IF(ISBLANK('Master Submitted DPDs'!AS98),"",'Master Submitted DPDs'!AS98)</f>
        <v/>
      </c>
      <c r="I776" s="3"/>
      <c r="J776" s="3"/>
      <c r="K776" s="3"/>
      <c r="L776" s="2">
        <f>IF(ISBLANK('Master Submitted DPDs'!J98),"",'Master Submitted DPDs'!J98)</f>
        <v>42713</v>
      </c>
      <c r="M776" s="2">
        <f t="shared" si="24"/>
        <v>42713</v>
      </c>
      <c r="N776" s="2">
        <f>IF(ISBLANK('Master Submitted DPDs'!M98),IF(ISBLANK('Master Submitted DPDs'!O98),"",'Master Submitted DPDs'!O98),'Master Submitted DPDs'!M98)</f>
        <v>42713</v>
      </c>
      <c r="O776" s="2">
        <f>IF(ISBLANK('Master Submitted DPDs'!Q98),"",'Master Submitted DPDs'!Q98)</f>
        <v>43082</v>
      </c>
      <c r="P776" s="2">
        <f>IF(ISBLANK('Master Submitted DPDs'!AO98),"",'Master Submitted DPDs'!AO98)</f>
        <v>43362</v>
      </c>
      <c r="Q776" t="str">
        <f>IF(ISBLANK('Master Submitted DPDs'!AU98),"",'Master Submitted DPDs'!AU98)</f>
        <v>SOU</v>
      </c>
      <c r="R776" t="str">
        <f t="shared" si="25"/>
        <v>Closed</v>
      </c>
      <c r="S776" s="3"/>
      <c r="T776">
        <f>IF(ISBLANK('Master Submitted DPDs'!G98),"",'Master Submitted DPDs'!G98)</f>
        <v>3</v>
      </c>
    </row>
    <row r="777" spans="1:20" ht="15" x14ac:dyDescent="0.2">
      <c r="A777" s="3" t="str">
        <f>IF(ISBLANK('Master Submitted DPDs'!#REF!),"","Local Plans")</f>
        <v>Local Plans</v>
      </c>
      <c r="B777" t="str">
        <f>IF(ISBLANK('Master Submitted DPDs'!F99),"",'Master Submitted DPDs'!F99)</f>
        <v>M&amp;W</v>
      </c>
      <c r="C777" s="3" t="str">
        <f>IF(ISBLANK('Master Submitted DPDs'!$B99),"","IH")</f>
        <v>IH</v>
      </c>
      <c r="D777" s="3" t="str">
        <f>LOOKUP($F777,'fuzzy LPA lookup'!$E:$E,'fuzzy LPA lookup'!$A:$A)</f>
        <v>B1930</v>
      </c>
      <c r="E777" s="3" t="str">
        <f>LOOKUP($F777,'fuzzy LPA lookup'!$E:$E,'fuzzy LPA lookup'!$D:$D)</f>
        <v>St Albans City Council</v>
      </c>
      <c r="F777" s="8">
        <f>IF(ISBLANK('Master Submitted DPDs'!B99),"",'Master Submitted DPDs'!B99)</f>
        <v>1744</v>
      </c>
      <c r="G777" t="str">
        <f>IF(ISBLANK('Master Submitted DPDs'!AS99),"","Withdrawn")</f>
        <v>Withdrawn</v>
      </c>
      <c r="H777" s="2">
        <f>IF(ISBLANK('Master Submitted DPDs'!AS99),"",'Master Submitted DPDs'!AS99)</f>
        <v>42880</v>
      </c>
      <c r="I777" s="3"/>
      <c r="J777" s="3"/>
      <c r="K777" s="3"/>
      <c r="L777" s="2">
        <f>IF(ISBLANK('Master Submitted DPDs'!J99),"",'Master Submitted DPDs'!J99)</f>
        <v>42719</v>
      </c>
      <c r="M777" s="2">
        <f t="shared" si="24"/>
        <v>42719</v>
      </c>
      <c r="N777" s="2">
        <f>IF(ISBLANK('Master Submitted DPDs'!M99),IF(ISBLANK('Master Submitted DPDs'!O99),"",'Master Submitted DPDs'!O99),'Master Submitted DPDs'!M99)</f>
        <v>42719</v>
      </c>
      <c r="O777" s="2" t="str">
        <f>IF(ISBLANK('Master Submitted DPDs'!Q99),"",'Master Submitted DPDs'!Q99)</f>
        <v/>
      </c>
      <c r="P777" s="2" t="str">
        <f>IF(ISBLANK('Master Submitted DPDs'!AO99),"",'Master Submitted DPDs'!AO99)</f>
        <v/>
      </c>
      <c r="Q777" t="str">
        <f>IF(ISBLANK('Master Submitted DPDs'!AU99),"",'Master Submitted DPDs'!AU99)</f>
        <v>DPDW</v>
      </c>
      <c r="R777" t="str">
        <f t="shared" si="25"/>
        <v>Closed</v>
      </c>
      <c r="S777" s="3"/>
      <c r="T777">
        <f>IF(ISBLANK('Master Submitted DPDs'!G99),"",'Master Submitted DPDs'!G99)</f>
        <v>2</v>
      </c>
    </row>
    <row r="778" spans="1:20" ht="15" x14ac:dyDescent="0.2">
      <c r="A778" s="3" t="str">
        <f>IF(ISBLANK('Master Submitted DPDs'!#REF!),"","Local Plans")</f>
        <v>Local Plans</v>
      </c>
      <c r="B778" t="str">
        <f>IF(ISBLANK('Master Submitted DPDs'!F100),"",'Master Submitted DPDs'!F100)</f>
        <v>LP</v>
      </c>
      <c r="C778" s="3" t="str">
        <f>IF(ISBLANK('Master Submitted DPDs'!$B100),"","IH")</f>
        <v>IH</v>
      </c>
      <c r="D778" s="3" t="str">
        <f>LOOKUP($F778,'fuzzy LPA lookup'!$E:$E,'fuzzy LPA lookup'!$A:$A)</f>
        <v>N3020</v>
      </c>
      <c r="E778" s="3" t="str">
        <f>LOOKUP($F778,'fuzzy LPA lookup'!$E:$E,'fuzzy LPA lookup'!$D:$D)</f>
        <v>Gedling Borough Council</v>
      </c>
      <c r="F778" s="8">
        <f>IF(ISBLANK('Master Submitted DPDs'!B100),"",'Master Submitted DPDs'!B100)</f>
        <v>1767</v>
      </c>
      <c r="G778" t="str">
        <f>IF(ISBLANK('Master Submitted DPDs'!AS100),"","Withdrawn")</f>
        <v/>
      </c>
      <c r="H778" s="2" t="str">
        <f>IF(ISBLANK('Master Submitted DPDs'!AS100),"",'Master Submitted DPDs'!AS100)</f>
        <v/>
      </c>
      <c r="I778" s="3"/>
      <c r="J778" s="3"/>
      <c r="K778" s="3"/>
      <c r="L778" s="2">
        <f>IF(ISBLANK('Master Submitted DPDs'!J100),"",'Master Submitted DPDs'!J100)</f>
        <v>42720</v>
      </c>
      <c r="M778" s="2">
        <f t="shared" si="24"/>
        <v>42720</v>
      </c>
      <c r="N778" s="2">
        <f>IF(ISBLANK('Master Submitted DPDs'!M100),IF(ISBLANK('Master Submitted DPDs'!O100),"",'Master Submitted DPDs'!O100),'Master Submitted DPDs'!M100)</f>
        <v>42720</v>
      </c>
      <c r="O778" s="2">
        <f>IF(ISBLANK('Master Submitted DPDs'!Q100),"",'Master Submitted DPDs'!Q100)</f>
        <v>42859</v>
      </c>
      <c r="P778" s="2">
        <f>IF(ISBLANK('Master Submitted DPDs'!AO100),"",'Master Submitted DPDs'!AO100)</f>
        <v>43012</v>
      </c>
      <c r="Q778" t="str">
        <f>IF(ISBLANK('Master Submitted DPDs'!AU100),"",'Master Submitted DPDs'!AU100)</f>
        <v>SOU</v>
      </c>
      <c r="R778" t="str">
        <f t="shared" si="25"/>
        <v>Closed</v>
      </c>
      <c r="S778" s="3"/>
      <c r="T778">
        <f>IF(ISBLANK('Master Submitted DPDs'!G100),"",'Master Submitted DPDs'!G100)</f>
        <v>3</v>
      </c>
    </row>
    <row r="779" spans="1:20" ht="15" x14ac:dyDescent="0.2">
      <c r="A779" s="3" t="str">
        <f>IF(ISBLANK('Master Submitted DPDs'!#REF!),"","Local Plans")</f>
        <v>Local Plans</v>
      </c>
      <c r="B779" t="str">
        <f>IF(ISBLANK('Master Submitted DPDs'!F101),"",'Master Submitted DPDs'!F101)</f>
        <v>LP</v>
      </c>
      <c r="C779" s="3" t="str">
        <f>IF(ISBLANK('Master Submitted DPDs'!$B101),"","IH")</f>
        <v>IH</v>
      </c>
      <c r="D779" s="3" t="str">
        <f>LOOKUP($F779,'fuzzy LPA lookup'!$E:$E,'fuzzy LPA lookup'!$A:$A)</f>
        <v>J4525</v>
      </c>
      <c r="E779" s="3" t="str">
        <f>LOOKUP($F779,'fuzzy LPA lookup'!$E:$E,'fuzzy LPA lookup'!$D:$D)</f>
        <v>Sunderland City Council</v>
      </c>
      <c r="F779" s="8">
        <f>IF(ISBLANK('Master Submitted DPDs'!B101),"",'Master Submitted DPDs'!B101)</f>
        <v>1778</v>
      </c>
      <c r="G779" t="str">
        <f>IF(ISBLANK('Master Submitted DPDs'!AS101),"","Withdrawn")</f>
        <v/>
      </c>
      <c r="H779" s="2" t="str">
        <f>IF(ISBLANK('Master Submitted DPDs'!AS101),"",'Master Submitted DPDs'!AS101)</f>
        <v/>
      </c>
      <c r="I779" s="3"/>
      <c r="J779" s="3"/>
      <c r="K779" s="3"/>
      <c r="L779" s="2">
        <f>IF(ISBLANK('Master Submitted DPDs'!J101),"",'Master Submitted DPDs'!J101)</f>
        <v>42724</v>
      </c>
      <c r="M779" s="2">
        <f t="shared" si="24"/>
        <v>42724</v>
      </c>
      <c r="N779" s="2">
        <f>IF(ISBLANK('Master Submitted DPDs'!M101),IF(ISBLANK('Master Submitted DPDs'!O101),"",'Master Submitted DPDs'!O101),'Master Submitted DPDs'!M101)</f>
        <v>42864</v>
      </c>
      <c r="O779" s="2">
        <f>IF(ISBLANK('Master Submitted DPDs'!Q101),"",'Master Submitted DPDs'!Q101)</f>
        <v>42878</v>
      </c>
      <c r="P779" s="2">
        <f>IF(ISBLANK('Master Submitted DPDs'!AO101),"",'Master Submitted DPDs'!AO101)</f>
        <v>43052</v>
      </c>
      <c r="Q779" t="str">
        <f>IF(ISBLANK('Master Submitted DPDs'!AU101),"",'Master Submitted DPDs'!AU101)</f>
        <v>SOU</v>
      </c>
      <c r="R779" t="str">
        <f t="shared" si="25"/>
        <v>Closed</v>
      </c>
      <c r="S779" s="3"/>
      <c r="T779">
        <f>IF(ISBLANK('Master Submitted DPDs'!G101),"",'Master Submitted DPDs'!G101)</f>
        <v>3</v>
      </c>
    </row>
    <row r="780" spans="1:20" ht="15" x14ac:dyDescent="0.2">
      <c r="A780" s="3" t="str">
        <f>IF(ISBLANK('Master Submitted DPDs'!#REF!),"","Local Plans")</f>
        <v>Local Plans</v>
      </c>
      <c r="B780" t="str">
        <f>IF(ISBLANK('Master Submitted DPDs'!F102),"",'Master Submitted DPDs'!F102)</f>
        <v>LP</v>
      </c>
      <c r="C780" s="3" t="str">
        <f>IF(ISBLANK('Master Submitted DPDs'!$B102),"","IH")</f>
        <v>IH</v>
      </c>
      <c r="D780" s="3" t="str">
        <f>LOOKUP($F780,'fuzzy LPA lookup'!$E:$E,'fuzzy LPA lookup'!$A:$A)</f>
        <v>J4525</v>
      </c>
      <c r="E780" s="3" t="str">
        <f>LOOKUP($F780,'fuzzy LPA lookup'!$E:$E,'fuzzy LPA lookup'!$D:$D)</f>
        <v>Sunderland City Council</v>
      </c>
      <c r="F780" s="8">
        <f>IF(ISBLANK('Master Submitted DPDs'!B102),"",'Master Submitted DPDs'!B102)</f>
        <v>1779</v>
      </c>
      <c r="G780" t="str">
        <f>IF(ISBLANK('Master Submitted DPDs'!AS102),"","Withdrawn")</f>
        <v/>
      </c>
      <c r="H780" s="2" t="str">
        <f>IF(ISBLANK('Master Submitted DPDs'!AS102),"",'Master Submitted DPDs'!AS102)</f>
        <v/>
      </c>
      <c r="I780" s="3"/>
      <c r="J780" s="3"/>
      <c r="K780" s="3"/>
      <c r="L780" s="2">
        <f>IF(ISBLANK('Master Submitted DPDs'!J102),"",'Master Submitted DPDs'!J102)</f>
        <v>42725</v>
      </c>
      <c r="M780" s="2">
        <f t="shared" si="24"/>
        <v>42725</v>
      </c>
      <c r="N780" s="2">
        <f>IF(ISBLANK('Master Submitted DPDs'!M102),IF(ISBLANK('Master Submitted DPDs'!O102),"",'Master Submitted DPDs'!O102),'Master Submitted DPDs'!M102)</f>
        <v>42725</v>
      </c>
      <c r="O780" s="2">
        <f>IF(ISBLANK('Master Submitted DPDs'!Q102),"",'Master Submitted DPDs'!Q102)</f>
        <v>42922</v>
      </c>
      <c r="P780" s="2">
        <f>IF(ISBLANK('Master Submitted DPDs'!AO102),"",'Master Submitted DPDs'!AO102)</f>
        <v>43132</v>
      </c>
      <c r="Q780" t="str">
        <f>IF(ISBLANK('Master Submitted DPDs'!AU102),"",'Master Submitted DPDs'!AU102)</f>
        <v>SOU</v>
      </c>
      <c r="R780" t="str">
        <f t="shared" si="25"/>
        <v>Closed</v>
      </c>
      <c r="S780" s="3"/>
      <c r="T780">
        <f>IF(ISBLANK('Master Submitted DPDs'!G102),"",'Master Submitted DPDs'!G102)</f>
        <v>3</v>
      </c>
    </row>
    <row r="781" spans="1:20" ht="15" x14ac:dyDescent="0.2">
      <c r="A781" s="3" t="str">
        <f>IF(ISBLANK('Master Submitted DPDs'!#REF!),"","Local Plans")</f>
        <v>Local Plans</v>
      </c>
      <c r="B781" t="str">
        <f>IF(ISBLANK('Master Submitted DPDs'!F103),"",'Master Submitted DPDs'!F103)</f>
        <v>LP</v>
      </c>
      <c r="C781" s="3" t="str">
        <f>IF(ISBLANK('Master Submitted DPDs'!$B103),"","IH")</f>
        <v>IH</v>
      </c>
      <c r="D781" s="3" t="str">
        <f>LOOKUP($F781,'fuzzy LPA lookup'!$E:$E,'fuzzy LPA lookup'!$A:$A)</f>
        <v>B2002</v>
      </c>
      <c r="E781" s="3" t="str">
        <f>LOOKUP($F781,'fuzzy LPA lookup'!$E:$E,'fuzzy LPA lookup'!$D:$D)</f>
        <v>North East Lincolnshire Council</v>
      </c>
      <c r="F781" s="8">
        <f>IF(ISBLANK('Master Submitted DPDs'!B103),"",'Master Submitted DPDs'!B103)</f>
        <v>1747</v>
      </c>
      <c r="G781" t="str">
        <f>IF(ISBLANK('Master Submitted DPDs'!AS103),"","Withdrawn")</f>
        <v/>
      </c>
      <c r="H781" s="2" t="str">
        <f>IF(ISBLANK('Master Submitted DPDs'!AS103),"",'Master Submitted DPDs'!AS103)</f>
        <v/>
      </c>
      <c r="I781" s="3"/>
      <c r="J781" s="3"/>
      <c r="K781" s="3"/>
      <c r="L781" s="2">
        <f>IF(ISBLANK('Master Submitted DPDs'!J103),"",'Master Submitted DPDs'!J103)</f>
        <v>42725</v>
      </c>
      <c r="M781" s="2">
        <f t="shared" si="24"/>
        <v>42725</v>
      </c>
      <c r="N781" s="2">
        <f>IF(ISBLANK('Master Submitted DPDs'!M103),IF(ISBLANK('Master Submitted DPDs'!O103),"",'Master Submitted DPDs'!O103),'Master Submitted DPDs'!M103)</f>
        <v>42725</v>
      </c>
      <c r="O781" s="2">
        <f>IF(ISBLANK('Master Submitted DPDs'!Q103),"",'Master Submitted DPDs'!Q103)</f>
        <v>42860</v>
      </c>
      <c r="P781" s="2">
        <f>IF(ISBLANK('Master Submitted DPDs'!AO103),"",'Master Submitted DPDs'!AO103)</f>
        <v>43138</v>
      </c>
      <c r="Q781" t="str">
        <f>IF(ISBLANK('Master Submitted DPDs'!AU103),"",'Master Submitted DPDs'!AU103)</f>
        <v>SOU</v>
      </c>
      <c r="R781" t="str">
        <f t="shared" si="25"/>
        <v>Closed</v>
      </c>
      <c r="S781" s="3"/>
      <c r="T781">
        <f>IF(ISBLANK('Master Submitted DPDs'!G103),"",'Master Submitted DPDs'!G103)</f>
        <v>3</v>
      </c>
    </row>
    <row r="782" spans="1:20" ht="15" x14ac:dyDescent="0.2">
      <c r="A782" s="3" t="str">
        <f>IF(ISBLANK('Master Submitted DPDs'!#REF!),"","Local Plans")</f>
        <v>Local Plans</v>
      </c>
      <c r="B782" t="str">
        <f>IF(ISBLANK('Master Submitted DPDs'!F104),"",'Master Submitted DPDs'!F104)</f>
        <v>LP</v>
      </c>
      <c r="C782" s="3" t="str">
        <f>IF(ISBLANK('Master Submitted DPDs'!$B104),"","IH")</f>
        <v>IH</v>
      </c>
      <c r="D782" s="3" t="str">
        <f>LOOKUP($F782,'fuzzy LPA lookup'!$E:$E,'fuzzy LPA lookup'!$A:$A)</f>
        <v>N3020</v>
      </c>
      <c r="E782" s="3" t="str">
        <f>LOOKUP($F782,'fuzzy LPA lookup'!$E:$E,'fuzzy LPA lookup'!$D:$D)</f>
        <v>Gedling Borough Council</v>
      </c>
      <c r="F782" s="8">
        <f>IF(ISBLANK('Master Submitted DPDs'!B104),"",'Master Submitted DPDs'!B104)</f>
        <v>1768</v>
      </c>
      <c r="G782" t="str">
        <f>IF(ISBLANK('Master Submitted DPDs'!AS104),"","Withdrawn")</f>
        <v/>
      </c>
      <c r="H782" s="2" t="str">
        <f>IF(ISBLANK('Master Submitted DPDs'!AS104),"",'Master Submitted DPDs'!AS104)</f>
        <v/>
      </c>
      <c r="I782" s="3"/>
      <c r="J782" s="3"/>
      <c r="K782" s="3"/>
      <c r="L782" s="2">
        <f>IF(ISBLANK('Master Submitted DPDs'!J104),"",'Master Submitted DPDs'!J104)</f>
        <v>42726</v>
      </c>
      <c r="M782" s="2">
        <f t="shared" si="24"/>
        <v>42726</v>
      </c>
      <c r="N782" s="2">
        <f>IF(ISBLANK('Master Submitted DPDs'!M104),IF(ISBLANK('Master Submitted DPDs'!O104),"",'Master Submitted DPDs'!O104),'Master Submitted DPDs'!M104)</f>
        <v>42726</v>
      </c>
      <c r="O782" s="2">
        <f>IF(ISBLANK('Master Submitted DPDs'!Q104),"",'Master Submitted DPDs'!Q104)</f>
        <v>43215</v>
      </c>
      <c r="P782" s="2">
        <f>IF(ISBLANK('Master Submitted DPDs'!AO104),"",'Master Submitted DPDs'!AO104)</f>
        <v>43448</v>
      </c>
      <c r="Q782" t="str">
        <f>IF(ISBLANK('Master Submitted DPDs'!AU104),"",'Master Submitted DPDs'!AU104)</f>
        <v>SOU</v>
      </c>
      <c r="R782" t="str">
        <f t="shared" si="25"/>
        <v>Closed</v>
      </c>
      <c r="S782" s="3"/>
      <c r="T782">
        <f>IF(ISBLANK('Master Submitted DPDs'!G104),"",'Master Submitted DPDs'!G104)</f>
        <v>3</v>
      </c>
    </row>
    <row r="783" spans="1:20" ht="15" x14ac:dyDescent="0.2">
      <c r="A783" s="3" t="str">
        <f>IF(ISBLANK('Master Submitted DPDs'!#REF!),"","Local Plans")</f>
        <v>Local Plans</v>
      </c>
      <c r="B783" t="str">
        <f>IF(ISBLANK('Master Submitted DPDs'!F105),"",'Master Submitted DPDs'!F105)</f>
        <v>SA</v>
      </c>
      <c r="C783" s="3" t="str">
        <f>IF(ISBLANK('Master Submitted DPDs'!$B105),"","IH")</f>
        <v>IH</v>
      </c>
      <c r="D783" s="3" t="str">
        <f>LOOKUP($F783,'fuzzy LPA lookup'!$E:$E,'fuzzy LPA lookup'!$A:$A)</f>
        <v>J4525</v>
      </c>
      <c r="E783" s="3" t="str">
        <f>LOOKUP($F783,'fuzzy LPA lookup'!$E:$E,'fuzzy LPA lookup'!$D:$D)</f>
        <v>Sunderland City Council</v>
      </c>
      <c r="F783" s="8">
        <f>IF(ISBLANK('Master Submitted DPDs'!B105),"",'Master Submitted DPDs'!B105)</f>
        <v>1789</v>
      </c>
      <c r="G783" t="str">
        <f>IF(ISBLANK('Master Submitted DPDs'!AS105),"","Withdrawn")</f>
        <v/>
      </c>
      <c r="H783" s="2" t="str">
        <f>IF(ISBLANK('Master Submitted DPDs'!AS105),"",'Master Submitted DPDs'!AS105)</f>
        <v/>
      </c>
      <c r="I783" s="3"/>
      <c r="J783" s="3"/>
      <c r="K783" s="3"/>
      <c r="L783" s="2">
        <f>IF(ISBLANK('Master Submitted DPDs'!J105),"",'Master Submitted DPDs'!J105)</f>
        <v>42758</v>
      </c>
      <c r="M783" s="2">
        <f t="shared" si="24"/>
        <v>42758</v>
      </c>
      <c r="N783" s="2">
        <f>IF(ISBLANK('Master Submitted DPDs'!M105),IF(ISBLANK('Master Submitted DPDs'!O105),"",'Master Submitted DPDs'!O105),'Master Submitted DPDs'!M105)</f>
        <v>42758</v>
      </c>
      <c r="O783" s="2">
        <f>IF(ISBLANK('Master Submitted DPDs'!Q105),"",'Master Submitted DPDs'!Q105)</f>
        <v>42852</v>
      </c>
      <c r="P783" s="2">
        <f>IF(ISBLANK('Master Submitted DPDs'!AO105),"",'Master Submitted DPDs'!AO105)</f>
        <v>42991</v>
      </c>
      <c r="Q783" t="str">
        <f>IF(ISBLANK('Master Submitted DPDs'!AU105),"",'Master Submitted DPDs'!AU105)</f>
        <v>SOU</v>
      </c>
      <c r="R783" t="str">
        <f t="shared" si="25"/>
        <v>Closed</v>
      </c>
      <c r="S783" s="3"/>
      <c r="T783">
        <f>IF(ISBLANK('Master Submitted DPDs'!G105),"",'Master Submitted DPDs'!G105)</f>
        <v>2</v>
      </c>
    </row>
    <row r="784" spans="1:20" ht="15" x14ac:dyDescent="0.2">
      <c r="A784" s="3" t="str">
        <f>IF(ISBLANK('Master Submitted DPDs'!#REF!),"","Local Plans")</f>
        <v>Local Plans</v>
      </c>
      <c r="B784" t="str">
        <f>IF(ISBLANK('Master Submitted DPDs'!F106),"",'Master Submitted DPDs'!F106)</f>
        <v>DM</v>
      </c>
      <c r="C784" s="3" t="str">
        <f>IF(ISBLANK('Master Submitted DPDs'!$B106),"","IH")</f>
        <v>IH</v>
      </c>
      <c r="D784" s="3" t="str">
        <f>LOOKUP($F784,'fuzzy LPA lookup'!$E:$E,'fuzzy LPA lookup'!$A:$A)</f>
        <v>J4525</v>
      </c>
      <c r="E784" s="3" t="str">
        <f>LOOKUP($F784,'fuzzy LPA lookup'!$E:$E,'fuzzy LPA lookup'!$D:$D)</f>
        <v>Sunderland City Council</v>
      </c>
      <c r="F784" s="8">
        <f>IF(ISBLANK('Master Submitted DPDs'!B106),"",'Master Submitted DPDs'!B106)</f>
        <v>1787</v>
      </c>
      <c r="G784" t="str">
        <f>IF(ISBLANK('Master Submitted DPDs'!AS106),"","Withdrawn")</f>
        <v/>
      </c>
      <c r="H784" s="2" t="str">
        <f>IF(ISBLANK('Master Submitted DPDs'!AS106),"",'Master Submitted DPDs'!AS106)</f>
        <v/>
      </c>
      <c r="I784" s="3"/>
      <c r="J784" s="3"/>
      <c r="K784" s="3"/>
      <c r="L784" s="2">
        <f>IF(ISBLANK('Master Submitted DPDs'!J106),"",'Master Submitted DPDs'!J106)</f>
        <v>42765</v>
      </c>
      <c r="M784" s="2">
        <f t="shared" si="24"/>
        <v>42765</v>
      </c>
      <c r="N784" s="2">
        <f>IF(ISBLANK('Master Submitted DPDs'!M106),IF(ISBLANK('Master Submitted DPDs'!O106),"",'Master Submitted DPDs'!O106),'Master Submitted DPDs'!M106)</f>
        <v>42765</v>
      </c>
      <c r="O784" s="2">
        <f>IF(ISBLANK('Master Submitted DPDs'!Q106),"",'Master Submitted DPDs'!Q106)</f>
        <v>42873</v>
      </c>
      <c r="P784" s="2">
        <f>IF(ISBLANK('Master Submitted DPDs'!AO106),"",'Master Submitted DPDs'!AO106)</f>
        <v>43062</v>
      </c>
      <c r="Q784" t="str">
        <f>IF(ISBLANK('Master Submitted DPDs'!AU106),"",'Master Submitted DPDs'!AU106)</f>
        <v>SOU</v>
      </c>
      <c r="R784" t="str">
        <f t="shared" si="25"/>
        <v>Closed</v>
      </c>
      <c r="S784" s="3"/>
      <c r="T784">
        <f>IF(ISBLANK('Master Submitted DPDs'!G106),"",'Master Submitted DPDs'!G106)</f>
        <v>2</v>
      </c>
    </row>
    <row r="785" spans="1:20" ht="15" x14ac:dyDescent="0.2">
      <c r="A785" s="3" t="str">
        <f>IF(ISBLANK('Master Submitted DPDs'!#REF!),"","Local Plans")</f>
        <v>Local Plans</v>
      </c>
      <c r="B785" t="str">
        <f>IF(ISBLANK('Master Submitted DPDs'!F107),"",'Master Submitted DPDs'!F107)</f>
        <v>LP</v>
      </c>
      <c r="C785" s="3" t="str">
        <f>IF(ISBLANK('Master Submitted DPDs'!$B107),"","IH")</f>
        <v>IH</v>
      </c>
      <c r="D785" s="3" t="str">
        <f>LOOKUP($F785,'fuzzy LPA lookup'!$E:$E,'fuzzy LPA lookup'!$A:$A)</f>
        <v>J4525</v>
      </c>
      <c r="E785" s="3" t="str">
        <f>LOOKUP($F785,'fuzzy LPA lookup'!$E:$E,'fuzzy LPA lookup'!$D:$D)</f>
        <v>Sunderland City Council</v>
      </c>
      <c r="F785" s="8">
        <f>IF(ISBLANK('Master Submitted DPDs'!B107),"",'Master Submitted DPDs'!B107)</f>
        <v>1784</v>
      </c>
      <c r="G785" t="str">
        <f>IF(ISBLANK('Master Submitted DPDs'!AS107),"","Withdrawn")</f>
        <v/>
      </c>
      <c r="H785" s="2" t="str">
        <f>IF(ISBLANK('Master Submitted DPDs'!AS107),"",'Master Submitted DPDs'!AS107)</f>
        <v/>
      </c>
      <c r="I785" s="3"/>
      <c r="J785" s="3"/>
      <c r="K785" s="3"/>
      <c r="L785" s="2">
        <f>IF(ISBLANK('Master Submitted DPDs'!J107),"",'Master Submitted DPDs'!J107)</f>
        <v>42768</v>
      </c>
      <c r="M785" s="2">
        <f t="shared" si="24"/>
        <v>42768</v>
      </c>
      <c r="N785" s="2">
        <f>IF(ISBLANK('Master Submitted DPDs'!M107),IF(ISBLANK('Master Submitted DPDs'!O107),"",'Master Submitted DPDs'!O107),'Master Submitted DPDs'!M107)</f>
        <v>42768</v>
      </c>
      <c r="O785" s="2">
        <f>IF(ISBLANK('Master Submitted DPDs'!Q107),"",'Master Submitted DPDs'!Q107)</f>
        <v>42886</v>
      </c>
      <c r="P785" s="2">
        <f>IF(ISBLANK('Master Submitted DPDs'!AO107),"",'Master Submitted DPDs'!AO107)</f>
        <v>43116</v>
      </c>
      <c r="Q785" t="str">
        <f>IF(ISBLANK('Master Submitted DPDs'!AU107),"",'Master Submitted DPDs'!AU107)</f>
        <v>SOU</v>
      </c>
      <c r="R785" t="str">
        <f t="shared" si="25"/>
        <v>Closed</v>
      </c>
      <c r="S785" s="3"/>
      <c r="T785">
        <f>IF(ISBLANK('Master Submitted DPDs'!G107),"",'Master Submitted DPDs'!G107)</f>
        <v>3</v>
      </c>
    </row>
    <row r="786" spans="1:20" ht="15" x14ac:dyDescent="0.2">
      <c r="A786" s="3" t="str">
        <f>IF(ISBLANK('Master Submitted DPDs'!#REF!),"","Local Plans")</f>
        <v>Local Plans</v>
      </c>
      <c r="B786" t="str">
        <f>IF(ISBLANK('Master Submitted DPDs'!F108),"",'Master Submitted DPDs'!F108)</f>
        <v>SA</v>
      </c>
      <c r="C786" s="3" t="str">
        <f>IF(ISBLANK('Master Submitted DPDs'!$B108),"","IH")</f>
        <v>IH</v>
      </c>
      <c r="D786" s="3" t="str">
        <f>LOOKUP($F786,'fuzzy LPA lookup'!$E:$E,'fuzzy LPA lookup'!$A:$A)</f>
        <v>J4525</v>
      </c>
      <c r="E786" s="3" t="str">
        <f>LOOKUP($F786,'fuzzy LPA lookup'!$E:$E,'fuzzy LPA lookup'!$D:$D)</f>
        <v>Sunderland City Council</v>
      </c>
      <c r="F786" s="8">
        <f>IF(ISBLANK('Master Submitted DPDs'!B108),"",'Master Submitted DPDs'!B108)</f>
        <v>1785</v>
      </c>
      <c r="G786" t="str">
        <f>IF(ISBLANK('Master Submitted DPDs'!AS108),"","Withdrawn")</f>
        <v/>
      </c>
      <c r="H786" s="2" t="str">
        <f>IF(ISBLANK('Master Submitted DPDs'!AS108),"",'Master Submitted DPDs'!AS108)</f>
        <v/>
      </c>
      <c r="I786" s="3"/>
      <c r="J786" s="3"/>
      <c r="K786" s="3"/>
      <c r="L786" s="2">
        <f>IF(ISBLANK('Master Submitted DPDs'!J108),"",'Master Submitted DPDs'!J108)</f>
        <v>42768</v>
      </c>
      <c r="M786" s="2">
        <f t="shared" si="24"/>
        <v>42768</v>
      </c>
      <c r="N786" s="2">
        <f>IF(ISBLANK('Master Submitted DPDs'!M108),IF(ISBLANK('Master Submitted DPDs'!O108),"",'Master Submitted DPDs'!O108),'Master Submitted DPDs'!M108)</f>
        <v>42768</v>
      </c>
      <c r="O786" s="2">
        <f>IF(ISBLANK('Master Submitted DPDs'!Q108),"",'Master Submitted DPDs'!Q108)</f>
        <v>42886</v>
      </c>
      <c r="P786" s="2">
        <f>IF(ISBLANK('Master Submitted DPDs'!AO108),"",'Master Submitted DPDs'!AO108)</f>
        <v>43116</v>
      </c>
      <c r="Q786" t="str">
        <f>IF(ISBLANK('Master Submitted DPDs'!AU108),"",'Master Submitted DPDs'!AU108)</f>
        <v>SOU</v>
      </c>
      <c r="R786" t="str">
        <f t="shared" si="25"/>
        <v>Closed</v>
      </c>
      <c r="S786" s="3"/>
      <c r="T786">
        <f>IF(ISBLANK('Master Submitted DPDs'!G108),"",'Master Submitted DPDs'!G108)</f>
        <v>2</v>
      </c>
    </row>
    <row r="787" spans="1:20" ht="15" x14ac:dyDescent="0.2">
      <c r="A787" s="3" t="str">
        <f>IF(ISBLANK('Master Submitted DPDs'!#REF!),"","Local Plans")</f>
        <v>Local Plans</v>
      </c>
      <c r="B787" t="str">
        <f>IF(ISBLANK('Master Submitted DPDs'!F109),"",'Master Submitted DPDs'!F109)</f>
        <v>AAP</v>
      </c>
      <c r="C787" s="3" t="str">
        <f>IF(ISBLANK('Master Submitted DPDs'!$B109),"","IH")</f>
        <v>IH</v>
      </c>
      <c r="D787" s="3" t="str">
        <f>LOOKUP($F787,'fuzzy LPA lookup'!$E:$E,'fuzzy LPA lookup'!$A:$A)</f>
        <v>J4525</v>
      </c>
      <c r="E787" s="3" t="str">
        <f>LOOKUP($F787,'fuzzy LPA lookup'!$E:$E,'fuzzy LPA lookup'!$D:$D)</f>
        <v>Sunderland City Council</v>
      </c>
      <c r="F787" s="8">
        <f>IF(ISBLANK('Master Submitted DPDs'!B109),"",'Master Submitted DPDs'!B109)</f>
        <v>1777</v>
      </c>
      <c r="G787" t="str">
        <f>IF(ISBLANK('Master Submitted DPDs'!AS109),"","Withdrawn")</f>
        <v/>
      </c>
      <c r="H787" s="2" t="str">
        <f>IF(ISBLANK('Master Submitted DPDs'!AS109),"",'Master Submitted DPDs'!AS109)</f>
        <v/>
      </c>
      <c r="I787" s="3"/>
      <c r="J787" s="3"/>
      <c r="K787" s="3"/>
      <c r="L787" s="2">
        <f>IF(ISBLANK('Master Submitted DPDs'!J109),"",'Master Submitted DPDs'!J109)</f>
        <v>42772</v>
      </c>
      <c r="M787" s="2">
        <f t="shared" si="24"/>
        <v>42772</v>
      </c>
      <c r="N787" s="2">
        <f>IF(ISBLANK('Master Submitted DPDs'!M109),IF(ISBLANK('Master Submitted DPDs'!O109),"",'Master Submitted DPDs'!O109),'Master Submitted DPDs'!M109)</f>
        <v>42773</v>
      </c>
      <c r="O787" s="2">
        <f>IF(ISBLANK('Master Submitted DPDs'!Q109),"",'Master Submitted DPDs'!Q109)</f>
        <v>42831</v>
      </c>
      <c r="P787" s="2">
        <f>IF(ISBLANK('Master Submitted DPDs'!AO109),"",'Master Submitted DPDs'!AO109)</f>
        <v>43053</v>
      </c>
      <c r="Q787" t="str">
        <f>IF(ISBLANK('Master Submitted DPDs'!AU109),"",'Master Submitted DPDs'!AU109)</f>
        <v>SOU</v>
      </c>
      <c r="R787" t="str">
        <f t="shared" si="25"/>
        <v>Closed</v>
      </c>
      <c r="S787" s="3"/>
      <c r="T787">
        <f>IF(ISBLANK('Master Submitted DPDs'!G109),"",'Master Submitted DPDs'!G109)</f>
        <v>2</v>
      </c>
    </row>
    <row r="788" spans="1:20" ht="15" x14ac:dyDescent="0.2">
      <c r="A788" s="3" t="str">
        <f>IF(ISBLANK('Master Submitted DPDs'!#REF!),"","Local Plans")</f>
        <v>Local Plans</v>
      </c>
      <c r="B788" t="str">
        <f>IF(ISBLANK('Master Submitted DPDs'!F110),"",'Master Submitted DPDs'!F110)</f>
        <v>SA</v>
      </c>
      <c r="C788" s="3" t="str">
        <f>IF(ISBLANK('Master Submitted DPDs'!$B110),"","IH")</f>
        <v>IH</v>
      </c>
      <c r="D788" s="3" t="str">
        <f>LOOKUP($F788,'fuzzy LPA lookup'!$E:$E,'fuzzy LPA lookup'!$A:$A)</f>
        <v>N1920</v>
      </c>
      <c r="E788" s="3" t="str">
        <f>LOOKUP($F788,'fuzzy LPA lookup'!$E:$E,'fuzzy LPA lookup'!$D:$D)</f>
        <v>Hertsmere Borough Council</v>
      </c>
      <c r="F788" s="8">
        <f>IF(ISBLANK('Master Submitted DPDs'!B110),"",'Master Submitted DPDs'!B110)</f>
        <v>1801</v>
      </c>
      <c r="G788" t="str">
        <f>IF(ISBLANK('Master Submitted DPDs'!AS110),"","Withdrawn")</f>
        <v/>
      </c>
      <c r="H788" s="2" t="str">
        <f>IF(ISBLANK('Master Submitted DPDs'!AS110),"",'Master Submitted DPDs'!AS110)</f>
        <v/>
      </c>
      <c r="I788" s="3"/>
      <c r="J788" s="3"/>
      <c r="K788" s="3"/>
      <c r="L788" s="2">
        <f>IF(ISBLANK('Master Submitted DPDs'!J110),"",'Master Submitted DPDs'!J110)</f>
        <v>42790</v>
      </c>
      <c r="M788" s="2">
        <f t="shared" si="24"/>
        <v>42790</v>
      </c>
      <c r="N788" s="2">
        <f>IF(ISBLANK('Master Submitted DPDs'!M110),IF(ISBLANK('Master Submitted DPDs'!O110),"",'Master Submitted DPDs'!O110),'Master Submitted DPDs'!M110)</f>
        <v>42790</v>
      </c>
      <c r="O788" s="2">
        <f>IF(ISBLANK('Master Submitted DPDs'!Q110),"",'Master Submitted DPDs'!Q110)</f>
        <v>42873</v>
      </c>
      <c r="P788" s="2">
        <f>IF(ISBLANK('Master Submitted DPDs'!AO110),"",'Master Submitted DPDs'!AO110)</f>
        <v>43147</v>
      </c>
      <c r="Q788" t="str">
        <f>IF(ISBLANK('Master Submitted DPDs'!AU110),"",'Master Submitted DPDs'!AU110)</f>
        <v>SOU</v>
      </c>
      <c r="R788" t="str">
        <f t="shared" si="25"/>
        <v>Closed</v>
      </c>
      <c r="S788" s="3"/>
      <c r="T788">
        <f>IF(ISBLANK('Master Submitted DPDs'!G110),"",'Master Submitted DPDs'!G110)</f>
        <v>3</v>
      </c>
    </row>
    <row r="789" spans="1:20" ht="15" x14ac:dyDescent="0.2">
      <c r="A789" s="3" t="str">
        <f>IF(ISBLANK('Master Submitted DPDs'!#REF!),"","Local Plans")</f>
        <v>Local Plans</v>
      </c>
      <c r="B789" t="str">
        <f>IF(ISBLANK('Master Submitted DPDs'!F111),"",'Master Submitted DPDs'!F111)</f>
        <v>LP</v>
      </c>
      <c r="C789" s="3" t="str">
        <f>IF(ISBLANK('Master Submitted DPDs'!$B111),"","IH")</f>
        <v>IH</v>
      </c>
      <c r="D789" s="3" t="str">
        <f>LOOKUP($F789,'fuzzy LPA lookup'!$E:$E,'fuzzy LPA lookup'!$A:$A)</f>
        <v>N1920</v>
      </c>
      <c r="E789" s="3" t="str">
        <f>LOOKUP($F789,'fuzzy LPA lookup'!$E:$E,'fuzzy LPA lookup'!$D:$D)</f>
        <v>Hertsmere Borough Council</v>
      </c>
      <c r="F789" s="8">
        <f>IF(ISBLANK('Master Submitted DPDs'!B111),"",'Master Submitted DPDs'!B111)</f>
        <v>1799</v>
      </c>
      <c r="G789" t="str">
        <f>IF(ISBLANK('Master Submitted DPDs'!AS111),"","Withdrawn")</f>
        <v>Withdrawn</v>
      </c>
      <c r="H789" s="2">
        <f>IF(ISBLANK('Master Submitted DPDs'!AS111),"",'Master Submitted DPDs'!AS111)</f>
        <v>43355</v>
      </c>
      <c r="I789" s="3"/>
      <c r="J789" s="3"/>
      <c r="K789" s="3"/>
      <c r="L789" s="2">
        <f>IF(ISBLANK('Master Submitted DPDs'!J111),"",'Master Submitted DPDs'!J111)</f>
        <v>42790</v>
      </c>
      <c r="M789" s="2">
        <f t="shared" si="24"/>
        <v>42790</v>
      </c>
      <c r="N789" s="2">
        <f>IF(ISBLANK('Master Submitted DPDs'!M111),IF(ISBLANK('Master Submitted DPDs'!O111),"",'Master Submitted DPDs'!O111),'Master Submitted DPDs'!M111)</f>
        <v>42793</v>
      </c>
      <c r="O789" s="2" t="str">
        <f>IF(ISBLANK('Master Submitted DPDs'!Q111),"",'Master Submitted DPDs'!Q111)</f>
        <v/>
      </c>
      <c r="P789" s="2" t="str">
        <f>IF(ISBLANK('Master Submitted DPDs'!AO111),"",'Master Submitted DPDs'!AO111)</f>
        <v/>
      </c>
      <c r="Q789" t="str">
        <f>IF(ISBLANK('Master Submitted DPDs'!AU111),"",'Master Submitted DPDs'!AU111)</f>
        <v>DPDW</v>
      </c>
      <c r="R789" t="str">
        <f t="shared" si="25"/>
        <v>Closed</v>
      </c>
      <c r="S789" s="3"/>
      <c r="T789">
        <f>IF(ISBLANK('Master Submitted DPDs'!G111),"",'Master Submitted DPDs'!G111)</f>
        <v>3</v>
      </c>
    </row>
    <row r="790" spans="1:20" ht="15" x14ac:dyDescent="0.2">
      <c r="A790" s="3" t="str">
        <f>IF(ISBLANK('Master Submitted DPDs'!#REF!),"","Local Plans")</f>
        <v>Local Plans</v>
      </c>
      <c r="B790" t="str">
        <f>IF(ISBLANK('Master Submitted DPDs'!F112),"",'Master Submitted DPDs'!F112)</f>
        <v>LP</v>
      </c>
      <c r="C790" s="3" t="str">
        <f>IF(ISBLANK('Master Submitted DPDs'!$B112),"","IH")</f>
        <v>IH</v>
      </c>
      <c r="D790" s="3" t="str">
        <f>LOOKUP($F790,'fuzzy LPA lookup'!$E:$E,'fuzzy LPA lookup'!$A:$A)</f>
        <v>J4525</v>
      </c>
      <c r="E790" s="3" t="str">
        <f>LOOKUP($F790,'fuzzy LPA lookup'!$E:$E,'fuzzy LPA lookup'!$D:$D)</f>
        <v>Sunderland City Council</v>
      </c>
      <c r="F790" s="8">
        <f>IF(ISBLANK('Master Submitted DPDs'!B112),"",'Master Submitted DPDs'!B112)</f>
        <v>1786</v>
      </c>
      <c r="G790" t="str">
        <f>IF(ISBLANK('Master Submitted DPDs'!AS112),"","Withdrawn")</f>
        <v/>
      </c>
      <c r="H790" s="2" t="str">
        <f>IF(ISBLANK('Master Submitted DPDs'!AS112),"",'Master Submitted DPDs'!AS112)</f>
        <v/>
      </c>
      <c r="I790" s="3"/>
      <c r="J790" s="3"/>
      <c r="K790" s="3"/>
      <c r="L790" s="2">
        <f>IF(ISBLANK('Master Submitted DPDs'!J112),"",'Master Submitted DPDs'!J112)</f>
        <v>42794</v>
      </c>
      <c r="M790" s="2">
        <f t="shared" si="24"/>
        <v>42794</v>
      </c>
      <c r="N790" s="2">
        <f>IF(ISBLANK('Master Submitted DPDs'!M112),IF(ISBLANK('Master Submitted DPDs'!O112),"",'Master Submitted DPDs'!O112),'Master Submitted DPDs'!M112)</f>
        <v>42794</v>
      </c>
      <c r="O790" s="2">
        <f>IF(ISBLANK('Master Submitted DPDs'!Q112),"",'Master Submitted DPDs'!Q112)</f>
        <v>42907</v>
      </c>
      <c r="P790" s="2">
        <f>IF(ISBLANK('Master Submitted DPDs'!AO112),"",'Master Submitted DPDs'!AO112)</f>
        <v>43088</v>
      </c>
      <c r="Q790" t="str">
        <f>IF(ISBLANK('Master Submitted DPDs'!AU112),"",'Master Submitted DPDs'!AU112)</f>
        <v>SOU</v>
      </c>
      <c r="R790" t="str">
        <f t="shared" si="25"/>
        <v>Closed</v>
      </c>
      <c r="S790" s="3"/>
      <c r="T790">
        <f>IF(ISBLANK('Master Submitted DPDs'!G112),"",'Master Submitted DPDs'!G112)</f>
        <v>3</v>
      </c>
    </row>
    <row r="791" spans="1:20" ht="15" x14ac:dyDescent="0.2">
      <c r="A791" s="3" t="str">
        <f>IF(ISBLANK('Master Submitted DPDs'!#REF!),"","Local Plans")</f>
        <v>Local Plans</v>
      </c>
      <c r="B791" t="str">
        <f>IF(ISBLANK('Master Submitted DPDs'!F113),"",'Master Submitted DPDs'!F113)</f>
        <v>LP</v>
      </c>
      <c r="C791" s="3" t="str">
        <f>IF(ISBLANK('Master Submitted DPDs'!$B113),"","IH")</f>
        <v>IH</v>
      </c>
      <c r="D791" s="3" t="str">
        <f>LOOKUP($F791,'fuzzy LPA lookup'!$E:$E,'fuzzy LPA lookup'!$A:$A)</f>
        <v>N3020</v>
      </c>
      <c r="E791" s="3" t="str">
        <f>LOOKUP($F791,'fuzzy LPA lookup'!$E:$E,'fuzzy LPA lookup'!$D:$D)</f>
        <v>Gedling Borough Council</v>
      </c>
      <c r="F791" s="8">
        <f>IF(ISBLANK('Master Submitted DPDs'!B113),"",'Master Submitted DPDs'!B113)</f>
        <v>1776</v>
      </c>
      <c r="G791" t="str">
        <f>IF(ISBLANK('Master Submitted DPDs'!AS113),"","Withdrawn")</f>
        <v/>
      </c>
      <c r="H791" s="2" t="str">
        <f>IF(ISBLANK('Master Submitted DPDs'!AS113),"",'Master Submitted DPDs'!AS113)</f>
        <v/>
      </c>
      <c r="I791" s="3"/>
      <c r="J791" s="3"/>
      <c r="K791" s="3"/>
      <c r="L791" s="2">
        <f>IF(ISBLANK('Master Submitted DPDs'!J113),"",'Master Submitted DPDs'!J113)</f>
        <v>42797</v>
      </c>
      <c r="M791" s="2">
        <f t="shared" si="24"/>
        <v>42797</v>
      </c>
      <c r="N791" s="2">
        <f>IF(ISBLANK('Master Submitted DPDs'!M113),IF(ISBLANK('Master Submitted DPDs'!O113),"",'Master Submitted DPDs'!O113),'Master Submitted DPDs'!M113)</f>
        <v>42797</v>
      </c>
      <c r="O791" s="2">
        <f>IF(ISBLANK('Master Submitted DPDs'!Q113),"",'Master Submitted DPDs'!Q113)</f>
        <v>42936</v>
      </c>
      <c r="P791" s="2">
        <f>IF(ISBLANK('Master Submitted DPDs'!AO113),"",'Master Submitted DPDs'!AO113)</f>
        <v>43124</v>
      </c>
      <c r="Q791" t="str">
        <f>IF(ISBLANK('Master Submitted DPDs'!AU113),"",'Master Submitted DPDs'!AU113)</f>
        <v>SOU</v>
      </c>
      <c r="R791" t="str">
        <f t="shared" si="25"/>
        <v>Closed</v>
      </c>
      <c r="S791" s="3"/>
      <c r="T791">
        <f>IF(ISBLANK('Master Submitted DPDs'!G113),"",'Master Submitted DPDs'!G113)</f>
        <v>3</v>
      </c>
    </row>
    <row r="792" spans="1:20" ht="15" x14ac:dyDescent="0.2">
      <c r="A792" s="3" t="str">
        <f>IF(ISBLANK('Master Submitted DPDs'!#REF!),"","Local Plans")</f>
        <v>Local Plans</v>
      </c>
      <c r="B792" t="str">
        <f>IF(ISBLANK('Master Submitted DPDs'!F114),"",'Master Submitted DPDs'!F114)</f>
        <v>AAP</v>
      </c>
      <c r="C792" s="3" t="str">
        <f>IF(ISBLANK('Master Submitted DPDs'!$B114),"","IH")</f>
        <v>IH</v>
      </c>
      <c r="D792" s="3" t="str">
        <f>LOOKUP($F792,'fuzzy LPA lookup'!$E:$E,'fuzzy LPA lookup'!$A:$A)</f>
        <v>C9499</v>
      </c>
      <c r="E792" s="3" t="str">
        <f>LOOKUP($F792,'fuzzy LPA lookup'!$E:$E,'fuzzy LPA lookup'!$D:$D)</f>
        <v>Yorkshire Dales</v>
      </c>
      <c r="F792" s="8">
        <f>IF(ISBLANK('Master Submitted DPDs'!B114),"",'Master Submitted DPDs'!B114)</f>
        <v>1263</v>
      </c>
      <c r="G792" t="str">
        <f>IF(ISBLANK('Master Submitted DPDs'!AS114),"","Withdrawn")</f>
        <v/>
      </c>
      <c r="H792" s="2" t="str">
        <f>IF(ISBLANK('Master Submitted DPDs'!AS114),"",'Master Submitted DPDs'!AS114)</f>
        <v/>
      </c>
      <c r="I792" s="3"/>
      <c r="J792" s="3"/>
      <c r="K792" s="3"/>
      <c r="L792" s="2">
        <f>IF(ISBLANK('Master Submitted DPDs'!J114),"",'Master Submitted DPDs'!J114)</f>
        <v>42804</v>
      </c>
      <c r="M792" s="2">
        <f t="shared" si="24"/>
        <v>42804</v>
      </c>
      <c r="N792" s="2">
        <f>IF(ISBLANK('Master Submitted DPDs'!M114),IF(ISBLANK('Master Submitted DPDs'!O114),"",'Master Submitted DPDs'!O114),'Master Submitted DPDs'!M114)</f>
        <v>42808</v>
      </c>
      <c r="O792" s="2">
        <f>IF(ISBLANK('Master Submitted DPDs'!Q114),"",'Master Submitted DPDs'!Q114)</f>
        <v>42880</v>
      </c>
      <c r="P792" s="2">
        <f>IF(ISBLANK('Master Submitted DPDs'!AO114),"",'Master Submitted DPDs'!AO114)</f>
        <v>43081</v>
      </c>
      <c r="Q792" t="str">
        <f>IF(ISBLANK('Master Submitted DPDs'!AU114),"",'Master Submitted DPDs'!AU114)</f>
        <v>SOU</v>
      </c>
      <c r="R792" t="str">
        <f t="shared" si="25"/>
        <v>Closed</v>
      </c>
      <c r="S792" s="3"/>
      <c r="T792">
        <f>IF(ISBLANK('Master Submitted DPDs'!G114),"",'Master Submitted DPDs'!G114)</f>
        <v>2</v>
      </c>
    </row>
    <row r="793" spans="1:20" ht="15" x14ac:dyDescent="0.2">
      <c r="A793" s="3" t="str">
        <f>IF(ISBLANK('Master Submitted DPDs'!#REF!),"","Local Plans")</f>
        <v>Local Plans</v>
      </c>
      <c r="B793" t="str">
        <f>IF(ISBLANK('Master Submitted DPDs'!F115),"",'Master Submitted DPDs'!F115)</f>
        <v>LP</v>
      </c>
      <c r="C793" s="3" t="str">
        <f>IF(ISBLANK('Master Submitted DPDs'!$B115),"","IH")</f>
        <v>IH</v>
      </c>
      <c r="D793" s="3" t="str">
        <f>LOOKUP($F793,'fuzzy LPA lookup'!$E:$E,'fuzzy LPA lookup'!$A:$A)</f>
        <v>N2535</v>
      </c>
      <c r="E793" s="3" t="str">
        <f>LOOKUP($F793,'fuzzy LPA lookup'!$E:$E,'fuzzy LPA lookup'!$D:$D)</f>
        <v>West Lindsey District Council</v>
      </c>
      <c r="F793" s="8">
        <f>IF(ISBLANK('Master Submitted DPDs'!B115),"",'Master Submitted DPDs'!B115)</f>
        <v>1807</v>
      </c>
      <c r="G793" t="str">
        <f>IF(ISBLANK('Master Submitted DPDs'!AS115),"","Withdrawn")</f>
        <v/>
      </c>
      <c r="H793" s="2" t="str">
        <f>IF(ISBLANK('Master Submitted DPDs'!AS115),"",'Master Submitted DPDs'!AS115)</f>
        <v/>
      </c>
      <c r="I793" s="3"/>
      <c r="J793" s="3"/>
      <c r="K793" s="3"/>
      <c r="L793" s="2">
        <f>IF(ISBLANK('Master Submitted DPDs'!J115),"",'Master Submitted DPDs'!J115)</f>
        <v>42817</v>
      </c>
      <c r="M793" s="2">
        <f t="shared" si="24"/>
        <v>42817</v>
      </c>
      <c r="N793" s="2">
        <f>IF(ISBLANK('Master Submitted DPDs'!M115),IF(ISBLANK('Master Submitted DPDs'!O115),"",'Master Submitted DPDs'!O115),'Master Submitted DPDs'!M115)</f>
        <v>42818</v>
      </c>
      <c r="O793" s="2">
        <f>IF(ISBLANK('Master Submitted DPDs'!Q115),"",'Master Submitted DPDs'!Q115)</f>
        <v>43020</v>
      </c>
      <c r="P793" s="2">
        <f>IF(ISBLANK('Master Submitted DPDs'!AO115),"",'Master Submitted DPDs'!AO115)</f>
        <v>43203</v>
      </c>
      <c r="Q793" t="str">
        <f>IF(ISBLANK('Master Submitted DPDs'!AU115),"",'Master Submitted DPDs'!AU115)</f>
        <v>SOU</v>
      </c>
      <c r="R793" t="str">
        <f t="shared" si="25"/>
        <v>Closed</v>
      </c>
      <c r="S793" s="3"/>
      <c r="T793">
        <f>IF(ISBLANK('Master Submitted DPDs'!G115),"",'Master Submitted DPDs'!G115)</f>
        <v>3</v>
      </c>
    </row>
    <row r="794" spans="1:20" ht="15" x14ac:dyDescent="0.2">
      <c r="A794" s="3" t="str">
        <f>IF(ISBLANK('Master Submitted DPDs'!#REF!),"","Local Plans")</f>
        <v>Local Plans</v>
      </c>
      <c r="B794" t="str">
        <f>IF(ISBLANK('Master Submitted DPDs'!F116),"",'Master Submitted DPDs'!F116)</f>
        <v>PR</v>
      </c>
      <c r="C794" s="3" t="str">
        <f>IF(ISBLANK('Master Submitted DPDs'!$B116),"","IH")</f>
        <v>IH</v>
      </c>
      <c r="D794" s="3" t="str">
        <f>LOOKUP($F794,'fuzzy LPA lookup'!$E:$E,'fuzzy LPA lookup'!$A:$A)</f>
        <v>G0908</v>
      </c>
      <c r="E794" s="3" t="str">
        <f>LOOKUP($F794,'fuzzy LPA lookup'!$E:$E,'fuzzy LPA lookup'!$D:$D)</f>
        <v>Allerdale Borough Council</v>
      </c>
      <c r="F794" s="8">
        <f>IF(ISBLANK('Master Submitted DPDs'!B116),"",'Master Submitted DPDs'!B116)</f>
        <v>1340</v>
      </c>
      <c r="G794" t="str">
        <f>IF(ISBLANK('Master Submitted DPDs'!AS116),"","Withdrawn")</f>
        <v/>
      </c>
      <c r="H794" s="2" t="str">
        <f>IF(ISBLANK('Master Submitted DPDs'!AS116),"",'Master Submitted DPDs'!AS116)</f>
        <v/>
      </c>
      <c r="I794" s="3"/>
      <c r="J794" s="3"/>
      <c r="K794" s="3"/>
      <c r="L794" s="2">
        <f>IF(ISBLANK('Master Submitted DPDs'!J116),"",'Master Submitted DPDs'!J116)</f>
        <v>42817</v>
      </c>
      <c r="M794" s="2">
        <f t="shared" si="24"/>
        <v>42817</v>
      </c>
      <c r="N794" s="2">
        <f>IF(ISBLANK('Master Submitted DPDs'!M116),IF(ISBLANK('Master Submitted DPDs'!O116),"",'Master Submitted DPDs'!O116),'Master Submitted DPDs'!M116)</f>
        <v>42818</v>
      </c>
      <c r="O794" s="2">
        <f>IF(ISBLANK('Master Submitted DPDs'!Q116),"",'Master Submitted DPDs'!Q116)</f>
        <v>43277</v>
      </c>
      <c r="P794" s="2">
        <f>IF(ISBLANK('Master Submitted DPDs'!AO116),"",'Master Submitted DPDs'!AO116)</f>
        <v>43690</v>
      </c>
      <c r="Q794" t="str">
        <f>IF(ISBLANK('Master Submitted DPDs'!AU116),"",'Master Submitted DPDs'!AU116)</f>
        <v>SOU</v>
      </c>
      <c r="R794" t="str">
        <f t="shared" si="25"/>
        <v>Closed</v>
      </c>
      <c r="S794" s="3"/>
      <c r="T794">
        <f>IF(ISBLANK('Master Submitted DPDs'!G116),"",'Master Submitted DPDs'!G116)</f>
        <v>3</v>
      </c>
    </row>
    <row r="795" spans="1:20" ht="15" x14ac:dyDescent="0.2">
      <c r="A795" s="3" t="str">
        <f>IF(ISBLANK('Master Submitted DPDs'!#REF!),"","Local Plans")</f>
        <v>Local Plans</v>
      </c>
      <c r="B795" t="str">
        <f>IF(ISBLANK('Master Submitted DPDs'!F117),"",'Master Submitted DPDs'!F117)</f>
        <v>SA</v>
      </c>
      <c r="C795" s="3" t="str">
        <f>IF(ISBLANK('Master Submitted DPDs'!$B117),"","IH")</f>
        <v>IH</v>
      </c>
      <c r="D795" s="3" t="str">
        <f>LOOKUP($F795,'fuzzy LPA lookup'!$E:$E,'fuzzy LPA lookup'!$A:$A)</f>
        <v>R1010</v>
      </c>
      <c r="E795" s="3" t="str">
        <f>LOOKUP($F795,'fuzzy LPA lookup'!$E:$E,'fuzzy LPA lookup'!$D:$D)</f>
        <v>Bolsover District Council</v>
      </c>
      <c r="F795" s="8">
        <f>IF(ISBLANK('Master Submitted DPDs'!B117),"",'Master Submitted DPDs'!B117)</f>
        <v>645</v>
      </c>
      <c r="G795" t="str">
        <f>IF(ISBLANK('Master Submitted DPDs'!AS117),"","Withdrawn")</f>
        <v/>
      </c>
      <c r="H795" s="2" t="str">
        <f>IF(ISBLANK('Master Submitted DPDs'!AS117),"",'Master Submitted DPDs'!AS117)</f>
        <v/>
      </c>
      <c r="I795" s="3"/>
      <c r="J795" s="3"/>
      <c r="K795" s="3"/>
      <c r="L795" s="2">
        <f>IF(ISBLANK('Master Submitted DPDs'!J117),"",'Master Submitted DPDs'!J117)</f>
        <v>42817</v>
      </c>
      <c r="M795" s="2">
        <f t="shared" si="24"/>
        <v>42817</v>
      </c>
      <c r="N795" s="2">
        <f>IF(ISBLANK('Master Submitted DPDs'!M117),IF(ISBLANK('Master Submitted DPDs'!O117),"",'Master Submitted DPDs'!O117),'Master Submitted DPDs'!M117)</f>
        <v>42818</v>
      </c>
      <c r="O795" s="2">
        <f>IF(ISBLANK('Master Submitted DPDs'!Q117),"",'Master Submitted DPDs'!Q117)</f>
        <v>43278</v>
      </c>
      <c r="P795" s="2">
        <f>IF(ISBLANK('Master Submitted DPDs'!AO117),"",'Master Submitted DPDs'!AO117)</f>
        <v>43690</v>
      </c>
      <c r="Q795" t="str">
        <f>IF(ISBLANK('Master Submitted DPDs'!AU117),"",'Master Submitted DPDs'!AU117)</f>
        <v>SOU</v>
      </c>
      <c r="R795" t="str">
        <f t="shared" si="25"/>
        <v>Closed</v>
      </c>
      <c r="S795" s="3"/>
      <c r="T795">
        <f>IF(ISBLANK('Master Submitted DPDs'!G117),"",'Master Submitted DPDs'!G117)</f>
        <v>2</v>
      </c>
    </row>
    <row r="796" spans="1:20" ht="15" x14ac:dyDescent="0.2">
      <c r="A796" s="3" t="str">
        <f>IF(ISBLANK('Master Submitted DPDs'!#REF!),"","Local Plans")</f>
        <v>Local Plans</v>
      </c>
      <c r="B796" t="str">
        <f>IF(ISBLANK('Master Submitted DPDs'!F118),"",'Master Submitted DPDs'!F118)</f>
        <v>AAP</v>
      </c>
      <c r="C796" s="3" t="str">
        <f>IF(ISBLANK('Master Submitted DPDs'!$B118),"","IH")</f>
        <v>IH</v>
      </c>
      <c r="D796" s="3" t="str">
        <f>LOOKUP($F796,'fuzzy LPA lookup'!$E:$E,'fuzzy LPA lookup'!$A:$A)</f>
        <v>N2535</v>
      </c>
      <c r="E796" s="3" t="str">
        <f>LOOKUP($F796,'fuzzy LPA lookup'!$E:$E,'fuzzy LPA lookup'!$D:$D)</f>
        <v>West Lindsey District Council</v>
      </c>
      <c r="F796" s="8">
        <f>IF(ISBLANK('Master Submitted DPDs'!B118),"",'Master Submitted DPDs'!B118)</f>
        <v>1814</v>
      </c>
      <c r="G796" t="str">
        <f>IF(ISBLANK('Master Submitted DPDs'!AS118),"","Withdrawn")</f>
        <v/>
      </c>
      <c r="H796" s="2" t="str">
        <f>IF(ISBLANK('Master Submitted DPDs'!AS118),"",'Master Submitted DPDs'!AS118)</f>
        <v/>
      </c>
      <c r="I796" s="3"/>
      <c r="J796" s="3"/>
      <c r="K796" s="3"/>
      <c r="L796" s="2">
        <f>IF(ISBLANK('Master Submitted DPDs'!J118),"",'Master Submitted DPDs'!J118)</f>
        <v>42824</v>
      </c>
      <c r="M796" s="2">
        <f t="shared" si="24"/>
        <v>42824</v>
      </c>
      <c r="N796" s="2">
        <f>IF(ISBLANK('Master Submitted DPDs'!M118),IF(ISBLANK('Master Submitted DPDs'!O118),"",'Master Submitted DPDs'!O118),'Master Submitted DPDs'!M118)</f>
        <v>42824</v>
      </c>
      <c r="O796" s="2">
        <f>IF(ISBLANK('Master Submitted DPDs'!Q118),"",'Master Submitted DPDs'!Q118)</f>
        <v>42922</v>
      </c>
      <c r="P796" s="2">
        <f>IF(ISBLANK('Master Submitted DPDs'!AO118),"",'Master Submitted DPDs'!AO118)</f>
        <v>43087</v>
      </c>
      <c r="Q796" t="str">
        <f>IF(ISBLANK('Master Submitted DPDs'!AU118),"",'Master Submitted DPDs'!AU118)</f>
        <v>SOU</v>
      </c>
      <c r="R796" t="str">
        <f t="shared" si="25"/>
        <v>Closed</v>
      </c>
      <c r="S796" s="3"/>
      <c r="T796">
        <f>IF(ISBLANK('Master Submitted DPDs'!G118),"",'Master Submitted DPDs'!G118)</f>
        <v>2</v>
      </c>
    </row>
    <row r="797" spans="1:20" ht="15" x14ac:dyDescent="0.2">
      <c r="A797" s="3" t="str">
        <f>IF(ISBLANK('Master Submitted DPDs'!#REF!),"","Local Plans")</f>
        <v>Local Plans</v>
      </c>
      <c r="B797" t="str">
        <f>IF(ISBLANK('Master Submitted DPDs'!F119),"",'Master Submitted DPDs'!F119)</f>
        <v>SA</v>
      </c>
      <c r="C797" s="3" t="str">
        <f>IF(ISBLANK('Master Submitted DPDs'!$B119),"","IH")</f>
        <v>IH</v>
      </c>
      <c r="D797" s="3" t="str">
        <f>LOOKUP($F797,'fuzzy LPA lookup'!$E:$E,'fuzzy LPA lookup'!$A:$A)</f>
        <v>J4525</v>
      </c>
      <c r="E797" s="3" t="str">
        <f>LOOKUP($F797,'fuzzy LPA lookup'!$E:$E,'fuzzy LPA lookup'!$D:$D)</f>
        <v>Sunderland City Council</v>
      </c>
      <c r="F797" s="8">
        <f>IF(ISBLANK('Master Submitted DPDs'!B119),"",'Master Submitted DPDs'!B119)</f>
        <v>1791</v>
      </c>
      <c r="G797" t="str">
        <f>IF(ISBLANK('Master Submitted DPDs'!AS119),"","Withdrawn")</f>
        <v/>
      </c>
      <c r="H797" s="2" t="str">
        <f>IF(ISBLANK('Master Submitted DPDs'!AS119),"",'Master Submitted DPDs'!AS119)</f>
        <v/>
      </c>
      <c r="I797" s="3"/>
      <c r="J797" s="3"/>
      <c r="K797" s="3"/>
      <c r="L797" s="2">
        <f>IF(ISBLANK('Master Submitted DPDs'!J119),"",'Master Submitted DPDs'!J119)</f>
        <v>42825</v>
      </c>
      <c r="M797" s="2">
        <f t="shared" si="24"/>
        <v>42825</v>
      </c>
      <c r="N797" s="2">
        <f>IF(ISBLANK('Master Submitted DPDs'!M119),IF(ISBLANK('Master Submitted DPDs'!O119),"",'Master Submitted DPDs'!O119),'Master Submitted DPDs'!M119)</f>
        <v>42825</v>
      </c>
      <c r="O797" s="2">
        <f>IF(ISBLANK('Master Submitted DPDs'!Q119),"",'Master Submitted DPDs'!Q119)</f>
        <v>42991</v>
      </c>
      <c r="P797" s="2">
        <f>IF(ISBLANK('Master Submitted DPDs'!AO119),"",'Master Submitted DPDs'!AO119)</f>
        <v>43263</v>
      </c>
      <c r="Q797" t="str">
        <f>IF(ISBLANK('Master Submitted DPDs'!AU119),"",'Master Submitted DPDs'!AU119)</f>
        <v>SOU</v>
      </c>
      <c r="R797" t="str">
        <f t="shared" si="25"/>
        <v>Closed</v>
      </c>
      <c r="S797" s="3"/>
      <c r="T797">
        <f>IF(ISBLANK('Master Submitted DPDs'!G119),"",'Master Submitted DPDs'!G119)</f>
        <v>2</v>
      </c>
    </row>
    <row r="798" spans="1:20" ht="15" x14ac:dyDescent="0.2">
      <c r="A798" s="3" t="str">
        <f>IF(ISBLANK('Master Submitted DPDs'!#REF!),"","Local Plans")</f>
        <v>Local Plans</v>
      </c>
      <c r="B798" t="str">
        <f>IF(ISBLANK('Master Submitted DPDs'!F120),"",'Master Submitted DPDs'!F120)</f>
        <v>LP</v>
      </c>
      <c r="C798" s="3" t="str">
        <f>IF(ISBLANK('Master Submitted DPDs'!$B120),"","IH")</f>
        <v>IH</v>
      </c>
      <c r="D798" s="3" t="str">
        <f>LOOKUP($F798,'fuzzy LPA lookup'!$E:$E,'fuzzy LPA lookup'!$A:$A)</f>
        <v>N1920</v>
      </c>
      <c r="E798" s="3" t="str">
        <f>LOOKUP($F798,'fuzzy LPA lookup'!$E:$E,'fuzzy LPA lookup'!$D:$D)</f>
        <v>Hertsmere Borough Council</v>
      </c>
      <c r="F798" s="8">
        <f>IF(ISBLANK('Master Submitted DPDs'!B120),"",'Master Submitted DPDs'!B120)</f>
        <v>1794</v>
      </c>
      <c r="G798" t="str">
        <f>IF(ISBLANK('Master Submitted DPDs'!AS120),"","Withdrawn")</f>
        <v/>
      </c>
      <c r="H798" s="2" t="str">
        <f>IF(ISBLANK('Master Submitted DPDs'!AS120),"",'Master Submitted DPDs'!AS120)</f>
        <v/>
      </c>
      <c r="I798" s="3"/>
      <c r="J798" s="3"/>
      <c r="K798" s="3"/>
      <c r="L798" s="2">
        <f>IF(ISBLANK('Master Submitted DPDs'!J120),"",'Master Submitted DPDs'!J120)</f>
        <v>42825</v>
      </c>
      <c r="M798" s="2">
        <f t="shared" si="24"/>
        <v>42825</v>
      </c>
      <c r="N798" s="2">
        <f>IF(ISBLANK('Master Submitted DPDs'!M120),IF(ISBLANK('Master Submitted DPDs'!O120),"",'Master Submitted DPDs'!O120),'Master Submitted DPDs'!M120)</f>
        <v>42825</v>
      </c>
      <c r="O798" s="2">
        <f>IF(ISBLANK('Master Submitted DPDs'!Q120),"",'Master Submitted DPDs'!Q120)</f>
        <v>43130</v>
      </c>
      <c r="P798" s="2">
        <f>IF(ISBLANK('Master Submitted DPDs'!AO120),"",'Master Submitted DPDs'!AO120)</f>
        <v>43291</v>
      </c>
      <c r="Q798" t="str">
        <f>IF(ISBLANK('Master Submitted DPDs'!AU120),"",'Master Submitted DPDs'!AU120)</f>
        <v>SOU</v>
      </c>
      <c r="R798" t="str">
        <f t="shared" si="25"/>
        <v>Closed</v>
      </c>
      <c r="S798" s="3"/>
      <c r="T798">
        <f>IF(ISBLANK('Master Submitted DPDs'!G120),"",'Master Submitted DPDs'!G120)</f>
        <v>3</v>
      </c>
    </row>
    <row r="799" spans="1:20" ht="15" x14ac:dyDescent="0.2">
      <c r="A799" s="3" t="str">
        <f>IF(ISBLANK('Master Submitted DPDs'!#REF!),"","Local Plans")</f>
        <v>Local Plans</v>
      </c>
      <c r="B799" t="str">
        <f>IF(ISBLANK('Master Submitted DPDs'!F121),"",'Master Submitted DPDs'!F121)</f>
        <v>SA</v>
      </c>
      <c r="C799" s="3" t="str">
        <f>IF(ISBLANK('Master Submitted DPDs'!$B121),"","IH")</f>
        <v>IH</v>
      </c>
      <c r="D799" s="3" t="str">
        <f>LOOKUP($F799,'fuzzy LPA lookup'!$E:$E,'fuzzy LPA lookup'!$A:$A)</f>
        <v>N1920</v>
      </c>
      <c r="E799" s="3" t="str">
        <f>LOOKUP($F799,'fuzzy LPA lookup'!$E:$E,'fuzzy LPA lookup'!$D:$D)</f>
        <v>Hertsmere Borough Council</v>
      </c>
      <c r="F799" s="8">
        <f>IF(ISBLANK('Master Submitted DPDs'!B121),"",'Master Submitted DPDs'!B121)</f>
        <v>1802</v>
      </c>
      <c r="G799" t="str">
        <f>IF(ISBLANK('Master Submitted DPDs'!AS121),"","Withdrawn")</f>
        <v/>
      </c>
      <c r="H799" s="2" t="str">
        <f>IF(ISBLANK('Master Submitted DPDs'!AS121),"",'Master Submitted DPDs'!AS121)</f>
        <v/>
      </c>
      <c r="I799" s="3"/>
      <c r="J799" s="3"/>
      <c r="K799" s="3"/>
      <c r="L799" s="2">
        <f>IF(ISBLANK('Master Submitted DPDs'!J121),"",'Master Submitted DPDs'!J121)</f>
        <v>42825</v>
      </c>
      <c r="M799" s="2">
        <f t="shared" si="24"/>
        <v>42825</v>
      </c>
      <c r="N799" s="2">
        <f>IF(ISBLANK('Master Submitted DPDs'!M121),IF(ISBLANK('Master Submitted DPDs'!O121),"",'Master Submitted DPDs'!O121),'Master Submitted DPDs'!M121)</f>
        <v>42825</v>
      </c>
      <c r="O799" s="2">
        <f>IF(ISBLANK('Master Submitted DPDs'!Q121),"",'Master Submitted DPDs'!Q121)</f>
        <v>42999</v>
      </c>
      <c r="P799" s="2">
        <f>IF(ISBLANK('Master Submitted DPDs'!AO121),"",'Master Submitted DPDs'!AO121)</f>
        <v>43399</v>
      </c>
      <c r="Q799" t="str">
        <f>IF(ISBLANK('Master Submitted DPDs'!AU121),"",'Master Submitted DPDs'!AU121)</f>
        <v>SOU</v>
      </c>
      <c r="R799" t="str">
        <f t="shared" si="25"/>
        <v>Closed</v>
      </c>
      <c r="S799" s="3"/>
      <c r="T799">
        <f>IF(ISBLANK('Master Submitted DPDs'!G121),"",'Master Submitted DPDs'!G121)</f>
        <v>2</v>
      </c>
    </row>
    <row r="800" spans="1:20" ht="15" x14ac:dyDescent="0.2">
      <c r="A800" s="3" t="str">
        <f>IF(ISBLANK('Master Submitted DPDs'!#REF!),"","Local Plans")</f>
        <v>Local Plans</v>
      </c>
      <c r="B800" t="str">
        <f>IF(ISBLANK('Master Submitted DPDs'!F122),"",'Master Submitted DPDs'!F122)</f>
        <v>LP</v>
      </c>
      <c r="C800" s="3" t="str">
        <f>IF(ISBLANK('Master Submitted DPDs'!$B122),"","IH")</f>
        <v>IH</v>
      </c>
      <c r="D800" s="3" t="str">
        <f>LOOKUP($F800,'fuzzy LPA lookup'!$E:$E,'fuzzy LPA lookup'!$A:$A)</f>
        <v>Z0116</v>
      </c>
      <c r="E800" s="3" t="str">
        <f>LOOKUP($F800,'fuzzy LPA lookup'!$E:$E,'fuzzy LPA lookup'!$D:$D)</f>
        <v>Bristol City Council</v>
      </c>
      <c r="F800" s="8">
        <f>IF(ISBLANK('Master Submitted DPDs'!B122),"",'Master Submitted DPDs'!B122)</f>
        <v>1648</v>
      </c>
      <c r="G800" t="str">
        <f>IF(ISBLANK('Master Submitted DPDs'!AS122),"","Withdrawn")</f>
        <v/>
      </c>
      <c r="H800" s="2" t="str">
        <f>IF(ISBLANK('Master Submitted DPDs'!AS122),"",'Master Submitted DPDs'!AS122)</f>
        <v/>
      </c>
      <c r="I800" s="3"/>
      <c r="J800" s="3"/>
      <c r="K800" s="3"/>
      <c r="L800" s="2">
        <f>IF(ISBLANK('Master Submitted DPDs'!J122),"",'Master Submitted DPDs'!J122)</f>
        <v>42825</v>
      </c>
      <c r="M800" s="2">
        <f t="shared" si="24"/>
        <v>42825</v>
      </c>
      <c r="N800" s="2">
        <f>IF(ISBLANK('Master Submitted DPDs'!M122),IF(ISBLANK('Master Submitted DPDs'!O122),"",'Master Submitted DPDs'!O122),'Master Submitted DPDs'!M122)</f>
        <v>42825</v>
      </c>
      <c r="O800" s="2">
        <f>IF(ISBLANK('Master Submitted DPDs'!Q122),"",'Master Submitted DPDs'!Q122)</f>
        <v>43516</v>
      </c>
      <c r="P800" s="2">
        <f>IF(ISBLANK('Master Submitted DPDs'!AO122),"",'Master Submitted DPDs'!AO122)</f>
        <v>44008</v>
      </c>
      <c r="Q800" t="str">
        <f>IF(ISBLANK('Master Submitted DPDs'!AU122),"",'Master Submitted DPDs'!AU122)</f>
        <v>SOU</v>
      </c>
      <c r="R800" t="str">
        <f t="shared" si="25"/>
        <v>Closed</v>
      </c>
      <c r="S800" s="3"/>
      <c r="T800">
        <f>IF(ISBLANK('Master Submitted DPDs'!G122),"",'Master Submitted DPDs'!G122)</f>
        <v>3</v>
      </c>
    </row>
    <row r="801" spans="1:20" ht="15" x14ac:dyDescent="0.2">
      <c r="A801" s="3" t="str">
        <f>IF(ISBLANK('Master Submitted DPDs'!#REF!),"","Local Plans")</f>
        <v>Local Plans</v>
      </c>
      <c r="B801" t="str">
        <f>IF(ISBLANK('Master Submitted DPDs'!F123),"",'Master Submitted DPDs'!F123)</f>
        <v>M&amp;W</v>
      </c>
      <c r="C801" s="3" t="str">
        <f>IF(ISBLANK('Master Submitted DPDs'!$B123),"","IH")</f>
        <v>IH</v>
      </c>
      <c r="D801" s="3" t="str">
        <f>LOOKUP($F801,'fuzzy LPA lookup'!$E:$E,'fuzzy LPA lookup'!$A:$A)</f>
        <v>X5210</v>
      </c>
      <c r="E801" s="3" t="str">
        <f>LOOKUP($F801,'fuzzy LPA lookup'!$E:$E,'fuzzy LPA lookup'!$D:$D)</f>
        <v>London Borough of Camden</v>
      </c>
      <c r="F801" s="8">
        <f>IF(ISBLANK('Master Submitted DPDs'!B123),"",'Master Submitted DPDs'!B123)</f>
        <v>1026</v>
      </c>
      <c r="G801" t="str">
        <f>IF(ISBLANK('Master Submitted DPDs'!AS123),"","Withdrawn")</f>
        <v/>
      </c>
      <c r="H801" s="2" t="str">
        <f>IF(ISBLANK('Master Submitted DPDs'!AS123),"",'Master Submitted DPDs'!AS123)</f>
        <v/>
      </c>
      <c r="I801" s="3"/>
      <c r="J801" s="3"/>
      <c r="K801" s="3"/>
      <c r="L801" s="2">
        <f>IF(ISBLANK('Master Submitted DPDs'!J123),"",'Master Submitted DPDs'!J123)</f>
        <v>42828</v>
      </c>
      <c r="M801" s="2">
        <f t="shared" si="24"/>
        <v>42828</v>
      </c>
      <c r="N801" s="2">
        <f>IF(ISBLANK('Master Submitted DPDs'!M123),IF(ISBLANK('Master Submitted DPDs'!O123),"",'Master Submitted DPDs'!O123),'Master Submitted DPDs'!M123)</f>
        <v>42829</v>
      </c>
      <c r="O801" s="2">
        <f>IF(ISBLANK('Master Submitted DPDs'!Q123),"",'Master Submitted DPDs'!Q123)</f>
        <v>42943</v>
      </c>
      <c r="P801" s="2">
        <f>IF(ISBLANK('Master Submitted DPDs'!AO123),"",'Master Submitted DPDs'!AO123)</f>
        <v>42997</v>
      </c>
      <c r="Q801" t="str">
        <f>IF(ISBLANK('Master Submitted DPDs'!AU123),"",'Master Submitted DPDs'!AU123)</f>
        <v>SOU</v>
      </c>
      <c r="R801" t="str">
        <f t="shared" si="25"/>
        <v>Closed</v>
      </c>
      <c r="S801" s="3"/>
      <c r="T801">
        <f>IF(ISBLANK('Master Submitted DPDs'!G123),"",'Master Submitted DPDs'!G123)</f>
        <v>2</v>
      </c>
    </row>
    <row r="802" spans="1:20" ht="15" x14ac:dyDescent="0.2">
      <c r="A802" s="3" t="str">
        <f>IF(ISBLANK('Master Submitted DPDs'!#REF!),"","Local Plans")</f>
        <v>Local Plans</v>
      </c>
      <c r="B802" t="str">
        <f>IF(ISBLANK('Master Submitted DPDs'!F124),"",'Master Submitted DPDs'!F124)</f>
        <v>LP</v>
      </c>
      <c r="C802" s="3" t="str">
        <f>IF(ISBLANK('Master Submitted DPDs'!$B124),"","IH")</f>
        <v>IH</v>
      </c>
      <c r="D802" s="3" t="str">
        <f>LOOKUP($F802,'fuzzy LPA lookup'!$E:$E,'fuzzy LPA lookup'!$A:$A)</f>
        <v>X1355</v>
      </c>
      <c r="E802" s="3" t="str">
        <f>LOOKUP($F802,'fuzzy LPA lookup'!$E:$E,'fuzzy LPA lookup'!$D:$D)</f>
        <v>Durham County Council</v>
      </c>
      <c r="F802" s="8">
        <f>IF(ISBLANK('Master Submitted DPDs'!B124),"",'Master Submitted DPDs'!B124)</f>
        <v>1092</v>
      </c>
      <c r="G802" t="str">
        <f>IF(ISBLANK('Master Submitted DPDs'!AS124),"","Withdrawn")</f>
        <v>Withdrawn</v>
      </c>
      <c r="H802" s="2">
        <f>IF(ISBLANK('Master Submitted DPDs'!AS124),"",'Master Submitted DPDs'!AS124)</f>
        <v>42923</v>
      </c>
      <c r="I802" s="3"/>
      <c r="J802" s="3"/>
      <c r="K802" s="3"/>
      <c r="L802" s="2">
        <f>IF(ISBLANK('Master Submitted DPDs'!J124),"",'Master Submitted DPDs'!J124)</f>
        <v>42832</v>
      </c>
      <c r="M802" s="2">
        <f t="shared" si="24"/>
        <v>42832</v>
      </c>
      <c r="N802" s="2">
        <f>IF(ISBLANK('Master Submitted DPDs'!M124),IF(ISBLANK('Master Submitted DPDs'!O124),"",'Master Submitted DPDs'!O124),'Master Submitted DPDs'!M124)</f>
        <v>42832</v>
      </c>
      <c r="O802" s="2" t="str">
        <f>IF(ISBLANK('Master Submitted DPDs'!Q124),"",'Master Submitted DPDs'!Q124)</f>
        <v/>
      </c>
      <c r="P802" s="2" t="str">
        <f>IF(ISBLANK('Master Submitted DPDs'!AO124),"",'Master Submitted DPDs'!AO124)</f>
        <v/>
      </c>
      <c r="Q802" t="str">
        <f>IF(ISBLANK('Master Submitted DPDs'!AU124),"",'Master Submitted DPDs'!AU124)</f>
        <v>DPDW</v>
      </c>
      <c r="R802" t="str">
        <f t="shared" si="25"/>
        <v>Closed</v>
      </c>
      <c r="S802" s="3"/>
      <c r="T802">
        <f>IF(ISBLANK('Master Submitted DPDs'!G124),"",'Master Submitted DPDs'!G124)</f>
        <v>3</v>
      </c>
    </row>
    <row r="803" spans="1:20" ht="15" x14ac:dyDescent="0.2">
      <c r="A803" s="3" t="str">
        <f>IF(ISBLANK('Master Submitted DPDs'!#REF!),"","Local Plans")</f>
        <v>Local Plans</v>
      </c>
      <c r="B803" t="str">
        <f>IF(ISBLANK('Master Submitted DPDs'!F125),"",'Master Submitted DPDs'!F125)</f>
        <v>LP</v>
      </c>
      <c r="C803" s="3" t="str">
        <f>IF(ISBLANK('Master Submitted DPDs'!$B125),"","IH")</f>
        <v>IH</v>
      </c>
      <c r="D803" s="3" t="str">
        <f>LOOKUP($F803,'fuzzy LPA lookup'!$E:$E,'fuzzy LPA lookup'!$A:$A)</f>
        <v>N2535</v>
      </c>
      <c r="E803" s="3" t="str">
        <f>LOOKUP($F803,'fuzzy LPA lookup'!$E:$E,'fuzzy LPA lookup'!$D:$D)</f>
        <v>West Lindsey District Council</v>
      </c>
      <c r="F803" s="8">
        <f>IF(ISBLANK('Master Submitted DPDs'!B125),"",'Master Submitted DPDs'!B125)</f>
        <v>1810</v>
      </c>
      <c r="G803" t="str">
        <f>IF(ISBLANK('Master Submitted DPDs'!AS125),"","Withdrawn")</f>
        <v/>
      </c>
      <c r="H803" s="2" t="str">
        <f>IF(ISBLANK('Master Submitted DPDs'!AS125),"",'Master Submitted DPDs'!AS125)</f>
        <v/>
      </c>
      <c r="I803" s="3"/>
      <c r="J803" s="3"/>
      <c r="K803" s="3"/>
      <c r="L803" s="2">
        <f>IF(ISBLANK('Master Submitted DPDs'!J125),"",'Master Submitted DPDs'!J125)</f>
        <v>42837</v>
      </c>
      <c r="M803" s="2">
        <f t="shared" si="24"/>
        <v>42837</v>
      </c>
      <c r="N803" s="2">
        <f>IF(ISBLANK('Master Submitted DPDs'!M125),IF(ISBLANK('Master Submitted DPDs'!O125),"",'Master Submitted DPDs'!O125),'Master Submitted DPDs'!M125)</f>
        <v>42831</v>
      </c>
      <c r="O803" s="2">
        <f>IF(ISBLANK('Master Submitted DPDs'!Q125),"",'Master Submitted DPDs'!Q125)</f>
        <v>43006</v>
      </c>
      <c r="P803" s="2">
        <f>IF(ISBLANK('Master Submitted DPDs'!AO125),"",'Master Submitted DPDs'!AO125)</f>
        <v>43130</v>
      </c>
      <c r="Q803" t="str">
        <f>IF(ISBLANK('Master Submitted DPDs'!AU125),"",'Master Submitted DPDs'!AU125)</f>
        <v>SOU</v>
      </c>
      <c r="R803" t="str">
        <f t="shared" si="25"/>
        <v>Closed</v>
      </c>
      <c r="S803" s="3"/>
      <c r="T803">
        <f>IF(ISBLANK('Master Submitted DPDs'!G125),"",'Master Submitted DPDs'!G125)</f>
        <v>3</v>
      </c>
    </row>
    <row r="804" spans="1:20" ht="15" x14ac:dyDescent="0.2">
      <c r="A804" s="3" t="str">
        <f>IF(ISBLANK('Master Submitted DPDs'!#REF!),"","Local Plans")</f>
        <v>Local Plans</v>
      </c>
      <c r="B804" t="str">
        <f>IF(ISBLANK('Master Submitted DPDs'!F126),"",'Master Submitted DPDs'!F126)</f>
        <v>LP</v>
      </c>
      <c r="C804" s="3" t="str">
        <f>IF(ISBLANK('Master Submitted DPDs'!$B126),"","IH")</f>
        <v>IH</v>
      </c>
      <c r="D804" s="3" t="str">
        <f>LOOKUP($F804,'fuzzy LPA lookup'!$E:$E,'fuzzy LPA lookup'!$A:$A)</f>
        <v>Z0923</v>
      </c>
      <c r="E804" s="3" t="str">
        <f>LOOKUP($F804,'fuzzy LPA lookup'!$E:$E,'fuzzy LPA lookup'!$D:$D)</f>
        <v>Copeland Borough Council</v>
      </c>
      <c r="F804" s="8">
        <f>IF(ISBLANK('Master Submitted DPDs'!B126),"",'Master Submitted DPDs'!B126)</f>
        <v>1372</v>
      </c>
      <c r="G804" t="str">
        <f>IF(ISBLANK('Master Submitted DPDs'!AS126),"","Withdrawn")</f>
        <v/>
      </c>
      <c r="H804" s="2" t="str">
        <f>IF(ISBLANK('Master Submitted DPDs'!AS126),"",'Master Submitted DPDs'!AS126)</f>
        <v/>
      </c>
      <c r="I804" s="3"/>
      <c r="J804" s="3"/>
      <c r="K804" s="3"/>
      <c r="L804" s="2">
        <f>IF(ISBLANK('Master Submitted DPDs'!J126),"",'Master Submitted DPDs'!J126)</f>
        <v>42843</v>
      </c>
      <c r="M804" s="2">
        <f t="shared" si="24"/>
        <v>42843</v>
      </c>
      <c r="N804" s="2">
        <f>IF(ISBLANK('Master Submitted DPDs'!M126),IF(ISBLANK('Master Submitted DPDs'!O126),"",'Master Submitted DPDs'!O126),'Master Submitted DPDs'!M126)</f>
        <v>42853</v>
      </c>
      <c r="O804" s="2">
        <f>IF(ISBLANK('Master Submitted DPDs'!Q126),"",'Master Submitted DPDs'!Q126)</f>
        <v>43014</v>
      </c>
      <c r="P804" s="2">
        <f>IF(ISBLANK('Master Submitted DPDs'!AO126),"",'Master Submitted DPDs'!AO126)</f>
        <v>43182</v>
      </c>
      <c r="Q804" t="str">
        <f>IF(ISBLANK('Master Submitted DPDs'!AU126),"",'Master Submitted DPDs'!AU126)</f>
        <v>SOU</v>
      </c>
      <c r="R804" t="str">
        <f t="shared" si="25"/>
        <v>Closed</v>
      </c>
      <c r="S804" s="3"/>
      <c r="T804">
        <f>IF(ISBLANK('Master Submitted DPDs'!G126),"",'Master Submitted DPDs'!G126)</f>
        <v>3</v>
      </c>
    </row>
    <row r="805" spans="1:20" ht="15" x14ac:dyDescent="0.2">
      <c r="A805" s="3" t="str">
        <f>IF(ISBLANK('Master Submitted DPDs'!#REF!),"","Local Plans")</f>
        <v>Local Plans</v>
      </c>
      <c r="B805" t="str">
        <f>IF(ISBLANK('Master Submitted DPDs'!F127),"",'Master Submitted DPDs'!F127)</f>
        <v>CS</v>
      </c>
      <c r="C805" s="3" t="str">
        <f>IF(ISBLANK('Master Submitted DPDs'!$B127),"","IH")</f>
        <v>IH</v>
      </c>
      <c r="D805" s="3" t="str">
        <f>LOOKUP($F805,'fuzzy LPA lookup'!$E:$E,'fuzzy LPA lookup'!$A:$A)</f>
        <v>N2535</v>
      </c>
      <c r="E805" s="3" t="str">
        <f>LOOKUP($F805,'fuzzy LPA lookup'!$E:$E,'fuzzy LPA lookup'!$D:$D)</f>
        <v>West Lindsey District Council</v>
      </c>
      <c r="F805" s="8">
        <f>IF(ISBLANK('Master Submitted DPDs'!B127),"",'Master Submitted DPDs'!B127)</f>
        <v>1803</v>
      </c>
      <c r="G805" t="str">
        <f>IF(ISBLANK('Master Submitted DPDs'!AS127),"","Withdrawn")</f>
        <v/>
      </c>
      <c r="H805" s="2" t="str">
        <f>IF(ISBLANK('Master Submitted DPDs'!AS127),"",'Master Submitted DPDs'!AS127)</f>
        <v/>
      </c>
      <c r="I805" s="3"/>
      <c r="J805" s="3"/>
      <c r="K805" s="3"/>
      <c r="L805" s="2">
        <f>IF(ISBLANK('Master Submitted DPDs'!J127),"",'Master Submitted DPDs'!J127)</f>
        <v>42843</v>
      </c>
      <c r="M805" s="2">
        <f t="shared" si="24"/>
        <v>42843</v>
      </c>
      <c r="N805" s="2">
        <f>IF(ISBLANK('Master Submitted DPDs'!M127),IF(ISBLANK('Master Submitted DPDs'!O127),"",'Master Submitted DPDs'!O127),'Master Submitted DPDs'!M127)</f>
        <v>42843</v>
      </c>
      <c r="O805" s="2">
        <f>IF(ISBLANK('Master Submitted DPDs'!Q127),"",'Master Submitted DPDs'!Q127)</f>
        <v>43012</v>
      </c>
      <c r="P805" s="2">
        <f>IF(ISBLANK('Master Submitted DPDs'!AO127),"",'Master Submitted DPDs'!AO127)</f>
        <v>43223</v>
      </c>
      <c r="Q805" t="str">
        <f>IF(ISBLANK('Master Submitted DPDs'!AU127),"",'Master Submitted DPDs'!AU127)</f>
        <v>SOU</v>
      </c>
      <c r="R805" t="str">
        <f t="shared" si="25"/>
        <v>Closed</v>
      </c>
      <c r="S805" s="3"/>
      <c r="T805">
        <f>IF(ISBLANK('Master Submitted DPDs'!G127),"",'Master Submitted DPDs'!G127)</f>
        <v>3</v>
      </c>
    </row>
    <row r="806" spans="1:20" ht="15" x14ac:dyDescent="0.2">
      <c r="A806" s="3" t="str">
        <f>IF(ISBLANK('Master Submitted DPDs'!#REF!),"","Local Plans")</f>
        <v>Local Plans</v>
      </c>
      <c r="B806" t="str">
        <f>IF(ISBLANK('Master Submitted DPDs'!F128),"",'Master Submitted DPDs'!F128)</f>
        <v>SA</v>
      </c>
      <c r="C806" s="3" t="str">
        <f>IF(ISBLANK('Master Submitted DPDs'!$B128),"","IH")</f>
        <v>IH</v>
      </c>
      <c r="D806" s="3" t="str">
        <f>LOOKUP($F806,'fuzzy LPA lookup'!$E:$E,'fuzzy LPA lookup'!$A:$A)</f>
        <v>N2535</v>
      </c>
      <c r="E806" s="3" t="str">
        <f>LOOKUP($F806,'fuzzy LPA lookup'!$E:$E,'fuzzy LPA lookup'!$D:$D)</f>
        <v>West Lindsey District Council</v>
      </c>
      <c r="F806" s="8">
        <f>IF(ISBLANK('Master Submitted DPDs'!B128),"",'Master Submitted DPDs'!B128)</f>
        <v>1804</v>
      </c>
      <c r="G806" t="str">
        <f>IF(ISBLANK('Master Submitted DPDs'!AS128),"","Withdrawn")</f>
        <v/>
      </c>
      <c r="H806" s="2" t="str">
        <f>IF(ISBLANK('Master Submitted DPDs'!AS128),"",'Master Submitted DPDs'!AS128)</f>
        <v/>
      </c>
      <c r="I806" s="3"/>
      <c r="J806" s="3"/>
      <c r="K806" s="3"/>
      <c r="L806" s="2">
        <f>IF(ISBLANK('Master Submitted DPDs'!J128),"",'Master Submitted DPDs'!J128)</f>
        <v>42843</v>
      </c>
      <c r="M806" s="2">
        <f t="shared" si="24"/>
        <v>42843</v>
      </c>
      <c r="N806" s="2">
        <f>IF(ISBLANK('Master Submitted DPDs'!M128),IF(ISBLANK('Master Submitted DPDs'!O128),"",'Master Submitted DPDs'!O128),'Master Submitted DPDs'!M128)</f>
        <v>42843</v>
      </c>
      <c r="O806" s="2">
        <f>IF(ISBLANK('Master Submitted DPDs'!Q128),"",'Master Submitted DPDs'!Q128)</f>
        <v>43012</v>
      </c>
      <c r="P806" s="2">
        <f>IF(ISBLANK('Master Submitted DPDs'!AO128),"",'Master Submitted DPDs'!AO128)</f>
        <v>43223</v>
      </c>
      <c r="Q806" t="str">
        <f>IF(ISBLANK('Master Submitted DPDs'!AU128),"",'Master Submitted DPDs'!AU128)</f>
        <v>SOU</v>
      </c>
      <c r="R806" t="str">
        <f t="shared" si="25"/>
        <v>Closed</v>
      </c>
      <c r="S806" s="3"/>
      <c r="T806">
        <f>IF(ISBLANK('Master Submitted DPDs'!G128),"",'Master Submitted DPDs'!G128)</f>
        <v>2</v>
      </c>
    </row>
    <row r="807" spans="1:20" ht="15" x14ac:dyDescent="0.2">
      <c r="A807" s="3" t="str">
        <f>IF(ISBLANK('Master Submitted DPDs'!#REF!),"","Local Plans")</f>
        <v>Local Plans</v>
      </c>
      <c r="B807" t="str">
        <f>IF(ISBLANK('Master Submitted DPDs'!F129),"",'Master Submitted DPDs'!F129)</f>
        <v>LP</v>
      </c>
      <c r="C807" s="3" t="str">
        <f>IF(ISBLANK('Master Submitted DPDs'!$B129),"","IH")</f>
        <v>IH</v>
      </c>
      <c r="D807" s="3" t="str">
        <f>LOOKUP($F807,'fuzzy LPA lookup'!$E:$E,'fuzzy LPA lookup'!$A:$A)</f>
        <v>N1920</v>
      </c>
      <c r="E807" s="3" t="str">
        <f>LOOKUP($F807,'fuzzy LPA lookup'!$E:$E,'fuzzy LPA lookup'!$D:$D)</f>
        <v>Hertsmere Borough Council</v>
      </c>
      <c r="F807" s="8">
        <f>IF(ISBLANK('Master Submitted DPDs'!B129),"",'Master Submitted DPDs'!B129)</f>
        <v>1797</v>
      </c>
      <c r="G807" t="str">
        <f>IF(ISBLANK('Master Submitted DPDs'!AS129),"","Withdrawn")</f>
        <v/>
      </c>
      <c r="H807" s="2" t="str">
        <f>IF(ISBLANK('Master Submitted DPDs'!AS129),"",'Master Submitted DPDs'!AS129)</f>
        <v/>
      </c>
      <c r="I807" s="3"/>
      <c r="J807" s="3"/>
      <c r="K807" s="3"/>
      <c r="L807" s="2">
        <f>IF(ISBLANK('Master Submitted DPDs'!J129),"",'Master Submitted DPDs'!J129)</f>
        <v>42849</v>
      </c>
      <c r="M807" s="2">
        <f t="shared" si="24"/>
        <v>42849</v>
      </c>
      <c r="N807" s="2">
        <f>IF(ISBLANK('Master Submitted DPDs'!M129),IF(ISBLANK('Master Submitted DPDs'!O129),"",'Master Submitted DPDs'!O129),'Master Submitted DPDs'!M129)</f>
        <v>42850</v>
      </c>
      <c r="O807" s="2">
        <f>IF(ISBLANK('Master Submitted DPDs'!Q129),"",'Master Submitted DPDs'!Q129)</f>
        <v>43216</v>
      </c>
      <c r="P807" s="2">
        <f>IF(ISBLANK('Master Submitted DPDs'!AO129),"",'Master Submitted DPDs'!AO129)</f>
        <v>43495</v>
      </c>
      <c r="Q807" t="str">
        <f>IF(ISBLANK('Master Submitted DPDs'!AU129),"",'Master Submitted DPDs'!AU129)</f>
        <v>SOU</v>
      </c>
      <c r="R807" t="str">
        <f t="shared" si="25"/>
        <v>Closed</v>
      </c>
      <c r="S807" s="3"/>
      <c r="T807">
        <f>IF(ISBLANK('Master Submitted DPDs'!G129),"",'Master Submitted DPDs'!G129)</f>
        <v>3</v>
      </c>
    </row>
    <row r="808" spans="1:20" ht="15" x14ac:dyDescent="0.2">
      <c r="A808" s="3" t="str">
        <f>IF(ISBLANK('Master Submitted DPDs'!#REF!),"","Local Plans")</f>
        <v>Local Plans</v>
      </c>
      <c r="B808" t="str">
        <f>IF(ISBLANK('Master Submitted DPDs'!F130),"",'Master Submitted DPDs'!F130)</f>
        <v>SA</v>
      </c>
      <c r="C808" s="3" t="str">
        <f>IF(ISBLANK('Master Submitted DPDs'!$B130),"","IH")</f>
        <v>IH</v>
      </c>
      <c r="D808" s="3" t="str">
        <f>LOOKUP($F808,'fuzzy LPA lookup'!$E:$E,'fuzzy LPA lookup'!$A:$A)</f>
        <v>C1055</v>
      </c>
      <c r="E808" s="3" t="str">
        <f>LOOKUP($F808,'fuzzy LPA lookup'!$E:$E,'fuzzy LPA lookup'!$D:$D)</f>
        <v>Derby City Council</v>
      </c>
      <c r="F808" s="8">
        <f>IF(ISBLANK('Master Submitted DPDs'!B130),"",'Master Submitted DPDs'!B130)</f>
        <v>1698</v>
      </c>
      <c r="G808" t="str">
        <f>IF(ISBLANK('Master Submitted DPDs'!AS130),"","Withdrawn")</f>
        <v/>
      </c>
      <c r="H808" s="2" t="str">
        <f>IF(ISBLANK('Master Submitted DPDs'!AS130),"",'Master Submitted DPDs'!AS130)</f>
        <v/>
      </c>
      <c r="I808" s="3"/>
      <c r="J808" s="3"/>
      <c r="K808" s="3"/>
      <c r="L808" s="2">
        <f>IF(ISBLANK('Master Submitted DPDs'!J130),"",'Master Submitted DPDs'!J130)</f>
        <v>42860</v>
      </c>
      <c r="M808" s="2">
        <f t="shared" si="24"/>
        <v>42860</v>
      </c>
      <c r="N808" s="2">
        <f>IF(ISBLANK('Master Submitted DPDs'!M130),IF(ISBLANK('Master Submitted DPDs'!O130),"",'Master Submitted DPDs'!O130),'Master Submitted DPDs'!M130)</f>
        <v>42860</v>
      </c>
      <c r="O808" s="2">
        <f>IF(ISBLANK('Master Submitted DPDs'!Q130),"",'Master Submitted DPDs'!Q130)</f>
        <v>43315</v>
      </c>
      <c r="P808" s="2">
        <f>IF(ISBLANK('Master Submitted DPDs'!AO130),"",'Master Submitted DPDs'!AO130)</f>
        <v>43623</v>
      </c>
      <c r="Q808" t="str">
        <f>IF(ISBLANK('Master Submitted DPDs'!AU130),"",'Master Submitted DPDs'!AU130)</f>
        <v>SOU</v>
      </c>
      <c r="R808" t="str">
        <f t="shared" si="25"/>
        <v>Closed</v>
      </c>
      <c r="S808" s="3"/>
      <c r="T808">
        <f>IF(ISBLANK('Master Submitted DPDs'!G130),"",'Master Submitted DPDs'!G130)</f>
        <v>3</v>
      </c>
    </row>
    <row r="809" spans="1:20" ht="15" x14ac:dyDescent="0.2">
      <c r="A809" s="3" t="str">
        <f>IF(ISBLANK('Master Submitted DPDs'!$B131),"","Local Plans")</f>
        <v>Local Plans</v>
      </c>
      <c r="B809" t="str">
        <f>IF(ISBLANK('Master Submitted DPDs'!F131),"",'Master Submitted DPDs'!F131)</f>
        <v>LP</v>
      </c>
      <c r="C809" s="3" t="str">
        <f>IF(ISBLANK('Master Submitted DPDs'!$B131),"","IH")</f>
        <v>IH</v>
      </c>
      <c r="D809" s="3" t="str">
        <f>LOOKUP($F809,'fuzzy LPA lookup'!$E:$E,'fuzzy LPA lookup'!$A:$A)</f>
        <v>P1045</v>
      </c>
      <c r="E809" s="3" t="str">
        <f>LOOKUP($F809,'fuzzy LPA lookup'!$E:$E,'fuzzy LPA lookup'!$D:$D)</f>
        <v>Derbyshire Dales District Council</v>
      </c>
      <c r="F809" s="8">
        <f>IF(ISBLANK('Master Submitted DPDs'!B131),"",'Master Submitted DPDs'!B131)</f>
        <v>1478</v>
      </c>
      <c r="G809" t="str">
        <f>IF(ISBLANK('Master Submitted DPDs'!AS131),"","Withdrawn")</f>
        <v/>
      </c>
      <c r="H809" s="2" t="str">
        <f>IF(ISBLANK('Master Submitted DPDs'!AS131),"",'Master Submitted DPDs'!AS131)</f>
        <v/>
      </c>
      <c r="I809" s="3"/>
      <c r="J809" s="3"/>
      <c r="K809" s="3"/>
      <c r="L809" s="2">
        <f>IF(ISBLANK('Master Submitted DPDs'!J131),"",'Master Submitted DPDs'!J131)</f>
        <v>42860</v>
      </c>
      <c r="M809" s="2">
        <f t="shared" ref="M809:M834" si="26">L809</f>
        <v>42860</v>
      </c>
      <c r="N809" s="2">
        <f>IF(ISBLANK('Master Submitted DPDs'!M131),IF(ISBLANK('Master Submitted DPDs'!O131),"",'Master Submitted DPDs'!O131),'Master Submitted DPDs'!M131)</f>
        <v>42860</v>
      </c>
      <c r="O809" s="2">
        <f>IF(ISBLANK('Master Submitted DPDs'!Q131),"",'Master Submitted DPDs'!Q131)</f>
        <v>43175</v>
      </c>
      <c r="P809" s="2">
        <f>IF(ISBLANK('Master Submitted DPDs'!AO131),"",'Master Submitted DPDs'!AO131)</f>
        <v>43677</v>
      </c>
      <c r="Q809" t="str">
        <f>IF(ISBLANK('Master Submitted DPDs'!AU131),"",'Master Submitted DPDs'!AU131)</f>
        <v>SOU</v>
      </c>
      <c r="R809" t="str">
        <f t="shared" ref="R809:R834" si="27">IF(F809="","",IF(AND(H809="",Q809&lt;&gt;"UNS",P809=""),"Open","Closed"))</f>
        <v>Closed</v>
      </c>
      <c r="S809" s="3"/>
      <c r="T809">
        <f>IF(ISBLANK('Master Submitted DPDs'!G131),"",'Master Submitted DPDs'!G131)</f>
        <v>3</v>
      </c>
    </row>
    <row r="810" spans="1:20" ht="15" x14ac:dyDescent="0.2">
      <c r="A810" s="3" t="str">
        <f>IF(ISBLANK('Master Submitted DPDs'!$B132),"","Local Plans")</f>
        <v>Local Plans</v>
      </c>
      <c r="B810" t="str">
        <f>IF(ISBLANK('Master Submitted DPDs'!F132),"",'Master Submitted DPDs'!F132)</f>
        <v>LP</v>
      </c>
      <c r="C810" s="3" t="str">
        <f>IF(ISBLANK('Master Submitted DPDs'!$B132),"","IH")</f>
        <v>IH</v>
      </c>
      <c r="D810" s="3" t="str">
        <f>LOOKUP($F810,'fuzzy LPA lookup'!$E:$E,'fuzzy LPA lookup'!$A:$A)</f>
        <v>C1950</v>
      </c>
      <c r="E810" s="3" t="str">
        <f>LOOKUP($F810,'fuzzy LPA lookup'!$E:$E,'fuzzy LPA lookup'!$D:$D)</f>
        <v>Welwyn Hatfield Council</v>
      </c>
      <c r="F810" s="8">
        <f>IF(ISBLANK('Master Submitted DPDs'!B132),"",'Master Submitted DPDs'!B132)</f>
        <v>1717</v>
      </c>
      <c r="G810" t="str">
        <f>IF(ISBLANK('Master Submitted DPDs'!AS132),"","Withdrawn")</f>
        <v/>
      </c>
      <c r="H810" s="2" t="str">
        <f>IF(ISBLANK('Master Submitted DPDs'!AS132),"",'Master Submitted DPDs'!AS132)</f>
        <v/>
      </c>
      <c r="I810" s="3"/>
      <c r="J810" s="3"/>
      <c r="K810" s="3"/>
      <c r="L810" s="2">
        <f>IF(ISBLANK('Master Submitted DPDs'!J132),"",'Master Submitted DPDs'!J132)</f>
        <v>42870</v>
      </c>
      <c r="M810" s="2">
        <f t="shared" si="26"/>
        <v>42870</v>
      </c>
      <c r="N810" s="2">
        <f>IF(ISBLANK('Master Submitted DPDs'!M132),IF(ISBLANK('Master Submitted DPDs'!O132),"",'Master Submitted DPDs'!O132),'Master Submitted DPDs'!M132)</f>
        <v>42871</v>
      </c>
      <c r="O810" s="2">
        <f>IF(ISBLANK('Master Submitted DPDs'!Q132),"",'Master Submitted DPDs'!Q132)</f>
        <v>44273</v>
      </c>
      <c r="P810" s="2">
        <f>IF(ISBLANK('Master Submitted DPDs'!AO132),"",'Master Submitted DPDs'!AO132)</f>
        <v>45194</v>
      </c>
      <c r="Q810" t="str">
        <f>IF(ISBLANK('Master Submitted DPDs'!AU132),"",'Master Submitted DPDs'!AU132)</f>
        <v>SOU</v>
      </c>
      <c r="R810" t="str">
        <f t="shared" si="27"/>
        <v>Closed</v>
      </c>
      <c r="S810" s="3"/>
      <c r="T810">
        <f>IF(ISBLANK('Master Submitted DPDs'!G132),"",'Master Submitted DPDs'!G132)</f>
        <v>3</v>
      </c>
    </row>
    <row r="811" spans="1:20" ht="15" x14ac:dyDescent="0.2">
      <c r="A811" s="3" t="str">
        <f>IF(ISBLANK('Master Submitted DPDs'!$B133),"","Local Plans")</f>
        <v>Local Plans</v>
      </c>
      <c r="B811" t="str">
        <f>IF(ISBLANK('Master Submitted DPDs'!F133),"",'Master Submitted DPDs'!F133)</f>
        <v>LP</v>
      </c>
      <c r="C811" s="3" t="str">
        <f>IF(ISBLANK('Master Submitted DPDs'!$B133),"","IH")</f>
        <v>IH</v>
      </c>
      <c r="D811" s="3" t="str">
        <f>LOOKUP($F811,'fuzzy LPA lookup'!$E:$E,'fuzzy LPA lookup'!$A:$A)</f>
        <v>N2535</v>
      </c>
      <c r="E811" s="3" t="str">
        <f>LOOKUP($F811,'fuzzy LPA lookup'!$E:$E,'fuzzy LPA lookup'!$D:$D)</f>
        <v>West Lindsey District Council</v>
      </c>
      <c r="F811" s="8">
        <f>IF(ISBLANK('Master Submitted DPDs'!B133),"",'Master Submitted DPDs'!B133)</f>
        <v>1808</v>
      </c>
      <c r="G811" t="str">
        <f>IF(ISBLANK('Master Submitted DPDs'!AS133),"","Withdrawn")</f>
        <v/>
      </c>
      <c r="H811" s="2" t="str">
        <f>IF(ISBLANK('Master Submitted DPDs'!AS133),"",'Master Submitted DPDs'!AS133)</f>
        <v/>
      </c>
      <c r="I811" s="3"/>
      <c r="J811" s="3"/>
      <c r="K811" s="3"/>
      <c r="L811" s="2">
        <f>IF(ISBLANK('Master Submitted DPDs'!J133),"",'Master Submitted DPDs'!J133)</f>
        <v>42874</v>
      </c>
      <c r="M811" s="2">
        <f t="shared" si="26"/>
        <v>42874</v>
      </c>
      <c r="N811" s="2">
        <f>IF(ISBLANK('Master Submitted DPDs'!M133),IF(ISBLANK('Master Submitted DPDs'!O133),"",'Master Submitted DPDs'!O133),'Master Submitted DPDs'!M133)</f>
        <v>42874</v>
      </c>
      <c r="O811" s="2">
        <f>IF(ISBLANK('Master Submitted DPDs'!Q133),"",'Master Submitted DPDs'!Q133)</f>
        <v>43021</v>
      </c>
      <c r="P811" s="2">
        <f>IF(ISBLANK('Master Submitted DPDs'!AO133),"",'Master Submitted DPDs'!AO133)</f>
        <v>43216</v>
      </c>
      <c r="Q811" t="str">
        <f>IF(ISBLANK('Master Submitted DPDs'!AU133),"",'Master Submitted DPDs'!AU133)</f>
        <v>SOU</v>
      </c>
      <c r="R811" t="str">
        <f t="shared" si="27"/>
        <v>Closed</v>
      </c>
      <c r="S811" s="3"/>
      <c r="T811">
        <f>IF(ISBLANK('Master Submitted DPDs'!G133),"",'Master Submitted DPDs'!G133)</f>
        <v>3</v>
      </c>
    </row>
    <row r="812" spans="1:20" ht="15" x14ac:dyDescent="0.2">
      <c r="A812" s="3" t="str">
        <f>IF(ISBLANK('Master Submitted DPDs'!$B134),"","Local Plans")</f>
        <v>Local Plans</v>
      </c>
      <c r="B812" t="str">
        <f>IF(ISBLANK('Master Submitted DPDs'!F134),"",'Master Submitted DPDs'!F134)</f>
        <v>M&amp;W</v>
      </c>
      <c r="C812" s="3" t="str">
        <f>IF(ISBLANK('Master Submitted DPDs'!$B134),"","IH")</f>
        <v>IH</v>
      </c>
      <c r="D812" s="3" t="str">
        <f>LOOKUP($F812,'fuzzy LPA lookup'!$E:$E,'fuzzy LPA lookup'!$A:$A)</f>
        <v>N2535</v>
      </c>
      <c r="E812" s="3" t="str">
        <f>LOOKUP($F812,'fuzzy LPA lookup'!$E:$E,'fuzzy LPA lookup'!$D:$D)</f>
        <v>West Lindsey District Council</v>
      </c>
      <c r="F812" s="8">
        <f>IF(ISBLANK('Master Submitted DPDs'!B134),"",'Master Submitted DPDs'!B134)</f>
        <v>1812</v>
      </c>
      <c r="G812" t="str">
        <f>IF(ISBLANK('Master Submitted DPDs'!AS134),"","Withdrawn")</f>
        <v/>
      </c>
      <c r="H812" s="2" t="str">
        <f>IF(ISBLANK('Master Submitted DPDs'!AS134),"",'Master Submitted DPDs'!AS134)</f>
        <v/>
      </c>
      <c r="I812" s="3"/>
      <c r="J812" s="3"/>
      <c r="K812" s="3"/>
      <c r="L812" s="2">
        <f>IF(ISBLANK('Master Submitted DPDs'!J134),"",'Master Submitted DPDs'!J134)</f>
        <v>42881</v>
      </c>
      <c r="M812" s="2">
        <f t="shared" si="26"/>
        <v>42881</v>
      </c>
      <c r="N812" s="2">
        <f>IF(ISBLANK('Master Submitted DPDs'!M134),IF(ISBLANK('Master Submitted DPDs'!O134),"",'Master Submitted DPDs'!O134),'Master Submitted DPDs'!M134)</f>
        <v>42891</v>
      </c>
      <c r="O812" s="2">
        <f>IF(ISBLANK('Master Submitted DPDs'!Q134),"",'Master Submitted DPDs'!Q134)</f>
        <v>43006</v>
      </c>
      <c r="P812" s="2">
        <f>IF(ISBLANK('Master Submitted DPDs'!AO134),"",'Master Submitted DPDs'!AO134)</f>
        <v>43250</v>
      </c>
      <c r="Q812" t="str">
        <f>IF(ISBLANK('Master Submitted DPDs'!AU134),"",'Master Submitted DPDs'!AU134)</f>
        <v>SOU</v>
      </c>
      <c r="R812" t="str">
        <f t="shared" si="27"/>
        <v>Closed</v>
      </c>
      <c r="S812" s="3"/>
      <c r="T812">
        <f>IF(ISBLANK('Master Submitted DPDs'!G134),"",'Master Submitted DPDs'!G134)</f>
        <v>2</v>
      </c>
    </row>
    <row r="813" spans="1:20" ht="15" x14ac:dyDescent="0.2">
      <c r="A813" s="3" t="str">
        <f>IF(ISBLANK('Master Submitted DPDs'!$B135),"","Local Plans")</f>
        <v>Local Plans</v>
      </c>
      <c r="B813" t="str">
        <f>IF(ISBLANK('Master Submitted DPDs'!F135),"",'Master Submitted DPDs'!F135)</f>
        <v>LP</v>
      </c>
      <c r="C813" s="3" t="str">
        <f>IF(ISBLANK('Master Submitted DPDs'!$B135),"","IH")</f>
        <v>IH</v>
      </c>
      <c r="D813" s="3" t="str">
        <f>LOOKUP($F813,'fuzzy LPA lookup'!$E:$E,'fuzzy LPA lookup'!$A:$A)</f>
        <v>W3710</v>
      </c>
      <c r="E813" s="3" t="str">
        <f>LOOKUP($F813,'fuzzy LPA lookup'!$E:$E,'fuzzy LPA lookup'!$D:$D)</f>
        <v>Nuneaton and Bedworth Borough Council</v>
      </c>
      <c r="F813" s="8">
        <f>IF(ISBLANK('Master Submitted DPDs'!B135),"",'Master Submitted DPDs'!B135)</f>
        <v>1678</v>
      </c>
      <c r="G813" t="str">
        <f>IF(ISBLANK('Master Submitted DPDs'!AS135),"","Withdrawn")</f>
        <v/>
      </c>
      <c r="H813" s="2" t="str">
        <f>IF(ISBLANK('Master Submitted DPDs'!AS135),"",'Master Submitted DPDs'!AS135)</f>
        <v/>
      </c>
      <c r="I813" s="3"/>
      <c r="J813" s="3"/>
      <c r="K813" s="3"/>
      <c r="L813" s="2">
        <f>IF(ISBLANK('Master Submitted DPDs'!J135),"",'Master Submitted DPDs'!J135)</f>
        <v>42892</v>
      </c>
      <c r="M813" s="2">
        <f t="shared" si="26"/>
        <v>42892</v>
      </c>
      <c r="N813" s="2">
        <f>IF(ISBLANK('Master Submitted DPDs'!M135),IF(ISBLANK('Master Submitted DPDs'!O135),"",'Master Submitted DPDs'!O135),'Master Submitted DPDs'!M135)</f>
        <v>42892</v>
      </c>
      <c r="O813" s="2">
        <f>IF(ISBLANK('Master Submitted DPDs'!Q135),"",'Master Submitted DPDs'!Q135)</f>
        <v>43515</v>
      </c>
      <c r="P813" s="2">
        <f>IF(ISBLANK('Master Submitted DPDs'!AO135),"",'Master Submitted DPDs'!AO135)</f>
        <v>43564</v>
      </c>
      <c r="Q813" t="str">
        <f>IF(ISBLANK('Master Submitted DPDs'!AU135),"",'Master Submitted DPDs'!AU135)</f>
        <v>SOU</v>
      </c>
      <c r="R813" t="str">
        <f t="shared" si="27"/>
        <v>Closed</v>
      </c>
      <c r="S813" s="3"/>
      <c r="T813">
        <f>IF(ISBLANK('Master Submitted DPDs'!G135),"",'Master Submitted DPDs'!G135)</f>
        <v>3</v>
      </c>
    </row>
    <row r="814" spans="1:20" ht="15" x14ac:dyDescent="0.2">
      <c r="A814" s="3" t="str">
        <f>IF(ISBLANK('Master Submitted DPDs'!$B136),"","Local Plans")</f>
        <v>Local Plans</v>
      </c>
      <c r="B814" t="str">
        <f>IF(ISBLANK('Master Submitted DPDs'!F136),"",'Master Submitted DPDs'!F136)</f>
        <v>AAP</v>
      </c>
      <c r="C814" s="3" t="str">
        <f>IF(ISBLANK('Master Submitted DPDs'!$B136),"","IH")</f>
        <v>IH</v>
      </c>
      <c r="D814" s="3" t="str">
        <f>LOOKUP($F814,'fuzzy LPA lookup'!$E:$E,'fuzzy LPA lookup'!$A:$A)</f>
        <v>V4630</v>
      </c>
      <c r="E814" s="3" t="str">
        <f>LOOKUP($F814,'fuzzy LPA lookup'!$E:$E,'fuzzy LPA lookup'!$D:$D)</f>
        <v>Walsall Metropolitan Borough Council</v>
      </c>
      <c r="F814" s="8">
        <f>IF(ISBLANK('Master Submitted DPDs'!B136),"",'Master Submitted DPDs'!B136)</f>
        <v>1750</v>
      </c>
      <c r="G814" t="str">
        <f>IF(ISBLANK('Master Submitted DPDs'!AS136),"","Withdrawn")</f>
        <v/>
      </c>
      <c r="H814" s="2" t="str">
        <f>IF(ISBLANK('Master Submitted DPDs'!AS136),"",'Master Submitted DPDs'!AS136)</f>
        <v/>
      </c>
      <c r="I814" s="3"/>
      <c r="J814" s="3"/>
      <c r="K814" s="3"/>
      <c r="L814" s="2">
        <f>IF(ISBLANK('Master Submitted DPDs'!J136),"",'Master Submitted DPDs'!J136)</f>
        <v>42893</v>
      </c>
      <c r="M814" s="2">
        <f t="shared" si="26"/>
        <v>42893</v>
      </c>
      <c r="N814" s="2">
        <f>IF(ISBLANK('Master Submitted DPDs'!M136),IF(ISBLANK('Master Submitted DPDs'!O136),"",'Master Submitted DPDs'!O136),'Master Submitted DPDs'!M136)</f>
        <v>42893</v>
      </c>
      <c r="O814" s="2">
        <f>IF(ISBLANK('Master Submitted DPDs'!Q136),"",'Master Submitted DPDs'!Q136)</f>
        <v>43026</v>
      </c>
      <c r="P814" s="2">
        <f>IF(ISBLANK('Master Submitted DPDs'!AO136),"",'Master Submitted DPDs'!AO136)</f>
        <v>43341</v>
      </c>
      <c r="Q814" t="str">
        <f>IF(ISBLANK('Master Submitted DPDs'!AU136),"",'Master Submitted DPDs'!AU136)</f>
        <v>SOU</v>
      </c>
      <c r="R814" t="str">
        <f t="shared" si="27"/>
        <v>Closed</v>
      </c>
      <c r="S814" s="3"/>
      <c r="T814">
        <f>IF(ISBLANK('Master Submitted DPDs'!G136),"",'Master Submitted DPDs'!G136)</f>
        <v>2</v>
      </c>
    </row>
    <row r="815" spans="1:20" ht="15" x14ac:dyDescent="0.2">
      <c r="A815" s="3" t="str">
        <f>IF(ISBLANK('Master Submitted DPDs'!$B137),"","Local Plans")</f>
        <v>Local Plans</v>
      </c>
      <c r="B815" t="str">
        <f>IF(ISBLANK('Master Submitted DPDs'!F137),"",'Master Submitted DPDs'!F137)</f>
        <v>SA</v>
      </c>
      <c r="C815" s="3" t="str">
        <f>IF(ISBLANK('Master Submitted DPDs'!$B137),"","IH")</f>
        <v>IH</v>
      </c>
      <c r="D815" s="3" t="str">
        <f>LOOKUP($F815,'fuzzy LPA lookup'!$E:$E,'fuzzy LPA lookup'!$A:$A)</f>
        <v>B2002</v>
      </c>
      <c r="E815" s="3" t="str">
        <f>LOOKUP($F815,'fuzzy LPA lookup'!$E:$E,'fuzzy LPA lookup'!$D:$D)</f>
        <v>North East Lincolnshire Council</v>
      </c>
      <c r="F815" s="8">
        <f>IF(ISBLANK('Master Submitted DPDs'!B137),"",'Master Submitted DPDs'!B137)</f>
        <v>1749</v>
      </c>
      <c r="G815" t="str">
        <f>IF(ISBLANK('Master Submitted DPDs'!AS137),"","Withdrawn")</f>
        <v/>
      </c>
      <c r="H815" s="2" t="str">
        <f>IF(ISBLANK('Master Submitted DPDs'!AS137),"",'Master Submitted DPDs'!AS137)</f>
        <v/>
      </c>
      <c r="I815" s="3"/>
      <c r="J815" s="3"/>
      <c r="K815" s="3"/>
      <c r="L815" s="2">
        <f>IF(ISBLANK('Master Submitted DPDs'!J137),"",'Master Submitted DPDs'!J137)</f>
        <v>42893</v>
      </c>
      <c r="M815" s="2">
        <f t="shared" si="26"/>
        <v>42893</v>
      </c>
      <c r="N815" s="2">
        <f>IF(ISBLANK('Master Submitted DPDs'!M137),IF(ISBLANK('Master Submitted DPDs'!O137),"",'Master Submitted DPDs'!O137),'Master Submitted DPDs'!M137)</f>
        <v>42893</v>
      </c>
      <c r="O815" s="2">
        <f>IF(ISBLANK('Master Submitted DPDs'!Q137),"",'Master Submitted DPDs'!Q137)</f>
        <v>42999</v>
      </c>
      <c r="P815" s="2">
        <f>IF(ISBLANK('Master Submitted DPDs'!AO137),"",'Master Submitted DPDs'!AO137)</f>
        <v>43426</v>
      </c>
      <c r="Q815" t="str">
        <f>IF(ISBLANK('Master Submitted DPDs'!AU137),"",'Master Submitted DPDs'!AU137)</f>
        <v>SOU</v>
      </c>
      <c r="R815" t="str">
        <f t="shared" si="27"/>
        <v>Closed</v>
      </c>
      <c r="S815" s="3"/>
      <c r="T815">
        <f>IF(ISBLANK('Master Submitted DPDs'!G137),"",'Master Submitted DPDs'!G137)</f>
        <v>3</v>
      </c>
    </row>
    <row r="816" spans="1:20" ht="15" x14ac:dyDescent="0.2">
      <c r="A816" s="3" t="str">
        <f>IF(ISBLANK('Master Submitted DPDs'!$B138),"","Local Plans")</f>
        <v>Local Plans</v>
      </c>
      <c r="B816" t="str">
        <f>IF(ISBLANK('Master Submitted DPDs'!F138),"",'Master Submitted DPDs'!F138)</f>
        <v>LP</v>
      </c>
      <c r="C816" s="3" t="str">
        <f>IF(ISBLANK('Master Submitted DPDs'!$B138),"","IH")</f>
        <v>IH</v>
      </c>
      <c r="D816" s="3" t="str">
        <f>LOOKUP($F816,'fuzzy LPA lookup'!$E:$E,'fuzzy LPA lookup'!$A:$A)</f>
        <v>J4525</v>
      </c>
      <c r="E816" s="3" t="str">
        <f>LOOKUP($F816,'fuzzy LPA lookup'!$E:$E,'fuzzy LPA lookup'!$D:$D)</f>
        <v>Sunderland City Council</v>
      </c>
      <c r="F816" s="8">
        <f>IF(ISBLANK('Master Submitted DPDs'!B138),"",'Master Submitted DPDs'!B138)</f>
        <v>1792</v>
      </c>
      <c r="G816" t="str">
        <f>IF(ISBLANK('Master Submitted DPDs'!AS138),"","Withdrawn")</f>
        <v/>
      </c>
      <c r="H816" s="2" t="str">
        <f>IF(ISBLANK('Master Submitted DPDs'!AS138),"",'Master Submitted DPDs'!AS138)</f>
        <v/>
      </c>
      <c r="I816" s="3"/>
      <c r="J816" s="3"/>
      <c r="K816" s="3"/>
      <c r="L816" s="2">
        <f>IF(ISBLANK('Master Submitted DPDs'!J138),"",'Master Submitted DPDs'!J138)</f>
        <v>42895</v>
      </c>
      <c r="M816" s="2">
        <f t="shared" si="26"/>
        <v>42895</v>
      </c>
      <c r="N816" s="2">
        <f>IF(ISBLANK('Master Submitted DPDs'!M138),IF(ISBLANK('Master Submitted DPDs'!O138),"",'Master Submitted DPDs'!O138),'Master Submitted DPDs'!M138)</f>
        <v>42895</v>
      </c>
      <c r="O816" s="2">
        <f>IF(ISBLANK('Master Submitted DPDs'!Q138),"",'Master Submitted DPDs'!Q138)</f>
        <v>44229</v>
      </c>
      <c r="P816" s="2">
        <f>IF(ISBLANK('Master Submitted DPDs'!AO138),"",'Master Submitted DPDs'!AO138)</f>
        <v>44812</v>
      </c>
      <c r="Q816" t="str">
        <f>IF(ISBLANK('Master Submitted DPDs'!AU138),"",'Master Submitted DPDs'!AU138)</f>
        <v>SOU</v>
      </c>
      <c r="R816" t="str">
        <f t="shared" si="27"/>
        <v>Closed</v>
      </c>
      <c r="S816" s="3"/>
      <c r="T816">
        <f>IF(ISBLANK('Master Submitted DPDs'!G138),"",'Master Submitted DPDs'!G138)</f>
        <v>3</v>
      </c>
    </row>
    <row r="817" spans="1:20" ht="15" x14ac:dyDescent="0.2">
      <c r="A817" s="3" t="str">
        <f>IF(ISBLANK('Master Submitted DPDs'!$B139),"","Local Plans")</f>
        <v>Local Plans</v>
      </c>
      <c r="B817" t="str">
        <f>IF(ISBLANK('Master Submitted DPDs'!F139),"",'Master Submitted DPDs'!F139)</f>
        <v>LP</v>
      </c>
      <c r="C817" s="3" t="str">
        <f>IF(ISBLANK('Master Submitted DPDs'!$B139),"","IH")</f>
        <v>IH</v>
      </c>
      <c r="D817" s="3" t="str">
        <f>LOOKUP($F817,'fuzzy LPA lookup'!$E:$E,'fuzzy LPA lookup'!$A:$A)</f>
        <v>N2535</v>
      </c>
      <c r="E817" s="3" t="str">
        <f>LOOKUP($F817,'fuzzy LPA lookup'!$E:$E,'fuzzy LPA lookup'!$D:$D)</f>
        <v>West Lindsey District Council</v>
      </c>
      <c r="F817" s="8">
        <f>IF(ISBLANK('Master Submitted DPDs'!B139),"",'Master Submitted DPDs'!B139)</f>
        <v>1833</v>
      </c>
      <c r="G817" t="str">
        <f>IF(ISBLANK('Master Submitted DPDs'!AS139),"","Withdrawn")</f>
        <v/>
      </c>
      <c r="H817" s="2" t="str">
        <f>IF(ISBLANK('Master Submitted DPDs'!AS139),"",'Master Submitted DPDs'!AS139)</f>
        <v/>
      </c>
      <c r="I817" s="3"/>
      <c r="J817" s="3"/>
      <c r="K817" s="3"/>
      <c r="L817" s="2">
        <f>IF(ISBLANK('Master Submitted DPDs'!J139),"",'Master Submitted DPDs'!J139)</f>
        <v>42909</v>
      </c>
      <c r="M817" s="2">
        <f t="shared" si="26"/>
        <v>42909</v>
      </c>
      <c r="N817" s="2">
        <f>IF(ISBLANK('Master Submitted DPDs'!M139),IF(ISBLANK('Master Submitted DPDs'!O139),"",'Master Submitted DPDs'!O139),'Master Submitted DPDs'!M139)</f>
        <v>42913</v>
      </c>
      <c r="O817" s="2">
        <f>IF(ISBLANK('Master Submitted DPDs'!Q139),"",'Master Submitted DPDs'!Q139)</f>
        <v>43216</v>
      </c>
      <c r="P817" s="2">
        <f>IF(ISBLANK('Master Submitted DPDs'!AO139),"",'Master Submitted DPDs'!AO139)</f>
        <v>43494</v>
      </c>
      <c r="Q817" t="str">
        <f>IF(ISBLANK('Master Submitted DPDs'!AU139),"",'Master Submitted DPDs'!AU139)</f>
        <v>SOU</v>
      </c>
      <c r="R817" t="str">
        <f t="shared" si="27"/>
        <v>Closed</v>
      </c>
      <c r="S817" s="3"/>
      <c r="T817">
        <f>IF(ISBLANK('Master Submitted DPDs'!G139),"",'Master Submitted DPDs'!G139)</f>
        <v>3</v>
      </c>
    </row>
    <row r="818" spans="1:20" ht="15" x14ac:dyDescent="0.2">
      <c r="A818" s="3" t="str">
        <f>IF(ISBLANK('Master Submitted DPDs'!$B140),"","Local Plans")</f>
        <v>Local Plans</v>
      </c>
      <c r="B818" t="str">
        <f>IF(ISBLANK('Master Submitted DPDs'!F140),"",'Master Submitted DPDs'!F140)</f>
        <v>SA</v>
      </c>
      <c r="C818" s="3" t="str">
        <f>IF(ISBLANK('Master Submitted DPDs'!$B140),"","IH")</f>
        <v>IH</v>
      </c>
      <c r="D818" s="3" t="str">
        <f>LOOKUP($F818,'fuzzy LPA lookup'!$E:$E,'fuzzy LPA lookup'!$A:$A)</f>
        <v>N2535</v>
      </c>
      <c r="E818" s="3" t="str">
        <f>LOOKUP($F818,'fuzzy LPA lookup'!$E:$E,'fuzzy LPA lookup'!$D:$D)</f>
        <v>West Lindsey District Council</v>
      </c>
      <c r="F818" s="8">
        <f>IF(ISBLANK('Master Submitted DPDs'!B140),"",'Master Submitted DPDs'!B140)</f>
        <v>1818</v>
      </c>
      <c r="G818" t="str">
        <f>IF(ISBLANK('Master Submitted DPDs'!AS140),"","Withdrawn")</f>
        <v/>
      </c>
      <c r="H818" s="2" t="str">
        <f>IF(ISBLANK('Master Submitted DPDs'!AS140),"",'Master Submitted DPDs'!AS140)</f>
        <v/>
      </c>
      <c r="I818" s="3"/>
      <c r="J818" s="3"/>
      <c r="K818" s="3"/>
      <c r="L818" s="2">
        <f>IF(ISBLANK('Master Submitted DPDs'!J140),"",'Master Submitted DPDs'!J140)</f>
        <v>42914</v>
      </c>
      <c r="M818" s="2">
        <f t="shared" si="26"/>
        <v>42914</v>
      </c>
      <c r="N818" s="2">
        <f>IF(ISBLANK('Master Submitted DPDs'!M140),IF(ISBLANK('Master Submitted DPDs'!O140),"",'Master Submitted DPDs'!O140),'Master Submitted DPDs'!M140)</f>
        <v>42914</v>
      </c>
      <c r="O818" s="2">
        <f>IF(ISBLANK('Master Submitted DPDs'!Q140),"",'Master Submitted DPDs'!Q140)</f>
        <v>43047</v>
      </c>
      <c r="P818" s="2">
        <f>IF(ISBLANK('Master Submitted DPDs'!AO140),"",'Master Submitted DPDs'!AO140)</f>
        <v>43237</v>
      </c>
      <c r="Q818" t="str">
        <f>IF(ISBLANK('Master Submitted DPDs'!AU140),"",'Master Submitted DPDs'!AU140)</f>
        <v>SOU</v>
      </c>
      <c r="R818" t="str">
        <f t="shared" si="27"/>
        <v>Closed</v>
      </c>
      <c r="S818" s="3"/>
      <c r="T818">
        <f>IF(ISBLANK('Master Submitted DPDs'!G140),"",'Master Submitted DPDs'!G140)</f>
        <v>2</v>
      </c>
    </row>
    <row r="819" spans="1:20" ht="15" x14ac:dyDescent="0.2">
      <c r="A819" s="3" t="str">
        <f>IF(ISBLANK('Master Submitted DPDs'!$B141),"","Local Plans")</f>
        <v>Local Plans</v>
      </c>
      <c r="B819" t="str">
        <f>IF(ISBLANK('Master Submitted DPDs'!F141),"",'Master Submitted DPDs'!F141)</f>
        <v>LP</v>
      </c>
      <c r="C819" s="3" t="str">
        <f>IF(ISBLANK('Master Submitted DPDs'!$B141),"","IH")</f>
        <v>IH</v>
      </c>
      <c r="D819" s="3" t="str">
        <f>LOOKUP($F819,'fuzzy LPA lookup'!$E:$E,'fuzzy LPA lookup'!$A:$A)</f>
        <v>N3020</v>
      </c>
      <c r="E819" s="3" t="str">
        <f>LOOKUP($F819,'fuzzy LPA lookup'!$E:$E,'fuzzy LPA lookup'!$D:$D)</f>
        <v>Gedling Borough Council</v>
      </c>
      <c r="F819" s="8">
        <f>IF(ISBLANK('Master Submitted DPDs'!B141),"",'Master Submitted DPDs'!B141)</f>
        <v>1773</v>
      </c>
      <c r="G819" t="str">
        <f>IF(ISBLANK('Master Submitted DPDs'!AS141),"","Withdrawn")</f>
        <v/>
      </c>
      <c r="H819" s="2" t="str">
        <f>IF(ISBLANK('Master Submitted DPDs'!AS141),"",'Master Submitted DPDs'!AS141)</f>
        <v/>
      </c>
      <c r="I819" s="3"/>
      <c r="J819" s="3"/>
      <c r="K819" s="3"/>
      <c r="L819" s="2">
        <f>IF(ISBLANK('Master Submitted DPDs'!J141),"",'Master Submitted DPDs'!J141)</f>
        <v>42923</v>
      </c>
      <c r="M819" s="2">
        <f t="shared" si="26"/>
        <v>42923</v>
      </c>
      <c r="N819" s="2">
        <f>IF(ISBLANK('Master Submitted DPDs'!M141),IF(ISBLANK('Master Submitted DPDs'!O141),"",'Master Submitted DPDs'!O141),'Master Submitted DPDs'!M141)</f>
        <v>42923</v>
      </c>
      <c r="O819" s="2">
        <f>IF(ISBLANK('Master Submitted DPDs'!Q141),"",'Master Submitted DPDs'!Q141)</f>
        <v>43061</v>
      </c>
      <c r="P819" s="2">
        <f>IF(ISBLANK('Master Submitted DPDs'!AO141),"",'Master Submitted DPDs'!AO141)</f>
        <v>43256</v>
      </c>
      <c r="Q819" t="str">
        <f>IF(ISBLANK('Master Submitted DPDs'!AU141),"",'Master Submitted DPDs'!AU141)</f>
        <v>SOU</v>
      </c>
      <c r="R819" t="str">
        <f t="shared" si="27"/>
        <v>Closed</v>
      </c>
      <c r="S819" s="3"/>
      <c r="T819">
        <f>IF(ISBLANK('Master Submitted DPDs'!G141),"",'Master Submitted DPDs'!G141)</f>
        <v>3</v>
      </c>
    </row>
    <row r="820" spans="1:20" ht="15" x14ac:dyDescent="0.2">
      <c r="A820" s="3" t="str">
        <f>IF(ISBLANK('Master Submitted DPDs'!$B142),"","Local Plans")</f>
        <v>Local Plans</v>
      </c>
      <c r="B820" t="str">
        <f>IF(ISBLANK('Master Submitted DPDs'!F142),"",'Master Submitted DPDs'!F142)</f>
        <v>LP</v>
      </c>
      <c r="C820" s="3" t="str">
        <f>IF(ISBLANK('Master Submitted DPDs'!$B142),"","IH")</f>
        <v>IH</v>
      </c>
      <c r="D820" s="3" t="str">
        <f>LOOKUP($F820,'fuzzy LPA lookup'!$E:$E,'fuzzy LPA lookup'!$A:$A)</f>
        <v>B1930</v>
      </c>
      <c r="E820" s="3" t="str">
        <f>LOOKUP($F820,'fuzzy LPA lookup'!$E:$E,'fuzzy LPA lookup'!$D:$D)</f>
        <v>St Albans City Council</v>
      </c>
      <c r="F820" s="8">
        <f>IF(ISBLANK('Master Submitted DPDs'!B142),"",'Master Submitted DPDs'!B142)</f>
        <v>1745</v>
      </c>
      <c r="G820" t="str">
        <f>IF(ISBLANK('Master Submitted DPDs'!AS142),"","Withdrawn")</f>
        <v/>
      </c>
      <c r="H820" s="2" t="str">
        <f>IF(ISBLANK('Master Submitted DPDs'!AS142),"",'Master Submitted DPDs'!AS142)</f>
        <v/>
      </c>
      <c r="I820" s="3"/>
      <c r="J820" s="3"/>
      <c r="K820" s="3"/>
      <c r="L820" s="2">
        <f>IF(ISBLANK('Master Submitted DPDs'!J142),"",'Master Submitted DPDs'!J142)</f>
        <v>42930</v>
      </c>
      <c r="M820" s="2">
        <f t="shared" si="26"/>
        <v>42930</v>
      </c>
      <c r="N820" s="2">
        <f>IF(ISBLANK('Master Submitted DPDs'!M142),IF(ISBLANK('Master Submitted DPDs'!O142),"",'Master Submitted DPDs'!O142),'Master Submitted DPDs'!M142)</f>
        <v>42930</v>
      </c>
      <c r="O820" s="2">
        <f>IF(ISBLANK('Master Submitted DPDs'!Q142),"",'Master Submitted DPDs'!Q142)</f>
        <v>43216</v>
      </c>
      <c r="P820" s="2">
        <f>IF(ISBLANK('Master Submitted DPDs'!AO142),"",'Master Submitted DPDs'!AO142)</f>
        <v>43551</v>
      </c>
      <c r="Q820" t="str">
        <f>IF(ISBLANK('Master Submitted DPDs'!AU142),"",'Master Submitted DPDs'!AU142)</f>
        <v>SOU</v>
      </c>
      <c r="R820" t="str">
        <f t="shared" si="27"/>
        <v>Closed</v>
      </c>
      <c r="S820" s="3"/>
      <c r="T820">
        <f>IF(ISBLANK('Master Submitted DPDs'!G142),"",'Master Submitted DPDs'!G142)</f>
        <v>3</v>
      </c>
    </row>
    <row r="821" spans="1:20" ht="15" x14ac:dyDescent="0.2">
      <c r="A821" s="3" t="str">
        <f>IF(ISBLANK('Master Submitted DPDs'!$B143),"","Local Plans")</f>
        <v>Local Plans</v>
      </c>
      <c r="B821" t="str">
        <f>IF(ISBLANK('Master Submitted DPDs'!F143),"",'Master Submitted DPDs'!F143)</f>
        <v>LP</v>
      </c>
      <c r="C821" s="3" t="str">
        <f>IF(ISBLANK('Master Submitted DPDs'!$B143),"","IH")</f>
        <v>IH</v>
      </c>
      <c r="D821" s="3" t="str">
        <f>LOOKUP($F821,'fuzzy LPA lookup'!$E:$E,'fuzzy LPA lookup'!$A:$A)</f>
        <v>N2535</v>
      </c>
      <c r="E821" s="3" t="str">
        <f>LOOKUP($F821,'fuzzy LPA lookup'!$E:$E,'fuzzy LPA lookup'!$D:$D)</f>
        <v>West Lindsey District Council</v>
      </c>
      <c r="F821" s="8">
        <f>IF(ISBLANK('Master Submitted DPDs'!B143),"",'Master Submitted DPDs'!B143)</f>
        <v>1822</v>
      </c>
      <c r="G821" t="str">
        <f>IF(ISBLANK('Master Submitted DPDs'!AS143),"","Withdrawn")</f>
        <v/>
      </c>
      <c r="H821" s="2" t="str">
        <f>IF(ISBLANK('Master Submitted DPDs'!AS143),"",'Master Submitted DPDs'!AS143)</f>
        <v/>
      </c>
      <c r="I821" s="3"/>
      <c r="J821" s="3"/>
      <c r="K821" s="3"/>
      <c r="L821" s="2">
        <f>IF(ISBLANK('Master Submitted DPDs'!J143),"",'Master Submitted DPDs'!J143)</f>
        <v>42936</v>
      </c>
      <c r="M821" s="2">
        <f t="shared" si="26"/>
        <v>42936</v>
      </c>
      <c r="N821" s="2">
        <f>IF(ISBLANK('Master Submitted DPDs'!M143),IF(ISBLANK('Master Submitted DPDs'!O143),"",'Master Submitted DPDs'!O143),'Master Submitted DPDs'!M143)</f>
        <v>42936</v>
      </c>
      <c r="O821" s="2">
        <f>IF(ISBLANK('Master Submitted DPDs'!Q143),"",'Master Submitted DPDs'!Q143)</f>
        <v>43075</v>
      </c>
      <c r="P821" s="2">
        <f>IF(ISBLANK('Master Submitted DPDs'!AO143),"",'Master Submitted DPDs'!AO143)</f>
        <v>43290</v>
      </c>
      <c r="Q821" t="str">
        <f>IF(ISBLANK('Master Submitted DPDs'!AU143),"",'Master Submitted DPDs'!AU143)</f>
        <v>SOU</v>
      </c>
      <c r="R821" t="str">
        <f t="shared" si="27"/>
        <v>Closed</v>
      </c>
      <c r="S821" s="3"/>
      <c r="T821">
        <f>IF(ISBLANK('Master Submitted DPDs'!G143),"",'Master Submitted DPDs'!G143)</f>
        <v>3</v>
      </c>
    </row>
    <row r="822" spans="1:20" ht="15" x14ac:dyDescent="0.2">
      <c r="A822" s="3" t="str">
        <f>IF(ISBLANK('Master Submitted DPDs'!$B144),"","Local Plans")</f>
        <v>Local Plans</v>
      </c>
      <c r="B822" t="str">
        <f>IF(ISBLANK('Master Submitted DPDs'!F144),"",'Master Submitted DPDs'!F144)</f>
        <v>SA</v>
      </c>
      <c r="C822" s="3" t="str">
        <f>IF(ISBLANK('Master Submitted DPDs'!$B144),"","IH")</f>
        <v>IH</v>
      </c>
      <c r="D822" s="3" t="str">
        <f>LOOKUP($F822,'fuzzy LPA lookup'!$E:$E,'fuzzy LPA lookup'!$A:$A)</f>
        <v>N2535</v>
      </c>
      <c r="E822" s="3" t="str">
        <f>LOOKUP($F822,'fuzzy LPA lookup'!$E:$E,'fuzzy LPA lookup'!$D:$D)</f>
        <v>West Lindsey District Council</v>
      </c>
      <c r="F822" s="8">
        <f>IF(ISBLANK('Master Submitted DPDs'!B144),"",'Master Submitted DPDs'!B144)</f>
        <v>1834</v>
      </c>
      <c r="G822" t="str">
        <f>IF(ISBLANK('Master Submitted DPDs'!AS144),"","Withdrawn")</f>
        <v/>
      </c>
      <c r="H822" s="2" t="str">
        <f>IF(ISBLANK('Master Submitted DPDs'!AS144),"",'Master Submitted DPDs'!AS144)</f>
        <v/>
      </c>
      <c r="I822" s="3"/>
      <c r="J822" s="3"/>
      <c r="K822" s="3"/>
      <c r="L822" s="2">
        <f>IF(ISBLANK('Master Submitted DPDs'!J144),"",'Master Submitted DPDs'!J144)</f>
        <v>42944</v>
      </c>
      <c r="M822" s="2">
        <f t="shared" si="26"/>
        <v>42944</v>
      </c>
      <c r="N822" s="2">
        <f>IF(ISBLANK('Master Submitted DPDs'!M144),IF(ISBLANK('Master Submitted DPDs'!O144),"",'Master Submitted DPDs'!O144),'Master Submitted DPDs'!M144)</f>
        <v>42944</v>
      </c>
      <c r="O822" s="2">
        <f>IF(ISBLANK('Master Submitted DPDs'!Q144),"",'Master Submitted DPDs'!Q144)</f>
        <v>43489</v>
      </c>
      <c r="P822" s="2">
        <f>IF(ISBLANK('Master Submitted DPDs'!AO144),"",'Master Submitted DPDs'!AO144)</f>
        <v>43718</v>
      </c>
      <c r="Q822" t="str">
        <f>IF(ISBLANK('Master Submitted DPDs'!AU144),"",'Master Submitted DPDs'!AU144)</f>
        <v>SOU</v>
      </c>
      <c r="R822" t="str">
        <f t="shared" si="27"/>
        <v>Closed</v>
      </c>
      <c r="S822" s="3"/>
      <c r="T822">
        <f>IF(ISBLANK('Master Submitted DPDs'!G144),"",'Master Submitted DPDs'!G144)</f>
        <v>2</v>
      </c>
    </row>
    <row r="823" spans="1:20" ht="15" x14ac:dyDescent="0.2">
      <c r="A823" s="3" t="str">
        <f>IF(ISBLANK('Master Submitted DPDs'!$B145),"","Local Plans")</f>
        <v>Local Plans</v>
      </c>
      <c r="B823" t="str">
        <f>IF(ISBLANK('Master Submitted DPDs'!F145),"",'Master Submitted DPDs'!F145)</f>
        <v>LP</v>
      </c>
      <c r="C823" s="3" t="str">
        <f>IF(ISBLANK('Master Submitted DPDs'!$B145),"","IH")</f>
        <v>IH</v>
      </c>
      <c r="D823" s="3" t="str">
        <f>LOOKUP($F823,'fuzzy LPA lookup'!$E:$E,'fuzzy LPA lookup'!$A:$A)</f>
        <v>N2535</v>
      </c>
      <c r="E823" s="3" t="str">
        <f>LOOKUP($F823,'fuzzy LPA lookup'!$E:$E,'fuzzy LPA lookup'!$D:$D)</f>
        <v>West Lindsey District Council</v>
      </c>
      <c r="F823" s="8">
        <f>IF(ISBLANK('Master Submitted DPDs'!B145),"",'Master Submitted DPDs'!B145)</f>
        <v>1819</v>
      </c>
      <c r="G823" t="str">
        <f>IF(ISBLANK('Master Submitted DPDs'!AS145),"","Withdrawn")</f>
        <v/>
      </c>
      <c r="H823" s="2" t="str">
        <f>IF(ISBLANK('Master Submitted DPDs'!AS145),"",'Master Submitted DPDs'!AS145)</f>
        <v/>
      </c>
      <c r="I823" s="3"/>
      <c r="J823" s="3"/>
      <c r="K823" s="3"/>
      <c r="L823" s="2">
        <f>IF(ISBLANK('Master Submitted DPDs'!J145),"",'Master Submitted DPDs'!J145)</f>
        <v>42947</v>
      </c>
      <c r="M823" s="2">
        <f t="shared" si="26"/>
        <v>42947</v>
      </c>
      <c r="N823" s="2">
        <f>IF(ISBLANK('Master Submitted DPDs'!M145),IF(ISBLANK('Master Submitted DPDs'!O145),"",'Master Submitted DPDs'!O145),'Master Submitted DPDs'!M145)</f>
        <v>42947</v>
      </c>
      <c r="O823" s="2">
        <f>IF(ISBLANK('Master Submitted DPDs'!Q145),"",'Master Submitted DPDs'!Q145)</f>
        <v>43180</v>
      </c>
      <c r="P823" s="2">
        <f>IF(ISBLANK('Master Submitted DPDs'!AO145),"",'Master Submitted DPDs'!AO145)</f>
        <v>43542</v>
      </c>
      <c r="Q823" t="str">
        <f>IF(ISBLANK('Master Submitted DPDs'!AU145),"",'Master Submitted DPDs'!AU145)</f>
        <v>SOU</v>
      </c>
      <c r="R823" t="str">
        <f t="shared" si="27"/>
        <v>Closed</v>
      </c>
      <c r="S823" s="3"/>
      <c r="T823">
        <f>IF(ISBLANK('Master Submitted DPDs'!G145),"",'Master Submitted DPDs'!G145)</f>
        <v>3</v>
      </c>
    </row>
    <row r="824" spans="1:20" ht="15" x14ac:dyDescent="0.2">
      <c r="A824" s="3" t="str">
        <f>IF(ISBLANK('Master Submitted DPDs'!$B146),"","Local Plans")</f>
        <v>Local Plans</v>
      </c>
      <c r="B824" t="str">
        <f>IF(ISBLANK('Master Submitted DPDs'!F146),"",'Master Submitted DPDs'!F146)</f>
        <v>LP</v>
      </c>
      <c r="C824" s="3" t="str">
        <f>IF(ISBLANK('Master Submitted DPDs'!$B146),"","IH")</f>
        <v>IH</v>
      </c>
      <c r="D824" s="3" t="str">
        <f>LOOKUP($F824,'fuzzy LPA lookup'!$E:$E,'fuzzy LPA lookup'!$A:$A)</f>
        <v>N2535</v>
      </c>
      <c r="E824" s="3" t="str">
        <f>LOOKUP($F824,'fuzzy LPA lookup'!$E:$E,'fuzzy LPA lookup'!$D:$D)</f>
        <v>West Lindsey District Council</v>
      </c>
      <c r="F824" s="8">
        <f>IF(ISBLANK('Master Submitted DPDs'!B146),"",'Master Submitted DPDs'!B146)</f>
        <v>1811</v>
      </c>
      <c r="G824" t="str">
        <f>IF(ISBLANK('Master Submitted DPDs'!AS146),"","Withdrawn")</f>
        <v/>
      </c>
      <c r="H824" s="2" t="str">
        <f>IF(ISBLANK('Master Submitted DPDs'!AS146),"",'Master Submitted DPDs'!AS146)</f>
        <v/>
      </c>
      <c r="I824" s="3"/>
      <c r="J824" s="3"/>
      <c r="K824" s="3"/>
      <c r="L824" s="2">
        <f>IF(ISBLANK('Master Submitted DPDs'!J146),"",'Master Submitted DPDs'!J146)</f>
        <v>42948</v>
      </c>
      <c r="M824" s="2">
        <f t="shared" si="26"/>
        <v>42948</v>
      </c>
      <c r="N824" s="2">
        <f>IF(ISBLANK('Master Submitted DPDs'!M146),IF(ISBLANK('Master Submitted DPDs'!O146),"",'Master Submitted DPDs'!O146),'Master Submitted DPDs'!M146)</f>
        <v>42948</v>
      </c>
      <c r="O824" s="2">
        <f>IF(ISBLANK('Master Submitted DPDs'!Q146),"",'Master Submitted DPDs'!Q146)</f>
        <v>43181</v>
      </c>
      <c r="P824" s="2">
        <f>IF(ISBLANK('Master Submitted DPDs'!AO146),"",'Master Submitted DPDs'!AO146)</f>
        <v>43475</v>
      </c>
      <c r="Q824" t="str">
        <f>IF(ISBLANK('Master Submitted DPDs'!AU146),"",'Master Submitted DPDs'!AU146)</f>
        <v>SOU</v>
      </c>
      <c r="R824" t="str">
        <f t="shared" si="27"/>
        <v>Closed</v>
      </c>
      <c r="S824" s="3"/>
      <c r="T824">
        <f>IF(ISBLANK('Master Submitted DPDs'!G146),"",'Master Submitted DPDs'!G146)</f>
        <v>3</v>
      </c>
    </row>
    <row r="825" spans="1:20" ht="15" x14ac:dyDescent="0.2">
      <c r="A825" s="3" t="str">
        <f>IF(ISBLANK('Master Submitted DPDs'!$B147),"","Local Plans")</f>
        <v>Local Plans</v>
      </c>
      <c r="B825" t="str">
        <f>IF(ISBLANK('Master Submitted DPDs'!F147),"",'Master Submitted DPDs'!F147)</f>
        <v>LP</v>
      </c>
      <c r="C825" s="3" t="str">
        <f>IF(ISBLANK('Master Submitted DPDs'!$B147),"","IH")</f>
        <v>IH</v>
      </c>
      <c r="D825" s="3" t="str">
        <f>LOOKUP($F825,'fuzzy LPA lookup'!$E:$E,'fuzzy LPA lookup'!$A:$A)</f>
        <v>N1920</v>
      </c>
      <c r="E825" s="3" t="str">
        <f>LOOKUP($F825,'fuzzy LPA lookup'!$E:$E,'fuzzy LPA lookup'!$D:$D)</f>
        <v>Hertsmere Borough Council</v>
      </c>
      <c r="F825" s="8">
        <f>IF(ISBLANK('Master Submitted DPDs'!B147),"",'Master Submitted DPDs'!B147)</f>
        <v>1798</v>
      </c>
      <c r="G825" t="str">
        <f>IF(ISBLANK('Master Submitted DPDs'!AS147),"","Withdrawn")</f>
        <v/>
      </c>
      <c r="H825" s="2" t="str">
        <f>IF(ISBLANK('Master Submitted DPDs'!AS147),"",'Master Submitted DPDs'!AS147)</f>
        <v/>
      </c>
      <c r="I825" s="3"/>
      <c r="J825" s="3"/>
      <c r="K825" s="3"/>
      <c r="L825" s="2">
        <f>IF(ISBLANK('Master Submitted DPDs'!J147),"",'Master Submitted DPDs'!J147)</f>
        <v>42958</v>
      </c>
      <c r="M825" s="2">
        <f t="shared" si="26"/>
        <v>42958</v>
      </c>
      <c r="N825" s="2">
        <f>IF(ISBLANK('Master Submitted DPDs'!M147),IF(ISBLANK('Master Submitted DPDs'!O147),"",'Master Submitted DPDs'!O147),'Master Submitted DPDs'!M147)</f>
        <v>42958</v>
      </c>
      <c r="O825" s="2">
        <f>IF(ISBLANK('Master Submitted DPDs'!Q147),"",'Master Submitted DPDs'!Q147)</f>
        <v>43083</v>
      </c>
      <c r="P825" s="2">
        <f>IF(ISBLANK('Master Submitted DPDs'!AO147),"",'Master Submitted DPDs'!AO147)</f>
        <v>43445</v>
      </c>
      <c r="Q825" t="str">
        <f>IF(ISBLANK('Master Submitted DPDs'!AU147),"",'Master Submitted DPDs'!AU147)</f>
        <v>SOU</v>
      </c>
      <c r="R825" t="str">
        <f t="shared" si="27"/>
        <v>Closed</v>
      </c>
      <c r="S825" s="3"/>
      <c r="T825">
        <f>IF(ISBLANK('Master Submitted DPDs'!G147),"",'Master Submitted DPDs'!G147)</f>
        <v>3</v>
      </c>
    </row>
    <row r="826" spans="1:20" ht="15" x14ac:dyDescent="0.2">
      <c r="A826" s="3" t="str">
        <f>IF(ISBLANK('Master Submitted DPDs'!$B148),"","Local Plans")</f>
        <v>Local Plans</v>
      </c>
      <c r="B826" t="str">
        <f>IF(ISBLANK('Master Submitted DPDs'!F148),"",'Master Submitted DPDs'!F148)</f>
        <v>SA</v>
      </c>
      <c r="C826" s="3" t="str">
        <f>IF(ISBLANK('Master Submitted DPDs'!$B148),"","IH")</f>
        <v>IH</v>
      </c>
      <c r="D826" s="3" t="str">
        <f>LOOKUP($F826,'fuzzy LPA lookup'!$E:$E,'fuzzy LPA lookup'!$A:$A)</f>
        <v>N2535</v>
      </c>
      <c r="E826" s="3" t="str">
        <f>LOOKUP($F826,'fuzzy LPA lookup'!$E:$E,'fuzzy LPA lookup'!$D:$D)</f>
        <v>West Lindsey District Council</v>
      </c>
      <c r="F826" s="8">
        <f>IF(ISBLANK('Master Submitted DPDs'!B148),"",'Master Submitted DPDs'!B148)</f>
        <v>1809</v>
      </c>
      <c r="G826" t="str">
        <f>IF(ISBLANK('Master Submitted DPDs'!AS148),"","Withdrawn")</f>
        <v/>
      </c>
      <c r="H826" s="2" t="str">
        <f>IF(ISBLANK('Master Submitted DPDs'!AS148),"",'Master Submitted DPDs'!AS148)</f>
        <v/>
      </c>
      <c r="I826" s="3"/>
      <c r="J826" s="3"/>
      <c r="K826" s="3"/>
      <c r="L826" s="2">
        <f>IF(ISBLANK('Master Submitted DPDs'!J148),"",'Master Submitted DPDs'!J148)</f>
        <v>42993</v>
      </c>
      <c r="M826" s="2">
        <f t="shared" si="26"/>
        <v>42993</v>
      </c>
      <c r="N826" s="2">
        <f>IF(ISBLANK('Master Submitted DPDs'!M148),IF(ISBLANK('Master Submitted DPDs'!O148),"",'Master Submitted DPDs'!O148),'Master Submitted DPDs'!M148)</f>
        <v>42993</v>
      </c>
      <c r="O826" s="2">
        <f>IF(ISBLANK('Master Submitted DPDs'!Q148),"",'Master Submitted DPDs'!Q148)</f>
        <v>43077</v>
      </c>
      <c r="P826" s="2">
        <f>IF(ISBLANK('Master Submitted DPDs'!AO148),"",'Master Submitted DPDs'!AO148)</f>
        <v>43228</v>
      </c>
      <c r="Q826" t="str">
        <f>IF(ISBLANK('Master Submitted DPDs'!AU148),"",'Master Submitted DPDs'!AU148)</f>
        <v>SOU</v>
      </c>
      <c r="R826" t="str">
        <f t="shared" si="27"/>
        <v>Closed</v>
      </c>
      <c r="S826" s="3"/>
      <c r="T826">
        <f>IF(ISBLANK('Master Submitted DPDs'!G148),"",'Master Submitted DPDs'!G148)</f>
        <v>2</v>
      </c>
    </row>
    <row r="827" spans="1:20" ht="15" x14ac:dyDescent="0.2">
      <c r="A827" s="3" t="str">
        <f>IF(ISBLANK('Master Submitted DPDs'!$B149),"","Local Plans")</f>
        <v>Local Plans</v>
      </c>
      <c r="B827" t="str">
        <f>IF(ISBLANK('Master Submitted DPDs'!F149),"",'Master Submitted DPDs'!F149)</f>
        <v>LP</v>
      </c>
      <c r="C827" s="3" t="str">
        <f>IF(ISBLANK('Master Submitted DPDs'!$B149),"","IH")</f>
        <v>IH</v>
      </c>
      <c r="D827" s="3" t="str">
        <f>LOOKUP($F827,'fuzzy LPA lookup'!$E:$E,'fuzzy LPA lookup'!$A:$A)</f>
        <v>F5730</v>
      </c>
      <c r="E827" s="3" t="str">
        <f>LOOKUP($F827,'fuzzy LPA lookup'!$E:$E,'fuzzy LPA lookup'!$D:$D)</f>
        <v>Old Oak and Park Royal Development Corporation</v>
      </c>
      <c r="F827" s="8">
        <f>IF(ISBLANK('Master Submitted DPDs'!B149),"",'Master Submitted DPDs'!B149)</f>
        <v>1847</v>
      </c>
      <c r="G827" t="str">
        <f>IF(ISBLANK('Master Submitted DPDs'!AS149),"","Withdrawn")</f>
        <v/>
      </c>
      <c r="H827" s="2" t="str">
        <f>IF(ISBLANK('Master Submitted DPDs'!AS149),"",'Master Submitted DPDs'!AS149)</f>
        <v/>
      </c>
      <c r="I827" s="3"/>
      <c r="J827" s="3"/>
      <c r="K827" s="3"/>
      <c r="L827" s="2">
        <f>IF(ISBLANK('Master Submitted DPDs'!J149),"",'Master Submitted DPDs'!J149)</f>
        <v>43007</v>
      </c>
      <c r="M827" s="2">
        <f t="shared" si="26"/>
        <v>43007</v>
      </c>
      <c r="N827" s="2">
        <f>IF(ISBLANK('Master Submitted DPDs'!M149),IF(ISBLANK('Master Submitted DPDs'!O149),"",'Master Submitted DPDs'!O149),'Master Submitted DPDs'!M149)</f>
        <v>43007</v>
      </c>
      <c r="O827" s="2">
        <f>IF(ISBLANK('Master Submitted DPDs'!Q149),"",'Master Submitted DPDs'!Q149)</f>
        <v>43133</v>
      </c>
      <c r="P827" s="2">
        <f>IF(ISBLANK('Master Submitted DPDs'!AO149),"",'Master Submitted DPDs'!AO149)</f>
        <v>43521</v>
      </c>
      <c r="Q827" t="str">
        <f>IF(ISBLANK('Master Submitted DPDs'!AU149),"",'Master Submitted DPDs'!AU149)</f>
        <v>SOU</v>
      </c>
      <c r="R827" t="str">
        <f t="shared" si="27"/>
        <v>Closed</v>
      </c>
      <c r="S827" s="3"/>
      <c r="T827">
        <f>IF(ISBLANK('Master Submitted DPDs'!G149),"",'Master Submitted DPDs'!G149)</f>
        <v>3</v>
      </c>
    </row>
    <row r="828" spans="1:20" ht="15" x14ac:dyDescent="0.2">
      <c r="A828" s="3" t="str">
        <f>IF(ISBLANK('Master Submitted DPDs'!$B150),"","Local Plans")</f>
        <v>Local Plans</v>
      </c>
      <c r="B828" t="str">
        <f>IF(ISBLANK('Master Submitted DPDs'!F150),"",'Master Submitted DPDs'!F150)</f>
        <v>LP</v>
      </c>
      <c r="C828" s="3" t="str">
        <f>IF(ISBLANK('Master Submitted DPDs'!$B150),"","IH")</f>
        <v>IH</v>
      </c>
      <c r="D828" s="3" t="str">
        <f>LOOKUP($F828,'fuzzy LPA lookup'!$E:$E,'fuzzy LPA lookup'!$A:$A)</f>
        <v>N1920</v>
      </c>
      <c r="E828" s="3" t="str">
        <f>LOOKUP($F828,'fuzzy LPA lookup'!$E:$E,'fuzzy LPA lookup'!$D:$D)</f>
        <v>Hertsmere Borough Council</v>
      </c>
      <c r="F828" s="8">
        <f>IF(ISBLANK('Master Submitted DPDs'!B150),"",'Master Submitted DPDs'!B150)</f>
        <v>1795</v>
      </c>
      <c r="G828" t="str">
        <f>IF(ISBLANK('Master Submitted DPDs'!AS150),"","Withdrawn")</f>
        <v/>
      </c>
      <c r="H828" s="2" t="str">
        <f>IF(ISBLANK('Master Submitted DPDs'!AS150),"",'Master Submitted DPDs'!AS150)</f>
        <v/>
      </c>
      <c r="I828" s="3"/>
      <c r="J828" s="3"/>
      <c r="K828" s="3"/>
      <c r="L828" s="2">
        <f>IF(ISBLANK('Master Submitted DPDs'!J150),"",'Master Submitted DPDs'!J150)</f>
        <v>43012</v>
      </c>
      <c r="M828" s="2">
        <f t="shared" si="26"/>
        <v>43012</v>
      </c>
      <c r="N828" s="2">
        <f>IF(ISBLANK('Master Submitted DPDs'!M150),IF(ISBLANK('Master Submitted DPDs'!O150),"",'Master Submitted DPDs'!O150),'Master Submitted DPDs'!M150)</f>
        <v>43014</v>
      </c>
      <c r="O828" s="2">
        <f>IF(ISBLANK('Master Submitted DPDs'!Q150),"",'Master Submitted DPDs'!Q150)</f>
        <v>43139</v>
      </c>
      <c r="P828" s="2">
        <f>IF(ISBLANK('Master Submitted DPDs'!AO150),"",'Master Submitted DPDs'!AO150)</f>
        <v>43357</v>
      </c>
      <c r="Q828" t="str">
        <f>IF(ISBLANK('Master Submitted DPDs'!AU150),"",'Master Submitted DPDs'!AU150)</f>
        <v>SOU</v>
      </c>
      <c r="R828" t="str">
        <f t="shared" si="27"/>
        <v>Closed</v>
      </c>
      <c r="S828" s="3"/>
      <c r="T828">
        <f>IF(ISBLANK('Master Submitted DPDs'!G150),"",'Master Submitted DPDs'!G150)</f>
        <v>3</v>
      </c>
    </row>
    <row r="829" spans="1:20" ht="15" x14ac:dyDescent="0.2">
      <c r="A829" s="3" t="str">
        <f>IF(ISBLANK('Master Submitted DPDs'!$B151),"","Local Plans")</f>
        <v>Local Plans</v>
      </c>
      <c r="B829" t="str">
        <f>IF(ISBLANK('Master Submitted DPDs'!F151),"",'Master Submitted DPDs'!F151)</f>
        <v>LP</v>
      </c>
      <c r="C829" s="3" t="str">
        <f>IF(ISBLANK('Master Submitted DPDs'!$B151),"","IH")</f>
        <v>IH</v>
      </c>
      <c r="D829" s="3" t="str">
        <f>LOOKUP($F829,'fuzzy LPA lookup'!$E:$E,'fuzzy LPA lookup'!$A:$A)</f>
        <v>F5730</v>
      </c>
      <c r="E829" s="3" t="str">
        <f>LOOKUP($F829,'fuzzy LPA lookup'!$E:$E,'fuzzy LPA lookup'!$D:$D)</f>
        <v>Old Oak and Park Royal Development Corporation</v>
      </c>
      <c r="F829" s="8">
        <f>IF(ISBLANK('Master Submitted DPDs'!B151),"",'Master Submitted DPDs'!B151)</f>
        <v>1854</v>
      </c>
      <c r="G829" t="str">
        <f>IF(ISBLANK('Master Submitted DPDs'!AS151),"","Withdrawn")</f>
        <v/>
      </c>
      <c r="H829" s="2" t="str">
        <f>IF(ISBLANK('Master Submitted DPDs'!AS151),"",'Master Submitted DPDs'!AS151)</f>
        <v/>
      </c>
      <c r="I829" s="3"/>
      <c r="J829" s="3"/>
      <c r="K829" s="3"/>
      <c r="L829" s="2">
        <f>IF(ISBLANK('Master Submitted DPDs'!J151),"",'Master Submitted DPDs'!J151)</f>
        <v>43017</v>
      </c>
      <c r="M829" s="2">
        <f t="shared" si="26"/>
        <v>43017</v>
      </c>
      <c r="N829" s="2">
        <f>IF(ISBLANK('Master Submitted DPDs'!M151),IF(ISBLANK('Master Submitted DPDs'!O151),"",'Master Submitted DPDs'!O151),'Master Submitted DPDs'!M151)</f>
        <v>43018</v>
      </c>
      <c r="O829" s="2">
        <f>IF(ISBLANK('Master Submitted DPDs'!Q151),"",'Master Submitted DPDs'!Q151)</f>
        <v>44082</v>
      </c>
      <c r="P829" s="2">
        <f>IF(ISBLANK('Master Submitted DPDs'!AO151),"",'Master Submitted DPDs'!AO151)</f>
        <v>44175</v>
      </c>
      <c r="Q829" t="str">
        <f>IF(ISBLANK('Master Submitted DPDs'!AU151),"",'Master Submitted DPDs'!AU151)</f>
        <v>SOU</v>
      </c>
      <c r="R829" t="str">
        <f t="shared" si="27"/>
        <v>Closed</v>
      </c>
      <c r="S829" s="3"/>
      <c r="T829">
        <f>IF(ISBLANK('Master Submitted DPDs'!G151),"",'Master Submitted DPDs'!G151)</f>
        <v>3</v>
      </c>
    </row>
    <row r="830" spans="1:20" ht="15" x14ac:dyDescent="0.2">
      <c r="A830" s="3" t="str">
        <f>IF(ISBLANK('Master Submitted DPDs'!$B152),"","Local Plans")</f>
        <v>Local Plans</v>
      </c>
      <c r="B830" t="str">
        <f>IF(ISBLANK('Master Submitted DPDs'!F152),"",'Master Submitted DPDs'!F152)</f>
        <v>SA</v>
      </c>
      <c r="C830" s="3" t="str">
        <f>IF(ISBLANK('Master Submitted DPDs'!$B152),"","IH")</f>
        <v>IH</v>
      </c>
      <c r="D830" s="3" t="str">
        <f>LOOKUP($F830,'fuzzy LPA lookup'!$E:$E,'fuzzy LPA lookup'!$A:$A)</f>
        <v>N2535</v>
      </c>
      <c r="E830" s="3" t="str">
        <f>LOOKUP($F830,'fuzzy LPA lookup'!$E:$E,'fuzzy LPA lookup'!$D:$D)</f>
        <v>West Lindsey District Council</v>
      </c>
      <c r="F830" s="8">
        <f>IF(ISBLANK('Master Submitted DPDs'!B152),"",'Master Submitted DPDs'!B152)</f>
        <v>1842</v>
      </c>
      <c r="G830" t="str">
        <f>IF(ISBLANK('Master Submitted DPDs'!AS152),"","Withdrawn")</f>
        <v/>
      </c>
      <c r="H830" s="2" t="str">
        <f>IF(ISBLANK('Master Submitted DPDs'!AS152),"",'Master Submitted DPDs'!AS152)</f>
        <v/>
      </c>
      <c r="I830" s="3"/>
      <c r="J830" s="3"/>
      <c r="K830" s="3"/>
      <c r="L830" s="2">
        <f>IF(ISBLANK('Master Submitted DPDs'!J152),"",'Master Submitted DPDs'!J152)</f>
        <v>43017</v>
      </c>
      <c r="M830" s="2">
        <f t="shared" si="26"/>
        <v>43017</v>
      </c>
      <c r="N830" s="2">
        <f>IF(ISBLANK('Master Submitted DPDs'!M152),IF(ISBLANK('Master Submitted DPDs'!O152),"",'Master Submitted DPDs'!O152),'Master Submitted DPDs'!M152)</f>
        <v>44042</v>
      </c>
      <c r="O830" s="2">
        <f>IF(ISBLANK('Master Submitted DPDs'!Q152),"",'Master Submitted DPDs'!Q152)</f>
        <v>44259</v>
      </c>
      <c r="P830" s="2">
        <f>IF(ISBLANK('Master Submitted DPDs'!AO152),"",'Master Submitted DPDs'!AO152)</f>
        <v>44524</v>
      </c>
      <c r="Q830" t="str">
        <f>IF(ISBLANK('Master Submitted DPDs'!AU152),"",'Master Submitted DPDs'!AU152)</f>
        <v>SOU</v>
      </c>
      <c r="R830" t="str">
        <f t="shared" si="27"/>
        <v>Closed</v>
      </c>
      <c r="S830" s="3"/>
      <c r="T830">
        <f>IF(ISBLANK('Master Submitted DPDs'!G152),"",'Master Submitted DPDs'!G152)</f>
        <v>3</v>
      </c>
    </row>
    <row r="831" spans="1:20" ht="15" x14ac:dyDescent="0.2">
      <c r="A831" s="3" t="str">
        <f>IF(ISBLANK('Master Submitted DPDs'!$B153),"","Local Plans")</f>
        <v>Local Plans</v>
      </c>
      <c r="B831" t="str">
        <f>IF(ISBLANK('Master Submitted DPDs'!F153),"",'Master Submitted DPDs'!F153)</f>
        <v>SA</v>
      </c>
      <c r="C831" s="3" t="str">
        <f>IF(ISBLANK('Master Submitted DPDs'!$B153),"","IH")</f>
        <v>IH</v>
      </c>
      <c r="D831" s="3" t="str">
        <f>LOOKUP($F831,'fuzzy LPA lookup'!$E:$E,'fuzzy LPA lookup'!$A:$A)</f>
        <v>N2535</v>
      </c>
      <c r="E831" s="3" t="str">
        <f>LOOKUP($F831,'fuzzy LPA lookup'!$E:$E,'fuzzy LPA lookup'!$D:$D)</f>
        <v>West Lindsey District Council</v>
      </c>
      <c r="F831" s="8">
        <f>IF(ISBLANK('Master Submitted DPDs'!B153),"",'Master Submitted DPDs'!B153)</f>
        <v>1841</v>
      </c>
      <c r="G831" t="str">
        <f>IF(ISBLANK('Master Submitted DPDs'!AS153),"","Withdrawn")</f>
        <v/>
      </c>
      <c r="H831" s="2" t="str">
        <f>IF(ISBLANK('Master Submitted DPDs'!AS153),"",'Master Submitted DPDs'!AS153)</f>
        <v/>
      </c>
      <c r="I831" s="3"/>
      <c r="J831" s="3"/>
      <c r="K831" s="3"/>
      <c r="L831" s="2">
        <f>IF(ISBLANK('Master Submitted DPDs'!J153),"",'Master Submitted DPDs'!J153)</f>
        <v>43017</v>
      </c>
      <c r="M831" s="2">
        <f t="shared" si="26"/>
        <v>43017</v>
      </c>
      <c r="N831" s="2">
        <f>IF(ISBLANK('Master Submitted DPDs'!M153),IF(ISBLANK('Master Submitted DPDs'!O153),"",'Master Submitted DPDs'!O153),'Master Submitted DPDs'!M153)</f>
        <v>44042</v>
      </c>
      <c r="O831" s="2">
        <f>IF(ISBLANK('Master Submitted DPDs'!Q153),"",'Master Submitted DPDs'!Q153)</f>
        <v>44315</v>
      </c>
      <c r="P831" s="2">
        <f>IF(ISBLANK('Master Submitted DPDs'!AO153),"",'Master Submitted DPDs'!AO153)</f>
        <v>44700</v>
      </c>
      <c r="Q831" t="str">
        <f>IF(ISBLANK('Master Submitted DPDs'!AU153),"",'Master Submitted DPDs'!AU153)</f>
        <v>SOU</v>
      </c>
      <c r="R831" t="str">
        <f t="shared" si="27"/>
        <v>Closed</v>
      </c>
      <c r="S831" s="3"/>
      <c r="T831">
        <f>IF(ISBLANK('Master Submitted DPDs'!G153),"",'Master Submitted DPDs'!G153)</f>
        <v>3</v>
      </c>
    </row>
    <row r="832" spans="1:20" ht="15" x14ac:dyDescent="0.2">
      <c r="A832" s="3" t="str">
        <f>IF(ISBLANK('Master Submitted DPDs'!$B154),"","Local Plans")</f>
        <v>Local Plans</v>
      </c>
      <c r="B832" t="str">
        <f>IF(ISBLANK('Master Submitted DPDs'!F154),"",'Master Submitted DPDs'!F154)</f>
        <v>SA</v>
      </c>
      <c r="C832" s="3" t="str">
        <f>IF(ISBLANK('Master Submitted DPDs'!$B154),"","IH")</f>
        <v>IH</v>
      </c>
      <c r="D832" s="3" t="str">
        <f>LOOKUP($F832,'fuzzy LPA lookup'!$E:$E,'fuzzy LPA lookup'!$A:$A)</f>
        <v>N2535</v>
      </c>
      <c r="E832" s="3" t="str">
        <f>LOOKUP($F832,'fuzzy LPA lookup'!$E:$E,'fuzzy LPA lookup'!$D:$D)</f>
        <v>West Lindsey District Council</v>
      </c>
      <c r="F832" s="8">
        <f>IF(ISBLANK('Master Submitted DPDs'!B154),"",'Master Submitted DPDs'!B154)</f>
        <v>1840</v>
      </c>
      <c r="G832" t="str">
        <f>IF(ISBLANK('Master Submitted DPDs'!AS154),"","Withdrawn")</f>
        <v/>
      </c>
      <c r="H832" s="2" t="str">
        <f>IF(ISBLANK('Master Submitted DPDs'!AS154),"",'Master Submitted DPDs'!AS154)</f>
        <v/>
      </c>
      <c r="I832" s="3"/>
      <c r="J832" s="3"/>
      <c r="K832" s="3"/>
      <c r="L832" s="2">
        <f>IF(ISBLANK('Master Submitted DPDs'!J154),"",'Master Submitted DPDs'!J154)</f>
        <v>43017</v>
      </c>
      <c r="M832" s="2">
        <f t="shared" si="26"/>
        <v>43017</v>
      </c>
      <c r="N832" s="2">
        <f>IF(ISBLANK('Master Submitted DPDs'!M154),IF(ISBLANK('Master Submitted DPDs'!O154),"",'Master Submitted DPDs'!O154),'Master Submitted DPDs'!M154)</f>
        <v>44042</v>
      </c>
      <c r="O832" s="2">
        <f>IF(ISBLANK('Master Submitted DPDs'!Q154),"",'Master Submitted DPDs'!Q154)</f>
        <v>44392</v>
      </c>
      <c r="P832" s="2">
        <f>IF(ISBLANK('Master Submitted DPDs'!AO154),"",'Master Submitted DPDs'!AO154)</f>
        <v>44726</v>
      </c>
      <c r="Q832" t="str">
        <f>IF(ISBLANK('Master Submitted DPDs'!AU154),"",'Master Submitted DPDs'!AU154)</f>
        <v>SOU</v>
      </c>
      <c r="R832" t="str">
        <f t="shared" si="27"/>
        <v>Closed</v>
      </c>
      <c r="S832" s="3"/>
      <c r="T832">
        <f>IF(ISBLANK('Master Submitted DPDs'!G154),"",'Master Submitted DPDs'!G154)</f>
        <v>3</v>
      </c>
    </row>
    <row r="833" spans="1:20" ht="15" x14ac:dyDescent="0.2">
      <c r="A833" s="3" t="str">
        <f>IF(ISBLANK('Master Submitted DPDs'!$B155),"","Local Plans")</f>
        <v>Local Plans</v>
      </c>
      <c r="B833" t="str">
        <f>IF(ISBLANK('Master Submitted DPDs'!F155),"",'Master Submitted DPDs'!F155)</f>
        <v>SA</v>
      </c>
      <c r="C833" s="3" t="str">
        <f>IF(ISBLANK('Master Submitted DPDs'!$B155),"","IH")</f>
        <v>IH</v>
      </c>
      <c r="D833" s="3" t="str">
        <f>LOOKUP($F833,'fuzzy LPA lookup'!$E:$E,'fuzzy LPA lookup'!$A:$A)</f>
        <v>N2535</v>
      </c>
      <c r="E833" s="3" t="str">
        <f>LOOKUP($F833,'fuzzy LPA lookup'!$E:$E,'fuzzy LPA lookup'!$D:$D)</f>
        <v>West Lindsey District Council</v>
      </c>
      <c r="F833" s="8">
        <f>IF(ISBLANK('Master Submitted DPDs'!B155),"",'Master Submitted DPDs'!B155)</f>
        <v>1817</v>
      </c>
      <c r="G833" t="str">
        <f>IF(ISBLANK('Master Submitted DPDs'!AS155),"","Withdrawn")</f>
        <v/>
      </c>
      <c r="H833" s="2" t="str">
        <f>IF(ISBLANK('Master Submitted DPDs'!AS155),"",'Master Submitted DPDs'!AS155)</f>
        <v/>
      </c>
      <c r="I833" s="3"/>
      <c r="J833" s="3"/>
      <c r="K833" s="3"/>
      <c r="L833" s="2">
        <f>IF(ISBLANK('Master Submitted DPDs'!J155),"",'Master Submitted DPDs'!J155)</f>
        <v>43021</v>
      </c>
      <c r="M833" s="2">
        <f t="shared" si="26"/>
        <v>43021</v>
      </c>
      <c r="N833" s="2">
        <f>IF(ISBLANK('Master Submitted DPDs'!M155),IF(ISBLANK('Master Submitted DPDs'!O155),"",'Master Submitted DPDs'!O155),'Master Submitted DPDs'!M155)</f>
        <v>43021</v>
      </c>
      <c r="O833" s="2">
        <f>IF(ISBLANK('Master Submitted DPDs'!Q155),"",'Master Submitted DPDs'!Q155)</f>
        <v>43152</v>
      </c>
      <c r="P833" s="2">
        <f>IF(ISBLANK('Master Submitted DPDs'!AO155),"",'Master Submitted DPDs'!AO155)</f>
        <v>43343</v>
      </c>
      <c r="Q833" t="str">
        <f>IF(ISBLANK('Master Submitted DPDs'!AU155),"",'Master Submitted DPDs'!AU155)</f>
        <v>SOU</v>
      </c>
      <c r="R833" t="str">
        <f t="shared" si="27"/>
        <v>Closed</v>
      </c>
      <c r="S833" s="3"/>
      <c r="T833">
        <f>IF(ISBLANK('Master Submitted DPDs'!G155),"",'Master Submitted DPDs'!G155)</f>
        <v>2</v>
      </c>
    </row>
    <row r="834" spans="1:20" ht="15" x14ac:dyDescent="0.2">
      <c r="A834" s="3" t="str">
        <f>IF(ISBLANK('Master Submitted DPDs'!$B156),"","Local Plans")</f>
        <v>Local Plans</v>
      </c>
      <c r="B834" t="str">
        <f>IF(ISBLANK('Master Submitted DPDs'!F156),"",'Master Submitted DPDs'!F156)</f>
        <v>M&amp;W</v>
      </c>
      <c r="C834" s="3" t="str">
        <f>IF(ISBLANK('Master Submitted DPDs'!$B156),"","IH")</f>
        <v>IH</v>
      </c>
      <c r="D834" s="3" t="str">
        <f>LOOKUP($F834,'fuzzy LPA lookup'!$E:$E,'fuzzy LPA lookup'!$A:$A)</f>
        <v>J4525</v>
      </c>
      <c r="E834" s="3" t="str">
        <f>LOOKUP($F834,'fuzzy LPA lookup'!$E:$E,'fuzzy LPA lookup'!$D:$D)</f>
        <v>Sunderland City Council</v>
      </c>
      <c r="F834" s="8">
        <f>IF(ISBLANK('Master Submitted DPDs'!B156),"",'Master Submitted DPDs'!B156)</f>
        <v>1793</v>
      </c>
      <c r="G834" t="str">
        <f>IF(ISBLANK('Master Submitted DPDs'!AS156),"","Withdrawn")</f>
        <v/>
      </c>
      <c r="H834" s="2" t="str">
        <f>IF(ISBLANK('Master Submitted DPDs'!AS156),"",'Master Submitted DPDs'!AS156)</f>
        <v/>
      </c>
      <c r="I834" s="3"/>
      <c r="J834" s="3"/>
      <c r="K834" s="3"/>
      <c r="L834" s="2">
        <f>IF(ISBLANK('Master Submitted DPDs'!J156),"",'Master Submitted DPDs'!J156)</f>
        <v>43034</v>
      </c>
      <c r="M834" s="2">
        <f t="shared" si="26"/>
        <v>43034</v>
      </c>
      <c r="N834" s="2">
        <f>IF(ISBLANK('Master Submitted DPDs'!M156),IF(ISBLANK('Master Submitted DPDs'!O156),"",'Master Submitted DPDs'!O156),'Master Submitted DPDs'!M156)</f>
        <v>43034</v>
      </c>
      <c r="O834" s="2">
        <f>IF(ISBLANK('Master Submitted DPDs'!Q156),"",'Master Submitted DPDs'!Q156)</f>
        <v>43110</v>
      </c>
      <c r="P834" s="2">
        <f>IF(ISBLANK('Master Submitted DPDs'!AO156),"",'Master Submitted DPDs'!AO156)</f>
        <v>43298</v>
      </c>
      <c r="Q834" t="str">
        <f>IF(ISBLANK('Master Submitted DPDs'!AU156),"",'Master Submitted DPDs'!AU156)</f>
        <v>SOU</v>
      </c>
      <c r="R834" t="str">
        <f t="shared" si="27"/>
        <v>Closed</v>
      </c>
      <c r="S834" s="3"/>
      <c r="T834">
        <f>IF(ISBLANK('Master Submitted DPDs'!G156),"",'Master Submitted DPDs'!G156)</f>
        <v>2</v>
      </c>
    </row>
    <row r="835" spans="1:20" ht="15" x14ac:dyDescent="0.2">
      <c r="A835" s="3" t="str">
        <f>IF(ISBLANK('Master Submitted DPDs'!$B157),"","Local Plans")</f>
        <v>Local Plans</v>
      </c>
      <c r="B835" t="str">
        <f>IF(ISBLANK('Master Submitted DPDs'!F157),"",'Master Submitted DPDs'!F157)</f>
        <v>SA</v>
      </c>
      <c r="C835" s="3" t="str">
        <f>IF(ISBLANK('Master Submitted DPDs'!$B157),"","IH")</f>
        <v>IH</v>
      </c>
      <c r="D835" s="3" t="str">
        <f>LOOKUP($F835,'fuzzy LPA lookup'!$E:$E,'fuzzy LPA lookup'!$A:$A)</f>
        <v>N2535</v>
      </c>
      <c r="E835" s="3" t="str">
        <f>LOOKUP($F835,'fuzzy LPA lookup'!$E:$E,'fuzzy LPA lookup'!$D:$D)</f>
        <v>West Lindsey District Council</v>
      </c>
      <c r="F835" s="8">
        <f>IF(ISBLANK('Master Submitted DPDs'!B157),"",'Master Submitted DPDs'!B157)</f>
        <v>1837</v>
      </c>
      <c r="G835" t="str">
        <f>IF(ISBLANK('Master Submitted DPDs'!AS157),"","Withdrawn")</f>
        <v/>
      </c>
      <c r="H835" s="2" t="str">
        <f>IF(ISBLANK('Master Submitted DPDs'!AS157),"",'Master Submitted DPDs'!AS157)</f>
        <v/>
      </c>
      <c r="I835" s="3"/>
      <c r="J835" s="3"/>
      <c r="K835" s="3"/>
      <c r="L835" s="2">
        <f>IF(ISBLANK('Master Submitted DPDs'!J157),"",'Master Submitted DPDs'!J157)</f>
        <v>43039</v>
      </c>
      <c r="M835" s="2">
        <f t="shared" ref="M835:M898" si="28">L835</f>
        <v>43039</v>
      </c>
      <c r="N835" s="2">
        <f>IF(ISBLANK('Master Submitted DPDs'!M157),IF(ISBLANK('Master Submitted DPDs'!O157),"",'Master Submitted DPDs'!O157),'Master Submitted DPDs'!M157)</f>
        <v>43039</v>
      </c>
      <c r="O835" s="2">
        <f>IF(ISBLANK('Master Submitted DPDs'!Q157),"",'Master Submitted DPDs'!Q157)</f>
        <v>43200</v>
      </c>
      <c r="P835" s="2">
        <f>IF(ISBLANK('Master Submitted DPDs'!AO157),"",'Master Submitted DPDs'!AO157)</f>
        <v>43565</v>
      </c>
      <c r="Q835" t="str">
        <f>IF(ISBLANK('Master Submitted DPDs'!AU157),"",'Master Submitted DPDs'!AU157)</f>
        <v>SOU</v>
      </c>
      <c r="R835" t="str">
        <f t="shared" ref="R835:R898" si="29">IF(F835="","",IF(AND(H835="",Q835&lt;&gt;"UNS",P835=""),"Open","Closed"))</f>
        <v>Closed</v>
      </c>
      <c r="S835" s="3"/>
      <c r="T835">
        <f>IF(ISBLANK('Master Submitted DPDs'!G157),"",'Master Submitted DPDs'!G157)</f>
        <v>2</v>
      </c>
    </row>
    <row r="836" spans="1:20" ht="15" x14ac:dyDescent="0.2">
      <c r="A836" s="3" t="str">
        <f>IF(ISBLANK('Master Submitted DPDs'!$B158),"","Local Plans")</f>
        <v>Local Plans</v>
      </c>
      <c r="B836" t="str">
        <f>IF(ISBLANK('Master Submitted DPDs'!F158),"",'Master Submitted DPDs'!F158)</f>
        <v>LP</v>
      </c>
      <c r="C836" s="3" t="str">
        <f>IF(ISBLANK('Master Submitted DPDs'!$B158),"","IH")</f>
        <v>IH</v>
      </c>
      <c r="D836" s="3" t="str">
        <f>LOOKUP($F836,'fuzzy LPA lookup'!$E:$E,'fuzzy LPA lookup'!$A:$A)</f>
        <v>F5730</v>
      </c>
      <c r="E836" s="3" t="str">
        <f>LOOKUP($F836,'fuzzy LPA lookup'!$E:$E,'fuzzy LPA lookup'!$D:$D)</f>
        <v>Old Oak and Park Royal Development Corporation</v>
      </c>
      <c r="F836" s="8">
        <f>IF(ISBLANK('Master Submitted DPDs'!B158),"",'Master Submitted DPDs'!B158)</f>
        <v>1850</v>
      </c>
      <c r="G836" t="str">
        <f>IF(ISBLANK('Master Submitted DPDs'!AS158),"","Withdrawn")</f>
        <v/>
      </c>
      <c r="H836" s="2" t="str">
        <f>IF(ISBLANK('Master Submitted DPDs'!AS158),"",'Master Submitted DPDs'!AS158)</f>
        <v/>
      </c>
      <c r="I836" s="3"/>
      <c r="J836" s="3"/>
      <c r="K836" s="3"/>
      <c r="L836" s="2">
        <f>IF(ISBLANK('Master Submitted DPDs'!J158),"",'Master Submitted DPDs'!J158)</f>
        <v>43063</v>
      </c>
      <c r="M836" s="2">
        <f t="shared" si="28"/>
        <v>43063</v>
      </c>
      <c r="N836" s="2">
        <f>IF(ISBLANK('Master Submitted DPDs'!M158),IF(ISBLANK('Master Submitted DPDs'!O158),"",'Master Submitted DPDs'!O158),'Master Submitted DPDs'!M158)</f>
        <v>43064</v>
      </c>
      <c r="O836" s="2">
        <f>IF(ISBLANK('Master Submitted DPDs'!Q158),"",'Master Submitted DPDs'!Q158)</f>
        <v>43187</v>
      </c>
      <c r="P836" s="2">
        <f>IF(ISBLANK('Master Submitted DPDs'!AO158),"",'Master Submitted DPDs'!AO158)</f>
        <v>43397</v>
      </c>
      <c r="Q836" t="str">
        <f>IF(ISBLANK('Master Submitted DPDs'!AU158),"",'Master Submitted DPDs'!AU158)</f>
        <v>SOU</v>
      </c>
      <c r="R836" t="str">
        <f t="shared" si="29"/>
        <v>Closed</v>
      </c>
      <c r="S836" s="3"/>
      <c r="T836">
        <f>IF(ISBLANK('Master Submitted DPDs'!G158),"",'Master Submitted DPDs'!G158)</f>
        <v>3</v>
      </c>
    </row>
    <row r="837" spans="1:20" ht="15" x14ac:dyDescent="0.2">
      <c r="A837" s="3" t="str">
        <f>IF(ISBLANK('Master Submitted DPDs'!$B159),"","Local Plans")</f>
        <v>Local Plans</v>
      </c>
      <c r="B837" t="str">
        <f>IF(ISBLANK('Master Submitted DPDs'!F159),"",'Master Submitted DPDs'!F159)</f>
        <v>M&amp;W</v>
      </c>
      <c r="C837" s="3" t="str">
        <f>IF(ISBLANK('Master Submitted DPDs'!$B159),"","IH")</f>
        <v>IH</v>
      </c>
      <c r="D837" s="3" t="str">
        <f>LOOKUP($F837,'fuzzy LPA lookup'!$E:$E,'fuzzy LPA lookup'!$A:$A)</f>
        <v>N1025</v>
      </c>
      <c r="E837" s="3" t="str">
        <f>LOOKUP($F837,'fuzzy LPA lookup'!$E:$E,'fuzzy LPA lookup'!$D:$D)</f>
        <v>Erewash Borough Council</v>
      </c>
      <c r="F837" s="8">
        <f>IF(ISBLANK('Master Submitted DPDs'!B159),"",'Master Submitted DPDs'!B159)</f>
        <v>1155</v>
      </c>
      <c r="G837" t="str">
        <f>IF(ISBLANK('Master Submitted DPDs'!AS159),"","Withdrawn")</f>
        <v/>
      </c>
      <c r="H837" s="2" t="str">
        <f>IF(ISBLANK('Master Submitted DPDs'!AS159),"",'Master Submitted DPDs'!AS159)</f>
        <v/>
      </c>
      <c r="I837" s="3"/>
      <c r="J837" s="3"/>
      <c r="K837" s="3"/>
      <c r="L837" s="2">
        <f>IF(ISBLANK('Master Submitted DPDs'!J159),"",'Master Submitted DPDs'!J159)</f>
        <v>43067</v>
      </c>
      <c r="M837" s="2">
        <f t="shared" si="28"/>
        <v>43067</v>
      </c>
      <c r="N837" s="2">
        <f>IF(ISBLANK('Master Submitted DPDs'!M159),IF(ISBLANK('Master Submitted DPDs'!O159),"",'Master Submitted DPDs'!O159),'Master Submitted DPDs'!M159)</f>
        <v>43067</v>
      </c>
      <c r="O837" s="2">
        <f>IF(ISBLANK('Master Submitted DPDs'!Q159),"",'Master Submitted DPDs'!Q159)</f>
        <v>43490</v>
      </c>
      <c r="P837" s="2">
        <f>IF(ISBLANK('Master Submitted DPDs'!AO159),"",'Master Submitted DPDs'!AO159)</f>
        <v>44596</v>
      </c>
      <c r="Q837" t="str">
        <f>IF(ISBLANK('Master Submitted DPDs'!AU159),"",'Master Submitted DPDs'!AU159)</f>
        <v>SOU</v>
      </c>
      <c r="R837" t="str">
        <f t="shared" si="29"/>
        <v>Closed</v>
      </c>
      <c r="S837" s="3"/>
      <c r="T837">
        <f>IF(ISBLANK('Master Submitted DPDs'!G159),"",'Master Submitted DPDs'!G159)</f>
        <v>2</v>
      </c>
    </row>
    <row r="838" spans="1:20" ht="15" x14ac:dyDescent="0.2">
      <c r="A838" s="3" t="str">
        <f>IF(ISBLANK('Master Submitted DPDs'!$B160),"","Local Plans")</f>
        <v>Local Plans</v>
      </c>
      <c r="B838" t="str">
        <f>IF(ISBLANK('Master Submitted DPDs'!F160),"",'Master Submitted DPDs'!F160)</f>
        <v>LP</v>
      </c>
      <c r="C838" s="3" t="str">
        <f>IF(ISBLANK('Master Submitted DPDs'!$B160),"","IH")</f>
        <v>IH</v>
      </c>
      <c r="D838" s="3" t="str">
        <f>LOOKUP($F838,'fuzzy LPA lookup'!$E:$E,'fuzzy LPA lookup'!$A:$A)</f>
        <v>N2535</v>
      </c>
      <c r="E838" s="3" t="str">
        <f>LOOKUP($F838,'fuzzy LPA lookup'!$E:$E,'fuzzy LPA lookup'!$D:$D)</f>
        <v>West Lindsey District Council</v>
      </c>
      <c r="F838" s="8">
        <f>IF(ISBLANK('Master Submitted DPDs'!B160),"",'Master Submitted DPDs'!B160)</f>
        <v>1836</v>
      </c>
      <c r="G838" t="str">
        <f>IF(ISBLANK('Master Submitted DPDs'!AS160),"","Withdrawn")</f>
        <v/>
      </c>
      <c r="H838" s="2" t="str">
        <f>IF(ISBLANK('Master Submitted DPDs'!AS160),"",'Master Submitted DPDs'!AS160)</f>
        <v/>
      </c>
      <c r="I838" s="3"/>
      <c r="J838" s="3"/>
      <c r="K838" s="3"/>
      <c r="L838" s="2">
        <f>IF(ISBLANK('Master Submitted DPDs'!J160),"",'Master Submitted DPDs'!J160)</f>
        <v>43069</v>
      </c>
      <c r="M838" s="2">
        <f t="shared" si="28"/>
        <v>43069</v>
      </c>
      <c r="N838" s="2">
        <f>IF(ISBLANK('Master Submitted DPDs'!M160),IF(ISBLANK('Master Submitted DPDs'!O160),"",'Master Submitted DPDs'!O160),'Master Submitted DPDs'!M160)</f>
        <v>43069</v>
      </c>
      <c r="O838" s="2">
        <f>IF(ISBLANK('Master Submitted DPDs'!Q160),"",'Master Submitted DPDs'!Q160)</f>
        <v>43363</v>
      </c>
      <c r="P838" s="2">
        <f>IF(ISBLANK('Master Submitted DPDs'!AO160),"",'Master Submitted DPDs'!AO160)</f>
        <v>43763</v>
      </c>
      <c r="Q838" t="str">
        <f>IF(ISBLANK('Master Submitted DPDs'!AU160),"",'Master Submitted DPDs'!AU160)</f>
        <v>SOU</v>
      </c>
      <c r="R838" t="str">
        <f t="shared" si="29"/>
        <v>Closed</v>
      </c>
      <c r="S838" s="3"/>
      <c r="T838">
        <f>IF(ISBLANK('Master Submitted DPDs'!G160),"",'Master Submitted DPDs'!G160)</f>
        <v>3</v>
      </c>
    </row>
    <row r="839" spans="1:20" ht="15" x14ac:dyDescent="0.2">
      <c r="A839" s="3" t="str">
        <f>IF(ISBLANK('Master Submitted DPDs'!$B161),"","Local Plans")</f>
        <v>Local Plans</v>
      </c>
      <c r="B839" t="str">
        <f>IF(ISBLANK('Master Submitted DPDs'!F161),"",'Master Submitted DPDs'!F161)</f>
        <v>LP</v>
      </c>
      <c r="C839" s="3" t="str">
        <f>IF(ISBLANK('Master Submitted DPDs'!$B161),"","IH")</f>
        <v>IH</v>
      </c>
      <c r="D839" s="3" t="str">
        <f>LOOKUP($F839,'fuzzy LPA lookup'!$E:$E,'fuzzy LPA lookup'!$A:$A)</f>
        <v>Y3615</v>
      </c>
      <c r="E839" s="3" t="str">
        <f>LOOKUP($F839,'fuzzy LPA lookup'!$E:$E,'fuzzy LPA lookup'!$D:$D)</f>
        <v>Guildford Borough Council</v>
      </c>
      <c r="F839" s="8">
        <f>IF(ISBLANK('Master Submitted DPDs'!B161),"",'Master Submitted DPDs'!B161)</f>
        <v>1764</v>
      </c>
      <c r="G839" t="str">
        <f>IF(ISBLANK('Master Submitted DPDs'!AS161),"","Withdrawn")</f>
        <v/>
      </c>
      <c r="H839" s="2" t="str">
        <f>IF(ISBLANK('Master Submitted DPDs'!AS161),"",'Master Submitted DPDs'!AS161)</f>
        <v/>
      </c>
      <c r="I839" s="3"/>
      <c r="J839" s="3"/>
      <c r="K839" s="3"/>
      <c r="L839" s="2">
        <f>IF(ISBLANK('Master Submitted DPDs'!J161),"",'Master Submitted DPDs'!J161)</f>
        <v>43083</v>
      </c>
      <c r="M839" s="2">
        <f t="shared" si="28"/>
        <v>43083</v>
      </c>
      <c r="N839" s="2">
        <f>IF(ISBLANK('Master Submitted DPDs'!M161),IF(ISBLANK('Master Submitted DPDs'!O161),"",'Master Submitted DPDs'!O161),'Master Submitted DPDs'!M161)</f>
        <v>43083</v>
      </c>
      <c r="O839" s="2">
        <f>IF(ISBLANK('Master Submitted DPDs'!Q161),"",'Master Submitted DPDs'!Q161)</f>
        <v>43509</v>
      </c>
      <c r="P839" s="2">
        <f>IF(ISBLANK('Master Submitted DPDs'!AO161),"",'Master Submitted DPDs'!AO161)</f>
        <v>43551</v>
      </c>
      <c r="Q839" t="str">
        <f>IF(ISBLANK('Master Submitted DPDs'!AU161),"",'Master Submitted DPDs'!AU161)</f>
        <v>SOU</v>
      </c>
      <c r="R839" t="str">
        <f t="shared" si="29"/>
        <v>Closed</v>
      </c>
      <c r="S839" s="3"/>
      <c r="T839">
        <f>IF(ISBLANK('Master Submitted DPDs'!G161),"",'Master Submitted DPDs'!G161)</f>
        <v>3</v>
      </c>
    </row>
    <row r="840" spans="1:20" ht="15" x14ac:dyDescent="0.2">
      <c r="A840" s="3" t="str">
        <f>IF(ISBLANK('Master Submitted DPDs'!$B162),"","Local Plans")</f>
        <v>Local Plans</v>
      </c>
      <c r="B840" t="str">
        <f>IF(ISBLANK('Master Submitted DPDs'!F162),"",'Master Submitted DPDs'!F162)</f>
        <v>LP</v>
      </c>
      <c r="C840" s="3" t="str">
        <f>IF(ISBLANK('Master Submitted DPDs'!$B162),"","IH")</f>
        <v>IH</v>
      </c>
      <c r="D840" s="3" t="str">
        <f>LOOKUP($F840,'fuzzy LPA lookup'!$E:$E,'fuzzy LPA lookup'!$A:$A)</f>
        <v>F5730</v>
      </c>
      <c r="E840" s="3" t="str">
        <f>LOOKUP($F840,'fuzzy LPA lookup'!$E:$E,'fuzzy LPA lookup'!$D:$D)</f>
        <v>Old Oak and Park Royal Development Corporation</v>
      </c>
      <c r="F840" s="8">
        <f>IF(ISBLANK('Master Submitted DPDs'!B162),"",'Master Submitted DPDs'!B162)</f>
        <v>1856</v>
      </c>
      <c r="G840" t="str">
        <f>IF(ISBLANK('Master Submitted DPDs'!AS162),"","Withdrawn")</f>
        <v/>
      </c>
      <c r="H840" s="2" t="str">
        <f>IF(ISBLANK('Master Submitted DPDs'!AS162),"",'Master Submitted DPDs'!AS162)</f>
        <v/>
      </c>
      <c r="I840" s="3"/>
      <c r="J840" s="3"/>
      <c r="K840" s="3"/>
      <c r="L840" s="2">
        <f>IF(ISBLANK('Master Submitted DPDs'!J162),"",'Master Submitted DPDs'!J162)</f>
        <v>43090</v>
      </c>
      <c r="M840" s="2">
        <f t="shared" si="28"/>
        <v>43090</v>
      </c>
      <c r="N840" s="2">
        <f>IF(ISBLANK('Master Submitted DPDs'!M162),IF(ISBLANK('Master Submitted DPDs'!O162),"",'Master Submitted DPDs'!O162),'Master Submitted DPDs'!M162)</f>
        <v>43102</v>
      </c>
      <c r="O840" s="2">
        <f>IF(ISBLANK('Master Submitted DPDs'!Q162),"",'Master Submitted DPDs'!Q162)</f>
        <v>43272</v>
      </c>
      <c r="P840" s="2">
        <f>IF(ISBLANK('Master Submitted DPDs'!AO162),"",'Master Submitted DPDs'!AO162)</f>
        <v>43451</v>
      </c>
      <c r="Q840" t="str">
        <f>IF(ISBLANK('Master Submitted DPDs'!AU162),"",'Master Submitted DPDs'!AU162)</f>
        <v>SOU</v>
      </c>
      <c r="R840" t="str">
        <f t="shared" si="29"/>
        <v>Closed</v>
      </c>
      <c r="S840" s="3"/>
      <c r="T840">
        <f>IF(ISBLANK('Master Submitted DPDs'!G162),"",'Master Submitted DPDs'!G162)</f>
        <v>3</v>
      </c>
    </row>
    <row r="841" spans="1:20" ht="15" x14ac:dyDescent="0.2">
      <c r="A841" s="3" t="str">
        <f>IF(ISBLANK('Master Submitted DPDs'!$B163),"","Local Plans")</f>
        <v>Local Plans</v>
      </c>
      <c r="B841" t="str">
        <f>IF(ISBLANK('Master Submitted DPDs'!F163),"",'Master Submitted DPDs'!F163)</f>
        <v>LP</v>
      </c>
      <c r="C841" s="3" t="str">
        <f>IF(ISBLANK('Master Submitted DPDs'!$B163),"","IH")</f>
        <v>IH</v>
      </c>
      <c r="D841" s="3" t="str">
        <f>LOOKUP($F841,'fuzzy LPA lookup'!$E:$E,'fuzzy LPA lookup'!$A:$A)</f>
        <v>G0908</v>
      </c>
      <c r="E841" s="3" t="str">
        <f>LOOKUP($F841,'fuzzy LPA lookup'!$E:$E,'fuzzy LPA lookup'!$D:$D)</f>
        <v>Allerdale Borough Council</v>
      </c>
      <c r="F841" s="8">
        <f>IF(ISBLANK('Master Submitted DPDs'!B163),"",'Master Submitted DPDs'!B163)</f>
        <v>1344</v>
      </c>
      <c r="G841" t="str">
        <f>IF(ISBLANK('Master Submitted DPDs'!AS163),"","Withdrawn")</f>
        <v/>
      </c>
      <c r="H841" s="2" t="str">
        <f>IF(ISBLANK('Master Submitted DPDs'!AS163),"",'Master Submitted DPDs'!AS163)</f>
        <v/>
      </c>
      <c r="I841" s="3"/>
      <c r="J841" s="3"/>
      <c r="K841" s="3"/>
      <c r="L841" s="2">
        <f>IF(ISBLANK('Master Submitted DPDs'!J163),"",'Master Submitted DPDs'!J163)</f>
        <v>43090</v>
      </c>
      <c r="M841" s="2">
        <f t="shared" si="28"/>
        <v>43090</v>
      </c>
      <c r="N841" s="2">
        <f>IF(ISBLANK('Master Submitted DPDs'!M163),IF(ISBLANK('Master Submitted DPDs'!O163),"",'Master Submitted DPDs'!O163),'Master Submitted DPDs'!M163)</f>
        <v>43102</v>
      </c>
      <c r="O841" s="2">
        <f>IF(ISBLANK('Master Submitted DPDs'!Q163),"",'Master Submitted DPDs'!Q163)</f>
        <v>43264</v>
      </c>
      <c r="P841" s="2">
        <f>IF(ISBLANK('Master Submitted DPDs'!AO163),"",'Master Submitted DPDs'!AO163)</f>
        <v>43467</v>
      </c>
      <c r="Q841" t="str">
        <f>IF(ISBLANK('Master Submitted DPDs'!AU163),"",'Master Submitted DPDs'!AU163)</f>
        <v>SOU</v>
      </c>
      <c r="R841" t="str">
        <f t="shared" si="29"/>
        <v>Closed</v>
      </c>
      <c r="S841" s="3"/>
      <c r="T841">
        <f>IF(ISBLANK('Master Submitted DPDs'!G163),"",'Master Submitted DPDs'!G163)</f>
        <v>3</v>
      </c>
    </row>
    <row r="842" spans="1:20" ht="15" x14ac:dyDescent="0.2">
      <c r="A842" s="3" t="str">
        <f>IF(ISBLANK('Master Submitted DPDs'!$B164),"","Local Plans")</f>
        <v>Local Plans</v>
      </c>
      <c r="B842" t="str">
        <f>IF(ISBLANK('Master Submitted DPDs'!F164),"",'Master Submitted DPDs'!F164)</f>
        <v>LP</v>
      </c>
      <c r="C842" s="3" t="str">
        <f>IF(ISBLANK('Master Submitted DPDs'!$B164),"","IH")</f>
        <v>IH</v>
      </c>
      <c r="D842" s="3" t="str">
        <f>LOOKUP($F842,'fuzzy LPA lookup'!$E:$E,'fuzzy LPA lookup'!$A:$A)</f>
        <v>F5730</v>
      </c>
      <c r="E842" s="3" t="str">
        <f>LOOKUP($F842,'fuzzy LPA lookup'!$E:$E,'fuzzy LPA lookup'!$D:$D)</f>
        <v>Old Oak and Park Royal Development Corporation</v>
      </c>
      <c r="F842" s="8">
        <f>IF(ISBLANK('Master Submitted DPDs'!B164),"",'Master Submitted DPDs'!B164)</f>
        <v>1853</v>
      </c>
      <c r="G842" t="str">
        <f>IF(ISBLANK('Master Submitted DPDs'!AS164),"","Withdrawn")</f>
        <v/>
      </c>
      <c r="H842" s="2" t="str">
        <f>IF(ISBLANK('Master Submitted DPDs'!AS164),"",'Master Submitted DPDs'!AS164)</f>
        <v/>
      </c>
      <c r="I842" s="3"/>
      <c r="J842" s="3"/>
      <c r="K842" s="3"/>
      <c r="L842" s="2">
        <f>IF(ISBLANK('Master Submitted DPDs'!J164),"",'Master Submitted DPDs'!J164)</f>
        <v>43123</v>
      </c>
      <c r="M842" s="2">
        <f t="shared" si="28"/>
        <v>43123</v>
      </c>
      <c r="N842" s="2">
        <f>IF(ISBLANK('Master Submitted DPDs'!M164),IF(ISBLANK('Master Submitted DPDs'!O164),"",'Master Submitted DPDs'!O164),'Master Submitted DPDs'!M164)</f>
        <v>43123</v>
      </c>
      <c r="O842" s="2">
        <f>IF(ISBLANK('Master Submitted DPDs'!Q164),"",'Master Submitted DPDs'!Q164)</f>
        <v>43256</v>
      </c>
      <c r="P842" s="2">
        <f>IF(ISBLANK('Master Submitted DPDs'!AO164),"",'Master Submitted DPDs'!AO164)</f>
        <v>43497</v>
      </c>
      <c r="Q842" t="str">
        <f>IF(ISBLANK('Master Submitted DPDs'!AU164),"",'Master Submitted DPDs'!AU164)</f>
        <v>SOU</v>
      </c>
      <c r="R842" t="str">
        <f t="shared" si="29"/>
        <v>Closed</v>
      </c>
      <c r="S842" s="3"/>
      <c r="T842">
        <f>IF(ISBLANK('Master Submitted DPDs'!G164),"",'Master Submitted DPDs'!G164)</f>
        <v>3</v>
      </c>
    </row>
    <row r="843" spans="1:20" ht="15" x14ac:dyDescent="0.2">
      <c r="A843" s="3" t="str">
        <f>IF(ISBLANK('Master Submitted DPDs'!$B165),"","Local Plans")</f>
        <v>Local Plans</v>
      </c>
      <c r="B843" t="str">
        <f>IF(ISBLANK('Master Submitted DPDs'!F165),"",'Master Submitted DPDs'!F165)</f>
        <v>LP</v>
      </c>
      <c r="C843" s="3" t="str">
        <f>IF(ISBLANK('Master Submitted DPDs'!$B165),"","IH")</f>
        <v>IH</v>
      </c>
      <c r="D843" s="3" t="str">
        <f>LOOKUP($F843,'fuzzy LPA lookup'!$E:$E,'fuzzy LPA lookup'!$A:$A)</f>
        <v>F5730</v>
      </c>
      <c r="E843" s="3" t="str">
        <f>LOOKUP($F843,'fuzzy LPA lookup'!$E:$E,'fuzzy LPA lookup'!$D:$D)</f>
        <v>Old Oak and Park Royal Development Corporation</v>
      </c>
      <c r="F843" s="8">
        <f>IF(ISBLANK('Master Submitted DPDs'!B165),"",'Master Submitted DPDs'!B165)</f>
        <v>1867</v>
      </c>
      <c r="G843" t="str">
        <f>IF(ISBLANK('Master Submitted DPDs'!AS165),"","Withdrawn")</f>
        <v/>
      </c>
      <c r="H843" s="2" t="str">
        <f>IF(ISBLANK('Master Submitted DPDs'!AS165),"",'Master Submitted DPDs'!AS165)</f>
        <v/>
      </c>
      <c r="I843" s="3"/>
      <c r="J843" s="3"/>
      <c r="K843" s="3"/>
      <c r="L843" s="2">
        <f>IF(ISBLANK('Master Submitted DPDs'!J165),"",'Master Submitted DPDs'!J165)</f>
        <v>43129</v>
      </c>
      <c r="M843" s="2">
        <f t="shared" si="28"/>
        <v>43129</v>
      </c>
      <c r="N843" s="2">
        <f>IF(ISBLANK('Master Submitted DPDs'!M165),IF(ISBLANK('Master Submitted DPDs'!O165),"",'Master Submitted DPDs'!O165),'Master Submitted DPDs'!M165)</f>
        <v>43130</v>
      </c>
      <c r="O843" s="2">
        <f>IF(ISBLANK('Master Submitted DPDs'!Q165),"",'Master Submitted DPDs'!Q165)</f>
        <v>43278</v>
      </c>
      <c r="P843" s="2">
        <f>IF(ISBLANK('Master Submitted DPDs'!AO165),"",'Master Submitted DPDs'!AO165)</f>
        <v>43549</v>
      </c>
      <c r="Q843" t="str">
        <f>IF(ISBLANK('Master Submitted DPDs'!AU165),"",'Master Submitted DPDs'!AU165)</f>
        <v>SOU</v>
      </c>
      <c r="R843" t="str">
        <f t="shared" si="29"/>
        <v>Closed</v>
      </c>
      <c r="S843" s="3"/>
      <c r="T843">
        <f>IF(ISBLANK('Master Submitted DPDs'!G165),"",'Master Submitted DPDs'!G165)</f>
        <v>3</v>
      </c>
    </row>
    <row r="844" spans="1:20" ht="15" x14ac:dyDescent="0.2">
      <c r="A844" s="3" t="str">
        <f>IF(ISBLANK('Master Submitted DPDs'!$B166),"","Local Plans")</f>
        <v>Local Plans</v>
      </c>
      <c r="B844" t="str">
        <f>IF(ISBLANK('Master Submitted DPDs'!F166),"",'Master Submitted DPDs'!F166)</f>
        <v>SA</v>
      </c>
      <c r="C844" s="3" t="str">
        <f>IF(ISBLANK('Master Submitted DPDs'!$B166),"","IH")</f>
        <v>IH</v>
      </c>
      <c r="D844" s="3" t="str">
        <f>LOOKUP($F844,'fuzzy LPA lookup'!$E:$E,'fuzzy LPA lookup'!$A:$A)</f>
        <v>H2835</v>
      </c>
      <c r="E844" s="3" t="str">
        <f>LOOKUP($F844,'fuzzy LPA lookup'!$E:$E,'fuzzy LPA lookup'!$D:$D)</f>
        <v>Wellingborough Borough Council</v>
      </c>
      <c r="F844" s="8">
        <f>IF(ISBLANK('Master Submitted DPDs'!B166),"",'Master Submitted DPDs'!B166)</f>
        <v>1553</v>
      </c>
      <c r="G844" t="str">
        <f>IF(ISBLANK('Master Submitted DPDs'!AS166),"","Withdrawn")</f>
        <v/>
      </c>
      <c r="H844" s="2" t="str">
        <f>IF(ISBLANK('Master Submitted DPDs'!AS166),"",'Master Submitted DPDs'!AS166)</f>
        <v/>
      </c>
      <c r="I844" s="3"/>
      <c r="J844" s="3"/>
      <c r="K844" s="3"/>
      <c r="L844" s="2">
        <f>IF(ISBLANK('Master Submitted DPDs'!J166),"",'Master Submitted DPDs'!J166)</f>
        <v>43130</v>
      </c>
      <c r="M844" s="2">
        <f t="shared" si="28"/>
        <v>43130</v>
      </c>
      <c r="N844" s="2">
        <f>IF(ISBLANK('Master Submitted DPDs'!M166),IF(ISBLANK('Master Submitted DPDs'!O166),"",'Master Submitted DPDs'!O166),'Master Submitted DPDs'!M166)</f>
        <v>43130</v>
      </c>
      <c r="O844" s="2">
        <f>IF(ISBLANK('Master Submitted DPDs'!Q166),"",'Master Submitted DPDs'!Q166)</f>
        <v>43215</v>
      </c>
      <c r="P844" s="2">
        <f>IF(ISBLANK('Master Submitted DPDs'!AO166),"",'Master Submitted DPDs'!AO166)</f>
        <v>43424</v>
      </c>
      <c r="Q844" t="str">
        <f>IF(ISBLANK('Master Submitted DPDs'!AU166),"",'Master Submitted DPDs'!AU166)</f>
        <v>SOU</v>
      </c>
      <c r="R844" t="str">
        <f t="shared" si="29"/>
        <v>Closed</v>
      </c>
      <c r="S844" s="3"/>
      <c r="T844">
        <f>IF(ISBLANK('Master Submitted DPDs'!G166),"",'Master Submitted DPDs'!G166)</f>
        <v>2</v>
      </c>
    </row>
    <row r="845" spans="1:20" ht="15" x14ac:dyDescent="0.2">
      <c r="A845" s="3" t="str">
        <f>IF(ISBLANK('Master Submitted DPDs'!$B167),"","Local Plans")</f>
        <v>Local Plans</v>
      </c>
      <c r="B845" t="str">
        <f>IF(ISBLANK('Master Submitted DPDs'!F167),"",'Master Submitted DPDs'!F167)</f>
        <v>LP</v>
      </c>
      <c r="C845" s="3" t="str">
        <f>IF(ISBLANK('Master Submitted DPDs'!$B167),"","IH")</f>
        <v>IH</v>
      </c>
      <c r="D845" s="3" t="str">
        <f>LOOKUP($F845,'fuzzy LPA lookup'!$E:$E,'fuzzy LPA lookup'!$A:$A)</f>
        <v>F5730</v>
      </c>
      <c r="E845" s="3" t="str">
        <f>LOOKUP($F845,'fuzzy LPA lookup'!$E:$E,'fuzzy LPA lookup'!$D:$D)</f>
        <v>Old Oak and Park Royal Development Corporation</v>
      </c>
      <c r="F845" s="8">
        <f>IF(ISBLANK('Master Submitted DPDs'!B167),"",'Master Submitted DPDs'!B167)</f>
        <v>1844</v>
      </c>
      <c r="G845" t="str">
        <f>IF(ISBLANK('Master Submitted DPDs'!AS167),"","Withdrawn")</f>
        <v/>
      </c>
      <c r="H845" s="2" t="str">
        <f>IF(ISBLANK('Master Submitted DPDs'!AS167),"",'Master Submitted DPDs'!AS167)</f>
        <v/>
      </c>
      <c r="I845" s="3"/>
      <c r="J845" s="3"/>
      <c r="K845" s="3"/>
      <c r="L845" s="2">
        <f>IF(ISBLANK('Master Submitted DPDs'!J167),"",'Master Submitted DPDs'!J167)</f>
        <v>43131</v>
      </c>
      <c r="M845" s="2">
        <f t="shared" si="28"/>
        <v>43131</v>
      </c>
      <c r="N845" s="2">
        <f>IF(ISBLANK('Master Submitted DPDs'!M167),IF(ISBLANK('Master Submitted DPDs'!O167),"",'Master Submitted DPDs'!O167),'Master Submitted DPDs'!M167)</f>
        <v>43132</v>
      </c>
      <c r="O845" s="2">
        <f>IF(ISBLANK('Master Submitted DPDs'!Q167),"",'Master Submitted DPDs'!Q167)</f>
        <v>44196</v>
      </c>
      <c r="P845" s="2">
        <f>IF(ISBLANK('Master Submitted DPDs'!AO167),"",'Master Submitted DPDs'!AO167)</f>
        <v>44587</v>
      </c>
      <c r="Q845" t="str">
        <f>IF(ISBLANK('Master Submitted DPDs'!AU167),"",'Master Submitted DPDs'!AU167)</f>
        <v>SOU</v>
      </c>
      <c r="R845" t="str">
        <f t="shared" si="29"/>
        <v>Closed</v>
      </c>
      <c r="S845" s="3"/>
      <c r="T845">
        <f>IF(ISBLANK('Master Submitted DPDs'!G167),"",'Master Submitted DPDs'!G167)</f>
        <v>3</v>
      </c>
    </row>
    <row r="846" spans="1:20" ht="15" x14ac:dyDescent="0.2">
      <c r="A846" s="3" t="str">
        <f>IF(ISBLANK('Master Submitted DPDs'!$B168),"","Local Plans")</f>
        <v>Local Plans</v>
      </c>
      <c r="B846" t="str">
        <f>IF(ISBLANK('Master Submitted DPDs'!F168),"",'Master Submitted DPDs'!F168)</f>
        <v>LP</v>
      </c>
      <c r="C846" s="3" t="str">
        <f>IF(ISBLANK('Master Submitted DPDs'!$B168),"","IH")</f>
        <v>IH</v>
      </c>
      <c r="D846" s="3" t="str">
        <f>LOOKUP($F846,'fuzzy LPA lookup'!$E:$E,'fuzzy LPA lookup'!$A:$A)</f>
        <v>N2535</v>
      </c>
      <c r="E846" s="3" t="str">
        <f>LOOKUP($F846,'fuzzy LPA lookup'!$E:$E,'fuzzy LPA lookup'!$D:$D)</f>
        <v>West Lindsey District Council</v>
      </c>
      <c r="F846" s="8">
        <f>IF(ISBLANK('Master Submitted DPDs'!B168),"",'Master Submitted DPDs'!B168)</f>
        <v>1839</v>
      </c>
      <c r="G846" t="str">
        <f>IF(ISBLANK('Master Submitted DPDs'!AS168),"","Withdrawn")</f>
        <v/>
      </c>
      <c r="H846" s="2" t="str">
        <f>IF(ISBLANK('Master Submitted DPDs'!AS168),"",'Master Submitted DPDs'!AS168)</f>
        <v/>
      </c>
      <c r="I846" s="3"/>
      <c r="J846" s="3"/>
      <c r="K846" s="3"/>
      <c r="L846" s="2">
        <f>IF(ISBLANK('Master Submitted DPDs'!J168),"",'Master Submitted DPDs'!J168)</f>
        <v>43133</v>
      </c>
      <c r="M846" s="2">
        <f t="shared" si="28"/>
        <v>43133</v>
      </c>
      <c r="N846" s="2">
        <f>IF(ISBLANK('Master Submitted DPDs'!M168),IF(ISBLANK('Master Submitted DPDs'!O168),"",'Master Submitted DPDs'!O168),'Master Submitted DPDs'!M168)</f>
        <v>43137</v>
      </c>
      <c r="O846" s="2">
        <f>IF(ISBLANK('Master Submitted DPDs'!Q168),"",'Master Submitted DPDs'!Q168)</f>
        <v>43238</v>
      </c>
      <c r="P846" s="2">
        <f>IF(ISBLANK('Master Submitted DPDs'!AO168),"",'Master Submitted DPDs'!AO168)</f>
        <v>43479</v>
      </c>
      <c r="Q846" t="str">
        <f>IF(ISBLANK('Master Submitted DPDs'!AU168),"",'Master Submitted DPDs'!AU168)</f>
        <v>SOU</v>
      </c>
      <c r="R846" t="str">
        <f t="shared" si="29"/>
        <v>Closed</v>
      </c>
      <c r="S846" s="3"/>
      <c r="T846">
        <f>IF(ISBLANK('Master Submitted DPDs'!G168),"",'Master Submitted DPDs'!G168)</f>
        <v>3</v>
      </c>
    </row>
    <row r="847" spans="1:20" ht="15" x14ac:dyDescent="0.2">
      <c r="A847" s="3" t="str">
        <f>IF(ISBLANK('Master Submitted DPDs'!$B169),"","Local Plans")</f>
        <v>Local Plans</v>
      </c>
      <c r="B847" t="str">
        <f>IF(ISBLANK('Master Submitted DPDs'!F169),"",'Master Submitted DPDs'!F169)</f>
        <v>LP</v>
      </c>
      <c r="C847" s="3" t="str">
        <f>IF(ISBLANK('Master Submitted DPDs'!$B169),"","IH")</f>
        <v>IH</v>
      </c>
      <c r="D847" s="3" t="str">
        <f>LOOKUP($F847,'fuzzy LPA lookup'!$E:$E,'fuzzy LPA lookup'!$A:$A)</f>
        <v>J4525</v>
      </c>
      <c r="E847" s="3" t="str">
        <f>LOOKUP($F847,'fuzzy LPA lookup'!$E:$E,'fuzzy LPA lookup'!$D:$D)</f>
        <v>Sunderland City Council</v>
      </c>
      <c r="F847" s="8">
        <f>IF(ISBLANK('Master Submitted DPDs'!B169),"",'Master Submitted DPDs'!B169)</f>
        <v>1781</v>
      </c>
      <c r="G847" t="str">
        <f>IF(ISBLANK('Master Submitted DPDs'!AS169),"","Withdrawn")</f>
        <v/>
      </c>
      <c r="H847" s="2" t="str">
        <f>IF(ISBLANK('Master Submitted DPDs'!AS169),"",'Master Submitted DPDs'!AS169)</f>
        <v/>
      </c>
      <c r="I847" s="3"/>
      <c r="J847" s="3"/>
      <c r="K847" s="3"/>
      <c r="L847" s="2">
        <f>IF(ISBLANK('Master Submitted DPDs'!J169),"",'Master Submitted DPDs'!J169)</f>
        <v>43133</v>
      </c>
      <c r="M847" s="2">
        <f t="shared" si="28"/>
        <v>43133</v>
      </c>
      <c r="N847" s="2">
        <f>IF(ISBLANK('Master Submitted DPDs'!M169),IF(ISBLANK('Master Submitted DPDs'!O169),"",'Master Submitted DPDs'!O169),'Master Submitted DPDs'!M169)</f>
        <v>43133</v>
      </c>
      <c r="O847" s="2">
        <f>IF(ISBLANK('Master Submitted DPDs'!Q169),"",'Master Submitted DPDs'!Q169)</f>
        <v>43277</v>
      </c>
      <c r="P847" s="2">
        <f>IF(ISBLANK('Master Submitted DPDs'!AO169),"",'Master Submitted DPDs'!AO169)</f>
        <v>43544</v>
      </c>
      <c r="Q847" t="str">
        <f>IF(ISBLANK('Master Submitted DPDs'!AU169),"",'Master Submitted DPDs'!AU169)</f>
        <v>SOU</v>
      </c>
      <c r="R847" t="str">
        <f t="shared" si="29"/>
        <v>Closed</v>
      </c>
      <c r="S847" s="3"/>
      <c r="T847">
        <f>IF(ISBLANK('Master Submitted DPDs'!G169),"",'Master Submitted DPDs'!G169)</f>
        <v>3</v>
      </c>
    </row>
    <row r="848" spans="1:20" ht="15" x14ac:dyDescent="0.2">
      <c r="A848" s="3" t="str">
        <f>IF(ISBLANK('Master Submitted DPDs'!$B170),"","Local Plans")</f>
        <v>Local Plans</v>
      </c>
      <c r="B848" t="str">
        <f>IF(ISBLANK('Master Submitted DPDs'!F170),"",'Master Submitted DPDs'!F170)</f>
        <v>LP</v>
      </c>
      <c r="C848" s="3" t="str">
        <f>IF(ISBLANK('Master Submitted DPDs'!$B170),"","IH")</f>
        <v>IH</v>
      </c>
      <c r="D848" s="3" t="str">
        <f>LOOKUP($F848,'fuzzy LPA lookup'!$E:$E,'fuzzy LPA lookup'!$A:$A)</f>
        <v>F5730</v>
      </c>
      <c r="E848" s="3" t="str">
        <f>LOOKUP($F848,'fuzzy LPA lookup'!$E:$E,'fuzzy LPA lookup'!$D:$D)</f>
        <v>Old Oak and Park Royal Development Corporation</v>
      </c>
      <c r="F848" s="8">
        <f>IF(ISBLANK('Master Submitted DPDs'!B170),"",'Master Submitted DPDs'!B170)</f>
        <v>1870</v>
      </c>
      <c r="G848" t="str">
        <f>IF(ISBLANK('Master Submitted DPDs'!AS170),"","Withdrawn")</f>
        <v>Withdrawn</v>
      </c>
      <c r="H848" s="2">
        <f>IF(ISBLANK('Master Submitted DPDs'!AS170),"",'Master Submitted DPDs'!AS170)</f>
        <v>43518</v>
      </c>
      <c r="I848" s="3"/>
      <c r="J848" s="3"/>
      <c r="K848" s="3"/>
      <c r="L848" s="2">
        <f>IF(ISBLANK('Master Submitted DPDs'!J170),"",'Master Submitted DPDs'!J170)</f>
        <v>43147</v>
      </c>
      <c r="M848" s="2">
        <f t="shared" si="28"/>
        <v>43147</v>
      </c>
      <c r="N848" s="2">
        <f>IF(ISBLANK('Master Submitted DPDs'!M170),IF(ISBLANK('Master Submitted DPDs'!O170),"",'Master Submitted DPDs'!O170),'Master Submitted DPDs'!M170)</f>
        <v>43147</v>
      </c>
      <c r="O848" s="2" t="str">
        <f>IF(ISBLANK('Master Submitted DPDs'!Q170),"",'Master Submitted DPDs'!Q170)</f>
        <v/>
      </c>
      <c r="P848" s="2" t="str">
        <f>IF(ISBLANK('Master Submitted DPDs'!AO170),"",'Master Submitted DPDs'!AO170)</f>
        <v/>
      </c>
      <c r="Q848" t="str">
        <f>IF(ISBLANK('Master Submitted DPDs'!AU170),"",'Master Submitted DPDs'!AU170)</f>
        <v>DPDW</v>
      </c>
      <c r="R848" t="str">
        <f t="shared" si="29"/>
        <v>Closed</v>
      </c>
      <c r="S848" s="3"/>
      <c r="T848">
        <f>IF(ISBLANK('Master Submitted DPDs'!G170),"",'Master Submitted DPDs'!G170)</f>
        <v>3</v>
      </c>
    </row>
    <row r="849" spans="1:20" ht="15" x14ac:dyDescent="0.2">
      <c r="A849" s="3" t="str">
        <f>IF(ISBLANK('Master Submitted DPDs'!$B171),"","Local Plans")</f>
        <v>Local Plans</v>
      </c>
      <c r="B849" t="str">
        <f>IF(ISBLANK('Master Submitted DPDs'!F171),"",'Master Submitted DPDs'!F171)</f>
        <v>DM</v>
      </c>
      <c r="C849" s="3" t="str">
        <f>IF(ISBLANK('Master Submitted DPDs'!$B171),"","IH")</f>
        <v>IH</v>
      </c>
      <c r="D849" s="3" t="str">
        <f>LOOKUP($F849,'fuzzy LPA lookup'!$E:$E,'fuzzy LPA lookup'!$A:$A)</f>
        <v>Z4718</v>
      </c>
      <c r="E849" s="3" t="str">
        <f>LOOKUP($F849,'fuzzy LPA lookup'!$E:$E,'fuzzy LPA lookup'!$D:$D)</f>
        <v>Kirklees Metropolitan Council</v>
      </c>
      <c r="F849" s="8">
        <f>IF(ISBLANK('Master Submitted DPDs'!B171),"",'Master Submitted DPDs'!B171)</f>
        <v>1362</v>
      </c>
      <c r="G849" t="str">
        <f>IF(ISBLANK('Master Submitted DPDs'!AS171),"","Withdrawn")</f>
        <v/>
      </c>
      <c r="H849" s="2" t="str">
        <f>IF(ISBLANK('Master Submitted DPDs'!AS171),"",'Master Submitted DPDs'!AS171)</f>
        <v/>
      </c>
      <c r="I849" s="3"/>
      <c r="J849" s="3"/>
      <c r="K849" s="3"/>
      <c r="L849" s="2">
        <f>IF(ISBLANK('Master Submitted DPDs'!J171),"",'Master Submitted DPDs'!J171)</f>
        <v>43150</v>
      </c>
      <c r="M849" s="2">
        <f t="shared" si="28"/>
        <v>43150</v>
      </c>
      <c r="N849" s="2">
        <f>IF(ISBLANK('Master Submitted DPDs'!M171),IF(ISBLANK('Master Submitted DPDs'!O171),"",'Master Submitted DPDs'!O171),'Master Submitted DPDs'!M171)</f>
        <v>43150</v>
      </c>
      <c r="O849" s="2">
        <f>IF(ISBLANK('Master Submitted DPDs'!Q171),"",'Master Submitted DPDs'!Q171)</f>
        <v>43244</v>
      </c>
      <c r="P849" s="2">
        <f>IF(ISBLANK('Master Submitted DPDs'!AO171),"",'Master Submitted DPDs'!AO171)</f>
        <v>43579</v>
      </c>
      <c r="Q849" t="str">
        <f>IF(ISBLANK('Master Submitted DPDs'!AU171),"",'Master Submitted DPDs'!AU171)</f>
        <v>SOU</v>
      </c>
      <c r="R849" t="str">
        <f t="shared" si="29"/>
        <v>Closed</v>
      </c>
      <c r="S849" s="3"/>
      <c r="T849">
        <f>IF(ISBLANK('Master Submitted DPDs'!G171),"",'Master Submitted DPDs'!G171)</f>
        <v>2</v>
      </c>
    </row>
    <row r="850" spans="1:20" ht="15" x14ac:dyDescent="0.2">
      <c r="A850" s="3" t="str">
        <f>IF(ISBLANK('Master Submitted DPDs'!$B172),"","Local Plans")</f>
        <v>Local Plans</v>
      </c>
      <c r="B850" t="str">
        <f>IF(ISBLANK('Master Submitted DPDs'!F172),"",'Master Submitted DPDs'!F172)</f>
        <v>SA</v>
      </c>
      <c r="C850" s="3" t="str">
        <f>IF(ISBLANK('Master Submitted DPDs'!$B172),"","IH")</f>
        <v>IH</v>
      </c>
      <c r="D850" s="3" t="str">
        <f>LOOKUP($F850,'fuzzy LPA lookup'!$E:$E,'fuzzy LPA lookup'!$A:$A)</f>
        <v>F5730</v>
      </c>
      <c r="E850" s="3" t="str">
        <f>LOOKUP($F850,'fuzzy LPA lookup'!$E:$E,'fuzzy LPA lookup'!$D:$D)</f>
        <v>Old Oak and Park Royal Development Corporation</v>
      </c>
      <c r="F850" s="8">
        <f>IF(ISBLANK('Master Submitted DPDs'!B172),"",'Master Submitted DPDs'!B172)</f>
        <v>1860</v>
      </c>
      <c r="G850" t="str">
        <f>IF(ISBLANK('Master Submitted DPDs'!AS172),"","Withdrawn")</f>
        <v/>
      </c>
      <c r="H850" s="2" t="str">
        <f>IF(ISBLANK('Master Submitted DPDs'!AS172),"",'Master Submitted DPDs'!AS172)</f>
        <v/>
      </c>
      <c r="I850" s="3"/>
      <c r="J850" s="3"/>
      <c r="K850" s="3"/>
      <c r="L850" s="2">
        <f>IF(ISBLANK('Master Submitted DPDs'!J172),"",'Master Submitted DPDs'!J172)</f>
        <v>43154</v>
      </c>
      <c r="M850" s="2">
        <f t="shared" si="28"/>
        <v>43154</v>
      </c>
      <c r="N850" s="2">
        <f>IF(ISBLANK('Master Submitted DPDs'!M172),IF(ISBLANK('Master Submitted DPDs'!O172),"",'Master Submitted DPDs'!O172),'Master Submitted DPDs'!M172)</f>
        <v>43158</v>
      </c>
      <c r="O850" s="2">
        <f>IF(ISBLANK('Master Submitted DPDs'!Q172),"",'Master Submitted DPDs'!Q172)</f>
        <v>43349</v>
      </c>
      <c r="P850" s="2">
        <f>IF(ISBLANK('Master Submitted DPDs'!AO172),"",'Master Submitted DPDs'!AO172)</f>
        <v>43641</v>
      </c>
      <c r="Q850" t="str">
        <f>IF(ISBLANK('Master Submitted DPDs'!AU172),"",'Master Submitted DPDs'!AU172)</f>
        <v>SOU</v>
      </c>
      <c r="R850" t="str">
        <f t="shared" si="29"/>
        <v>Closed</v>
      </c>
      <c r="S850" s="3"/>
      <c r="T850">
        <f>IF(ISBLANK('Master Submitted DPDs'!G172),"",'Master Submitted DPDs'!G172)</f>
        <v>3</v>
      </c>
    </row>
    <row r="851" spans="1:20" ht="15" x14ac:dyDescent="0.2">
      <c r="A851" s="3" t="str">
        <f>IF(ISBLANK('Master Submitted DPDs'!$B173),"","Local Plans")</f>
        <v>Local Plans</v>
      </c>
      <c r="B851" t="str">
        <f>IF(ISBLANK('Master Submitted DPDs'!F173),"",'Master Submitted DPDs'!F173)</f>
        <v>Other</v>
      </c>
      <c r="C851" s="3" t="str">
        <f>IF(ISBLANK('Master Submitted DPDs'!$B173),"","IH")</f>
        <v>IH</v>
      </c>
      <c r="D851" s="3" t="str">
        <f>LOOKUP($F851,'fuzzy LPA lookup'!$E:$E,'fuzzy LPA lookup'!$A:$A)</f>
        <v>F5730</v>
      </c>
      <c r="E851" s="3" t="str">
        <f>LOOKUP($F851,'fuzzy LPA lookup'!$E:$E,'fuzzy LPA lookup'!$D:$D)</f>
        <v>Old Oak and Park Royal Development Corporation</v>
      </c>
      <c r="F851" s="8">
        <f>IF(ISBLANK('Master Submitted DPDs'!B173),"",'Master Submitted DPDs'!B173)</f>
        <v>1865</v>
      </c>
      <c r="G851" t="str">
        <f>IF(ISBLANK('Master Submitted DPDs'!AS173),"","Withdrawn")</f>
        <v/>
      </c>
      <c r="H851" s="2" t="str">
        <f>IF(ISBLANK('Master Submitted DPDs'!AS173),"",'Master Submitted DPDs'!AS173)</f>
        <v/>
      </c>
      <c r="I851" s="3"/>
      <c r="J851" s="3"/>
      <c r="K851" s="3"/>
      <c r="L851" s="2">
        <f>IF(ISBLANK('Master Submitted DPDs'!J173),"",'Master Submitted DPDs'!J173)</f>
        <v>43158</v>
      </c>
      <c r="M851" s="2">
        <f t="shared" si="28"/>
        <v>43158</v>
      </c>
      <c r="N851" s="2">
        <f>IF(ISBLANK('Master Submitted DPDs'!M173),IF(ISBLANK('Master Submitted DPDs'!O173),"",'Master Submitted DPDs'!O173),'Master Submitted DPDs'!M173)</f>
        <v>43158</v>
      </c>
      <c r="O851" s="2">
        <f>IF(ISBLANK('Master Submitted DPDs'!Q173),"",'Master Submitted DPDs'!Q173)</f>
        <v>43542</v>
      </c>
      <c r="P851" s="2">
        <f>IF(ISBLANK('Master Submitted DPDs'!AO173),"",'Master Submitted DPDs'!AO173)</f>
        <v>43640</v>
      </c>
      <c r="Q851" t="str">
        <f>IF(ISBLANK('Master Submitted DPDs'!AU173),"",'Master Submitted DPDs'!AU173)</f>
        <v>SOU</v>
      </c>
      <c r="R851" t="str">
        <f t="shared" si="29"/>
        <v>Closed</v>
      </c>
      <c r="S851" s="3"/>
      <c r="T851">
        <f>IF(ISBLANK('Master Submitted DPDs'!G173),"",'Master Submitted DPDs'!G173)</f>
        <v>2</v>
      </c>
    </row>
    <row r="852" spans="1:20" ht="15" x14ac:dyDescent="0.2">
      <c r="A852" s="3" t="str">
        <f>IF(ISBLANK('Master Submitted DPDs'!$B174),"","Local Plans")</f>
        <v>Local Plans</v>
      </c>
      <c r="B852" t="str">
        <f>IF(ISBLANK('Master Submitted DPDs'!F174),"",'Master Submitted DPDs'!F174)</f>
        <v>LP</v>
      </c>
      <c r="C852" s="3" t="str">
        <f>IF(ISBLANK('Master Submitted DPDs'!$B174),"","IH")</f>
        <v>IH</v>
      </c>
      <c r="D852" s="3" t="str">
        <f>LOOKUP($F852,'fuzzy LPA lookup'!$E:$E,'fuzzy LPA lookup'!$A:$A)</f>
        <v>F3545</v>
      </c>
      <c r="E852" s="3" t="str">
        <f>LOOKUP($F852,'fuzzy LPA lookup'!$E:$E,'fuzzy LPA lookup'!$D:$D)</f>
        <v>West Suffolk</v>
      </c>
      <c r="F852" s="8">
        <f>IF(ISBLANK('Master Submitted DPDs'!B174),"",'Master Submitted DPDs'!B174)</f>
        <v>1876</v>
      </c>
      <c r="G852" t="str">
        <f>IF(ISBLANK('Master Submitted DPDs'!AS174),"","Withdrawn")</f>
        <v/>
      </c>
      <c r="H852" s="2" t="str">
        <f>IF(ISBLANK('Master Submitted DPDs'!AS174),"",'Master Submitted DPDs'!AS174)</f>
        <v/>
      </c>
      <c r="I852" s="3"/>
      <c r="J852" s="3"/>
      <c r="K852" s="3"/>
      <c r="L852" s="2">
        <f>IF(ISBLANK('Master Submitted DPDs'!J174),"",'Master Submitted DPDs'!J174)</f>
        <v>43159</v>
      </c>
      <c r="M852" s="2">
        <f t="shared" si="28"/>
        <v>43159</v>
      </c>
      <c r="N852" s="2">
        <f>IF(ISBLANK('Master Submitted DPDs'!M174),IF(ISBLANK('Master Submitted DPDs'!O174),"",'Master Submitted DPDs'!O174),'Master Submitted DPDs'!M174)</f>
        <v>43159</v>
      </c>
      <c r="O852" s="2">
        <f>IF(ISBLANK('Master Submitted DPDs'!Q174),"",'Master Submitted DPDs'!Q174)</f>
        <v>43279</v>
      </c>
      <c r="P852" s="2">
        <f>IF(ISBLANK('Master Submitted DPDs'!AO174),"",'Master Submitted DPDs'!AO174)</f>
        <v>43430</v>
      </c>
      <c r="Q852" t="str">
        <f>IF(ISBLANK('Master Submitted DPDs'!AU174),"",'Master Submitted DPDs'!AU174)</f>
        <v>SOU</v>
      </c>
      <c r="R852" t="str">
        <f t="shared" si="29"/>
        <v>Closed</v>
      </c>
      <c r="S852" s="3"/>
      <c r="T852">
        <f>IF(ISBLANK('Master Submitted DPDs'!G174),"",'Master Submitted DPDs'!G174)</f>
        <v>3</v>
      </c>
    </row>
    <row r="853" spans="1:20" ht="15" x14ac:dyDescent="0.2">
      <c r="A853" s="3" t="str">
        <f>IF(ISBLANK('Master Submitted DPDs'!$B175),"","Local Plans")</f>
        <v>Local Plans</v>
      </c>
      <c r="B853" t="str">
        <f>IF(ISBLANK('Master Submitted DPDs'!F175),"",'Master Submitted DPDs'!F175)</f>
        <v>AAP</v>
      </c>
      <c r="C853" s="3" t="str">
        <f>IF(ISBLANK('Master Submitted DPDs'!$B175),"","IH")</f>
        <v>IH</v>
      </c>
      <c r="D853" s="3" t="str">
        <f>LOOKUP($F853,'fuzzy LPA lookup'!$E:$E,'fuzzy LPA lookup'!$A:$A)</f>
        <v>N2535</v>
      </c>
      <c r="E853" s="3" t="str">
        <f>LOOKUP($F853,'fuzzy LPA lookup'!$E:$E,'fuzzy LPA lookup'!$D:$D)</f>
        <v>West Lindsey District Council</v>
      </c>
      <c r="F853" s="8">
        <f>IF(ISBLANK('Master Submitted DPDs'!B175),"",'Master Submitted DPDs'!B175)</f>
        <v>1838</v>
      </c>
      <c r="G853" t="str">
        <f>IF(ISBLANK('Master Submitted DPDs'!AS175),"","Withdrawn")</f>
        <v/>
      </c>
      <c r="H853" s="2" t="str">
        <f>IF(ISBLANK('Master Submitted DPDs'!AS175),"",'Master Submitted DPDs'!AS175)</f>
        <v/>
      </c>
      <c r="I853" s="3"/>
      <c r="J853" s="3"/>
      <c r="K853" s="3"/>
      <c r="L853" s="2">
        <f>IF(ISBLANK('Master Submitted DPDs'!J175),"",'Master Submitted DPDs'!J175)</f>
        <v>43159</v>
      </c>
      <c r="M853" s="2">
        <f t="shared" si="28"/>
        <v>43159</v>
      </c>
      <c r="N853" s="2">
        <f>IF(ISBLANK('Master Submitted DPDs'!M175),IF(ISBLANK('Master Submitted DPDs'!O175),"",'Master Submitted DPDs'!O175),'Master Submitted DPDs'!M175)</f>
        <v>43159</v>
      </c>
      <c r="O853" s="2">
        <f>IF(ISBLANK('Master Submitted DPDs'!Q175),"",'Master Submitted DPDs'!Q175)</f>
        <v>43272</v>
      </c>
      <c r="P853" s="2">
        <f>IF(ISBLANK('Master Submitted DPDs'!AO175),"",'Master Submitted DPDs'!AO175)</f>
        <v>43495</v>
      </c>
      <c r="Q853" t="str">
        <f>IF(ISBLANK('Master Submitted DPDs'!AU175),"",'Master Submitted DPDs'!AU175)</f>
        <v>SOU</v>
      </c>
      <c r="R853" t="str">
        <f t="shared" si="29"/>
        <v>Closed</v>
      </c>
      <c r="S853" s="3"/>
      <c r="T853">
        <f>IF(ISBLANK('Master Submitted DPDs'!G175),"",'Master Submitted DPDs'!G175)</f>
        <v>2</v>
      </c>
    </row>
    <row r="854" spans="1:20" ht="15" x14ac:dyDescent="0.2">
      <c r="A854" s="3" t="str">
        <f>IF(ISBLANK('Master Submitted DPDs'!$B176),"","Local Plans")</f>
        <v>Local Plans</v>
      </c>
      <c r="B854" t="str">
        <f>IF(ISBLANK('Master Submitted DPDs'!F176),"",'Master Submitted DPDs'!F176)</f>
        <v>DM</v>
      </c>
      <c r="C854" s="3" t="str">
        <f>IF(ISBLANK('Master Submitted DPDs'!$B176),"","IH")</f>
        <v>IH</v>
      </c>
      <c r="D854" s="3" t="str">
        <f>LOOKUP($F854,'fuzzy LPA lookup'!$E:$E,'fuzzy LPA lookup'!$A:$A)</f>
        <v>Z4310</v>
      </c>
      <c r="E854" s="3" t="str">
        <f>LOOKUP($F854,'fuzzy LPA lookup'!$E:$E,'fuzzy LPA lookup'!$D:$D)</f>
        <v>Liverpool City Council</v>
      </c>
      <c r="F854" s="8">
        <f>IF(ISBLANK('Master Submitted DPDs'!B176),"",'Master Submitted DPDs'!B176)</f>
        <v>1903</v>
      </c>
      <c r="G854" t="str">
        <f>IF(ISBLANK('Master Submitted DPDs'!AS176),"","Withdrawn")</f>
        <v/>
      </c>
      <c r="H854" s="2" t="str">
        <f>IF(ISBLANK('Master Submitted DPDs'!AS176),"",'Master Submitted DPDs'!AS176)</f>
        <v/>
      </c>
      <c r="I854" s="3"/>
      <c r="J854" s="3"/>
      <c r="K854" s="3"/>
      <c r="L854" s="2">
        <f>IF(ISBLANK('Master Submitted DPDs'!J176),"",'Master Submitted DPDs'!J176)</f>
        <v>43159</v>
      </c>
      <c r="M854" s="2">
        <f t="shared" si="28"/>
        <v>43159</v>
      </c>
      <c r="N854" s="2">
        <f>IF(ISBLANK('Master Submitted DPDs'!M176),IF(ISBLANK('Master Submitted DPDs'!O176),"",'Master Submitted DPDs'!O176),'Master Submitted DPDs'!M176)</f>
        <v>43159</v>
      </c>
      <c r="O854" s="2">
        <f>IF(ISBLANK('Master Submitted DPDs'!Q176),"",'Master Submitted DPDs'!Q176)</f>
        <v>43264</v>
      </c>
      <c r="P854" s="2">
        <f>IF(ISBLANK('Master Submitted DPDs'!AO176),"",'Master Submitted DPDs'!AO176)</f>
        <v>43495</v>
      </c>
      <c r="Q854" t="str">
        <f>IF(ISBLANK('Master Submitted DPDs'!AU176),"",'Master Submitted DPDs'!AU176)</f>
        <v>SOU</v>
      </c>
      <c r="R854" t="str">
        <f t="shared" si="29"/>
        <v>Closed</v>
      </c>
      <c r="S854" s="3"/>
      <c r="T854">
        <f>IF(ISBLANK('Master Submitted DPDs'!G176),"",'Master Submitted DPDs'!G176)</f>
        <v>2</v>
      </c>
    </row>
    <row r="855" spans="1:20" ht="15" x14ac:dyDescent="0.2">
      <c r="A855" s="3" t="str">
        <f>IF(ISBLANK('Master Submitted DPDs'!$B177),"","Local Plans")</f>
        <v>Local Plans</v>
      </c>
      <c r="B855" t="str">
        <f>IF(ISBLANK('Master Submitted DPDs'!F177),"",'Master Submitted DPDs'!F177)</f>
        <v>LP</v>
      </c>
      <c r="C855" s="3" t="str">
        <f>IF(ISBLANK('Master Submitted DPDs'!$B177),"","IH")</f>
        <v>IH</v>
      </c>
      <c r="D855" s="3" t="str">
        <f>LOOKUP($F855,'fuzzy LPA lookup'!$E:$E,'fuzzy LPA lookup'!$A:$A)</f>
        <v>F5730</v>
      </c>
      <c r="E855" s="3" t="str">
        <f>LOOKUP($F855,'fuzzy LPA lookup'!$E:$E,'fuzzy LPA lookup'!$D:$D)</f>
        <v>Old Oak and Park Royal Development Corporation</v>
      </c>
      <c r="F855" s="8">
        <f>IF(ISBLANK('Master Submitted DPDs'!B177),"",'Master Submitted DPDs'!B177)</f>
        <v>1858</v>
      </c>
      <c r="G855" t="str">
        <f>IF(ISBLANK('Master Submitted DPDs'!AS177),"","Withdrawn")</f>
        <v/>
      </c>
      <c r="H855" s="2" t="str">
        <f>IF(ISBLANK('Master Submitted DPDs'!AS177),"",'Master Submitted DPDs'!AS177)</f>
        <v/>
      </c>
      <c r="I855" s="3"/>
      <c r="J855" s="3"/>
      <c r="K855" s="3"/>
      <c r="L855" s="2">
        <f>IF(ISBLANK('Master Submitted DPDs'!J177),"",'Master Submitted DPDs'!J177)</f>
        <v>43159</v>
      </c>
      <c r="M855" s="2">
        <f t="shared" si="28"/>
        <v>43159</v>
      </c>
      <c r="N855" s="2">
        <f>IF(ISBLANK('Master Submitted DPDs'!M177),IF(ISBLANK('Master Submitted DPDs'!O177),"",'Master Submitted DPDs'!O177),'Master Submitted DPDs'!M177)</f>
        <v>43159</v>
      </c>
      <c r="O855" s="2">
        <f>IF(ISBLANK('Master Submitted DPDs'!Q177),"",'Master Submitted DPDs'!Q177)</f>
        <v>43385</v>
      </c>
      <c r="P855" s="2">
        <f>IF(ISBLANK('Master Submitted DPDs'!AO177),"",'Master Submitted DPDs'!AO177)</f>
        <v>43728</v>
      </c>
      <c r="Q855" t="str">
        <f>IF(ISBLANK('Master Submitted DPDs'!AU177),"",'Master Submitted DPDs'!AU177)</f>
        <v>SOU</v>
      </c>
      <c r="R855" t="str">
        <f t="shared" si="29"/>
        <v>Closed</v>
      </c>
      <c r="S855" s="3"/>
      <c r="T855">
        <f>IF(ISBLANK('Master Submitted DPDs'!G177),"",'Master Submitted DPDs'!G177)</f>
        <v>3</v>
      </c>
    </row>
    <row r="856" spans="1:20" ht="15" x14ac:dyDescent="0.2">
      <c r="A856" s="3" t="str">
        <f>IF(ISBLANK('Master Submitted DPDs'!$B178),"","Local Plans")</f>
        <v>Local Plans</v>
      </c>
      <c r="B856" t="str">
        <f>IF(ISBLANK('Master Submitted DPDs'!F178),"",'Master Submitted DPDs'!F178)</f>
        <v>LP</v>
      </c>
      <c r="C856" s="3" t="str">
        <f>IF(ISBLANK('Master Submitted DPDs'!$B178),"","IH")</f>
        <v>IH</v>
      </c>
      <c r="D856" s="3" t="str">
        <f>LOOKUP($F856,'fuzzy LPA lookup'!$E:$E,'fuzzy LPA lookup'!$A:$A)</f>
        <v>F5730</v>
      </c>
      <c r="E856" s="3" t="str">
        <f>LOOKUP($F856,'fuzzy LPA lookup'!$E:$E,'fuzzy LPA lookup'!$D:$D)</f>
        <v>Old Oak and Park Royal Development Corporation</v>
      </c>
      <c r="F856" s="8">
        <f>IF(ISBLANK('Master Submitted DPDs'!B178),"",'Master Submitted DPDs'!B178)</f>
        <v>1863</v>
      </c>
      <c r="G856" t="str">
        <f>IF(ISBLANK('Master Submitted DPDs'!AS178),"","Withdrawn")</f>
        <v/>
      </c>
      <c r="H856" s="2" t="str">
        <f>IF(ISBLANK('Master Submitted DPDs'!AS178),"",'Master Submitted DPDs'!AS178)</f>
        <v/>
      </c>
      <c r="I856" s="3"/>
      <c r="J856" s="3"/>
      <c r="K856" s="3"/>
      <c r="L856" s="2">
        <f>IF(ISBLANK('Master Submitted DPDs'!J178),"",'Master Submitted DPDs'!J178)</f>
        <v>43159</v>
      </c>
      <c r="M856" s="2">
        <f t="shared" si="28"/>
        <v>43159</v>
      </c>
      <c r="N856" s="2">
        <f>IF(ISBLANK('Master Submitted DPDs'!M178),IF(ISBLANK('Master Submitted DPDs'!O178),"",'Master Submitted DPDs'!O178),'Master Submitted DPDs'!M178)</f>
        <v>43159</v>
      </c>
      <c r="O856" s="2">
        <f>IF(ISBLANK('Master Submitted DPDs'!Q178),"",'Master Submitted DPDs'!Q178)</f>
        <v>44315</v>
      </c>
      <c r="P856" s="2">
        <f>IF(ISBLANK('Master Submitted DPDs'!AO178),"",'Master Submitted DPDs'!AO178)</f>
        <v>44427</v>
      </c>
      <c r="Q856" t="str">
        <f>IF(ISBLANK('Master Submitted DPDs'!AU178),"",'Master Submitted DPDs'!AU178)</f>
        <v>SOU</v>
      </c>
      <c r="R856" t="str">
        <f t="shared" si="29"/>
        <v>Closed</v>
      </c>
      <c r="S856" s="3"/>
      <c r="T856">
        <f>IF(ISBLANK('Master Submitted DPDs'!G178),"",'Master Submitted DPDs'!G178)</f>
        <v>3</v>
      </c>
    </row>
    <row r="857" spans="1:20" ht="15" x14ac:dyDescent="0.2">
      <c r="A857" s="3" t="str">
        <f>IF(ISBLANK('Master Submitted DPDs'!$B179),"","Local Plans")</f>
        <v>Local Plans</v>
      </c>
      <c r="B857" t="str">
        <f>IF(ISBLANK('Master Submitted DPDs'!F179),"",'Master Submitted DPDs'!F179)</f>
        <v>LP</v>
      </c>
      <c r="C857" s="3" t="str">
        <f>IF(ISBLANK('Master Submitted DPDs'!$B179),"","IH")</f>
        <v>IH</v>
      </c>
      <c r="D857" s="3" t="str">
        <f>LOOKUP($F857,'fuzzy LPA lookup'!$E:$E,'fuzzy LPA lookup'!$A:$A)</f>
        <v>F5730</v>
      </c>
      <c r="E857" s="3" t="str">
        <f>LOOKUP($F857,'fuzzy LPA lookup'!$E:$E,'fuzzy LPA lookup'!$D:$D)</f>
        <v>Old Oak and Park Royal Development Corporation</v>
      </c>
      <c r="F857" s="8">
        <f>IF(ISBLANK('Master Submitted DPDs'!B179),"",'Master Submitted DPDs'!B179)</f>
        <v>1864</v>
      </c>
      <c r="G857" t="str">
        <f>IF(ISBLANK('Master Submitted DPDs'!AS179),"","Withdrawn")</f>
        <v>Withdrawn</v>
      </c>
      <c r="H857" s="2">
        <f>IF(ISBLANK('Master Submitted DPDs'!AS179),"",'Master Submitted DPDs'!AS179)</f>
        <v>43609</v>
      </c>
      <c r="I857" s="3"/>
      <c r="J857" s="3"/>
      <c r="K857" s="3"/>
      <c r="L857" s="2">
        <f>IF(ISBLANK('Master Submitted DPDs'!J179),"",'Master Submitted DPDs'!J179)</f>
        <v>43161</v>
      </c>
      <c r="M857" s="2">
        <f t="shared" si="28"/>
        <v>43161</v>
      </c>
      <c r="N857" s="2">
        <f>IF(ISBLANK('Master Submitted DPDs'!M179),IF(ISBLANK('Master Submitted DPDs'!O179),"",'Master Submitted DPDs'!O179),'Master Submitted DPDs'!M179)</f>
        <v>43165</v>
      </c>
      <c r="O857" s="2" t="str">
        <f>IF(ISBLANK('Master Submitted DPDs'!Q179),"",'Master Submitted DPDs'!Q179)</f>
        <v/>
      </c>
      <c r="P857" s="2" t="str">
        <f>IF(ISBLANK('Master Submitted DPDs'!AO179),"",'Master Submitted DPDs'!AO179)</f>
        <v/>
      </c>
      <c r="Q857" t="str">
        <f>IF(ISBLANK('Master Submitted DPDs'!AU179),"",'Master Submitted DPDs'!AU179)</f>
        <v>DPDW</v>
      </c>
      <c r="R857" t="str">
        <f t="shared" si="29"/>
        <v>Closed</v>
      </c>
      <c r="S857" s="3"/>
      <c r="T857">
        <f>IF(ISBLANK('Master Submitted DPDs'!G179),"",'Master Submitted DPDs'!G179)</f>
        <v>3</v>
      </c>
    </row>
    <row r="858" spans="1:20" ht="15" x14ac:dyDescent="0.2">
      <c r="A858" s="3" t="str">
        <f>IF(ISBLANK('Master Submitted DPDs'!$B180),"","Local Plans")</f>
        <v>Local Plans</v>
      </c>
      <c r="B858" t="str">
        <f>IF(ISBLANK('Master Submitted DPDs'!F180),"",'Master Submitted DPDs'!F180)</f>
        <v>LP</v>
      </c>
      <c r="C858" s="3" t="str">
        <f>IF(ISBLANK('Master Submitted DPDs'!$B180),"","IH")</f>
        <v>IH</v>
      </c>
      <c r="D858" s="3" t="str">
        <f>LOOKUP($F858,'fuzzy LPA lookup'!$E:$E,'fuzzy LPA lookup'!$A:$A)</f>
        <v>F5730</v>
      </c>
      <c r="E858" s="3" t="str">
        <f>LOOKUP($F858,'fuzzy LPA lookup'!$E:$E,'fuzzy LPA lookup'!$D:$D)</f>
        <v>Old Oak and Park Royal Development Corporation</v>
      </c>
      <c r="F858" s="8">
        <f>IF(ISBLANK('Master Submitted DPDs'!B180),"",'Master Submitted DPDs'!B180)</f>
        <v>1848</v>
      </c>
      <c r="G858" t="str">
        <f>IF(ISBLANK('Master Submitted DPDs'!AS180),"","Withdrawn")</f>
        <v/>
      </c>
      <c r="H858" s="2" t="str">
        <f>IF(ISBLANK('Master Submitted DPDs'!AS180),"",'Master Submitted DPDs'!AS180)</f>
        <v/>
      </c>
      <c r="I858" s="3"/>
      <c r="J858" s="3"/>
      <c r="K858" s="3"/>
      <c r="L858" s="2">
        <f>IF(ISBLANK('Master Submitted DPDs'!J180),"",'Master Submitted DPDs'!J180)</f>
        <v>43164</v>
      </c>
      <c r="M858" s="2">
        <f t="shared" si="28"/>
        <v>43164</v>
      </c>
      <c r="N858" s="2">
        <f>IF(ISBLANK('Master Submitted DPDs'!M180),IF(ISBLANK('Master Submitted DPDs'!O180),"",'Master Submitted DPDs'!O180),'Master Submitted DPDs'!M180)</f>
        <v>43165</v>
      </c>
      <c r="O858" s="2">
        <f>IF(ISBLANK('Master Submitted DPDs'!Q180),"",'Master Submitted DPDs'!Q180)</f>
        <v>43509</v>
      </c>
      <c r="P858" s="2">
        <f>IF(ISBLANK('Master Submitted DPDs'!AO180),"",'Master Submitted DPDs'!AO180)</f>
        <v>44049</v>
      </c>
      <c r="Q858" t="str">
        <f>IF(ISBLANK('Master Submitted DPDs'!AU180),"",'Master Submitted DPDs'!AU180)</f>
        <v>SOU</v>
      </c>
      <c r="R858" t="str">
        <f t="shared" si="29"/>
        <v>Closed</v>
      </c>
      <c r="S858" s="3"/>
      <c r="T858">
        <f>IF(ISBLANK('Master Submitted DPDs'!G180),"",'Master Submitted DPDs'!G180)</f>
        <v>3</v>
      </c>
    </row>
    <row r="859" spans="1:20" ht="15" x14ac:dyDescent="0.2">
      <c r="A859" s="3" t="str">
        <f>IF(ISBLANK('Master Submitted DPDs'!$B181),"","Local Plans")</f>
        <v>Local Plans</v>
      </c>
      <c r="B859" t="str">
        <f>IF(ISBLANK('Master Submitted DPDs'!F181),"",'Master Submitted DPDs'!F181)</f>
        <v>SA</v>
      </c>
      <c r="C859" s="3" t="str">
        <f>IF(ISBLANK('Master Submitted DPDs'!$B181),"","IH")</f>
        <v>IH</v>
      </c>
      <c r="D859" s="3" t="str">
        <f>LOOKUP($F859,'fuzzy LPA lookup'!$E:$E,'fuzzy LPA lookup'!$A:$A)</f>
        <v>F3545</v>
      </c>
      <c r="E859" s="3" t="str">
        <f>LOOKUP($F859,'fuzzy LPA lookup'!$E:$E,'fuzzy LPA lookup'!$D:$D)</f>
        <v>West Suffolk</v>
      </c>
      <c r="F859" s="8">
        <f>IF(ISBLANK('Master Submitted DPDs'!B181),"",'Master Submitted DPDs'!B181)</f>
        <v>1880</v>
      </c>
      <c r="G859" t="str">
        <f>IF(ISBLANK('Master Submitted DPDs'!AS181),"","Withdrawn")</f>
        <v/>
      </c>
      <c r="H859" s="2" t="str">
        <f>IF(ISBLANK('Master Submitted DPDs'!AS181),"",'Master Submitted DPDs'!AS181)</f>
        <v/>
      </c>
      <c r="I859" s="3"/>
      <c r="J859" s="3"/>
      <c r="K859" s="3"/>
      <c r="L859" s="2">
        <f>IF(ISBLANK('Master Submitted DPDs'!J181),"",'Master Submitted DPDs'!J181)</f>
        <v>43171</v>
      </c>
      <c r="M859" s="2">
        <f t="shared" si="28"/>
        <v>43171</v>
      </c>
      <c r="N859" s="2">
        <f>IF(ISBLANK('Master Submitted DPDs'!M181),IF(ISBLANK('Master Submitted DPDs'!O181),"",'Master Submitted DPDs'!O181),'Master Submitted DPDs'!M181)</f>
        <v>43171</v>
      </c>
      <c r="O859" s="2">
        <f>IF(ISBLANK('Master Submitted DPDs'!Q181),"",'Master Submitted DPDs'!Q181)</f>
        <v>43371</v>
      </c>
      <c r="P859" s="2">
        <f>IF(ISBLANK('Master Submitted DPDs'!AO181),"",'Master Submitted DPDs'!AO181)</f>
        <v>43637</v>
      </c>
      <c r="Q859" t="str">
        <f>IF(ISBLANK('Master Submitted DPDs'!AU181),"",'Master Submitted DPDs'!AU181)</f>
        <v>SOU</v>
      </c>
      <c r="R859" t="str">
        <f t="shared" si="29"/>
        <v>Closed</v>
      </c>
      <c r="S859" s="3"/>
      <c r="T859">
        <f>IF(ISBLANK('Master Submitted DPDs'!G181),"",'Master Submitted DPDs'!G181)</f>
        <v>2</v>
      </c>
    </row>
    <row r="860" spans="1:20" ht="15" x14ac:dyDescent="0.2">
      <c r="A860" s="3" t="str">
        <f>IF(ISBLANK('Master Submitted DPDs'!$B182),"","Local Plans")</f>
        <v>Local Plans</v>
      </c>
      <c r="B860" t="str">
        <f>IF(ISBLANK('Master Submitted DPDs'!F182),"",'Master Submitted DPDs'!F182)</f>
        <v>LP</v>
      </c>
      <c r="C860" s="3" t="str">
        <f>IF(ISBLANK('Master Submitted DPDs'!$B182),"","IH")</f>
        <v>IH</v>
      </c>
      <c r="D860" s="3" t="str">
        <f>LOOKUP($F860,'fuzzy LPA lookup'!$E:$E,'fuzzy LPA lookup'!$A:$A)</f>
        <v>F5730</v>
      </c>
      <c r="E860" s="3" t="str">
        <f>LOOKUP($F860,'fuzzy LPA lookup'!$E:$E,'fuzzy LPA lookup'!$D:$D)</f>
        <v>Old Oak and Park Royal Development Corporation</v>
      </c>
      <c r="F860" s="8">
        <f>IF(ISBLANK('Master Submitted DPDs'!B182),"",'Master Submitted DPDs'!B182)</f>
        <v>1868</v>
      </c>
      <c r="G860" t="str">
        <f>IF(ISBLANK('Master Submitted DPDs'!AS182),"","Withdrawn")</f>
        <v/>
      </c>
      <c r="H860" s="2" t="str">
        <f>IF(ISBLANK('Master Submitted DPDs'!AS182),"",'Master Submitted DPDs'!AS182)</f>
        <v/>
      </c>
      <c r="I860" s="3"/>
      <c r="J860" s="3"/>
      <c r="K860" s="3"/>
      <c r="L860" s="2">
        <f>IF(ISBLANK('Master Submitted DPDs'!J182),"",'Master Submitted DPDs'!J182)</f>
        <v>43174</v>
      </c>
      <c r="M860" s="2">
        <f t="shared" si="28"/>
        <v>43174</v>
      </c>
      <c r="N860" s="2">
        <f>IF(ISBLANK('Master Submitted DPDs'!M182),IF(ISBLANK('Master Submitted DPDs'!O182),"",'Master Submitted DPDs'!O182),'Master Submitted DPDs'!M182)</f>
        <v>43179</v>
      </c>
      <c r="O860" s="2">
        <f>IF(ISBLANK('Master Submitted DPDs'!Q182),"",'Master Submitted DPDs'!Q182)</f>
        <v>43627</v>
      </c>
      <c r="P860" s="2">
        <f>IF(ISBLANK('Master Submitted DPDs'!AO182),"",'Master Submitted DPDs'!AO182)</f>
        <v>43935</v>
      </c>
      <c r="Q860" t="str">
        <f>IF(ISBLANK('Master Submitted DPDs'!AU182),"",'Master Submitted DPDs'!AU182)</f>
        <v>SOU</v>
      </c>
      <c r="R860" t="str">
        <f t="shared" si="29"/>
        <v>Closed</v>
      </c>
      <c r="S860" s="3"/>
      <c r="T860">
        <f>IF(ISBLANK('Master Submitted DPDs'!G182),"",'Master Submitted DPDs'!G182)</f>
        <v>3</v>
      </c>
    </row>
    <row r="861" spans="1:20" ht="15" x14ac:dyDescent="0.2">
      <c r="A861" s="3" t="str">
        <f>IF(ISBLANK('Master Submitted DPDs'!$B183),"","Local Plans")</f>
        <v>Local Plans</v>
      </c>
      <c r="B861" t="str">
        <f>IF(ISBLANK('Master Submitted DPDs'!F183),"",'Master Submitted DPDs'!F183)</f>
        <v>LP</v>
      </c>
      <c r="C861" s="3" t="str">
        <f>IF(ISBLANK('Master Submitted DPDs'!$B183),"","IH")</f>
        <v>IH</v>
      </c>
      <c r="D861" s="3" t="str">
        <f>LOOKUP($F861,'fuzzy LPA lookup'!$E:$E,'fuzzy LPA lookup'!$A:$A)</f>
        <v>F5730</v>
      </c>
      <c r="E861" s="3" t="str">
        <f>LOOKUP($F861,'fuzzy LPA lookup'!$E:$E,'fuzzy LPA lookup'!$D:$D)</f>
        <v>Old Oak and Park Royal Development Corporation</v>
      </c>
      <c r="F861" s="8">
        <f>IF(ISBLANK('Master Submitted DPDs'!B183),"",'Master Submitted DPDs'!B183)</f>
        <v>1855</v>
      </c>
      <c r="G861" t="str">
        <f>IF(ISBLANK('Master Submitted DPDs'!AS183),"","Withdrawn")</f>
        <v/>
      </c>
      <c r="H861" s="2" t="str">
        <f>IF(ISBLANK('Master Submitted DPDs'!AS183),"",'Master Submitted DPDs'!AS183)</f>
        <v/>
      </c>
      <c r="I861" s="3"/>
      <c r="J861" s="3"/>
      <c r="K861" s="3"/>
      <c r="L861" s="2">
        <f>IF(ISBLANK('Master Submitted DPDs'!J183),"",'Master Submitted DPDs'!J183)</f>
        <v>43175</v>
      </c>
      <c r="M861" s="2">
        <f t="shared" si="28"/>
        <v>43175</v>
      </c>
      <c r="N861" s="2">
        <f>IF(ISBLANK('Master Submitted DPDs'!M183),IF(ISBLANK('Master Submitted DPDs'!O183),"",'Master Submitted DPDs'!O183),'Master Submitted DPDs'!M183)</f>
        <v>43179</v>
      </c>
      <c r="O861" s="2">
        <f>IF(ISBLANK('Master Submitted DPDs'!Q183),"",'Master Submitted DPDs'!Q183)</f>
        <v>43749</v>
      </c>
      <c r="P861" s="2">
        <f>IF(ISBLANK('Master Submitted DPDs'!AO183),"",'Master Submitted DPDs'!AO183)</f>
        <v>43563</v>
      </c>
      <c r="Q861" t="str">
        <f>IF(ISBLANK('Master Submitted DPDs'!AU183),"",'Master Submitted DPDs'!AU183)</f>
        <v>SOU</v>
      </c>
      <c r="R861" t="str">
        <f t="shared" si="29"/>
        <v>Closed</v>
      </c>
      <c r="S861" s="3"/>
      <c r="T861">
        <f>IF(ISBLANK('Master Submitted DPDs'!G183),"",'Master Submitted DPDs'!G183)</f>
        <v>3</v>
      </c>
    </row>
    <row r="862" spans="1:20" ht="15" x14ac:dyDescent="0.2">
      <c r="A862" s="3" t="str">
        <f>IF(ISBLANK('Master Submitted DPDs'!$B184),"","Local Plans")</f>
        <v>Local Plans</v>
      </c>
      <c r="B862" t="str">
        <f>IF(ISBLANK('Master Submitted DPDs'!F184),"",'Master Submitted DPDs'!F184)</f>
        <v>LP</v>
      </c>
      <c r="C862" s="3" t="str">
        <f>IF(ISBLANK('Master Submitted DPDs'!$B184),"","IH")</f>
        <v>IH</v>
      </c>
      <c r="D862" s="3" t="str">
        <f>LOOKUP($F862,'fuzzy LPA lookup'!$E:$E,'fuzzy LPA lookup'!$A:$A)</f>
        <v>F5730</v>
      </c>
      <c r="E862" s="3" t="str">
        <f>LOOKUP($F862,'fuzzy LPA lookup'!$E:$E,'fuzzy LPA lookup'!$D:$D)</f>
        <v>Old Oak and Park Royal Development Corporation</v>
      </c>
      <c r="F862" s="8">
        <f>IF(ISBLANK('Master Submitted DPDs'!B184),"",'Master Submitted DPDs'!B184)</f>
        <v>1869</v>
      </c>
      <c r="G862" t="str">
        <f>IF(ISBLANK('Master Submitted DPDs'!AS184),"","Withdrawn")</f>
        <v/>
      </c>
      <c r="H862" s="2" t="str">
        <f>IF(ISBLANK('Master Submitted DPDs'!AS184),"",'Master Submitted DPDs'!AS184)</f>
        <v/>
      </c>
      <c r="I862" s="3"/>
      <c r="J862" s="3"/>
      <c r="K862" s="3"/>
      <c r="L862" s="2">
        <f>IF(ISBLANK('Master Submitted DPDs'!J184),"",'Master Submitted DPDs'!J184)</f>
        <v>43179</v>
      </c>
      <c r="M862" s="2">
        <f t="shared" si="28"/>
        <v>43179</v>
      </c>
      <c r="N862" s="2">
        <f>IF(ISBLANK('Master Submitted DPDs'!M184),IF(ISBLANK('Master Submitted DPDs'!O184),"",'Master Submitted DPDs'!O184),'Master Submitted DPDs'!M184)</f>
        <v>43180</v>
      </c>
      <c r="O862" s="2">
        <f>IF(ISBLANK('Master Submitted DPDs'!Q184),"",'Master Submitted DPDs'!Q184)</f>
        <v>43354</v>
      </c>
      <c r="P862" s="2">
        <f>IF(ISBLANK('Master Submitted DPDs'!AO184),"",'Master Submitted DPDs'!AO184)</f>
        <v>43570</v>
      </c>
      <c r="Q862" t="str">
        <f>IF(ISBLANK('Master Submitted DPDs'!AU184),"",'Master Submitted DPDs'!AU184)</f>
        <v>SOU</v>
      </c>
      <c r="R862" t="str">
        <f t="shared" si="29"/>
        <v>Closed</v>
      </c>
      <c r="S862" s="3"/>
      <c r="T862">
        <f>IF(ISBLANK('Master Submitted DPDs'!G184),"",'Master Submitted DPDs'!G184)</f>
        <v>3</v>
      </c>
    </row>
    <row r="863" spans="1:20" ht="15" x14ac:dyDescent="0.2">
      <c r="A863" s="3" t="str">
        <f>IF(ISBLANK('Master Submitted DPDs'!$B185),"","Local Plans")</f>
        <v>Local Plans</v>
      </c>
      <c r="B863" t="str">
        <f>IF(ISBLANK('Master Submitted DPDs'!F185),"",'Master Submitted DPDs'!F185)</f>
        <v>SA</v>
      </c>
      <c r="C863" s="3" t="str">
        <f>IF(ISBLANK('Master Submitted DPDs'!$B185),"","IH")</f>
        <v>IH</v>
      </c>
      <c r="D863" s="3" t="str">
        <f>LOOKUP($F863,'fuzzy LPA lookup'!$E:$E,'fuzzy LPA lookup'!$A:$A)</f>
        <v>F3545</v>
      </c>
      <c r="E863" s="3" t="str">
        <f>LOOKUP($F863,'fuzzy LPA lookup'!$E:$E,'fuzzy LPA lookup'!$D:$D)</f>
        <v>West Suffolk</v>
      </c>
      <c r="F863" s="8">
        <f>IF(ISBLANK('Master Submitted DPDs'!B185),"",'Master Submitted DPDs'!B185)</f>
        <v>1875</v>
      </c>
      <c r="G863" t="str">
        <f>IF(ISBLANK('Master Submitted DPDs'!AS185),"","Withdrawn")</f>
        <v/>
      </c>
      <c r="H863" s="2" t="str">
        <f>IF(ISBLANK('Master Submitted DPDs'!AS185),"",'Master Submitted DPDs'!AS185)</f>
        <v/>
      </c>
      <c r="I863" s="3"/>
      <c r="J863" s="3"/>
      <c r="K863" s="3"/>
      <c r="L863" s="2">
        <f>IF(ISBLANK('Master Submitted DPDs'!J185),"",'Master Submitted DPDs'!J185)</f>
        <v>43182</v>
      </c>
      <c r="M863" s="2">
        <f t="shared" si="28"/>
        <v>43182</v>
      </c>
      <c r="N863" s="2">
        <f>IF(ISBLANK('Master Submitted DPDs'!M185),IF(ISBLANK('Master Submitted DPDs'!O185),"",'Master Submitted DPDs'!O185),'Master Submitted DPDs'!M185)</f>
        <v>43187</v>
      </c>
      <c r="O863" s="2">
        <f>IF(ISBLANK('Master Submitted DPDs'!Q185),"",'Master Submitted DPDs'!Q185)</f>
        <v>43327</v>
      </c>
      <c r="P863" s="2">
        <f>IF(ISBLANK('Master Submitted DPDs'!AO185),"",'Master Submitted DPDs'!AO185)</f>
        <v>43455</v>
      </c>
      <c r="Q863" t="str">
        <f>IF(ISBLANK('Master Submitted DPDs'!AU185),"",'Master Submitted DPDs'!AU185)</f>
        <v>SOU</v>
      </c>
      <c r="R863" t="str">
        <f t="shared" si="29"/>
        <v>Closed</v>
      </c>
      <c r="S863" s="3"/>
      <c r="T863">
        <f>IF(ISBLANK('Master Submitted DPDs'!G185),"",'Master Submitted DPDs'!G185)</f>
        <v>2</v>
      </c>
    </row>
    <row r="864" spans="1:20" ht="15" x14ac:dyDescent="0.2">
      <c r="A864" s="3" t="str">
        <f>IF(ISBLANK('Master Submitted DPDs'!$B186),"","Local Plans")</f>
        <v>Local Plans</v>
      </c>
      <c r="B864" t="str">
        <f>IF(ISBLANK('Master Submitted DPDs'!F186),"",'Master Submitted DPDs'!F186)</f>
        <v>M&amp;W</v>
      </c>
      <c r="C864" s="3" t="str">
        <f>IF(ISBLANK('Master Submitted DPDs'!$B186),"","IH")</f>
        <v>IH</v>
      </c>
      <c r="D864" s="3" t="str">
        <f>LOOKUP($F864,'fuzzy LPA lookup'!$E:$E,'fuzzy LPA lookup'!$A:$A)</f>
        <v>N3020</v>
      </c>
      <c r="E864" s="3" t="str">
        <f>LOOKUP($F864,'fuzzy LPA lookup'!$E:$E,'fuzzy LPA lookup'!$D:$D)</f>
        <v>Gedling Borough Council</v>
      </c>
      <c r="F864" s="8">
        <f>IF(ISBLANK('Master Submitted DPDs'!B186),"",'Master Submitted DPDs'!B186)</f>
        <v>1775</v>
      </c>
      <c r="G864" t="str">
        <f>IF(ISBLANK('Master Submitted DPDs'!AS186),"","Withdrawn")</f>
        <v/>
      </c>
      <c r="H864" s="2" t="str">
        <f>IF(ISBLANK('Master Submitted DPDs'!AS186),"",'Master Submitted DPDs'!AS186)</f>
        <v/>
      </c>
      <c r="I864" s="3"/>
      <c r="J864" s="3"/>
      <c r="K864" s="3"/>
      <c r="L864" s="2">
        <f>IF(ISBLANK('Master Submitted DPDs'!J186),"",'Master Submitted DPDs'!J186)</f>
        <v>43182</v>
      </c>
      <c r="M864" s="2">
        <f t="shared" si="28"/>
        <v>43182</v>
      </c>
      <c r="N864" s="2">
        <f>IF(ISBLANK('Master Submitted DPDs'!M186),IF(ISBLANK('Master Submitted DPDs'!O186),"",'Master Submitted DPDs'!O186),'Master Submitted DPDs'!M186)</f>
        <v>43196</v>
      </c>
      <c r="O864" s="2">
        <f>IF(ISBLANK('Master Submitted DPDs'!Q186),"",'Master Submitted DPDs'!Q186)</f>
        <v>43396</v>
      </c>
      <c r="P864" s="2">
        <f>IF(ISBLANK('Master Submitted DPDs'!AO186),"",'Master Submitted DPDs'!AO186)</f>
        <v>43606</v>
      </c>
      <c r="Q864" t="str">
        <f>IF(ISBLANK('Master Submitted DPDs'!AU186),"",'Master Submitted DPDs'!AU186)</f>
        <v>SOU</v>
      </c>
      <c r="R864" t="str">
        <f t="shared" si="29"/>
        <v>Closed</v>
      </c>
      <c r="S864" s="3"/>
      <c r="T864">
        <f>IF(ISBLANK('Master Submitted DPDs'!G186),"",'Master Submitted DPDs'!G186)</f>
        <v>2</v>
      </c>
    </row>
    <row r="865" spans="1:20" ht="15" x14ac:dyDescent="0.2">
      <c r="A865" s="3" t="str">
        <f>IF(ISBLANK('Master Submitted DPDs'!$B187),"","Local Plans")</f>
        <v>Local Plans</v>
      </c>
      <c r="B865" t="str">
        <f>IF(ISBLANK('Master Submitted DPDs'!F187),"",'Master Submitted DPDs'!F187)</f>
        <v>LP</v>
      </c>
      <c r="C865" s="3" t="str">
        <f>IF(ISBLANK('Master Submitted DPDs'!$B187),"","IH")</f>
        <v>IH</v>
      </c>
      <c r="D865" s="3" t="str">
        <f>LOOKUP($F865,'fuzzy LPA lookup'!$E:$E,'fuzzy LPA lookup'!$A:$A)</f>
        <v>C2708</v>
      </c>
      <c r="E865" s="3" t="str">
        <f>LOOKUP($F865,'fuzzy LPA lookup'!$E:$E,'fuzzy LPA lookup'!$D:$D)</f>
        <v>Craven District Council</v>
      </c>
      <c r="F865" s="8">
        <f>IF(ISBLANK('Master Submitted DPDs'!B187),"",'Master Submitted DPDs'!B187)</f>
        <v>1886</v>
      </c>
      <c r="G865" t="str">
        <f>IF(ISBLANK('Master Submitted DPDs'!AS187),"","Withdrawn")</f>
        <v/>
      </c>
      <c r="H865" s="2" t="str">
        <f>IF(ISBLANK('Master Submitted DPDs'!AS187),"",'Master Submitted DPDs'!AS187)</f>
        <v/>
      </c>
      <c r="I865" s="3"/>
      <c r="J865" s="3"/>
      <c r="K865" s="3"/>
      <c r="L865" s="2">
        <f>IF(ISBLANK('Master Submitted DPDs'!J187),"",'Master Submitted DPDs'!J187)</f>
        <v>43185</v>
      </c>
      <c r="M865" s="2">
        <f t="shared" si="28"/>
        <v>43185</v>
      </c>
      <c r="N865" s="2">
        <f>IF(ISBLANK('Master Submitted DPDs'!M187),IF(ISBLANK('Master Submitted DPDs'!O187),"",'Master Submitted DPDs'!O187),'Master Submitted DPDs'!M187)</f>
        <v>43187</v>
      </c>
      <c r="O865" s="2">
        <f>IF(ISBLANK('Master Submitted DPDs'!Q187),"",'Master Submitted DPDs'!Q187)</f>
        <v>43425</v>
      </c>
      <c r="P865" s="2">
        <f>IF(ISBLANK('Master Submitted DPDs'!AO187),"",'Master Submitted DPDs'!AO187)</f>
        <v>43571</v>
      </c>
      <c r="Q865" t="str">
        <f>IF(ISBLANK('Master Submitted DPDs'!AU187),"",'Master Submitted DPDs'!AU187)</f>
        <v>SOU</v>
      </c>
      <c r="R865" t="str">
        <f t="shared" si="29"/>
        <v>Closed</v>
      </c>
      <c r="S865" s="3"/>
      <c r="T865">
        <f>IF(ISBLANK('Master Submitted DPDs'!G187),"",'Master Submitted DPDs'!G187)</f>
        <v>3</v>
      </c>
    </row>
    <row r="866" spans="1:20" ht="15" x14ac:dyDescent="0.2">
      <c r="A866" s="3" t="str">
        <f>IF(ISBLANK('Master Submitted DPDs'!$B188),"","Local Plans")</f>
        <v>Local Plans</v>
      </c>
      <c r="B866" t="str">
        <f>IF(ISBLANK('Master Submitted DPDs'!F188),"",'Master Submitted DPDs'!F188)</f>
        <v>LP</v>
      </c>
      <c r="C866" s="3" t="str">
        <f>IF(ISBLANK('Master Submitted DPDs'!$B188),"","IH")</f>
        <v>IH</v>
      </c>
      <c r="D866" s="3" t="str">
        <f>LOOKUP($F866,'fuzzy LPA lookup'!$E:$E,'fuzzy LPA lookup'!$A:$A)</f>
        <v>C2708</v>
      </c>
      <c r="E866" s="3" t="str">
        <f>LOOKUP($F866,'fuzzy LPA lookup'!$E:$E,'fuzzy LPA lookup'!$D:$D)</f>
        <v>Craven District Council</v>
      </c>
      <c r="F866" s="8">
        <f>IF(ISBLANK('Master Submitted DPDs'!B188),"",'Master Submitted DPDs'!B188)</f>
        <v>1884</v>
      </c>
      <c r="G866" t="str">
        <f>IF(ISBLANK('Master Submitted DPDs'!AS188),"","Withdrawn")</f>
        <v/>
      </c>
      <c r="H866" s="2" t="str">
        <f>IF(ISBLANK('Master Submitted DPDs'!AS188),"",'Master Submitted DPDs'!AS188)</f>
        <v/>
      </c>
      <c r="I866" s="3"/>
      <c r="J866" s="3"/>
      <c r="K866" s="3"/>
      <c r="L866" s="2">
        <f>IF(ISBLANK('Master Submitted DPDs'!J188),"",'Master Submitted DPDs'!J188)</f>
        <v>43186</v>
      </c>
      <c r="M866" s="2">
        <f t="shared" si="28"/>
        <v>43186</v>
      </c>
      <c r="N866" s="2">
        <f>IF(ISBLANK('Master Submitted DPDs'!M188),IF(ISBLANK('Master Submitted DPDs'!O188),"",'Master Submitted DPDs'!O188),'Master Submitted DPDs'!M188)</f>
        <v>43188</v>
      </c>
      <c r="O866" s="2">
        <f>IF(ISBLANK('Master Submitted DPDs'!Q188),"",'Master Submitted DPDs'!Q188)</f>
        <v>43404</v>
      </c>
      <c r="P866" s="2">
        <f>IF(ISBLANK('Master Submitted DPDs'!AO188),"",'Master Submitted DPDs'!AO188)</f>
        <v>43747</v>
      </c>
      <c r="Q866" t="str">
        <f>IF(ISBLANK('Master Submitted DPDs'!AU188),"",'Master Submitted DPDs'!AU188)</f>
        <v>SOU</v>
      </c>
      <c r="R866" t="str">
        <f t="shared" si="29"/>
        <v>Closed</v>
      </c>
      <c r="S866" s="3"/>
      <c r="T866">
        <f>IF(ISBLANK('Master Submitted DPDs'!G188),"",'Master Submitted DPDs'!G188)</f>
        <v>3</v>
      </c>
    </row>
    <row r="867" spans="1:20" ht="15" x14ac:dyDescent="0.2">
      <c r="A867" s="3" t="str">
        <f>IF(ISBLANK('Master Submitted DPDs'!$B189),"","Local Plans")</f>
        <v>Local Plans</v>
      </c>
      <c r="B867" t="str">
        <f>IF(ISBLANK('Master Submitted DPDs'!F189),"",'Master Submitted DPDs'!F189)</f>
        <v>LP</v>
      </c>
      <c r="C867" s="3" t="str">
        <f>IF(ISBLANK('Master Submitted DPDs'!$B189),"","IH")</f>
        <v>IH</v>
      </c>
      <c r="D867" s="3" t="str">
        <f>LOOKUP($F867,'fuzzy LPA lookup'!$E:$E,'fuzzy LPA lookup'!$A:$A)</f>
        <v>N2535</v>
      </c>
      <c r="E867" s="3" t="str">
        <f>LOOKUP($F867,'fuzzy LPA lookup'!$E:$E,'fuzzy LPA lookup'!$D:$D)</f>
        <v>West Lindsey District Council</v>
      </c>
      <c r="F867" s="8">
        <f>IF(ISBLANK('Master Submitted DPDs'!B189),"",'Master Submitted DPDs'!B189)</f>
        <v>1815</v>
      </c>
      <c r="G867" t="str">
        <f>IF(ISBLANK('Master Submitted DPDs'!AS189),"","Withdrawn")</f>
        <v/>
      </c>
      <c r="H867" s="2" t="str">
        <f>IF(ISBLANK('Master Submitted DPDs'!AS189),"",'Master Submitted DPDs'!AS189)</f>
        <v/>
      </c>
      <c r="I867" s="3"/>
      <c r="J867" s="3"/>
      <c r="K867" s="3"/>
      <c r="L867" s="2">
        <f>IF(ISBLANK('Master Submitted DPDs'!J189),"",'Master Submitted DPDs'!J189)</f>
        <v>43186</v>
      </c>
      <c r="M867" s="2">
        <f t="shared" si="28"/>
        <v>43186</v>
      </c>
      <c r="N867" s="2">
        <f>IF(ISBLANK('Master Submitted DPDs'!M189),IF(ISBLANK('Master Submitted DPDs'!O189),"",'Master Submitted DPDs'!O189),'Master Submitted DPDs'!M189)</f>
        <v>43187</v>
      </c>
      <c r="O867" s="2">
        <f>IF(ISBLANK('Master Submitted DPDs'!Q189),"",'Master Submitted DPDs'!Q189)</f>
        <v>44182</v>
      </c>
      <c r="P867" s="2">
        <f>IF(ISBLANK('Master Submitted DPDs'!AO189),"",'Master Submitted DPDs'!AO189)</f>
        <v>44393</v>
      </c>
      <c r="Q867" t="str">
        <f>IF(ISBLANK('Master Submitted DPDs'!AU189),"",'Master Submitted DPDs'!AU189)</f>
        <v>SOU</v>
      </c>
      <c r="R867" t="str">
        <f t="shared" si="29"/>
        <v>Closed</v>
      </c>
      <c r="S867" s="3"/>
      <c r="T867">
        <f>IF(ISBLANK('Master Submitted DPDs'!G189),"",'Master Submitted DPDs'!G189)</f>
        <v>3</v>
      </c>
    </row>
    <row r="868" spans="1:20" ht="15" x14ac:dyDescent="0.2">
      <c r="A868" s="3" t="str">
        <f>IF(ISBLANK('Master Submitted DPDs'!$B190),"","Local Plans")</f>
        <v>Local Plans</v>
      </c>
      <c r="B868" t="str">
        <f>IF(ISBLANK('Master Submitted DPDs'!F190),"",'Master Submitted DPDs'!F190)</f>
        <v>LP</v>
      </c>
      <c r="C868" s="3" t="str">
        <f>IF(ISBLANK('Master Submitted DPDs'!$B190),"","IH")</f>
        <v>IH</v>
      </c>
      <c r="D868" s="3" t="str">
        <f>LOOKUP($F868,'fuzzy LPA lookup'!$E:$E,'fuzzy LPA lookup'!$A:$A)</f>
        <v>F5730</v>
      </c>
      <c r="E868" s="3" t="str">
        <f>LOOKUP($F868,'fuzzy LPA lookup'!$E:$E,'fuzzy LPA lookup'!$D:$D)</f>
        <v>Old Oak and Park Royal Development Corporation</v>
      </c>
      <c r="F868" s="8">
        <f>IF(ISBLANK('Master Submitted DPDs'!B190),"",'Master Submitted DPDs'!B190)</f>
        <v>1851</v>
      </c>
      <c r="G868" t="str">
        <f>IF(ISBLANK('Master Submitted DPDs'!AS190),"","Withdrawn")</f>
        <v/>
      </c>
      <c r="H868" s="2" t="str">
        <f>IF(ISBLANK('Master Submitted DPDs'!AS190),"",'Master Submitted DPDs'!AS190)</f>
        <v/>
      </c>
      <c r="I868" s="3"/>
      <c r="J868" s="3"/>
      <c r="K868" s="3"/>
      <c r="L868" s="2">
        <f>IF(ISBLANK('Master Submitted DPDs'!J190),"",'Master Submitted DPDs'!J190)</f>
        <v>43186</v>
      </c>
      <c r="M868" s="2">
        <f t="shared" si="28"/>
        <v>43186</v>
      </c>
      <c r="N868" s="2">
        <f>IF(ISBLANK('Master Submitted DPDs'!M190),IF(ISBLANK('Master Submitted DPDs'!O190),"",'Master Submitted DPDs'!O190),'Master Submitted DPDs'!M190)</f>
        <v>43187</v>
      </c>
      <c r="O868" s="2">
        <f>IF(ISBLANK('Master Submitted DPDs'!Q190),"",'Master Submitted DPDs'!Q190)</f>
        <v>43615</v>
      </c>
      <c r="P868" s="2">
        <f>IF(ISBLANK('Master Submitted DPDs'!AO190),"",'Master Submitted DPDs'!AO190)</f>
        <v>44483</v>
      </c>
      <c r="Q868" t="str">
        <f>IF(ISBLANK('Master Submitted DPDs'!AU190),"",'Master Submitted DPDs'!AU190)</f>
        <v>SOU</v>
      </c>
      <c r="R868" t="str">
        <f t="shared" si="29"/>
        <v>Closed</v>
      </c>
      <c r="S868" s="3"/>
      <c r="T868">
        <f>IF(ISBLANK('Master Submitted DPDs'!G190),"",'Master Submitted DPDs'!G190)</f>
        <v>3</v>
      </c>
    </row>
    <row r="869" spans="1:20" ht="15" x14ac:dyDescent="0.2">
      <c r="A869" s="3" t="str">
        <f>IF(ISBLANK('Master Submitted DPDs'!$B191),"","Local Plans")</f>
        <v>Local Plans</v>
      </c>
      <c r="B869" t="str">
        <f>IF(ISBLANK('Master Submitted DPDs'!F191),"",'Master Submitted DPDs'!F191)</f>
        <v>M&amp;W</v>
      </c>
      <c r="C869" s="3" t="str">
        <f>IF(ISBLANK('Master Submitted DPDs'!$B191),"","IH")</f>
        <v>IH</v>
      </c>
      <c r="D869" s="3" t="str">
        <f>LOOKUP($F869,'fuzzy LPA lookup'!$E:$E,'fuzzy LPA lookup'!$A:$A)</f>
        <v>F3545</v>
      </c>
      <c r="E869" s="3" t="str">
        <f>LOOKUP($F869,'fuzzy LPA lookup'!$E:$E,'fuzzy LPA lookup'!$D:$D)</f>
        <v>West Suffolk</v>
      </c>
      <c r="F869" s="8">
        <f>IF(ISBLANK('Master Submitted DPDs'!B191),"",'Master Submitted DPDs'!B191)</f>
        <v>1879</v>
      </c>
      <c r="G869" t="str">
        <f>IF(ISBLANK('Master Submitted DPDs'!AS191),"","Withdrawn")</f>
        <v/>
      </c>
      <c r="H869" s="2" t="str">
        <f>IF(ISBLANK('Master Submitted DPDs'!AS191),"",'Master Submitted DPDs'!AS191)</f>
        <v/>
      </c>
      <c r="I869" s="3"/>
      <c r="J869" s="3"/>
      <c r="K869" s="3"/>
      <c r="L869" s="2">
        <f>IF(ISBLANK('Master Submitted DPDs'!J191),"",'Master Submitted DPDs'!J191)</f>
        <v>43187</v>
      </c>
      <c r="M869" s="2">
        <f t="shared" si="28"/>
        <v>43187</v>
      </c>
      <c r="N869" s="2">
        <f>IF(ISBLANK('Master Submitted DPDs'!M191),IF(ISBLANK('Master Submitted DPDs'!O191),"",'Master Submitted DPDs'!O191),'Master Submitted DPDs'!M191)</f>
        <v>43188</v>
      </c>
      <c r="O869" s="2">
        <f>IF(ISBLANK('Master Submitted DPDs'!Q191),"",'Master Submitted DPDs'!Q191)</f>
        <v>43280</v>
      </c>
      <c r="P869" s="2">
        <f>IF(ISBLANK('Master Submitted DPDs'!AO191),"",'Master Submitted DPDs'!AO191)</f>
        <v>43496</v>
      </c>
      <c r="Q869" t="str">
        <f>IF(ISBLANK('Master Submitted DPDs'!AU191),"",'Master Submitted DPDs'!AU191)</f>
        <v>SOU</v>
      </c>
      <c r="R869" t="str">
        <f t="shared" si="29"/>
        <v>Closed</v>
      </c>
      <c r="S869" s="3"/>
      <c r="T869">
        <f>IF(ISBLANK('Master Submitted DPDs'!G191),"",'Master Submitted DPDs'!G191)</f>
        <v>2</v>
      </c>
    </row>
    <row r="870" spans="1:20" ht="15" x14ac:dyDescent="0.2">
      <c r="A870" s="3" t="str">
        <f>IF(ISBLANK('Master Submitted DPDs'!$B192),"","Local Plans")</f>
        <v>Local Plans</v>
      </c>
      <c r="B870" t="str">
        <f>IF(ISBLANK('Master Submitted DPDs'!F192),"",'Master Submitted DPDs'!F192)</f>
        <v>LP</v>
      </c>
      <c r="C870" s="3" t="str">
        <f>IF(ISBLANK('Master Submitted DPDs'!$B192),"","IH")</f>
        <v>IH</v>
      </c>
      <c r="D870" s="3" t="str">
        <f>LOOKUP($F870,'fuzzy LPA lookup'!$E:$E,'fuzzy LPA lookup'!$A:$A)</f>
        <v>J1535</v>
      </c>
      <c r="E870" s="3" t="str">
        <f>LOOKUP($F870,'fuzzy LPA lookup'!$E:$E,'fuzzy LPA lookup'!$D:$D)</f>
        <v>Epping Forest District Council</v>
      </c>
      <c r="F870" s="8">
        <f>IF(ISBLANK('Master Submitted DPDs'!B192),"",'Master Submitted DPDs'!B192)</f>
        <v>1882</v>
      </c>
      <c r="G870" t="str">
        <f>IF(ISBLANK('Master Submitted DPDs'!AS192),"","Withdrawn")</f>
        <v/>
      </c>
      <c r="H870" s="2" t="str">
        <f>IF(ISBLANK('Master Submitted DPDs'!AS192),"",'Master Submitted DPDs'!AS192)</f>
        <v/>
      </c>
      <c r="I870" s="3"/>
      <c r="J870" s="3"/>
      <c r="K870" s="3"/>
      <c r="L870" s="2">
        <f>IF(ISBLANK('Master Submitted DPDs'!J192),"",'Master Submitted DPDs'!J192)</f>
        <v>43187</v>
      </c>
      <c r="M870" s="2">
        <f t="shared" si="28"/>
        <v>43187</v>
      </c>
      <c r="N870" s="2">
        <f>IF(ISBLANK('Master Submitted DPDs'!M192),IF(ISBLANK('Master Submitted DPDs'!O192),"",'Master Submitted DPDs'!O192),'Master Submitted DPDs'!M192)</f>
        <v>43188</v>
      </c>
      <c r="O870" s="2">
        <f>IF(ISBLANK('Master Submitted DPDs'!Q192),"",'Master Submitted DPDs'!Q192)</f>
        <v>43370</v>
      </c>
      <c r="P870" s="2">
        <f>IF(ISBLANK('Master Submitted DPDs'!AO192),"",'Master Submitted DPDs'!AO192)</f>
        <v>43584</v>
      </c>
      <c r="Q870" t="str">
        <f>IF(ISBLANK('Master Submitted DPDs'!AU192),"",'Master Submitted DPDs'!AU192)</f>
        <v>SOU</v>
      </c>
      <c r="R870" t="str">
        <f t="shared" si="29"/>
        <v>Closed</v>
      </c>
      <c r="S870" s="3"/>
      <c r="T870">
        <f>IF(ISBLANK('Master Submitted DPDs'!G192),"",'Master Submitted DPDs'!G192)</f>
        <v>3</v>
      </c>
    </row>
    <row r="871" spans="1:20" ht="15" x14ac:dyDescent="0.2">
      <c r="A871" s="3" t="str">
        <f>IF(ISBLANK('Master Submitted DPDs'!$B193),"","Local Plans")</f>
        <v>Local Plans</v>
      </c>
      <c r="B871" t="str">
        <f>IF(ISBLANK('Master Submitted DPDs'!F193),"",'Master Submitted DPDs'!F193)</f>
        <v>SA</v>
      </c>
      <c r="C871" s="3" t="str">
        <f>IF(ISBLANK('Master Submitted DPDs'!$B193),"","IH")</f>
        <v>IH</v>
      </c>
      <c r="D871" s="3" t="str">
        <f>LOOKUP($F871,'fuzzy LPA lookup'!$E:$E,'fuzzy LPA lookup'!$A:$A)</f>
        <v>F5730</v>
      </c>
      <c r="E871" s="3" t="str">
        <f>LOOKUP($F871,'fuzzy LPA lookup'!$E:$E,'fuzzy LPA lookup'!$D:$D)</f>
        <v>Old Oak and Park Royal Development Corporation</v>
      </c>
      <c r="F871" s="8">
        <f>IF(ISBLANK('Master Submitted DPDs'!B193),"",'Master Submitted DPDs'!B193)</f>
        <v>1871</v>
      </c>
      <c r="G871" t="str">
        <f>IF(ISBLANK('Master Submitted DPDs'!AS193),"","Withdrawn")</f>
        <v/>
      </c>
      <c r="H871" s="2" t="str">
        <f>IF(ISBLANK('Master Submitted DPDs'!AS193),"",'Master Submitted DPDs'!AS193)</f>
        <v/>
      </c>
      <c r="I871" s="3"/>
      <c r="J871" s="3"/>
      <c r="K871" s="3"/>
      <c r="L871" s="2">
        <f>IF(ISBLANK('Master Submitted DPDs'!J193),"",'Master Submitted DPDs'!J193)</f>
        <v>43187</v>
      </c>
      <c r="M871" s="2">
        <f t="shared" si="28"/>
        <v>43187</v>
      </c>
      <c r="N871" s="2">
        <f>IF(ISBLANK('Master Submitted DPDs'!M193),IF(ISBLANK('Master Submitted DPDs'!O193),"",'Master Submitted DPDs'!O193),'Master Submitted DPDs'!M193)</f>
        <v>43188</v>
      </c>
      <c r="O871" s="2">
        <f>IF(ISBLANK('Master Submitted DPDs'!Q193),"",'Master Submitted DPDs'!Q193)</f>
        <v>43377</v>
      </c>
      <c r="P871" s="2">
        <f>IF(ISBLANK('Master Submitted DPDs'!AO193),"",'Master Submitted DPDs'!AO193)</f>
        <v>43620</v>
      </c>
      <c r="Q871" t="str">
        <f>IF(ISBLANK('Master Submitted DPDs'!AU193),"",'Master Submitted DPDs'!AU193)</f>
        <v>SOU</v>
      </c>
      <c r="R871" t="str">
        <f t="shared" si="29"/>
        <v>Closed</v>
      </c>
      <c r="S871" s="3"/>
      <c r="T871">
        <f>IF(ISBLANK('Master Submitted DPDs'!G193),"",'Master Submitted DPDs'!G193)</f>
        <v>2</v>
      </c>
    </row>
    <row r="872" spans="1:20" ht="15" x14ac:dyDescent="0.2">
      <c r="A872" s="3" t="str">
        <f>IF(ISBLANK('Master Submitted DPDs'!$B194),"","Local Plans")</f>
        <v>Local Plans</v>
      </c>
      <c r="B872" t="str">
        <f>IF(ISBLANK('Master Submitted DPDs'!F194),"",'Master Submitted DPDs'!F194)</f>
        <v>M&amp;W</v>
      </c>
      <c r="C872" s="3" t="str">
        <f>IF(ISBLANK('Master Submitted DPDs'!$B194),"","IH")</f>
        <v>IH</v>
      </c>
      <c r="D872" s="3" t="str">
        <f>LOOKUP($F872,'fuzzy LPA lookup'!$E:$E,'fuzzy LPA lookup'!$A:$A)</f>
        <v>F3545</v>
      </c>
      <c r="E872" s="3" t="str">
        <f>LOOKUP($F872,'fuzzy LPA lookup'!$E:$E,'fuzzy LPA lookup'!$D:$D)</f>
        <v>West Suffolk</v>
      </c>
      <c r="F872" s="8">
        <f>IF(ISBLANK('Master Submitted DPDs'!B194),"",'Master Submitted DPDs'!B194)</f>
        <v>1878</v>
      </c>
      <c r="G872" t="str">
        <f>IF(ISBLANK('Master Submitted DPDs'!AS194),"","Withdrawn")</f>
        <v/>
      </c>
      <c r="H872" s="2" t="str">
        <f>IF(ISBLANK('Master Submitted DPDs'!AS194),"",'Master Submitted DPDs'!AS194)</f>
        <v/>
      </c>
      <c r="I872" s="3"/>
      <c r="J872" s="3"/>
      <c r="K872" s="3"/>
      <c r="L872" s="2">
        <f>IF(ISBLANK('Master Submitted DPDs'!J194),"",'Master Submitted DPDs'!J194)</f>
        <v>43187</v>
      </c>
      <c r="M872" s="2">
        <f t="shared" si="28"/>
        <v>43187</v>
      </c>
      <c r="N872" s="2">
        <f>IF(ISBLANK('Master Submitted DPDs'!M194),IF(ISBLANK('Master Submitted DPDs'!O194),"",'Master Submitted DPDs'!O194),'Master Submitted DPDs'!M194)</f>
        <v>43188</v>
      </c>
      <c r="O872" s="2">
        <f>IF(ISBLANK('Master Submitted DPDs'!Q194),"",'Master Submitted DPDs'!Q194)</f>
        <v>43386</v>
      </c>
      <c r="P872" s="2">
        <f>IF(ISBLANK('Master Submitted DPDs'!AO194),"",'Master Submitted DPDs'!AO194)</f>
        <v>43647</v>
      </c>
      <c r="Q872" t="str">
        <f>IF(ISBLANK('Master Submitted DPDs'!AU194),"",'Master Submitted DPDs'!AU194)</f>
        <v>SOU</v>
      </c>
      <c r="R872" t="str">
        <f t="shared" si="29"/>
        <v>Closed</v>
      </c>
      <c r="S872" s="3"/>
      <c r="T872">
        <f>IF(ISBLANK('Master Submitted DPDs'!G194),"",'Master Submitted DPDs'!G194)</f>
        <v>2</v>
      </c>
    </row>
    <row r="873" spans="1:20" ht="15" x14ac:dyDescent="0.2">
      <c r="A873" s="3" t="str">
        <f>IF(ISBLANK('Master Submitted DPDs'!$B195),"","Local Plans")</f>
        <v>Local Plans</v>
      </c>
      <c r="B873" t="str">
        <f>IF(ISBLANK('Master Submitted DPDs'!F195),"",'Master Submitted DPDs'!F195)</f>
        <v>LP</v>
      </c>
      <c r="C873" s="3" t="str">
        <f>IF(ISBLANK('Master Submitted DPDs'!$B195),"","IH")</f>
        <v>IH</v>
      </c>
      <c r="D873" s="3" t="str">
        <f>LOOKUP($F873,'fuzzy LPA lookup'!$E:$E,'fuzzy LPA lookup'!$A:$A)</f>
        <v>D1265</v>
      </c>
      <c r="E873" s="3" t="str">
        <f>LOOKUP($F873,'fuzzy LPA lookup'!$E:$E,'fuzzy LPA lookup'!$D:$D)</f>
        <v>Dorset</v>
      </c>
      <c r="F873" s="8">
        <f>IF(ISBLANK('Master Submitted DPDs'!B195),"",'Master Submitted DPDs'!B195)</f>
        <v>1539</v>
      </c>
      <c r="G873" t="str">
        <f>IF(ISBLANK('Master Submitted DPDs'!AS195),"","Withdrawn")</f>
        <v/>
      </c>
      <c r="H873" s="2" t="str">
        <f>IF(ISBLANK('Master Submitted DPDs'!AS195),"",'Master Submitted DPDs'!AS195)</f>
        <v/>
      </c>
      <c r="I873" s="3"/>
      <c r="J873" s="3"/>
      <c r="K873" s="3"/>
      <c r="L873" s="2">
        <f>IF(ISBLANK('Master Submitted DPDs'!J195),"",'Master Submitted DPDs'!J195)</f>
        <v>43187</v>
      </c>
      <c r="M873" s="2">
        <f t="shared" si="28"/>
        <v>43187</v>
      </c>
      <c r="N873" s="2">
        <f>IF(ISBLANK('Master Submitted DPDs'!M195),IF(ISBLANK('Master Submitted DPDs'!O195),"",'Master Submitted DPDs'!O195),'Master Submitted DPDs'!M195)</f>
        <v>43188</v>
      </c>
      <c r="O873" s="2">
        <f>IF(ISBLANK('Master Submitted DPDs'!Q195),"",'Master Submitted DPDs'!Q195)</f>
        <v>43369</v>
      </c>
      <c r="P873" s="2">
        <f>IF(ISBLANK('Master Submitted DPDs'!AO195),"",'Master Submitted DPDs'!AO195)</f>
        <v>43656</v>
      </c>
      <c r="Q873" t="str">
        <f>IF(ISBLANK('Master Submitted DPDs'!AU195),"",'Master Submitted DPDs'!AU195)</f>
        <v>SOU</v>
      </c>
      <c r="R873" t="str">
        <f t="shared" si="29"/>
        <v>Closed</v>
      </c>
      <c r="S873" s="3"/>
      <c r="T873">
        <f>IF(ISBLANK('Master Submitted DPDs'!G195),"",'Master Submitted DPDs'!G195)</f>
        <v>3</v>
      </c>
    </row>
    <row r="874" spans="1:20" ht="15" x14ac:dyDescent="0.2">
      <c r="A874" s="3" t="str">
        <f>IF(ISBLANK('Master Submitted DPDs'!$B196),"","Local Plans")</f>
        <v>Local Plans</v>
      </c>
      <c r="B874" t="str">
        <f>IF(ISBLANK('Master Submitted DPDs'!F196),"",'Master Submitted DPDs'!F196)</f>
        <v>LP</v>
      </c>
      <c r="C874" s="3" t="str">
        <f>IF(ISBLANK('Master Submitted DPDs'!$B196),"","IH")</f>
        <v>IH</v>
      </c>
      <c r="D874" s="3" t="str">
        <f>LOOKUP($F874,'fuzzy LPA lookup'!$E:$E,'fuzzy LPA lookup'!$A:$A)</f>
        <v>F3545</v>
      </c>
      <c r="E874" s="3" t="str">
        <f>LOOKUP($F874,'fuzzy LPA lookup'!$E:$E,'fuzzy LPA lookup'!$D:$D)</f>
        <v>West Suffolk</v>
      </c>
      <c r="F874" s="8">
        <f>IF(ISBLANK('Master Submitted DPDs'!B196),"",'Master Submitted DPDs'!B196)</f>
        <v>1874</v>
      </c>
      <c r="G874" t="str">
        <f>IF(ISBLANK('Master Submitted DPDs'!AS196),"","Withdrawn")</f>
        <v/>
      </c>
      <c r="H874" s="2" t="str">
        <f>IF(ISBLANK('Master Submitted DPDs'!AS196),"",'Master Submitted DPDs'!AS196)</f>
        <v/>
      </c>
      <c r="I874" s="3"/>
      <c r="J874" s="3"/>
      <c r="K874" s="3"/>
      <c r="L874" s="2">
        <f>IF(ISBLANK('Master Submitted DPDs'!J196),"",'Master Submitted DPDs'!J196)</f>
        <v>43188</v>
      </c>
      <c r="M874" s="2">
        <f t="shared" si="28"/>
        <v>43188</v>
      </c>
      <c r="N874" s="2">
        <f>IF(ISBLANK('Master Submitted DPDs'!M196),IF(ISBLANK('Master Submitted DPDs'!O196),"",'Master Submitted DPDs'!O196),'Master Submitted DPDs'!M196)</f>
        <v>43188</v>
      </c>
      <c r="O874" s="2">
        <f>IF(ISBLANK('Master Submitted DPDs'!Q196),"",'Master Submitted DPDs'!Q196)</f>
        <v>43342</v>
      </c>
      <c r="P874" s="2">
        <f>IF(ISBLANK('Master Submitted DPDs'!AO196),"",'Master Submitted DPDs'!AO196)</f>
        <v>43508</v>
      </c>
      <c r="Q874" t="str">
        <f>IF(ISBLANK('Master Submitted DPDs'!AU196),"",'Master Submitted DPDs'!AU196)</f>
        <v>SOU</v>
      </c>
      <c r="R874" t="str">
        <f t="shared" si="29"/>
        <v>Closed</v>
      </c>
      <c r="S874" s="3"/>
      <c r="T874">
        <f>IF(ISBLANK('Master Submitted DPDs'!G196),"",'Master Submitted DPDs'!G196)</f>
        <v>3</v>
      </c>
    </row>
    <row r="875" spans="1:20" ht="15" x14ac:dyDescent="0.2">
      <c r="A875" s="3" t="str">
        <f>IF(ISBLANK('Master Submitted DPDs'!$B197),"","Local Plans")</f>
        <v>Local Plans</v>
      </c>
      <c r="B875" t="str">
        <f>IF(ISBLANK('Master Submitted DPDs'!F197),"",'Master Submitted DPDs'!F197)</f>
        <v>LP</v>
      </c>
      <c r="C875" s="3" t="str">
        <f>IF(ISBLANK('Master Submitted DPDs'!$B197),"","IH")</f>
        <v>IH</v>
      </c>
      <c r="D875" s="3" t="str">
        <f>LOOKUP($F875,'fuzzy LPA lookup'!$E:$E,'fuzzy LPA lookup'!$A:$A)</f>
        <v>F3545</v>
      </c>
      <c r="E875" s="3" t="str">
        <f>LOOKUP($F875,'fuzzy LPA lookup'!$E:$E,'fuzzy LPA lookup'!$D:$D)</f>
        <v>West Suffolk</v>
      </c>
      <c r="F875" s="8">
        <f>IF(ISBLANK('Master Submitted DPDs'!B197),"",'Master Submitted DPDs'!B197)</f>
        <v>1877</v>
      </c>
      <c r="G875" t="str">
        <f>IF(ISBLANK('Master Submitted DPDs'!AS197),"","Withdrawn")</f>
        <v/>
      </c>
      <c r="H875" s="2" t="str">
        <f>IF(ISBLANK('Master Submitted DPDs'!AS197),"",'Master Submitted DPDs'!AS197)</f>
        <v/>
      </c>
      <c r="I875" s="3"/>
      <c r="J875" s="3"/>
      <c r="K875" s="3"/>
      <c r="L875" s="2">
        <f>IF(ISBLANK('Master Submitted DPDs'!J197),"",'Master Submitted DPDs'!J197)</f>
        <v>43188</v>
      </c>
      <c r="M875" s="2">
        <f t="shared" si="28"/>
        <v>43188</v>
      </c>
      <c r="N875" s="2">
        <f>IF(ISBLANK('Master Submitted DPDs'!M197),IF(ISBLANK('Master Submitted DPDs'!O197),"",'Master Submitted DPDs'!O197),'Master Submitted DPDs'!M197)</f>
        <v>43188</v>
      </c>
      <c r="O875" s="2">
        <f>IF(ISBLANK('Master Submitted DPDs'!Q197),"",'Master Submitted DPDs'!Q197)</f>
        <v>43743</v>
      </c>
      <c r="P875" s="2">
        <f>IF(ISBLANK('Master Submitted DPDs'!AO197),"",'Master Submitted DPDs'!AO197)</f>
        <v>43732</v>
      </c>
      <c r="Q875" t="str">
        <f>IF(ISBLANK('Master Submitted DPDs'!AU197),"",'Master Submitted DPDs'!AU197)</f>
        <v>SOU</v>
      </c>
      <c r="R875" t="str">
        <f t="shared" si="29"/>
        <v>Closed</v>
      </c>
      <c r="S875" s="3"/>
      <c r="T875">
        <f>IF(ISBLANK('Master Submitted DPDs'!G197),"",'Master Submitted DPDs'!G197)</f>
        <v>3</v>
      </c>
    </row>
    <row r="876" spans="1:20" ht="15" x14ac:dyDescent="0.2">
      <c r="A876" s="3" t="str">
        <f>IF(ISBLANK('Master Submitted DPDs'!$B198),"","Local Plans")</f>
        <v>Local Plans</v>
      </c>
      <c r="B876" t="str">
        <f>IF(ISBLANK('Master Submitted DPDs'!F198),"",'Master Submitted DPDs'!F198)</f>
        <v>LP</v>
      </c>
      <c r="C876" s="3" t="str">
        <f>IF(ISBLANK('Master Submitted DPDs'!$B198),"","IH")</f>
        <v>IH</v>
      </c>
      <c r="D876" s="3" t="str">
        <f>LOOKUP($F876,'fuzzy LPA lookup'!$E:$E,'fuzzy LPA lookup'!$A:$A)</f>
        <v>F3545</v>
      </c>
      <c r="E876" s="3" t="str">
        <f>LOOKUP($F876,'fuzzy LPA lookup'!$E:$E,'fuzzy LPA lookup'!$D:$D)</f>
        <v>West Suffolk</v>
      </c>
      <c r="F876" s="8">
        <f>IF(ISBLANK('Master Submitted DPDs'!B198),"",'Master Submitted DPDs'!B198)</f>
        <v>1873</v>
      </c>
      <c r="G876" t="str">
        <f>IF(ISBLANK('Master Submitted DPDs'!AS198),"","Withdrawn")</f>
        <v>Withdrawn</v>
      </c>
      <c r="H876" s="2">
        <f>IF(ISBLANK('Master Submitted DPDs'!AS198),"",'Master Submitted DPDs'!AS198)</f>
        <v>43928</v>
      </c>
      <c r="I876" s="3"/>
      <c r="J876" s="3"/>
      <c r="K876" s="3"/>
      <c r="L876" s="2">
        <f>IF(ISBLANK('Master Submitted DPDs'!J198),"",'Master Submitted DPDs'!J198)</f>
        <v>43203</v>
      </c>
      <c r="M876" s="2">
        <f t="shared" si="28"/>
        <v>43203</v>
      </c>
      <c r="N876" s="2">
        <f>IF(ISBLANK('Master Submitted DPDs'!M198),IF(ISBLANK('Master Submitted DPDs'!O198),"",'Master Submitted DPDs'!O198),'Master Submitted DPDs'!M198)</f>
        <v>43203</v>
      </c>
      <c r="O876" s="2" t="str">
        <f>IF(ISBLANK('Master Submitted DPDs'!Q198),"",'Master Submitted DPDs'!Q198)</f>
        <v/>
      </c>
      <c r="P876" s="2" t="str">
        <f>IF(ISBLANK('Master Submitted DPDs'!AO198),"",'Master Submitted DPDs'!AO198)</f>
        <v/>
      </c>
      <c r="Q876" t="str">
        <f>IF(ISBLANK('Master Submitted DPDs'!AU198),"",'Master Submitted DPDs'!AU198)</f>
        <v>DPDW</v>
      </c>
      <c r="R876" t="str">
        <f t="shared" si="29"/>
        <v>Closed</v>
      </c>
      <c r="S876" s="3"/>
      <c r="T876">
        <f>IF(ISBLANK('Master Submitted DPDs'!G198),"",'Master Submitted DPDs'!G198)</f>
        <v>3</v>
      </c>
    </row>
    <row r="877" spans="1:20" ht="15" x14ac:dyDescent="0.2">
      <c r="A877" s="3" t="str">
        <f>IF(ISBLANK('Master Submitted DPDs'!$B199),"","Local Plans")</f>
        <v>Local Plans</v>
      </c>
      <c r="B877" t="str">
        <f>IF(ISBLANK('Master Submitted DPDs'!F199),"",'Master Submitted DPDs'!F199)</f>
        <v>SA</v>
      </c>
      <c r="C877" s="3" t="str">
        <f>IF(ISBLANK('Master Submitted DPDs'!$B199),"","IH")</f>
        <v>IH</v>
      </c>
      <c r="D877" s="3" t="str">
        <f>LOOKUP($F877,'fuzzy LPA lookup'!$E:$E,'fuzzy LPA lookup'!$A:$A)</f>
        <v>H3700</v>
      </c>
      <c r="E877" s="3" t="str">
        <f>LOOKUP($F877,'fuzzy LPA lookup'!$E:$E,'fuzzy LPA lookup'!$D:$D)</f>
        <v>Warwickshire County Council</v>
      </c>
      <c r="F877" s="8">
        <f>IF(ISBLANK('Master Submitted DPDs'!B199),"",'Master Submitted DPDs'!B199)</f>
        <v>1270</v>
      </c>
      <c r="G877" t="str">
        <f>IF(ISBLANK('Master Submitted DPDs'!AS199),"","Withdrawn")</f>
        <v/>
      </c>
      <c r="H877" s="2" t="str">
        <f>IF(ISBLANK('Master Submitted DPDs'!AS199),"",'Master Submitted DPDs'!AS199)</f>
        <v/>
      </c>
      <c r="I877" s="3"/>
      <c r="J877" s="3"/>
      <c r="K877" s="3"/>
      <c r="L877" s="2">
        <f>IF(ISBLANK('Master Submitted DPDs'!J199),"",'Master Submitted DPDs'!J199)</f>
        <v>43213</v>
      </c>
      <c r="M877" s="2">
        <f t="shared" si="28"/>
        <v>43213</v>
      </c>
      <c r="N877" s="2">
        <f>IF(ISBLANK('Master Submitted DPDs'!M199),IF(ISBLANK('Master Submitted DPDs'!O199),"",'Master Submitted DPDs'!O199),'Master Submitted DPDs'!M199)</f>
        <v>43217</v>
      </c>
      <c r="O877" s="2">
        <f>IF(ISBLANK('Master Submitted DPDs'!Q199),"",'Master Submitted DPDs'!Q199)</f>
        <v>43438</v>
      </c>
      <c r="P877" s="2">
        <f>IF(ISBLANK('Master Submitted DPDs'!AO199),"",'Master Submitted DPDs'!AO199)</f>
        <v>43812</v>
      </c>
      <c r="Q877" t="str">
        <f>IF(ISBLANK('Master Submitted DPDs'!AU199),"",'Master Submitted DPDs'!AU199)</f>
        <v>SOU</v>
      </c>
      <c r="R877" t="str">
        <f t="shared" si="29"/>
        <v>Closed</v>
      </c>
      <c r="S877" s="3"/>
      <c r="T877">
        <f>IF(ISBLANK('Master Submitted DPDs'!G199),"",'Master Submitted DPDs'!G199)</f>
        <v>2</v>
      </c>
    </row>
    <row r="878" spans="1:20" ht="15" x14ac:dyDescent="0.2">
      <c r="A878" s="3" t="str">
        <f>IF(ISBLANK('Master Submitted DPDs'!$B200),"","Local Plans")</f>
        <v>Local Plans</v>
      </c>
      <c r="B878" t="str">
        <f>IF(ISBLANK('Master Submitted DPDs'!F200),"",'Master Submitted DPDs'!F200)</f>
        <v>LP</v>
      </c>
      <c r="C878" s="3" t="str">
        <f>IF(ISBLANK('Master Submitted DPDs'!$B200),"","IH")</f>
        <v>IH</v>
      </c>
      <c r="D878" s="3" t="str">
        <f>LOOKUP($F878,'fuzzy LPA lookup'!$E:$E,'fuzzy LPA lookup'!$A:$A)</f>
        <v>F5730</v>
      </c>
      <c r="E878" s="3" t="str">
        <f>LOOKUP($F878,'fuzzy LPA lookup'!$E:$E,'fuzzy LPA lookup'!$D:$D)</f>
        <v>Old Oak and Park Royal Development Corporation</v>
      </c>
      <c r="F878" s="8">
        <f>IF(ISBLANK('Master Submitted DPDs'!B200),"",'Master Submitted DPDs'!B200)</f>
        <v>1857</v>
      </c>
      <c r="G878" t="str">
        <f>IF(ISBLANK('Master Submitted DPDs'!AS200),"","Withdrawn")</f>
        <v/>
      </c>
      <c r="H878" s="2" t="str">
        <f>IF(ISBLANK('Master Submitted DPDs'!AS200),"",'Master Submitted DPDs'!AS200)</f>
        <v/>
      </c>
      <c r="I878" s="3"/>
      <c r="J878" s="3"/>
      <c r="K878" s="3"/>
      <c r="L878" s="2">
        <f>IF(ISBLANK('Master Submitted DPDs'!J200),"",'Master Submitted DPDs'!J200)</f>
        <v>43217</v>
      </c>
      <c r="M878" s="2">
        <f t="shared" si="28"/>
        <v>43217</v>
      </c>
      <c r="N878" s="2">
        <f>IF(ISBLANK('Master Submitted DPDs'!M200),IF(ISBLANK('Master Submitted DPDs'!O200),"",'Master Submitted DPDs'!O200),'Master Submitted DPDs'!M200)</f>
        <v>43224</v>
      </c>
      <c r="O878" s="2">
        <f>IF(ISBLANK('Master Submitted DPDs'!Q200),"",'Master Submitted DPDs'!Q200)</f>
        <v>43446</v>
      </c>
      <c r="P878" s="2">
        <f>IF(ISBLANK('Master Submitted DPDs'!AO200),"",'Master Submitted DPDs'!AO200)</f>
        <v>43634</v>
      </c>
      <c r="Q878" t="str">
        <f>IF(ISBLANK('Master Submitted DPDs'!AU200),"",'Master Submitted DPDs'!AU200)</f>
        <v>SOU</v>
      </c>
      <c r="R878" t="str">
        <f t="shared" si="29"/>
        <v>Closed</v>
      </c>
      <c r="S878" s="3"/>
      <c r="T878">
        <f>IF(ISBLANK('Master Submitted DPDs'!G200),"",'Master Submitted DPDs'!G200)</f>
        <v>3</v>
      </c>
    </row>
    <row r="879" spans="1:20" ht="15" x14ac:dyDescent="0.2">
      <c r="A879" s="3" t="str">
        <f>IF(ISBLANK('Master Submitted DPDs'!$B201),"","Local Plans")</f>
        <v>Local Plans</v>
      </c>
      <c r="B879" t="str">
        <f>IF(ISBLANK('Master Submitted DPDs'!F201),"",'Master Submitted DPDs'!F201)</f>
        <v>AAP</v>
      </c>
      <c r="C879" s="3" t="str">
        <f>IF(ISBLANK('Master Submitted DPDs'!$B201),"","IH")</f>
        <v>IH</v>
      </c>
      <c r="D879" s="3" t="str">
        <f>LOOKUP($F879,'fuzzy LPA lookup'!$E:$E,'fuzzy LPA lookup'!$A:$A)</f>
        <v>N2535</v>
      </c>
      <c r="E879" s="3" t="str">
        <f>LOOKUP($F879,'fuzzy LPA lookup'!$E:$E,'fuzzy LPA lookup'!$D:$D)</f>
        <v>West Lindsey District Council</v>
      </c>
      <c r="F879" s="8">
        <f>IF(ISBLANK('Master Submitted DPDs'!B201),"",'Master Submitted DPDs'!B201)</f>
        <v>1820</v>
      </c>
      <c r="G879" t="str">
        <f>IF(ISBLANK('Master Submitted DPDs'!AS201),"","Withdrawn")</f>
        <v/>
      </c>
      <c r="H879" s="2" t="str">
        <f>IF(ISBLANK('Master Submitted DPDs'!AS201),"",'Master Submitted DPDs'!AS201)</f>
        <v/>
      </c>
      <c r="I879" s="3"/>
      <c r="J879" s="3"/>
      <c r="K879" s="3"/>
      <c r="L879" s="2">
        <f>IF(ISBLANK('Master Submitted DPDs'!J201),"",'Master Submitted DPDs'!J201)</f>
        <v>43217</v>
      </c>
      <c r="M879" s="2">
        <f t="shared" si="28"/>
        <v>43217</v>
      </c>
      <c r="N879" s="2">
        <f>IF(ISBLANK('Master Submitted DPDs'!M201),IF(ISBLANK('Master Submitted DPDs'!O201),"",'Master Submitted DPDs'!O201),'Master Submitted DPDs'!M201)</f>
        <v>43221</v>
      </c>
      <c r="O879" s="2">
        <f>IF(ISBLANK('Master Submitted DPDs'!Q201),"",'Master Submitted DPDs'!Q201)</f>
        <v>43384</v>
      </c>
      <c r="P879" s="2">
        <f>IF(ISBLANK('Master Submitted DPDs'!AO201),"",'Master Submitted DPDs'!AO201)</f>
        <v>43691</v>
      </c>
      <c r="Q879" t="str">
        <f>IF(ISBLANK('Master Submitted DPDs'!AU201),"",'Master Submitted DPDs'!AU201)</f>
        <v>SOU</v>
      </c>
      <c r="R879" t="str">
        <f t="shared" si="29"/>
        <v>Closed</v>
      </c>
      <c r="S879" s="3"/>
      <c r="T879">
        <f>IF(ISBLANK('Master Submitted DPDs'!G201),"",'Master Submitted DPDs'!G201)</f>
        <v>2</v>
      </c>
    </row>
    <row r="880" spans="1:20" ht="15" x14ac:dyDescent="0.2">
      <c r="A880" s="3" t="str">
        <f>IF(ISBLANK('Master Submitted DPDs'!$B202),"","Local Plans")</f>
        <v>Local Plans</v>
      </c>
      <c r="B880" t="str">
        <f>IF(ISBLANK('Master Submitted DPDs'!F202),"",'Master Submitted DPDs'!F202)</f>
        <v>LP</v>
      </c>
      <c r="C880" s="3" t="str">
        <f>IF(ISBLANK('Master Submitted DPDs'!$B202),"","IH")</f>
        <v>IH</v>
      </c>
      <c r="D880" s="3" t="str">
        <f>LOOKUP($F880,'fuzzy LPA lookup'!$E:$E,'fuzzy LPA lookup'!$A:$A)</f>
        <v>C2708</v>
      </c>
      <c r="E880" s="3" t="str">
        <f>LOOKUP($F880,'fuzzy LPA lookup'!$E:$E,'fuzzy LPA lookup'!$D:$D)</f>
        <v>Craven District Council</v>
      </c>
      <c r="F880" s="8">
        <f>IF(ISBLANK('Master Submitted DPDs'!B202),"",'Master Submitted DPDs'!B202)</f>
        <v>1887</v>
      </c>
      <c r="G880" t="str">
        <f>IF(ISBLANK('Master Submitted DPDs'!AS202),"","Withdrawn")</f>
        <v/>
      </c>
      <c r="H880" s="2" t="str">
        <f>IF(ISBLANK('Master Submitted DPDs'!AS202),"",'Master Submitted DPDs'!AS202)</f>
        <v/>
      </c>
      <c r="I880" s="3"/>
      <c r="J880" s="3"/>
      <c r="K880" s="3"/>
      <c r="L880" s="2">
        <f>IF(ISBLANK('Master Submitted DPDs'!J202),"",'Master Submitted DPDs'!J202)</f>
        <v>43220</v>
      </c>
      <c r="M880" s="2">
        <f t="shared" si="28"/>
        <v>43220</v>
      </c>
      <c r="N880" s="2">
        <f>IF(ISBLANK('Master Submitted DPDs'!M202),IF(ISBLANK('Master Submitted DPDs'!O202),"",'Master Submitted DPDs'!O202),'Master Submitted DPDs'!M202)</f>
        <v>43228</v>
      </c>
      <c r="O880" s="2">
        <f>IF(ISBLANK('Master Submitted DPDs'!Q202),"",'Master Submitted DPDs'!Q202)</f>
        <v>44183</v>
      </c>
      <c r="P880" s="2">
        <f>IF(ISBLANK('Master Submitted DPDs'!AO202),"",'Master Submitted DPDs'!AO202)</f>
        <v>44392</v>
      </c>
      <c r="Q880" t="str">
        <f>IF(ISBLANK('Master Submitted DPDs'!AU202),"",'Master Submitted DPDs'!AU202)</f>
        <v>SOU</v>
      </c>
      <c r="R880" t="str">
        <f t="shared" si="29"/>
        <v>Closed</v>
      </c>
      <c r="S880" s="3"/>
      <c r="T880">
        <f>IF(ISBLANK('Master Submitted DPDs'!G202),"",'Master Submitted DPDs'!G202)</f>
        <v>3</v>
      </c>
    </row>
    <row r="881" spans="1:20" ht="15" x14ac:dyDescent="0.2">
      <c r="A881" s="3" t="str">
        <f>IF(ISBLANK('Master Submitted DPDs'!$B203),"","Local Plans")</f>
        <v>Local Plans</v>
      </c>
      <c r="B881" t="str">
        <f>IF(ISBLANK('Master Submitted DPDs'!F203),"",'Master Submitted DPDs'!F203)</f>
        <v>Other</v>
      </c>
      <c r="C881" s="3" t="str">
        <f>IF(ISBLANK('Master Submitted DPDs'!$B203),"","IH")</f>
        <v>IH</v>
      </c>
      <c r="D881" s="3" t="str">
        <f>LOOKUP($F881,'fuzzy LPA lookup'!$E:$E,'fuzzy LPA lookup'!$A:$A)</f>
        <v>C2708</v>
      </c>
      <c r="E881" s="3" t="str">
        <f>LOOKUP($F881,'fuzzy LPA lookup'!$E:$E,'fuzzy LPA lookup'!$D:$D)</f>
        <v>Craven District Council</v>
      </c>
      <c r="F881" s="8">
        <f>IF(ISBLANK('Master Submitted DPDs'!B203),"",'Master Submitted DPDs'!B203)</f>
        <v>1890</v>
      </c>
      <c r="G881" t="str">
        <f>IF(ISBLANK('Master Submitted DPDs'!AS203),"","Withdrawn")</f>
        <v/>
      </c>
      <c r="H881" s="2" t="str">
        <f>IF(ISBLANK('Master Submitted DPDs'!AS203),"",'Master Submitted DPDs'!AS203)</f>
        <v/>
      </c>
      <c r="I881" s="3"/>
      <c r="J881" s="3"/>
      <c r="K881" s="3"/>
      <c r="L881" s="2">
        <f>IF(ISBLANK('Master Submitted DPDs'!J203),"",'Master Submitted DPDs'!J203)</f>
        <v>43229</v>
      </c>
      <c r="M881" s="2">
        <f t="shared" si="28"/>
        <v>43229</v>
      </c>
      <c r="N881" s="2">
        <f>IF(ISBLANK('Master Submitted DPDs'!M203),IF(ISBLANK('Master Submitted DPDs'!O203),"",'Master Submitted DPDs'!O203),'Master Submitted DPDs'!M203)</f>
        <v>43230</v>
      </c>
      <c r="O881" s="2">
        <f>IF(ISBLANK('Master Submitted DPDs'!Q203),"",'Master Submitted DPDs'!Q203)</f>
        <v>43347</v>
      </c>
      <c r="P881" s="2">
        <f>IF(ISBLANK('Master Submitted DPDs'!AO203),"",'Master Submitted DPDs'!AO203)</f>
        <v>43493</v>
      </c>
      <c r="Q881" t="str">
        <f>IF(ISBLANK('Master Submitted DPDs'!AU203),"",'Master Submitted DPDs'!AU203)</f>
        <v>SOU</v>
      </c>
      <c r="R881" t="str">
        <f t="shared" si="29"/>
        <v>Closed</v>
      </c>
      <c r="S881" s="3"/>
      <c r="T881">
        <f>IF(ISBLANK('Master Submitted DPDs'!G203),"",'Master Submitted DPDs'!G203)</f>
        <v>2</v>
      </c>
    </row>
    <row r="882" spans="1:20" ht="15" x14ac:dyDescent="0.2">
      <c r="A882" s="3" t="str">
        <f>IF(ISBLANK('Master Submitted DPDs'!$B204),"","Local Plans")</f>
        <v>Local Plans</v>
      </c>
      <c r="B882" t="str">
        <f>IF(ISBLANK('Master Submitted DPDs'!F204),"",'Master Submitted DPDs'!F204)</f>
        <v>LP</v>
      </c>
      <c r="C882" s="3" t="str">
        <f>IF(ISBLANK('Master Submitted DPDs'!$B204),"","IH")</f>
        <v>IH</v>
      </c>
      <c r="D882" s="3" t="str">
        <f>LOOKUP($F882,'fuzzy LPA lookup'!$E:$E,'fuzzy LPA lookup'!$A:$A)</f>
        <v>C2708</v>
      </c>
      <c r="E882" s="3" t="str">
        <f>LOOKUP($F882,'fuzzy LPA lookup'!$E:$E,'fuzzy LPA lookup'!$D:$D)</f>
        <v>Craven District Council</v>
      </c>
      <c r="F882" s="8">
        <f>IF(ISBLANK('Master Submitted DPDs'!B204),"",'Master Submitted DPDs'!B204)</f>
        <v>1891</v>
      </c>
      <c r="G882" t="str">
        <f>IF(ISBLANK('Master Submitted DPDs'!AS204),"","Withdrawn")</f>
        <v/>
      </c>
      <c r="H882" s="2" t="str">
        <f>IF(ISBLANK('Master Submitted DPDs'!AS204),"",'Master Submitted DPDs'!AS204)</f>
        <v/>
      </c>
      <c r="I882" s="3"/>
      <c r="J882" s="3"/>
      <c r="K882" s="3"/>
      <c r="L882" s="2">
        <f>IF(ISBLANK('Master Submitted DPDs'!J204),"",'Master Submitted DPDs'!J204)</f>
        <v>43234</v>
      </c>
      <c r="M882" s="2">
        <f t="shared" si="28"/>
        <v>43234</v>
      </c>
      <c r="N882" s="2">
        <f>IF(ISBLANK('Master Submitted DPDs'!M204),IF(ISBLANK('Master Submitted DPDs'!O204),"",'Master Submitted DPDs'!O204),'Master Submitted DPDs'!M204)</f>
        <v>43236</v>
      </c>
      <c r="O882" s="2">
        <f>IF(ISBLANK('Master Submitted DPDs'!Q204),"",'Master Submitted DPDs'!Q204)</f>
        <v>43545</v>
      </c>
      <c r="P882" s="2">
        <f>IF(ISBLANK('Master Submitted DPDs'!AO204),"",'Master Submitted DPDs'!AO204)</f>
        <v>43670</v>
      </c>
      <c r="Q882" t="str">
        <f>IF(ISBLANK('Master Submitted DPDs'!AU204),"",'Master Submitted DPDs'!AU204)</f>
        <v>SOU</v>
      </c>
      <c r="R882" t="str">
        <f t="shared" si="29"/>
        <v>Closed</v>
      </c>
      <c r="S882" s="3"/>
      <c r="T882">
        <f>IF(ISBLANK('Master Submitted DPDs'!G204),"",'Master Submitted DPDs'!G204)</f>
        <v>3</v>
      </c>
    </row>
    <row r="883" spans="1:20" ht="15" x14ac:dyDescent="0.2">
      <c r="A883" s="3" t="str">
        <f>IF(ISBLANK('Master Submitted DPDs'!$B205),"","Local Plans")</f>
        <v>Local Plans</v>
      </c>
      <c r="B883" t="str">
        <f>IF(ISBLANK('Master Submitted DPDs'!F205),"",'Master Submitted DPDs'!F205)</f>
        <v>LP</v>
      </c>
      <c r="C883" s="3" t="str">
        <f>IF(ISBLANK('Master Submitted DPDs'!$B205),"","IH")</f>
        <v>IH</v>
      </c>
      <c r="D883" s="3" t="str">
        <f>LOOKUP($F883,'fuzzy LPA lookup'!$E:$E,'fuzzy LPA lookup'!$A:$A)</f>
        <v>R1038</v>
      </c>
      <c r="E883" s="3" t="str">
        <f>LOOKUP($F883,'fuzzy LPA lookup'!$E:$E,'fuzzy LPA lookup'!$D:$D)</f>
        <v>North East Derbyshire District Council</v>
      </c>
      <c r="F883" s="8">
        <f>IF(ISBLANK('Master Submitted DPDs'!B205),"",'Master Submitted DPDs'!B205)</f>
        <v>1906</v>
      </c>
      <c r="G883" t="str">
        <f>IF(ISBLANK('Master Submitted DPDs'!AS205),"","Withdrawn")</f>
        <v/>
      </c>
      <c r="H883" s="2" t="str">
        <f>IF(ISBLANK('Master Submitted DPDs'!AS205),"",'Master Submitted DPDs'!AS205)</f>
        <v/>
      </c>
      <c r="I883" s="3"/>
      <c r="J883" s="3"/>
      <c r="K883" s="3"/>
      <c r="L883" s="2">
        <f>IF(ISBLANK('Master Submitted DPDs'!J205),"",'Master Submitted DPDs'!J205)</f>
        <v>43235</v>
      </c>
      <c r="M883" s="2">
        <f t="shared" si="28"/>
        <v>43235</v>
      </c>
      <c r="N883" s="2">
        <f>IF(ISBLANK('Master Submitted DPDs'!M205),IF(ISBLANK('Master Submitted DPDs'!O205),"",'Master Submitted DPDs'!O205),'Master Submitted DPDs'!M205)</f>
        <v>43235</v>
      </c>
      <c r="O883" s="2">
        <f>IF(ISBLANK('Master Submitted DPDs'!Q205),"",'Master Submitted DPDs'!Q205)</f>
        <v>43606</v>
      </c>
      <c r="P883" s="2">
        <f>IF(ISBLANK('Master Submitted DPDs'!AO205),"",'Master Submitted DPDs'!AO205)</f>
        <v>43994</v>
      </c>
      <c r="Q883" t="str">
        <f>IF(ISBLANK('Master Submitted DPDs'!AU205),"",'Master Submitted DPDs'!AU205)</f>
        <v>SOU</v>
      </c>
      <c r="R883" t="str">
        <f t="shared" si="29"/>
        <v>Closed</v>
      </c>
      <c r="S883" s="3"/>
      <c r="T883">
        <f>IF(ISBLANK('Master Submitted DPDs'!G205),"",'Master Submitted DPDs'!G205)</f>
        <v>3</v>
      </c>
    </row>
    <row r="884" spans="1:20" ht="15" x14ac:dyDescent="0.2">
      <c r="A884" s="3" t="str">
        <f>IF(ISBLANK('Master Submitted DPDs'!$B206),"","Local Plans")</f>
        <v>Local Plans</v>
      </c>
      <c r="B884" t="str">
        <f>IF(ISBLANK('Master Submitted DPDs'!F206),"",'Master Submitted DPDs'!F206)</f>
        <v>DM</v>
      </c>
      <c r="C884" s="3" t="str">
        <f>IF(ISBLANK('Master Submitted DPDs'!$B206),"","IH")</f>
        <v>IH</v>
      </c>
      <c r="D884" s="3" t="str">
        <f>LOOKUP($F884,'fuzzy LPA lookup'!$E:$E,'fuzzy LPA lookup'!$A:$A)</f>
        <v>R1038</v>
      </c>
      <c r="E884" s="3" t="str">
        <f>LOOKUP($F884,'fuzzy LPA lookup'!$E:$E,'fuzzy LPA lookup'!$D:$D)</f>
        <v>North East Derbyshire District Council</v>
      </c>
      <c r="F884" s="8">
        <f>IF(ISBLANK('Master Submitted DPDs'!B206),"",'Master Submitted DPDs'!B206)</f>
        <v>1907</v>
      </c>
      <c r="G884" t="str">
        <f>IF(ISBLANK('Master Submitted DPDs'!AS206),"","Withdrawn")</f>
        <v/>
      </c>
      <c r="H884" s="2" t="str">
        <f>IF(ISBLANK('Master Submitted DPDs'!AS206),"",'Master Submitted DPDs'!AS206)</f>
        <v/>
      </c>
      <c r="I884" s="3"/>
      <c r="J884" s="3"/>
      <c r="K884" s="3"/>
      <c r="L884" s="2">
        <f>IF(ISBLANK('Master Submitted DPDs'!J206),"",'Master Submitted DPDs'!J206)</f>
        <v>43235</v>
      </c>
      <c r="M884" s="2">
        <f t="shared" si="28"/>
        <v>43235</v>
      </c>
      <c r="N884" s="2">
        <f>IF(ISBLANK('Master Submitted DPDs'!M206),IF(ISBLANK('Master Submitted DPDs'!O206),"",'Master Submitted DPDs'!O206),'Master Submitted DPDs'!M206)</f>
        <v>43235</v>
      </c>
      <c r="O884" s="2">
        <f>IF(ISBLANK('Master Submitted DPDs'!Q206),"",'Master Submitted DPDs'!Q206)</f>
        <v>43606</v>
      </c>
      <c r="P884" s="2">
        <f>IF(ISBLANK('Master Submitted DPDs'!AO206),"",'Master Submitted DPDs'!AO206)</f>
        <v>43994</v>
      </c>
      <c r="Q884" t="str">
        <f>IF(ISBLANK('Master Submitted DPDs'!AU206),"",'Master Submitted DPDs'!AU206)</f>
        <v>SOU</v>
      </c>
      <c r="R884" t="str">
        <f t="shared" si="29"/>
        <v>Closed</v>
      </c>
      <c r="S884" s="3"/>
      <c r="T884">
        <f>IF(ISBLANK('Master Submitted DPDs'!G206),"",'Master Submitted DPDs'!G206)</f>
        <v>2</v>
      </c>
    </row>
    <row r="885" spans="1:20" ht="15" x14ac:dyDescent="0.2">
      <c r="A885" s="3" t="str">
        <f>IF(ISBLANK('Master Submitted DPDs'!$B207),"","Local Plans")</f>
        <v>Local Plans</v>
      </c>
      <c r="B885" t="str">
        <f>IF(ISBLANK('Master Submitted DPDs'!F207),"",'Master Submitted DPDs'!F207)</f>
        <v>DM</v>
      </c>
      <c r="C885" s="3" t="str">
        <f>IF(ISBLANK('Master Submitted DPDs'!$B207),"","IH")</f>
        <v>IH</v>
      </c>
      <c r="D885" s="3" t="str">
        <f>LOOKUP($F885,'fuzzy LPA lookup'!$E:$E,'fuzzy LPA lookup'!$A:$A)</f>
        <v>C2708</v>
      </c>
      <c r="E885" s="3" t="str">
        <f>LOOKUP($F885,'fuzzy LPA lookup'!$E:$E,'fuzzy LPA lookup'!$D:$D)</f>
        <v>Craven District Council</v>
      </c>
      <c r="F885" s="8">
        <f>IF(ISBLANK('Master Submitted DPDs'!B207),"",'Master Submitted DPDs'!B207)</f>
        <v>1888</v>
      </c>
      <c r="G885" t="str">
        <f>IF(ISBLANK('Master Submitted DPDs'!AS207),"","Withdrawn")</f>
        <v/>
      </c>
      <c r="H885" s="2" t="str">
        <f>IF(ISBLANK('Master Submitted DPDs'!AS207),"",'Master Submitted DPDs'!AS207)</f>
        <v/>
      </c>
      <c r="I885" s="3"/>
      <c r="J885" s="3"/>
      <c r="K885" s="3"/>
      <c r="L885" s="2">
        <f>IF(ISBLANK('Master Submitted DPDs'!J207),"",'Master Submitted DPDs'!J207)</f>
        <v>43238</v>
      </c>
      <c r="M885" s="2">
        <f t="shared" si="28"/>
        <v>43238</v>
      </c>
      <c r="N885" s="2">
        <f>IF(ISBLANK('Master Submitted DPDs'!M207),IF(ISBLANK('Master Submitted DPDs'!O207),"",'Master Submitted DPDs'!O207),'Master Submitted DPDs'!M207)</f>
        <v>43243</v>
      </c>
      <c r="O885" s="2">
        <f>IF(ISBLANK('Master Submitted DPDs'!Q207),"",'Master Submitted DPDs'!Q207)</f>
        <v>43777</v>
      </c>
      <c r="P885" s="2">
        <f>IF(ISBLANK('Master Submitted DPDs'!AO207),"",'Master Submitted DPDs'!AO207)</f>
        <v>43655</v>
      </c>
      <c r="Q885" t="str">
        <f>IF(ISBLANK('Master Submitted DPDs'!AU207),"",'Master Submitted DPDs'!AU207)</f>
        <v>SOU</v>
      </c>
      <c r="R885" t="str">
        <f t="shared" si="29"/>
        <v>Closed</v>
      </c>
      <c r="S885" s="3"/>
      <c r="T885">
        <f>IF(ISBLANK('Master Submitted DPDs'!G207),"",'Master Submitted DPDs'!G207)</f>
        <v>2</v>
      </c>
    </row>
    <row r="886" spans="1:20" ht="15" x14ac:dyDescent="0.2">
      <c r="A886" s="3" t="str">
        <f>IF(ISBLANK('Master Submitted DPDs'!$B208),"","Local Plans")</f>
        <v>Local Plans</v>
      </c>
      <c r="B886" t="str">
        <f>IF(ISBLANK('Master Submitted DPDs'!F208),"",'Master Submitted DPDs'!F208)</f>
        <v>LP</v>
      </c>
      <c r="C886" s="3" t="str">
        <f>IF(ISBLANK('Master Submitted DPDs'!$B208),"","IH")</f>
        <v>IH</v>
      </c>
      <c r="D886" s="3" t="str">
        <f>LOOKUP($F886,'fuzzy LPA lookup'!$E:$E,'fuzzy LPA lookup'!$A:$A)</f>
        <v>Z4310</v>
      </c>
      <c r="E886" s="3" t="str">
        <f>LOOKUP($F886,'fuzzy LPA lookup'!$E:$E,'fuzzy LPA lookup'!$D:$D)</f>
        <v>Liverpool City Council</v>
      </c>
      <c r="F886" s="8">
        <f>IF(ISBLANK('Master Submitted DPDs'!B208),"",'Master Submitted DPDs'!B208)</f>
        <v>1893</v>
      </c>
      <c r="G886" t="str">
        <f>IF(ISBLANK('Master Submitted DPDs'!AS208),"","Withdrawn")</f>
        <v/>
      </c>
      <c r="H886" s="2" t="str">
        <f>IF(ISBLANK('Master Submitted DPDs'!AS208),"",'Master Submitted DPDs'!AS208)</f>
        <v/>
      </c>
      <c r="I886" s="3"/>
      <c r="J886" s="3"/>
      <c r="K886" s="3"/>
      <c r="L886" s="2">
        <f>IF(ISBLANK('Master Submitted DPDs'!J208),"",'Master Submitted DPDs'!J208)</f>
        <v>43238</v>
      </c>
      <c r="M886" s="2">
        <f t="shared" si="28"/>
        <v>43238</v>
      </c>
      <c r="N886" s="2">
        <f>IF(ISBLANK('Master Submitted DPDs'!M208),IF(ISBLANK('Master Submitted DPDs'!O208),"",'Master Submitted DPDs'!O208),'Master Submitted DPDs'!M208)</f>
        <v>43243</v>
      </c>
      <c r="O886" s="2">
        <f>IF(ISBLANK('Master Submitted DPDs'!Q208),"",'Master Submitted DPDs'!Q208)</f>
        <v>44127</v>
      </c>
      <c r="P886" s="2">
        <f>IF(ISBLANK('Master Submitted DPDs'!AO208),"",'Master Submitted DPDs'!AO208)</f>
        <v>44489</v>
      </c>
      <c r="Q886" t="str">
        <f>IF(ISBLANK('Master Submitted DPDs'!AU208),"",'Master Submitted DPDs'!AU208)</f>
        <v>SOU</v>
      </c>
      <c r="R886" t="str">
        <f t="shared" si="29"/>
        <v>Closed</v>
      </c>
      <c r="S886" s="3"/>
      <c r="T886">
        <f>IF(ISBLANK('Master Submitted DPDs'!G208),"",'Master Submitted DPDs'!G208)</f>
        <v>3</v>
      </c>
    </row>
    <row r="887" spans="1:20" ht="15" x14ac:dyDescent="0.2">
      <c r="A887" s="3" t="str">
        <f>IF(ISBLANK('Master Submitted DPDs'!$B209),"","Local Plans")</f>
        <v>Local Plans</v>
      </c>
      <c r="B887" t="str">
        <f>IF(ISBLANK('Master Submitted DPDs'!F209),"",'Master Submitted DPDs'!F209)</f>
        <v>SA</v>
      </c>
      <c r="C887" s="3" t="str">
        <f>IF(ISBLANK('Master Submitted DPDs'!$B209),"","IH")</f>
        <v>IH</v>
      </c>
      <c r="D887" s="3" t="str">
        <f>LOOKUP($F887,'fuzzy LPA lookup'!$E:$E,'fuzzy LPA lookup'!$A:$A)</f>
        <v>T1600</v>
      </c>
      <c r="E887" s="3" t="str">
        <f>LOOKUP($F887,'fuzzy LPA lookup'!$E:$E,'fuzzy LPA lookup'!$D:$D)</f>
        <v>Gloucestershire County Council</v>
      </c>
      <c r="F887" s="8">
        <f>IF(ISBLANK('Master Submitted DPDs'!B209),"",'Master Submitted DPDs'!B209)</f>
        <v>2052</v>
      </c>
      <c r="G887" t="str">
        <f>IF(ISBLANK('Master Submitted DPDs'!AS209),"","Withdrawn")</f>
        <v/>
      </c>
      <c r="H887" s="2" t="str">
        <f>IF(ISBLANK('Master Submitted DPDs'!AS209),"",'Master Submitted DPDs'!AS209)</f>
        <v/>
      </c>
      <c r="I887" s="3"/>
      <c r="J887" s="3"/>
      <c r="K887" s="3"/>
      <c r="L887" s="2">
        <f>IF(ISBLANK('Master Submitted DPDs'!J209),"",'Master Submitted DPDs'!J209)</f>
        <v>43241</v>
      </c>
      <c r="M887" s="2">
        <f t="shared" si="28"/>
        <v>43241</v>
      </c>
      <c r="N887" s="2">
        <f>IF(ISBLANK('Master Submitted DPDs'!M209),IF(ISBLANK('Master Submitted DPDs'!O209),"",'Master Submitted DPDs'!O209),'Master Submitted DPDs'!M209)</f>
        <v>43241</v>
      </c>
      <c r="O887" s="2">
        <f>IF(ISBLANK('Master Submitted DPDs'!Q209),"",'Master Submitted DPDs'!Q209)</f>
        <v>43686</v>
      </c>
      <c r="P887" s="2">
        <f>IF(ISBLANK('Master Submitted DPDs'!AO209),"",'Master Submitted DPDs'!AO209)</f>
        <v>43760</v>
      </c>
      <c r="Q887" t="str">
        <f>IF(ISBLANK('Master Submitted DPDs'!AU209),"",'Master Submitted DPDs'!AU209)</f>
        <v>SOU</v>
      </c>
      <c r="R887" t="str">
        <f t="shared" si="29"/>
        <v>Closed</v>
      </c>
      <c r="S887" s="3"/>
      <c r="T887">
        <f>IF(ISBLANK('Master Submitted DPDs'!G209),"",'Master Submitted DPDs'!G209)</f>
        <v>3</v>
      </c>
    </row>
    <row r="888" spans="1:20" ht="15" x14ac:dyDescent="0.2">
      <c r="A888" s="3" t="str">
        <f>IF(ISBLANK('Master Submitted DPDs'!$B210),"","Local Plans")</f>
        <v>Local Plans</v>
      </c>
      <c r="B888" t="str">
        <f>IF(ISBLANK('Master Submitted DPDs'!F210),"",'Master Submitted DPDs'!F210)</f>
        <v>LP</v>
      </c>
      <c r="C888" s="3" t="str">
        <f>IF(ISBLANK('Master Submitted DPDs'!$B210),"","IH")</f>
        <v>IH</v>
      </c>
      <c r="D888" s="3" t="str">
        <f>LOOKUP($F888,'fuzzy LPA lookup'!$E:$E,'fuzzy LPA lookup'!$A:$A)</f>
        <v>R1038</v>
      </c>
      <c r="E888" s="3" t="str">
        <f>LOOKUP($F888,'fuzzy LPA lookup'!$E:$E,'fuzzy LPA lookup'!$D:$D)</f>
        <v>North East Derbyshire District Council</v>
      </c>
      <c r="F888" s="8">
        <f>IF(ISBLANK('Master Submitted DPDs'!B210),"",'Master Submitted DPDs'!B210)</f>
        <v>1905</v>
      </c>
      <c r="G888" t="str">
        <f>IF(ISBLANK('Master Submitted DPDs'!AS210),"","Withdrawn")</f>
        <v/>
      </c>
      <c r="H888" s="2" t="str">
        <f>IF(ISBLANK('Master Submitted DPDs'!AS210),"",'Master Submitted DPDs'!AS210)</f>
        <v/>
      </c>
      <c r="I888" s="3"/>
      <c r="J888" s="3"/>
      <c r="K888" s="3"/>
      <c r="L888" s="2">
        <f>IF(ISBLANK('Master Submitted DPDs'!J210),"",'Master Submitted DPDs'!J210)</f>
        <v>43244</v>
      </c>
      <c r="M888" s="2">
        <f t="shared" si="28"/>
        <v>43244</v>
      </c>
      <c r="N888" s="2">
        <f>IF(ISBLANK('Master Submitted DPDs'!M210),IF(ISBLANK('Master Submitted DPDs'!O210),"",'Master Submitted DPDs'!O210),'Master Submitted DPDs'!M210)</f>
        <v>43245</v>
      </c>
      <c r="O888" s="2">
        <f>IF(ISBLANK('Master Submitted DPDs'!Q210),"",'Master Submitted DPDs'!Q210)</f>
        <v>43538</v>
      </c>
      <c r="P888" s="2">
        <f>IF(ISBLANK('Master Submitted DPDs'!AO210),"",'Master Submitted DPDs'!AO210)</f>
        <v>44396</v>
      </c>
      <c r="Q888" t="str">
        <f>IF(ISBLANK('Master Submitted DPDs'!AU210),"",'Master Submitted DPDs'!AU210)</f>
        <v>SOU</v>
      </c>
      <c r="R888" t="str">
        <f t="shared" si="29"/>
        <v>Closed</v>
      </c>
      <c r="S888" s="3"/>
      <c r="T888">
        <f>IF(ISBLANK('Master Submitted DPDs'!G210),"",'Master Submitted DPDs'!G210)</f>
        <v>3</v>
      </c>
    </row>
    <row r="889" spans="1:20" ht="15" x14ac:dyDescent="0.2">
      <c r="A889" s="3" t="str">
        <f>IF(ISBLANK('Master Submitted DPDs'!$B211),"","Local Plans")</f>
        <v>Local Plans</v>
      </c>
      <c r="B889" t="str">
        <f>IF(ISBLANK('Master Submitted DPDs'!F211),"",'Master Submitted DPDs'!F211)</f>
        <v>LP</v>
      </c>
      <c r="C889" s="3" t="str">
        <f>IF(ISBLANK('Master Submitted DPDs'!$B211),"","IH")</f>
        <v>IH</v>
      </c>
      <c r="D889" s="3" t="str">
        <f>LOOKUP($F889,'fuzzy LPA lookup'!$E:$E,'fuzzy LPA lookup'!$A:$A)</f>
        <v>Z4310</v>
      </c>
      <c r="E889" s="3" t="str">
        <f>LOOKUP($F889,'fuzzy LPA lookup'!$E:$E,'fuzzy LPA lookup'!$D:$D)</f>
        <v>Liverpool City Council</v>
      </c>
      <c r="F889" s="8">
        <f>IF(ISBLANK('Master Submitted DPDs'!B211),"",'Master Submitted DPDs'!B211)</f>
        <v>1901</v>
      </c>
      <c r="G889" t="str">
        <f>IF(ISBLANK('Master Submitted DPDs'!AS211),"","Withdrawn")</f>
        <v/>
      </c>
      <c r="H889" s="2" t="str">
        <f>IF(ISBLANK('Master Submitted DPDs'!AS211),"",'Master Submitted DPDs'!AS211)</f>
        <v/>
      </c>
      <c r="I889" s="3"/>
      <c r="J889" s="3"/>
      <c r="K889" s="3"/>
      <c r="L889" s="2">
        <f>IF(ISBLANK('Master Submitted DPDs'!J211),"",'Master Submitted DPDs'!J211)</f>
        <v>43245</v>
      </c>
      <c r="M889" s="2">
        <f t="shared" si="28"/>
        <v>43245</v>
      </c>
      <c r="N889" s="2">
        <f>IF(ISBLANK('Master Submitted DPDs'!M211),IF(ISBLANK('Master Submitted DPDs'!O211),"",'Master Submitted DPDs'!O211),'Master Submitted DPDs'!M211)</f>
        <v>43249</v>
      </c>
      <c r="O889" s="2">
        <f>IF(ISBLANK('Master Submitted DPDs'!Q211),"",'Master Submitted DPDs'!Q211)</f>
        <v>45357</v>
      </c>
      <c r="P889" s="2">
        <f>IF(ISBLANK('Master Submitted DPDs'!AO211),"",'Master Submitted DPDs'!AO211)</f>
        <v>45702</v>
      </c>
      <c r="Q889" t="str">
        <f>IF(ISBLANK('Master Submitted DPDs'!AU211),"",'Master Submitted DPDs'!AU211)</f>
        <v>SOU</v>
      </c>
      <c r="R889" t="str">
        <f t="shared" si="29"/>
        <v>Closed</v>
      </c>
      <c r="S889" s="3"/>
      <c r="T889">
        <f>IF(ISBLANK('Master Submitted DPDs'!G211),"",'Master Submitted DPDs'!G211)</f>
        <v>3</v>
      </c>
    </row>
    <row r="890" spans="1:20" ht="15" x14ac:dyDescent="0.2">
      <c r="A890" s="3" t="str">
        <f>IF(ISBLANK('Master Submitted DPDs'!$B212),"","Local Plans")</f>
        <v>Local Plans</v>
      </c>
      <c r="B890" t="str">
        <f>IF(ISBLANK('Master Submitted DPDs'!F212),"",'Master Submitted DPDs'!F212)</f>
        <v>AAP</v>
      </c>
      <c r="C890" s="3" t="str">
        <f>IF(ISBLANK('Master Submitted DPDs'!$B212),"","IH")</f>
        <v>IH</v>
      </c>
      <c r="D890" s="3" t="str">
        <f>LOOKUP($F890,'fuzzy LPA lookup'!$E:$E,'fuzzy LPA lookup'!$A:$A)</f>
        <v>F5730</v>
      </c>
      <c r="E890" s="3" t="str">
        <f>LOOKUP($F890,'fuzzy LPA lookup'!$E:$E,'fuzzy LPA lookup'!$D:$D)</f>
        <v>Old Oak and Park Royal Development Corporation</v>
      </c>
      <c r="F890" s="8">
        <f>IF(ISBLANK('Master Submitted DPDs'!B212),"",'Master Submitted DPDs'!B212)</f>
        <v>1872</v>
      </c>
      <c r="G890" t="str">
        <f>IF(ISBLANK('Master Submitted DPDs'!AS212),"","Withdrawn")</f>
        <v/>
      </c>
      <c r="H890" s="2" t="str">
        <f>IF(ISBLANK('Master Submitted DPDs'!AS212),"",'Master Submitted DPDs'!AS212)</f>
        <v/>
      </c>
      <c r="I890" s="3"/>
      <c r="J890" s="3"/>
      <c r="K890" s="3"/>
      <c r="L890" s="2">
        <f>IF(ISBLANK('Master Submitted DPDs'!J212),"",'Master Submitted DPDs'!J212)</f>
        <v>43250</v>
      </c>
      <c r="M890" s="2">
        <f t="shared" si="28"/>
        <v>43250</v>
      </c>
      <c r="N890" s="2">
        <f>IF(ISBLANK('Master Submitted DPDs'!M212),IF(ISBLANK('Master Submitted DPDs'!O212),"",'Master Submitted DPDs'!O212),'Master Submitted DPDs'!M212)</f>
        <v>43256</v>
      </c>
      <c r="O890" s="2">
        <f>IF(ISBLANK('Master Submitted DPDs'!Q212),"",'Master Submitted DPDs'!Q212)</f>
        <v>43728</v>
      </c>
      <c r="P890" s="2">
        <f>IF(ISBLANK('Master Submitted DPDs'!AO212),"",'Master Submitted DPDs'!AO212)</f>
        <v>43677</v>
      </c>
      <c r="Q890" t="str">
        <f>IF(ISBLANK('Master Submitted DPDs'!AU212),"",'Master Submitted DPDs'!AU212)</f>
        <v>SOU</v>
      </c>
      <c r="R890" t="str">
        <f t="shared" si="29"/>
        <v>Closed</v>
      </c>
      <c r="S890" s="3"/>
      <c r="T890">
        <f>IF(ISBLANK('Master Submitted DPDs'!G212),"",'Master Submitted DPDs'!G212)</f>
        <v>2</v>
      </c>
    </row>
    <row r="891" spans="1:20" ht="15" x14ac:dyDescent="0.2">
      <c r="A891" s="3" t="str">
        <f>IF(ISBLANK('Master Submitted DPDs'!$B213),"","Local Plans")</f>
        <v>Local Plans</v>
      </c>
      <c r="B891" t="str">
        <f>IF(ISBLANK('Master Submitted DPDs'!F213),"",'Master Submitted DPDs'!F213)</f>
        <v>SA</v>
      </c>
      <c r="C891" s="3" t="str">
        <f>IF(ISBLANK('Master Submitted DPDs'!$B213),"","IH")</f>
        <v>IH</v>
      </c>
      <c r="D891" s="3" t="str">
        <f>LOOKUP($F891,'fuzzy LPA lookup'!$E:$E,'fuzzy LPA lookup'!$A:$A)</f>
        <v>N2535</v>
      </c>
      <c r="E891" s="3" t="str">
        <f>LOOKUP($F891,'fuzzy LPA lookup'!$E:$E,'fuzzy LPA lookup'!$D:$D)</f>
        <v>West Lindsey District Council</v>
      </c>
      <c r="F891" s="8">
        <f>IF(ISBLANK('Master Submitted DPDs'!B213),"",'Master Submitted DPDs'!B213)</f>
        <v>1821</v>
      </c>
      <c r="G891" t="str">
        <f>IF(ISBLANK('Master Submitted DPDs'!AS213),"","Withdrawn")</f>
        <v/>
      </c>
      <c r="H891" s="2" t="str">
        <f>IF(ISBLANK('Master Submitted DPDs'!AS213),"",'Master Submitted DPDs'!AS213)</f>
        <v/>
      </c>
      <c r="I891" s="3"/>
      <c r="J891" s="3"/>
      <c r="K891" s="3"/>
      <c r="L891" s="2">
        <f>IF(ISBLANK('Master Submitted DPDs'!J213),"",'Master Submitted DPDs'!J213)</f>
        <v>43251</v>
      </c>
      <c r="M891" s="2">
        <f t="shared" si="28"/>
        <v>43251</v>
      </c>
      <c r="N891" s="2">
        <f>IF(ISBLANK('Master Submitted DPDs'!M213),IF(ISBLANK('Master Submitted DPDs'!O213),"",'Master Submitted DPDs'!O213),'Master Submitted DPDs'!M213)</f>
        <v>43256</v>
      </c>
      <c r="O891" s="2">
        <f>IF(ISBLANK('Master Submitted DPDs'!Q213),"",'Master Submitted DPDs'!Q213)</f>
        <v>43721</v>
      </c>
      <c r="P891" s="2">
        <f>IF(ISBLANK('Master Submitted DPDs'!AO213),"",'Master Submitted DPDs'!AO213)</f>
        <v>43580</v>
      </c>
      <c r="Q891" t="str">
        <f>IF(ISBLANK('Master Submitted DPDs'!AU213),"",'Master Submitted DPDs'!AU213)</f>
        <v>SOU</v>
      </c>
      <c r="R891" t="str">
        <f t="shared" si="29"/>
        <v>Closed</v>
      </c>
      <c r="S891" s="3"/>
      <c r="T891">
        <f>IF(ISBLANK('Master Submitted DPDs'!G213),"",'Master Submitted DPDs'!G213)</f>
        <v>2</v>
      </c>
    </row>
    <row r="892" spans="1:20" ht="15" x14ac:dyDescent="0.2">
      <c r="A892" s="3" t="str">
        <f>IF(ISBLANK('Master Submitted DPDs'!$B214),"","Local Plans")</f>
        <v>Local Plans</v>
      </c>
      <c r="B892" t="str">
        <f>IF(ISBLANK('Master Submitted DPDs'!F214),"",'Master Submitted DPDs'!F214)</f>
        <v>M&amp;W</v>
      </c>
      <c r="C892" s="3" t="str">
        <f>IF(ISBLANK('Master Submitted DPDs'!$B214),"","IH")</f>
        <v>IH</v>
      </c>
      <c r="D892" s="3" t="str">
        <f>LOOKUP($F892,'fuzzy LPA lookup'!$E:$E,'fuzzy LPA lookup'!$A:$A)</f>
        <v>R1038</v>
      </c>
      <c r="E892" s="3" t="str">
        <f>LOOKUP($F892,'fuzzy LPA lookup'!$E:$E,'fuzzy LPA lookup'!$D:$D)</f>
        <v>North East Derbyshire District Council</v>
      </c>
      <c r="F892" s="8">
        <f>IF(ISBLANK('Master Submitted DPDs'!B214),"",'Master Submitted DPDs'!B214)</f>
        <v>1912</v>
      </c>
      <c r="G892" t="str">
        <f>IF(ISBLANK('Master Submitted DPDs'!AS214),"","Withdrawn")</f>
        <v/>
      </c>
      <c r="H892" s="2" t="str">
        <f>IF(ISBLANK('Master Submitted DPDs'!AS214),"",'Master Submitted DPDs'!AS214)</f>
        <v/>
      </c>
      <c r="I892" s="3"/>
      <c r="J892" s="3"/>
      <c r="K892" s="3"/>
      <c r="L892" s="2">
        <f>IF(ISBLANK('Master Submitted DPDs'!J214),"",'Master Submitted DPDs'!J214)</f>
        <v>43252</v>
      </c>
      <c r="M892" s="2">
        <f t="shared" si="28"/>
        <v>43252</v>
      </c>
      <c r="N892" s="2">
        <f>IF(ISBLANK('Master Submitted DPDs'!M214),IF(ISBLANK('Master Submitted DPDs'!O214),"",'Master Submitted DPDs'!O214),'Master Submitted DPDs'!M214)</f>
        <v>43264</v>
      </c>
      <c r="O892" s="2">
        <f>IF(ISBLANK('Master Submitted DPDs'!Q214),"",'Master Submitted DPDs'!Q214)</f>
        <v>43368</v>
      </c>
      <c r="P892" s="2">
        <f>IF(ISBLANK('Master Submitted DPDs'!AO214),"",'Master Submitted DPDs'!AO214)</f>
        <v>43621</v>
      </c>
      <c r="Q892" t="str">
        <f>IF(ISBLANK('Master Submitted DPDs'!AU214),"",'Master Submitted DPDs'!AU214)</f>
        <v>SOU</v>
      </c>
      <c r="R892" t="str">
        <f t="shared" si="29"/>
        <v>Closed</v>
      </c>
      <c r="S892" s="3"/>
      <c r="T892">
        <f>IF(ISBLANK('Master Submitted DPDs'!G214),"",'Master Submitted DPDs'!G214)</f>
        <v>2</v>
      </c>
    </row>
    <row r="893" spans="1:20" ht="15" x14ac:dyDescent="0.2">
      <c r="A893" s="3" t="str">
        <f>IF(ISBLANK('Master Submitted DPDs'!$B215),"","Local Plans")</f>
        <v>Local Plans</v>
      </c>
      <c r="B893" t="str">
        <f>IF(ISBLANK('Master Submitted DPDs'!F215),"",'Master Submitted DPDs'!F215)</f>
        <v>LP</v>
      </c>
      <c r="C893" s="3" t="str">
        <f>IF(ISBLANK('Master Submitted DPDs'!$B215),"","IH")</f>
        <v>IH</v>
      </c>
      <c r="D893" s="3" t="str">
        <f>LOOKUP($F893,'fuzzy LPA lookup'!$E:$E,'fuzzy LPA lookup'!$A:$A)</f>
        <v>Z4310</v>
      </c>
      <c r="E893" s="3" t="str">
        <f>LOOKUP($F893,'fuzzy LPA lookup'!$E:$E,'fuzzy LPA lookup'!$D:$D)</f>
        <v>Liverpool City Council</v>
      </c>
      <c r="F893" s="8">
        <f>IF(ISBLANK('Master Submitted DPDs'!B215),"",'Master Submitted DPDs'!B215)</f>
        <v>1904</v>
      </c>
      <c r="G893" t="str">
        <f>IF(ISBLANK('Master Submitted DPDs'!AS215),"","Withdrawn")</f>
        <v/>
      </c>
      <c r="H893" s="2" t="str">
        <f>IF(ISBLANK('Master Submitted DPDs'!AS215),"",'Master Submitted DPDs'!AS215)</f>
        <v/>
      </c>
      <c r="I893" s="3"/>
      <c r="J893" s="3"/>
      <c r="K893" s="3"/>
      <c r="L893" s="2">
        <f>IF(ISBLANK('Master Submitted DPDs'!J215),"",'Master Submitted DPDs'!J215)</f>
        <v>43269</v>
      </c>
      <c r="M893" s="2">
        <f t="shared" si="28"/>
        <v>43269</v>
      </c>
      <c r="N893" s="2">
        <f>IF(ISBLANK('Master Submitted DPDs'!M215),IF(ISBLANK('Master Submitted DPDs'!O215),"",'Master Submitted DPDs'!O215),'Master Submitted DPDs'!M215)</f>
        <v>43270</v>
      </c>
      <c r="O893" s="2">
        <f>IF(ISBLANK('Master Submitted DPDs'!Q215),"",'Master Submitted DPDs'!Q215)</f>
        <v>43452</v>
      </c>
      <c r="P893" s="2">
        <f>IF(ISBLANK('Master Submitted DPDs'!AO215),"",'Master Submitted DPDs'!AO215)</f>
        <v>43871</v>
      </c>
      <c r="Q893" t="str">
        <f>IF(ISBLANK('Master Submitted DPDs'!AU215),"",'Master Submitted DPDs'!AU215)</f>
        <v>SOU</v>
      </c>
      <c r="R893" t="str">
        <f t="shared" si="29"/>
        <v>Closed</v>
      </c>
      <c r="S893" s="3"/>
      <c r="T893">
        <f>IF(ISBLANK('Master Submitted DPDs'!G215),"",'Master Submitted DPDs'!G215)</f>
        <v>3</v>
      </c>
    </row>
    <row r="894" spans="1:20" ht="15" x14ac:dyDescent="0.2">
      <c r="A894" s="3" t="str">
        <f>IF(ISBLANK('Master Submitted DPDs'!$B216),"","Local Plans")</f>
        <v>Local Plans</v>
      </c>
      <c r="B894" t="str">
        <f>IF(ISBLANK('Master Submitted DPDs'!F216),"",'Master Submitted DPDs'!F216)</f>
        <v>LP</v>
      </c>
      <c r="C894" s="3" t="str">
        <f>IF(ISBLANK('Master Submitted DPDs'!$B216),"","IH")</f>
        <v>IH</v>
      </c>
      <c r="D894" s="3" t="str">
        <f>LOOKUP($F894,'fuzzy LPA lookup'!$E:$E,'fuzzy LPA lookup'!$A:$A)</f>
        <v>R1038</v>
      </c>
      <c r="E894" s="3" t="str">
        <f>LOOKUP($F894,'fuzzy LPA lookup'!$E:$E,'fuzzy LPA lookup'!$D:$D)</f>
        <v>North East Derbyshire District Council</v>
      </c>
      <c r="F894" s="8">
        <f>IF(ISBLANK('Master Submitted DPDs'!B216),"",'Master Submitted DPDs'!B216)</f>
        <v>1908</v>
      </c>
      <c r="G894" t="str">
        <f>IF(ISBLANK('Master Submitted DPDs'!AS216),"","Withdrawn")</f>
        <v/>
      </c>
      <c r="H894" s="2" t="str">
        <f>IF(ISBLANK('Master Submitted DPDs'!AS216),"",'Master Submitted DPDs'!AS216)</f>
        <v/>
      </c>
      <c r="I894" s="3"/>
      <c r="J894" s="3"/>
      <c r="K894" s="3"/>
      <c r="L894" s="2">
        <f>IF(ISBLANK('Master Submitted DPDs'!J216),"",'Master Submitted DPDs'!J216)</f>
        <v>43273</v>
      </c>
      <c r="M894" s="2">
        <f t="shared" si="28"/>
        <v>43273</v>
      </c>
      <c r="N894" s="2">
        <f>IF(ISBLANK('Master Submitted DPDs'!M216),IF(ISBLANK('Master Submitted DPDs'!O216),"",'Master Submitted DPDs'!O216),'Master Submitted DPDs'!M216)</f>
        <v>43273</v>
      </c>
      <c r="O894" s="2">
        <f>IF(ISBLANK('Master Submitted DPDs'!Q216),"",'Master Submitted DPDs'!Q216)</f>
        <v>43404</v>
      </c>
      <c r="P894" s="2">
        <f>IF(ISBLANK('Master Submitted DPDs'!AO216),"",'Master Submitted DPDs'!AO216)</f>
        <v>43525</v>
      </c>
      <c r="Q894" t="str">
        <f>IF(ISBLANK('Master Submitted DPDs'!AU216),"",'Master Submitted DPDs'!AU216)</f>
        <v>SOU</v>
      </c>
      <c r="R894" t="str">
        <f t="shared" si="29"/>
        <v>Closed</v>
      </c>
      <c r="S894" s="3"/>
      <c r="T894">
        <f>IF(ISBLANK('Master Submitted DPDs'!G216),"",'Master Submitted DPDs'!G216)</f>
        <v>3</v>
      </c>
    </row>
    <row r="895" spans="1:20" ht="15" x14ac:dyDescent="0.2">
      <c r="A895" s="3" t="str">
        <f>IF(ISBLANK('Master Submitted DPDs'!$B217),"","Local Plans")</f>
        <v>Local Plans</v>
      </c>
      <c r="B895" t="str">
        <f>IF(ISBLANK('Master Submitted DPDs'!F217),"",'Master Submitted DPDs'!F217)</f>
        <v>LP</v>
      </c>
      <c r="C895" s="3" t="str">
        <f>IF(ISBLANK('Master Submitted DPDs'!$B217),"","IH")</f>
        <v>IH</v>
      </c>
      <c r="D895" s="3" t="str">
        <f>LOOKUP($F895,'fuzzy LPA lookup'!$E:$E,'fuzzy LPA lookup'!$A:$A)</f>
        <v>Z4310</v>
      </c>
      <c r="E895" s="3" t="str">
        <f>LOOKUP($F895,'fuzzy LPA lookup'!$E:$E,'fuzzy LPA lookup'!$D:$D)</f>
        <v>Liverpool City Council</v>
      </c>
      <c r="F895" s="8">
        <f>IF(ISBLANK('Master Submitted DPDs'!B217),"",'Master Submitted DPDs'!B217)</f>
        <v>1896</v>
      </c>
      <c r="G895" t="str">
        <f>IF(ISBLANK('Master Submitted DPDs'!AS217),"","Withdrawn")</f>
        <v/>
      </c>
      <c r="H895" s="2" t="str">
        <f>IF(ISBLANK('Master Submitted DPDs'!AS217),"",'Master Submitted DPDs'!AS217)</f>
        <v/>
      </c>
      <c r="I895" s="3"/>
      <c r="J895" s="3"/>
      <c r="K895" s="3"/>
      <c r="L895" s="2">
        <f>IF(ISBLANK('Master Submitted DPDs'!J217),"",'Master Submitted DPDs'!J217)</f>
        <v>43280</v>
      </c>
      <c r="M895" s="2">
        <f t="shared" si="28"/>
        <v>43280</v>
      </c>
      <c r="N895" s="2">
        <f>IF(ISBLANK('Master Submitted DPDs'!M217),IF(ISBLANK('Master Submitted DPDs'!O217),"",'Master Submitted DPDs'!O217),'Master Submitted DPDs'!M217)</f>
        <v>43287</v>
      </c>
      <c r="O895" s="2">
        <f>IF(ISBLANK('Master Submitted DPDs'!Q217),"",'Master Submitted DPDs'!Q217)</f>
        <v>43447</v>
      </c>
      <c r="P895" s="2">
        <f>IF(ISBLANK('Master Submitted DPDs'!AO217),"",'Master Submitted DPDs'!AO217)</f>
        <v>43886</v>
      </c>
      <c r="Q895" t="str">
        <f>IF(ISBLANK('Master Submitted DPDs'!AU217),"",'Master Submitted DPDs'!AU217)</f>
        <v>SOU</v>
      </c>
      <c r="R895" t="str">
        <f t="shared" si="29"/>
        <v>Closed</v>
      </c>
      <c r="S895" s="3"/>
      <c r="T895">
        <f>IF(ISBLANK('Master Submitted DPDs'!G217),"",'Master Submitted DPDs'!G217)</f>
        <v>3</v>
      </c>
    </row>
    <row r="896" spans="1:20" ht="15" x14ac:dyDescent="0.2">
      <c r="A896" s="3" t="str">
        <f>IF(ISBLANK('Master Submitted DPDs'!$B218),"","Local Plans")</f>
        <v>Local Plans</v>
      </c>
      <c r="B896" t="str">
        <f>IF(ISBLANK('Master Submitted DPDs'!F218),"",'Master Submitted DPDs'!F218)</f>
        <v>LP</v>
      </c>
      <c r="C896" s="3" t="str">
        <f>IF(ISBLANK('Master Submitted DPDs'!$B218),"","IH")</f>
        <v>IH</v>
      </c>
      <c r="D896" s="3" t="str">
        <f>LOOKUP($F896,'fuzzy LPA lookup'!$E:$E,'fuzzy LPA lookup'!$A:$A)</f>
        <v>Z4310</v>
      </c>
      <c r="E896" s="3" t="str">
        <f>LOOKUP($F896,'fuzzy LPA lookup'!$E:$E,'fuzzy LPA lookup'!$D:$D)</f>
        <v>Liverpool City Council</v>
      </c>
      <c r="F896" s="8">
        <f>IF(ISBLANK('Master Submitted DPDs'!B218),"",'Master Submitted DPDs'!B218)</f>
        <v>1902</v>
      </c>
      <c r="G896" t="str">
        <f>IF(ISBLANK('Master Submitted DPDs'!AS218),"","Withdrawn")</f>
        <v/>
      </c>
      <c r="H896" s="2" t="str">
        <f>IF(ISBLANK('Master Submitted DPDs'!AS218),"",'Master Submitted DPDs'!AS218)</f>
        <v/>
      </c>
      <c r="I896" s="3"/>
      <c r="J896" s="3"/>
      <c r="K896" s="3"/>
      <c r="L896" s="2">
        <f>IF(ISBLANK('Master Submitted DPDs'!J218),"",'Master Submitted DPDs'!J218)</f>
        <v>43280</v>
      </c>
      <c r="M896" s="2">
        <f t="shared" si="28"/>
        <v>43280</v>
      </c>
      <c r="N896" s="2">
        <f>IF(ISBLANK('Master Submitted DPDs'!M218),IF(ISBLANK('Master Submitted DPDs'!O218),"",'Master Submitted DPDs'!O218),'Master Submitted DPDs'!M218)</f>
        <v>43283</v>
      </c>
      <c r="O896" s="2">
        <f>IF(ISBLANK('Master Submitted DPDs'!Q218),"",'Master Submitted DPDs'!Q218)</f>
        <v>43866</v>
      </c>
      <c r="P896" s="2">
        <f>IF(ISBLANK('Master Submitted DPDs'!AO218),"",'Master Submitted DPDs'!AO218)</f>
        <v>44000</v>
      </c>
      <c r="Q896" t="str">
        <f>IF(ISBLANK('Master Submitted DPDs'!AU218),"",'Master Submitted DPDs'!AU218)</f>
        <v>SOU</v>
      </c>
      <c r="R896" t="str">
        <f t="shared" si="29"/>
        <v>Closed</v>
      </c>
      <c r="S896" s="3"/>
      <c r="T896">
        <f>IF(ISBLANK('Master Submitted DPDs'!G218),"",'Master Submitted DPDs'!G218)</f>
        <v>3</v>
      </c>
    </row>
    <row r="897" spans="1:20" ht="15" x14ac:dyDescent="0.2">
      <c r="A897" s="3" t="str">
        <f>IF(ISBLANK('Master Submitted DPDs'!$B219),"","Local Plans")</f>
        <v>Local Plans</v>
      </c>
      <c r="B897" t="str">
        <f>IF(ISBLANK('Master Submitted DPDs'!F219),"",'Master Submitted DPDs'!F219)</f>
        <v>M&amp;W</v>
      </c>
      <c r="C897" s="3" t="str">
        <f>IF(ISBLANK('Master Submitted DPDs'!$B219),"","IH")</f>
        <v>IH</v>
      </c>
      <c r="D897" s="3" t="str">
        <f>LOOKUP($F897,'fuzzy LPA lookup'!$E:$E,'fuzzy LPA lookup'!$A:$A)</f>
        <v>R1038</v>
      </c>
      <c r="E897" s="3" t="str">
        <f>LOOKUP($F897,'fuzzy LPA lookup'!$E:$E,'fuzzy LPA lookup'!$D:$D)</f>
        <v>North East Derbyshire District Council</v>
      </c>
      <c r="F897" s="8">
        <f>IF(ISBLANK('Master Submitted DPDs'!B219),"",'Master Submitted DPDs'!B219)</f>
        <v>1909</v>
      </c>
      <c r="G897" t="str">
        <f>IF(ISBLANK('Master Submitted DPDs'!AS219),"","Withdrawn")</f>
        <v/>
      </c>
      <c r="H897" s="2" t="str">
        <f>IF(ISBLANK('Master Submitted DPDs'!AS219),"",'Master Submitted DPDs'!AS219)</f>
        <v/>
      </c>
      <c r="I897" s="3"/>
      <c r="J897" s="3"/>
      <c r="K897" s="3"/>
      <c r="L897" s="2">
        <f>IF(ISBLANK('Master Submitted DPDs'!J219),"",'Master Submitted DPDs'!J219)</f>
        <v>43304</v>
      </c>
      <c r="M897" s="2">
        <f t="shared" si="28"/>
        <v>43304</v>
      </c>
      <c r="N897" s="2">
        <f>IF(ISBLANK('Master Submitted DPDs'!M219),IF(ISBLANK('Master Submitted DPDs'!O219),"",'Master Submitted DPDs'!O219),'Master Submitted DPDs'!M219)</f>
        <v>43321</v>
      </c>
      <c r="O897" s="2">
        <f>IF(ISBLANK('Master Submitted DPDs'!Q219),"",'Master Submitted DPDs'!Q219)</f>
        <v>43474</v>
      </c>
      <c r="P897" s="2">
        <f>IF(ISBLANK('Master Submitted DPDs'!AO219),"",'Master Submitted DPDs'!AO219)</f>
        <v>43665</v>
      </c>
      <c r="Q897" t="str">
        <f>IF(ISBLANK('Master Submitted DPDs'!AU219),"",'Master Submitted DPDs'!AU219)</f>
        <v>SOU</v>
      </c>
      <c r="R897" t="str">
        <f t="shared" si="29"/>
        <v>Closed</v>
      </c>
      <c r="S897" s="3"/>
      <c r="T897">
        <f>IF(ISBLANK('Master Submitted DPDs'!G219),"",'Master Submitted DPDs'!G219)</f>
        <v>2</v>
      </c>
    </row>
    <row r="898" spans="1:20" ht="15" x14ac:dyDescent="0.2">
      <c r="A898" s="3" t="str">
        <f>IF(ISBLANK('Master Submitted DPDs'!$B220),"","Local Plans")</f>
        <v>Local Plans</v>
      </c>
      <c r="B898" t="str">
        <f>IF(ISBLANK('Master Submitted DPDs'!F220),"",'Master Submitted DPDs'!F220)</f>
        <v>SA</v>
      </c>
      <c r="C898" s="3" t="str">
        <f>IF(ISBLANK('Master Submitted DPDs'!$B220),"","IH")</f>
        <v>IH</v>
      </c>
      <c r="D898" s="3" t="str">
        <f>LOOKUP($F898,'fuzzy LPA lookup'!$E:$E,'fuzzy LPA lookup'!$A:$A)</f>
        <v>F5730</v>
      </c>
      <c r="E898" s="3" t="str">
        <f>LOOKUP($F898,'fuzzy LPA lookup'!$E:$E,'fuzzy LPA lookup'!$D:$D)</f>
        <v>Old Oak and Park Royal Development Corporation</v>
      </c>
      <c r="F898" s="8">
        <f>IF(ISBLANK('Master Submitted DPDs'!B220),"",'Master Submitted DPDs'!B220)</f>
        <v>1846</v>
      </c>
      <c r="G898" t="str">
        <f>IF(ISBLANK('Master Submitted DPDs'!AS220),"","Withdrawn")</f>
        <v/>
      </c>
      <c r="H898" s="2" t="str">
        <f>IF(ISBLANK('Master Submitted DPDs'!AS220),"",'Master Submitted DPDs'!AS220)</f>
        <v/>
      </c>
      <c r="I898" s="3"/>
      <c r="J898" s="3"/>
      <c r="K898" s="3"/>
      <c r="L898" s="2">
        <f>IF(ISBLANK('Master Submitted DPDs'!J220),"",'Master Submitted DPDs'!J220)</f>
        <v>43312</v>
      </c>
      <c r="M898" s="2">
        <f t="shared" si="28"/>
        <v>43312</v>
      </c>
      <c r="N898" s="2">
        <f>IF(ISBLANK('Master Submitted DPDs'!M220),IF(ISBLANK('Master Submitted DPDs'!O220),"",'Master Submitted DPDs'!O220),'Master Submitted DPDs'!M220)</f>
        <v>43333</v>
      </c>
      <c r="O898" s="2">
        <f>IF(ISBLANK('Master Submitted DPDs'!Q220),"",'Master Submitted DPDs'!Q220)</f>
        <v>43571</v>
      </c>
      <c r="P898" s="2">
        <f>IF(ISBLANK('Master Submitted DPDs'!AO220),"",'Master Submitted DPDs'!AO220)</f>
        <v>43853</v>
      </c>
      <c r="Q898" t="str">
        <f>IF(ISBLANK('Master Submitted DPDs'!AU220),"",'Master Submitted DPDs'!AU220)</f>
        <v>SOU</v>
      </c>
      <c r="R898" t="str">
        <f t="shared" si="29"/>
        <v>Closed</v>
      </c>
      <c r="S898" s="3"/>
      <c r="T898">
        <f>IF(ISBLANK('Master Submitted DPDs'!G220),"",'Master Submitted DPDs'!G220)</f>
        <v>2</v>
      </c>
    </row>
    <row r="899" spans="1:20" ht="15" x14ac:dyDescent="0.2">
      <c r="A899" s="3" t="str">
        <f>IF(ISBLANK('Master Submitted DPDs'!$B221),"","Local Plans")</f>
        <v>Local Plans</v>
      </c>
      <c r="B899" t="str">
        <f>IF(ISBLANK('Master Submitted DPDs'!F221),"",'Master Submitted DPDs'!F221)</f>
        <v>LP</v>
      </c>
      <c r="C899" s="3" t="str">
        <f>IF(ISBLANK('Master Submitted DPDs'!$B221),"","IH")</f>
        <v>IH</v>
      </c>
      <c r="D899" s="3" t="str">
        <f>LOOKUP($F899,'fuzzy LPA lookup'!$E:$E,'fuzzy LPA lookup'!$A:$A)</f>
        <v>C2708</v>
      </c>
      <c r="E899" s="3" t="str">
        <f>LOOKUP($F899,'fuzzy LPA lookup'!$E:$E,'fuzzy LPA lookup'!$D:$D)</f>
        <v>Craven District Council</v>
      </c>
      <c r="F899" s="8">
        <f>IF(ISBLANK('Master Submitted DPDs'!B221),"",'Master Submitted DPDs'!B221)</f>
        <v>1889</v>
      </c>
      <c r="G899" t="str">
        <f>IF(ISBLANK('Master Submitted DPDs'!AS221),"","Withdrawn")</f>
        <v/>
      </c>
      <c r="H899" s="2" t="str">
        <f>IF(ISBLANK('Master Submitted DPDs'!AS221),"",'Master Submitted DPDs'!AS221)</f>
        <v/>
      </c>
      <c r="I899" s="3"/>
      <c r="J899" s="3"/>
      <c r="K899" s="3"/>
      <c r="L899" s="2">
        <f>IF(ISBLANK('Master Submitted DPDs'!J221),"",'Master Submitted DPDs'!J221)</f>
        <v>43312</v>
      </c>
      <c r="M899" s="2">
        <f t="shared" ref="M899:M962" si="30">L899</f>
        <v>43312</v>
      </c>
      <c r="N899" s="2">
        <f>IF(ISBLANK('Master Submitted DPDs'!M221),IF(ISBLANK('Master Submitted DPDs'!O221),"",'Master Submitted DPDs'!O221),'Master Submitted DPDs'!M221)</f>
        <v>43333</v>
      </c>
      <c r="O899" s="2">
        <f>IF(ISBLANK('Master Submitted DPDs'!Q221),"",'Master Submitted DPDs'!Q221)</f>
        <v>43783</v>
      </c>
      <c r="P899" s="2">
        <f>IF(ISBLANK('Master Submitted DPDs'!AO221),"",'Master Submitted DPDs'!AO221)</f>
        <v>43979</v>
      </c>
      <c r="Q899" t="str">
        <f>IF(ISBLANK('Master Submitted DPDs'!AU221),"",'Master Submitted DPDs'!AU221)</f>
        <v>SOU</v>
      </c>
      <c r="R899" t="str">
        <f t="shared" ref="R899:R962" si="31">IF(F899="","",IF(AND(H899="",Q899&lt;&gt;"UNS",P899=""),"Open","Closed"))</f>
        <v>Closed</v>
      </c>
      <c r="S899" s="3"/>
      <c r="T899">
        <f>IF(ISBLANK('Master Submitted DPDs'!G221),"",'Master Submitted DPDs'!G221)</f>
        <v>3</v>
      </c>
    </row>
    <row r="900" spans="1:20" ht="15" x14ac:dyDescent="0.2">
      <c r="A900" s="3" t="str">
        <f>IF(ISBLANK('Master Submitted DPDs'!$B222),"","Local Plans")</f>
        <v>Local Plans</v>
      </c>
      <c r="B900" t="str">
        <f>IF(ISBLANK('Master Submitted DPDs'!F222),"",'Master Submitted DPDs'!F222)</f>
        <v>SA</v>
      </c>
      <c r="C900" s="3" t="str">
        <f>IF(ISBLANK('Master Submitted DPDs'!$B222),"","IH")</f>
        <v>IH</v>
      </c>
      <c r="D900" s="3" t="str">
        <f>LOOKUP($F900,'fuzzy LPA lookup'!$E:$E,'fuzzy LPA lookup'!$A:$A)</f>
        <v>J3015</v>
      </c>
      <c r="E900" s="3" t="str">
        <f>LOOKUP($F900,'fuzzy LPA lookup'!$E:$E,'fuzzy LPA lookup'!$D:$D)</f>
        <v>Broxtowe Borough Council</v>
      </c>
      <c r="F900" s="8">
        <f>IF(ISBLANK('Master Submitted DPDs'!B222),"",'Master Submitted DPDs'!B222)</f>
        <v>1146</v>
      </c>
      <c r="G900" t="str">
        <f>IF(ISBLANK('Master Submitted DPDs'!AS222),"","Withdrawn")</f>
        <v/>
      </c>
      <c r="H900" s="2" t="str">
        <f>IF(ISBLANK('Master Submitted DPDs'!AS222),"",'Master Submitted DPDs'!AS222)</f>
        <v/>
      </c>
      <c r="I900" s="3"/>
      <c r="J900" s="3"/>
      <c r="K900" s="3"/>
      <c r="L900" s="2">
        <f>IF(ISBLANK('Master Submitted DPDs'!J222),"",'Master Submitted DPDs'!J222)</f>
        <v>43315</v>
      </c>
      <c r="M900" s="2">
        <f t="shared" si="30"/>
        <v>43315</v>
      </c>
      <c r="N900" s="2">
        <f>IF(ISBLANK('Master Submitted DPDs'!M222),IF(ISBLANK('Master Submitted DPDs'!O222),"",'Master Submitted DPDs'!O222),'Master Submitted DPDs'!M222)</f>
        <v>43320</v>
      </c>
      <c r="O900" s="2">
        <f>IF(ISBLANK('Master Submitted DPDs'!Q222),"",'Master Submitted DPDs'!Q222)</f>
        <v>43447</v>
      </c>
      <c r="P900" s="2">
        <f>IF(ISBLANK('Master Submitted DPDs'!AO222),"",'Master Submitted DPDs'!AO222)</f>
        <v>43745</v>
      </c>
      <c r="Q900" t="str">
        <f>IF(ISBLANK('Master Submitted DPDs'!AU222),"",'Master Submitted DPDs'!AU222)</f>
        <v>SOU</v>
      </c>
      <c r="R900" t="str">
        <f t="shared" si="31"/>
        <v>Closed</v>
      </c>
      <c r="S900" s="3"/>
      <c r="T900">
        <f>IF(ISBLANK('Master Submitted DPDs'!G222),"",'Master Submitted DPDs'!G222)</f>
        <v>2</v>
      </c>
    </row>
    <row r="901" spans="1:20" ht="15" x14ac:dyDescent="0.2">
      <c r="A901" s="3" t="str">
        <f>IF(ISBLANK('Master Submitted DPDs'!$B223),"","Local Plans")</f>
        <v>Local Plans</v>
      </c>
      <c r="B901" t="str">
        <f>IF(ISBLANK('Master Submitted DPDs'!F223),"",'Master Submitted DPDs'!F223)</f>
        <v>PR</v>
      </c>
      <c r="C901" s="3" t="str">
        <f>IF(ISBLANK('Master Submitted DPDs'!$B223),"","IH")</f>
        <v>IH</v>
      </c>
      <c r="D901" s="3" t="str">
        <f>LOOKUP($F901,'fuzzy LPA lookup'!$E:$E,'fuzzy LPA lookup'!$A:$A)</f>
        <v>Z4310</v>
      </c>
      <c r="E901" s="3" t="str">
        <f>LOOKUP($F901,'fuzzy LPA lookup'!$E:$E,'fuzzy LPA lookup'!$D:$D)</f>
        <v>Liverpool City Council</v>
      </c>
      <c r="F901" s="8">
        <f>IF(ISBLANK('Master Submitted DPDs'!B223),"",'Master Submitted DPDs'!B223)</f>
        <v>1899</v>
      </c>
      <c r="G901" t="str">
        <f>IF(ISBLANK('Master Submitted DPDs'!AS223),"","Withdrawn")</f>
        <v/>
      </c>
      <c r="H901" s="2" t="str">
        <f>IF(ISBLANK('Master Submitted DPDs'!AS223),"",'Master Submitted DPDs'!AS223)</f>
        <v/>
      </c>
      <c r="I901" s="3"/>
      <c r="J901" s="3"/>
      <c r="K901" s="3"/>
      <c r="L901" s="2">
        <f>IF(ISBLANK('Master Submitted DPDs'!J223),"",'Master Submitted DPDs'!J223)</f>
        <v>43321</v>
      </c>
      <c r="M901" s="2">
        <f t="shared" si="30"/>
        <v>43321</v>
      </c>
      <c r="N901" s="2">
        <f>IF(ISBLANK('Master Submitted DPDs'!M223),IF(ISBLANK('Master Submitted DPDs'!O223),"",'Master Submitted DPDs'!O223),'Master Submitted DPDs'!M223)</f>
        <v>43334</v>
      </c>
      <c r="O901" s="2">
        <f>IF(ISBLANK('Master Submitted DPDs'!Q223),"",'Master Submitted DPDs'!Q223)</f>
        <v>43503</v>
      </c>
      <c r="P901" s="2">
        <f>IF(ISBLANK('Master Submitted DPDs'!AO223),"",'Master Submitted DPDs'!AO223)</f>
        <v>43704</v>
      </c>
      <c r="Q901" t="str">
        <f>IF(ISBLANK('Master Submitted DPDs'!AU223),"",'Master Submitted DPDs'!AU223)</f>
        <v>SOU</v>
      </c>
      <c r="R901" t="str">
        <f t="shared" si="31"/>
        <v>Closed</v>
      </c>
      <c r="S901" s="3"/>
      <c r="T901">
        <f>IF(ISBLANK('Master Submitted DPDs'!G223),"",'Master Submitted DPDs'!G223)</f>
        <v>2</v>
      </c>
    </row>
    <row r="902" spans="1:20" ht="15" x14ac:dyDescent="0.2">
      <c r="A902" s="3" t="str">
        <f>IF(ISBLANK('Master Submitted DPDs'!$B224),"","Local Plans")</f>
        <v>Local Plans</v>
      </c>
      <c r="B902" t="str">
        <f>IF(ISBLANK('Master Submitted DPDs'!F224),"",'Master Submitted DPDs'!F224)</f>
        <v>SA</v>
      </c>
      <c r="C902" s="3" t="str">
        <f>IF(ISBLANK('Master Submitted DPDs'!$B224),"","IH")</f>
        <v>IH</v>
      </c>
      <c r="D902" s="3" t="str">
        <f>LOOKUP($F902,'fuzzy LPA lookup'!$E:$E,'fuzzy LPA lookup'!$A:$A)</f>
        <v>P1425</v>
      </c>
      <c r="E902" s="3" t="str">
        <f>LOOKUP($F902,'fuzzy LPA lookup'!$E:$E,'fuzzy LPA lookup'!$D:$D)</f>
        <v>Lewes District Council</v>
      </c>
      <c r="F902" s="8">
        <f>IF(ISBLANK('Master Submitted DPDs'!B224),"",'Master Submitted DPDs'!B224)</f>
        <v>1916</v>
      </c>
      <c r="G902" t="str">
        <f>IF(ISBLANK('Master Submitted DPDs'!AS224),"","Withdrawn")</f>
        <v/>
      </c>
      <c r="H902" s="2" t="str">
        <f>IF(ISBLANK('Master Submitted DPDs'!AS224),"",'Master Submitted DPDs'!AS224)</f>
        <v/>
      </c>
      <c r="I902" s="3"/>
      <c r="J902" s="3"/>
      <c r="K902" s="3"/>
      <c r="L902" s="2">
        <f>IF(ISBLANK('Master Submitted DPDs'!J224),"",'Master Submitted DPDs'!J224)</f>
        <v>43322</v>
      </c>
      <c r="M902" s="2">
        <f t="shared" si="30"/>
        <v>43322</v>
      </c>
      <c r="N902" s="2">
        <f>IF(ISBLANK('Master Submitted DPDs'!M224),IF(ISBLANK('Master Submitted DPDs'!O224),"",'Master Submitted DPDs'!O224),'Master Submitted DPDs'!M224)</f>
        <v>43325</v>
      </c>
      <c r="O902" s="2">
        <f>IF(ISBLANK('Master Submitted DPDs'!Q224),"",'Master Submitted DPDs'!Q224)</f>
        <v>43447</v>
      </c>
      <c r="P902" s="2">
        <f>IF(ISBLANK('Master Submitted DPDs'!AO224),"",'Master Submitted DPDs'!AO224)</f>
        <v>43728</v>
      </c>
      <c r="Q902" t="str">
        <f>IF(ISBLANK('Master Submitted DPDs'!AU224),"",'Master Submitted DPDs'!AU224)</f>
        <v>SOU</v>
      </c>
      <c r="R902" t="str">
        <f t="shared" si="31"/>
        <v>Closed</v>
      </c>
      <c r="S902" s="3"/>
      <c r="T902">
        <f>IF(ISBLANK('Master Submitted DPDs'!G224),"",'Master Submitted DPDs'!G224)</f>
        <v>3</v>
      </c>
    </row>
    <row r="903" spans="1:20" ht="15" x14ac:dyDescent="0.2">
      <c r="A903" s="3" t="str">
        <f>IF(ISBLANK('Master Submitted DPDs'!$B225),"","Local Plans")</f>
        <v>Local Plans</v>
      </c>
      <c r="B903" t="str">
        <f>IF(ISBLANK('Master Submitted DPDs'!F225),"",'Master Submitted DPDs'!F225)</f>
        <v>LP</v>
      </c>
      <c r="C903" s="3" t="str">
        <f>IF(ISBLANK('Master Submitted DPDs'!$B225),"","IH")</f>
        <v>IH</v>
      </c>
      <c r="D903" s="3" t="str">
        <f>LOOKUP($F903,'fuzzy LPA lookup'!$E:$E,'fuzzy LPA lookup'!$A:$A)</f>
        <v>R1038</v>
      </c>
      <c r="E903" s="3" t="str">
        <f>LOOKUP($F903,'fuzzy LPA lookup'!$E:$E,'fuzzy LPA lookup'!$D:$D)</f>
        <v>North East Derbyshire District Council</v>
      </c>
      <c r="F903" s="8">
        <f>IF(ISBLANK('Master Submitted DPDs'!B225),"",'Master Submitted DPDs'!B225)</f>
        <v>1910</v>
      </c>
      <c r="G903" t="str">
        <f>IF(ISBLANK('Master Submitted DPDs'!AS225),"","Withdrawn")</f>
        <v/>
      </c>
      <c r="H903" s="2" t="str">
        <f>IF(ISBLANK('Master Submitted DPDs'!AS225),"",'Master Submitted DPDs'!AS225)</f>
        <v/>
      </c>
      <c r="I903" s="3"/>
      <c r="J903" s="3"/>
      <c r="K903" s="3"/>
      <c r="L903" s="2">
        <f>IF(ISBLANK('Master Submitted DPDs'!J225),"",'Master Submitted DPDs'!J225)</f>
        <v>43343</v>
      </c>
      <c r="M903" s="2">
        <f t="shared" si="30"/>
        <v>43343</v>
      </c>
      <c r="N903" s="2">
        <f>IF(ISBLANK('Master Submitted DPDs'!M225),IF(ISBLANK('Master Submitted DPDs'!O225),"",'Master Submitted DPDs'!O225),'Master Submitted DPDs'!M225)</f>
        <v>43357</v>
      </c>
      <c r="O903" s="2">
        <f>IF(ISBLANK('Master Submitted DPDs'!Q225),"",'Master Submitted DPDs'!Q225)</f>
        <v>43536</v>
      </c>
      <c r="P903" s="2">
        <f>IF(ISBLANK('Master Submitted DPDs'!AO225),"",'Master Submitted DPDs'!AO225)</f>
        <v>43845</v>
      </c>
      <c r="Q903" t="str">
        <f>IF(ISBLANK('Master Submitted DPDs'!AU225),"",'Master Submitted DPDs'!AU225)</f>
        <v>SOU</v>
      </c>
      <c r="R903" t="str">
        <f t="shared" si="31"/>
        <v>Closed</v>
      </c>
      <c r="S903" s="3"/>
      <c r="T903">
        <f>IF(ISBLANK('Master Submitted DPDs'!G225),"",'Master Submitted DPDs'!G225)</f>
        <v>3</v>
      </c>
    </row>
    <row r="904" spans="1:20" ht="15" x14ac:dyDescent="0.2">
      <c r="A904" s="3" t="str">
        <f>IF(ISBLANK('Master Submitted DPDs'!$B226),"","Local Plans")</f>
        <v>Local Plans</v>
      </c>
      <c r="B904" t="str">
        <f>IF(ISBLANK('Master Submitted DPDs'!F226),"",'Master Submitted DPDs'!F226)</f>
        <v>LP</v>
      </c>
      <c r="C904" s="3" t="str">
        <f>IF(ISBLANK('Master Submitted DPDs'!$B226),"","IH")</f>
        <v>IH</v>
      </c>
      <c r="D904" s="3" t="str">
        <f>LOOKUP($F904,'fuzzy LPA lookup'!$E:$E,'fuzzy LPA lookup'!$A:$A)</f>
        <v>C2708</v>
      </c>
      <c r="E904" s="3" t="str">
        <f>LOOKUP($F904,'fuzzy LPA lookup'!$E:$E,'fuzzy LPA lookup'!$D:$D)</f>
        <v>Craven District Council</v>
      </c>
      <c r="F904" s="8">
        <f>IF(ISBLANK('Master Submitted DPDs'!B226),"",'Master Submitted DPDs'!B226)</f>
        <v>1892</v>
      </c>
      <c r="G904" t="str">
        <f>IF(ISBLANK('Master Submitted DPDs'!AS226),"","Withdrawn")</f>
        <v/>
      </c>
      <c r="H904" s="2" t="str">
        <f>IF(ISBLANK('Master Submitted DPDs'!AS226),"",'Master Submitted DPDs'!AS226)</f>
        <v/>
      </c>
      <c r="I904" s="3"/>
      <c r="J904" s="3"/>
      <c r="K904" s="3"/>
      <c r="L904" s="2">
        <f>IF(ISBLANK('Master Submitted DPDs'!J226),"",'Master Submitted DPDs'!J226)</f>
        <v>43343</v>
      </c>
      <c r="M904" s="2">
        <f t="shared" si="30"/>
        <v>43343</v>
      </c>
      <c r="N904" s="2">
        <f>IF(ISBLANK('Master Submitted DPDs'!M226),IF(ISBLANK('Master Submitted DPDs'!O226),"",'Master Submitted DPDs'!O226),'Master Submitted DPDs'!M226)</f>
        <v>43357</v>
      </c>
      <c r="O904" s="2">
        <f>IF(ISBLANK('Master Submitted DPDs'!Q226),"",'Master Submitted DPDs'!Q226)</f>
        <v>43509</v>
      </c>
      <c r="P904" s="2">
        <f>IF(ISBLANK('Master Submitted DPDs'!AO226),"",'Master Submitted DPDs'!AO226)</f>
        <v>43860</v>
      </c>
      <c r="Q904" t="str">
        <f>IF(ISBLANK('Master Submitted DPDs'!AU226),"",'Master Submitted DPDs'!AU226)</f>
        <v>SOU</v>
      </c>
      <c r="R904" t="str">
        <f t="shared" si="31"/>
        <v>Closed</v>
      </c>
      <c r="S904" s="3"/>
      <c r="T904">
        <f>IF(ISBLANK('Master Submitted DPDs'!G226),"",'Master Submitted DPDs'!G226)</f>
        <v>3</v>
      </c>
    </row>
    <row r="905" spans="1:20" ht="15" x14ac:dyDescent="0.2">
      <c r="A905" s="3" t="str">
        <f>IF(ISBLANK('Master Submitted DPDs'!$B227),"","Local Plans")</f>
        <v>Local Plans</v>
      </c>
      <c r="B905" t="str">
        <f>IF(ISBLANK('Master Submitted DPDs'!F227),"",'Master Submitted DPDs'!F227)</f>
        <v>LP</v>
      </c>
      <c r="C905" s="3" t="str">
        <f>IF(ISBLANK('Master Submitted DPDs'!$B227),"","IH")</f>
        <v>IH</v>
      </c>
      <c r="D905" s="3" t="str">
        <f>LOOKUP($F905,'fuzzy LPA lookup'!$E:$E,'fuzzy LPA lookup'!$A:$A)</f>
        <v>J1535</v>
      </c>
      <c r="E905" s="3" t="str">
        <f>LOOKUP($F905,'fuzzy LPA lookup'!$E:$E,'fuzzy LPA lookup'!$D:$D)</f>
        <v>Epping Forest District Council</v>
      </c>
      <c r="F905" s="8">
        <f>IF(ISBLANK('Master Submitted DPDs'!B227),"",'Master Submitted DPDs'!B227)</f>
        <v>1881</v>
      </c>
      <c r="G905" t="str">
        <f>IF(ISBLANK('Master Submitted DPDs'!AS227),"","Withdrawn")</f>
        <v/>
      </c>
      <c r="H905" s="2" t="str">
        <f>IF(ISBLANK('Master Submitted DPDs'!AS227),"",'Master Submitted DPDs'!AS227)</f>
        <v/>
      </c>
      <c r="I905" s="3"/>
      <c r="J905" s="3"/>
      <c r="K905" s="3"/>
      <c r="L905" s="2">
        <f>IF(ISBLANK('Master Submitted DPDs'!J227),"",'Master Submitted DPDs'!J227)</f>
        <v>43364</v>
      </c>
      <c r="M905" s="2">
        <f t="shared" si="30"/>
        <v>43364</v>
      </c>
      <c r="N905" s="2">
        <f>IF(ISBLANK('Master Submitted DPDs'!M227),IF(ISBLANK('Master Submitted DPDs'!O227),"",'Master Submitted DPDs'!O227),'Master Submitted DPDs'!M227)</f>
        <v>43371</v>
      </c>
      <c r="O905" s="2">
        <f>IF(ISBLANK('Master Submitted DPDs'!Q227),"",'Master Submitted DPDs'!Q227)</f>
        <v>43644</v>
      </c>
      <c r="P905" s="2">
        <f>IF(ISBLANK('Master Submitted DPDs'!AO227),"",'Master Submitted DPDs'!AO227)</f>
        <v>44966</v>
      </c>
      <c r="Q905" t="str">
        <f>IF(ISBLANK('Master Submitted DPDs'!AU227),"",'Master Submitted DPDs'!AU227)</f>
        <v>SOU</v>
      </c>
      <c r="R905" t="str">
        <f t="shared" si="31"/>
        <v>Closed</v>
      </c>
      <c r="S905" s="3"/>
      <c r="T905">
        <f>IF(ISBLANK('Master Submitted DPDs'!G227),"",'Master Submitted DPDs'!G227)</f>
        <v>3</v>
      </c>
    </row>
    <row r="906" spans="1:20" ht="15" x14ac:dyDescent="0.2">
      <c r="A906" s="3" t="str">
        <f>IF(ISBLANK('Master Submitted DPDs'!$B228),"","Local Plans")</f>
        <v>Local Plans</v>
      </c>
      <c r="B906" t="str">
        <f>IF(ISBLANK('Master Submitted DPDs'!F228),"",'Master Submitted DPDs'!F228)</f>
        <v>SA</v>
      </c>
      <c r="C906" s="3" t="str">
        <f>IF(ISBLANK('Master Submitted DPDs'!$B228),"","IH")</f>
        <v>IH</v>
      </c>
      <c r="D906" s="3" t="str">
        <f>LOOKUP($F906,'fuzzy LPA lookup'!$E:$E,'fuzzy LPA lookup'!$A:$A)</f>
        <v>Z4310</v>
      </c>
      <c r="E906" s="3" t="str">
        <f>LOOKUP($F906,'fuzzy LPA lookup'!$E:$E,'fuzzy LPA lookup'!$D:$D)</f>
        <v>Liverpool City Council</v>
      </c>
      <c r="F906" s="8">
        <f>IF(ISBLANK('Master Submitted DPDs'!B228),"",'Master Submitted DPDs'!B228)</f>
        <v>1898</v>
      </c>
      <c r="G906" t="str">
        <f>IF(ISBLANK('Master Submitted DPDs'!AS228),"","Withdrawn")</f>
        <v/>
      </c>
      <c r="H906" s="2" t="str">
        <f>IF(ISBLANK('Master Submitted DPDs'!AS228),"",'Master Submitted DPDs'!AS228)</f>
        <v/>
      </c>
      <c r="I906" s="3"/>
      <c r="J906" s="3"/>
      <c r="K906" s="3"/>
      <c r="L906" s="2">
        <f>IF(ISBLANK('Master Submitted DPDs'!J228),"",'Master Submitted DPDs'!J228)</f>
        <v>43371</v>
      </c>
      <c r="M906" s="2">
        <f t="shared" si="30"/>
        <v>43371</v>
      </c>
      <c r="N906" s="2">
        <f>IF(ISBLANK('Master Submitted DPDs'!M228),IF(ISBLANK('Master Submitted DPDs'!O228),"",'Master Submitted DPDs'!O228),'Master Submitted DPDs'!M228)</f>
        <v>43371</v>
      </c>
      <c r="O906" s="2">
        <f>IF(ISBLANK('Master Submitted DPDs'!Q228),"",'Master Submitted DPDs'!Q228)</f>
        <v>43601</v>
      </c>
      <c r="P906" s="2">
        <f>IF(ISBLANK('Master Submitted DPDs'!AO228),"",'Master Submitted DPDs'!AO228)</f>
        <v>44008</v>
      </c>
      <c r="Q906" t="str">
        <f>IF(ISBLANK('Master Submitted DPDs'!AU228),"",'Master Submitted DPDs'!AU228)</f>
        <v>SOU</v>
      </c>
      <c r="R906" t="str">
        <f t="shared" si="31"/>
        <v>Closed</v>
      </c>
      <c r="S906" s="3"/>
      <c r="T906">
        <f>IF(ISBLANK('Master Submitted DPDs'!G228),"",'Master Submitted DPDs'!G228)</f>
        <v>2</v>
      </c>
    </row>
    <row r="907" spans="1:20" ht="15" x14ac:dyDescent="0.2">
      <c r="A907" s="3" t="str">
        <f>IF(ISBLANK('Master Submitted DPDs'!$B229),"","Local Plans")</f>
        <v>Local Plans</v>
      </c>
      <c r="B907" t="str">
        <f>IF(ISBLANK('Master Submitted DPDs'!F229),"",'Master Submitted DPDs'!F229)</f>
        <v>SA</v>
      </c>
      <c r="C907" s="3" t="str">
        <f>IF(ISBLANK('Master Submitted DPDs'!$B229),"","IH")</f>
        <v>IH</v>
      </c>
      <c r="D907" s="3" t="str">
        <f>LOOKUP($F907,'fuzzy LPA lookup'!$E:$E,'fuzzy LPA lookup'!$A:$A)</f>
        <v>Z4310</v>
      </c>
      <c r="E907" s="3" t="str">
        <f>LOOKUP($F907,'fuzzy LPA lookup'!$E:$E,'fuzzy LPA lookup'!$D:$D)</f>
        <v>Liverpool City Council</v>
      </c>
      <c r="F907" s="8">
        <f>IF(ISBLANK('Master Submitted DPDs'!B229),"",'Master Submitted DPDs'!B229)</f>
        <v>1900</v>
      </c>
      <c r="G907" t="str">
        <f>IF(ISBLANK('Master Submitted DPDs'!AS229),"","Withdrawn")</f>
        <v/>
      </c>
      <c r="H907" s="2" t="str">
        <f>IF(ISBLANK('Master Submitted DPDs'!AS229),"",'Master Submitted DPDs'!AS229)</f>
        <v/>
      </c>
      <c r="I907" s="3"/>
      <c r="J907" s="3"/>
      <c r="K907" s="3"/>
      <c r="L907" s="2">
        <f>IF(ISBLANK('Master Submitted DPDs'!J229),"",'Master Submitted DPDs'!J229)</f>
        <v>43376</v>
      </c>
      <c r="M907" s="2">
        <f t="shared" si="30"/>
        <v>43376</v>
      </c>
      <c r="N907" s="2">
        <f>IF(ISBLANK('Master Submitted DPDs'!M229),IF(ISBLANK('Master Submitted DPDs'!O229),"",'Master Submitted DPDs'!O229),'Master Submitted DPDs'!M229)</f>
        <v>43388</v>
      </c>
      <c r="O907" s="2">
        <f>IF(ISBLANK('Master Submitted DPDs'!Q229),"",'Master Submitted DPDs'!Q229)</f>
        <v>43524</v>
      </c>
      <c r="P907" s="2">
        <f>IF(ISBLANK('Master Submitted DPDs'!AO229),"",'Master Submitted DPDs'!AO229)</f>
        <v>43907</v>
      </c>
      <c r="Q907" t="str">
        <f>IF(ISBLANK('Master Submitted DPDs'!AU229),"",'Master Submitted DPDs'!AU229)</f>
        <v>SOU</v>
      </c>
      <c r="R907" t="str">
        <f t="shared" si="31"/>
        <v>Closed</v>
      </c>
      <c r="S907" s="3"/>
      <c r="T907">
        <f>IF(ISBLANK('Master Submitted DPDs'!G229),"",'Master Submitted DPDs'!G229)</f>
        <v>3</v>
      </c>
    </row>
    <row r="908" spans="1:20" ht="15" x14ac:dyDescent="0.2">
      <c r="A908" s="3" t="str">
        <f>IF(ISBLANK('Master Submitted DPDs'!$B230),"","Local Plans")</f>
        <v>Local Plans</v>
      </c>
      <c r="B908" t="str">
        <f>IF(ISBLANK('Master Submitted DPDs'!F230),"",'Master Submitted DPDs'!F230)</f>
        <v>LP</v>
      </c>
      <c r="C908" s="3" t="str">
        <f>IF(ISBLANK('Master Submitted DPDs'!$B230),"","IH")</f>
        <v>IH</v>
      </c>
      <c r="D908" s="3" t="str">
        <f>LOOKUP($F908,'fuzzy LPA lookup'!$E:$E,'fuzzy LPA lookup'!$A:$A)</f>
        <v>F5730</v>
      </c>
      <c r="E908" s="3" t="str">
        <f>LOOKUP($F908,'fuzzy LPA lookup'!$E:$E,'fuzzy LPA lookup'!$D:$D)</f>
        <v>Old Oak and Park Royal Development Corporation</v>
      </c>
      <c r="F908" s="8">
        <f>IF(ISBLANK('Master Submitted DPDs'!B230),"",'Master Submitted DPDs'!B230)</f>
        <v>1843</v>
      </c>
      <c r="G908" t="str">
        <f>IF(ISBLANK('Master Submitted DPDs'!AS230),"","Withdrawn")</f>
        <v/>
      </c>
      <c r="H908" s="2" t="str">
        <f>IF(ISBLANK('Master Submitted DPDs'!AS230),"",'Master Submitted DPDs'!AS230)</f>
        <v/>
      </c>
      <c r="I908" s="3"/>
      <c r="J908" s="3"/>
      <c r="K908" s="3"/>
      <c r="L908" s="2">
        <f>IF(ISBLANK('Master Submitted DPDs'!J230),"",'Master Submitted DPDs'!J230)</f>
        <v>43377</v>
      </c>
      <c r="M908" s="2">
        <f t="shared" si="30"/>
        <v>43377</v>
      </c>
      <c r="N908" s="2">
        <f>IF(ISBLANK('Master Submitted DPDs'!M230),IF(ISBLANK('Master Submitted DPDs'!O230),"",'Master Submitted DPDs'!O230),'Master Submitted DPDs'!M230)</f>
        <v>43384</v>
      </c>
      <c r="O908" s="2">
        <f>IF(ISBLANK('Master Submitted DPDs'!Q230),"",'Master Submitted DPDs'!Q230)</f>
        <v>44573</v>
      </c>
      <c r="P908" s="2">
        <f>IF(ISBLANK('Master Submitted DPDs'!AO230),"",'Master Submitted DPDs'!AO230)</f>
        <v>44652</v>
      </c>
      <c r="Q908" t="str">
        <f>IF(ISBLANK('Master Submitted DPDs'!AU230),"",'Master Submitted DPDs'!AU230)</f>
        <v>SOU</v>
      </c>
      <c r="R908" t="str">
        <f t="shared" si="31"/>
        <v>Closed</v>
      </c>
      <c r="S908" s="3"/>
      <c r="T908">
        <f>IF(ISBLANK('Master Submitted DPDs'!G230),"",'Master Submitted DPDs'!G230)</f>
        <v>3</v>
      </c>
    </row>
    <row r="909" spans="1:20" ht="15" x14ac:dyDescent="0.2">
      <c r="A909" s="3" t="str">
        <f>IF(ISBLANK('Master Submitted DPDs'!$B231),"","Local Plans")</f>
        <v>Local Plans</v>
      </c>
      <c r="B909" t="str">
        <f>IF(ISBLANK('Master Submitted DPDs'!F231),"",'Master Submitted DPDs'!F231)</f>
        <v>LP</v>
      </c>
      <c r="C909" s="3" t="str">
        <f>IF(ISBLANK('Master Submitted DPDs'!$B231),"","IH")</f>
        <v>IH</v>
      </c>
      <c r="D909" s="3" t="str">
        <f>LOOKUP($F909,'fuzzy LPA lookup'!$E:$E,'fuzzy LPA lookup'!$A:$A)</f>
        <v>P1425</v>
      </c>
      <c r="E909" s="3" t="str">
        <f>LOOKUP($F909,'fuzzy LPA lookup'!$E:$E,'fuzzy LPA lookup'!$D:$D)</f>
        <v>Lewes District Council</v>
      </c>
      <c r="F909" s="8">
        <f>IF(ISBLANK('Master Submitted DPDs'!B231),"",'Master Submitted DPDs'!B231)</f>
        <v>1915</v>
      </c>
      <c r="G909" t="str">
        <f>IF(ISBLANK('Master Submitted DPDs'!AS231),"","Withdrawn")</f>
        <v/>
      </c>
      <c r="H909" s="2" t="str">
        <f>IF(ISBLANK('Master Submitted DPDs'!AS231),"",'Master Submitted DPDs'!AS231)</f>
        <v/>
      </c>
      <c r="I909" s="3"/>
      <c r="J909" s="3"/>
      <c r="K909" s="3"/>
      <c r="L909" s="2">
        <f>IF(ISBLANK('Master Submitted DPDs'!J231),"",'Master Submitted DPDs'!J231)</f>
        <v>43392</v>
      </c>
      <c r="M909" s="2">
        <f t="shared" si="30"/>
        <v>43392</v>
      </c>
      <c r="N909" s="2">
        <f>IF(ISBLANK('Master Submitted DPDs'!M231),IF(ISBLANK('Master Submitted DPDs'!O231),"",'Master Submitted DPDs'!O231),'Master Submitted DPDs'!M231)</f>
        <v>43411</v>
      </c>
      <c r="O909" s="2">
        <f>IF(ISBLANK('Master Submitted DPDs'!Q231),"",'Master Submitted DPDs'!Q231)</f>
        <v>43559</v>
      </c>
      <c r="P909" s="2">
        <f>IF(ISBLANK('Master Submitted DPDs'!AO231),"",'Master Submitted DPDs'!AO231)</f>
        <v>44140</v>
      </c>
      <c r="Q909" t="str">
        <f>IF(ISBLANK('Master Submitted DPDs'!AU231),"",'Master Submitted DPDs'!AU231)</f>
        <v>SOU</v>
      </c>
      <c r="R909" t="str">
        <f t="shared" si="31"/>
        <v>Closed</v>
      </c>
      <c r="S909" s="3"/>
      <c r="T909">
        <f>IF(ISBLANK('Master Submitted DPDs'!G231),"",'Master Submitted DPDs'!G231)</f>
        <v>3</v>
      </c>
    </row>
    <row r="910" spans="1:20" ht="15" x14ac:dyDescent="0.2">
      <c r="A910" s="3" t="str">
        <f>IF(ISBLANK('Master Submitted DPDs'!$B232),"","Local Plans")</f>
        <v>Local Plans</v>
      </c>
      <c r="B910" t="str">
        <f>IF(ISBLANK('Master Submitted DPDs'!F232),"",'Master Submitted DPDs'!F232)</f>
        <v>LP</v>
      </c>
      <c r="C910" s="3" t="str">
        <f>IF(ISBLANK('Master Submitted DPDs'!$B232),"","IH")</f>
        <v>IH</v>
      </c>
      <c r="D910" s="3" t="str">
        <f>LOOKUP($F910,'fuzzy LPA lookup'!$E:$E,'fuzzy LPA lookup'!$A:$A)</f>
        <v>H4505</v>
      </c>
      <c r="E910" s="3" t="str">
        <f>LOOKUP($F910,'fuzzy LPA lookup'!$E:$E,'fuzzy LPA lookup'!$D:$D)</f>
        <v>Gateshead Metropolitan Borough Council</v>
      </c>
      <c r="F910" s="8">
        <f>IF(ISBLANK('Master Submitted DPDs'!B232),"",'Master Submitted DPDs'!B232)</f>
        <v>1969</v>
      </c>
      <c r="G910" t="str">
        <f>IF(ISBLANK('Master Submitted DPDs'!AS232),"","Withdrawn")</f>
        <v/>
      </c>
      <c r="H910" s="2" t="str">
        <f>IF(ISBLANK('Master Submitted DPDs'!AS232),"",'Master Submitted DPDs'!AS232)</f>
        <v/>
      </c>
      <c r="I910" s="3"/>
      <c r="J910" s="3"/>
      <c r="K910" s="3"/>
      <c r="L910" s="2">
        <f>IF(ISBLANK('Master Submitted DPDs'!J232),"",'Master Submitted DPDs'!J232)</f>
        <v>43404</v>
      </c>
      <c r="M910" s="2">
        <f t="shared" si="30"/>
        <v>43404</v>
      </c>
      <c r="N910" s="2">
        <f>IF(ISBLANK('Master Submitted DPDs'!M232),IF(ISBLANK('Master Submitted DPDs'!O232),"",'Master Submitted DPDs'!O232),'Master Submitted DPDs'!M232)</f>
        <v>43411</v>
      </c>
      <c r="O910" s="2">
        <f>IF(ISBLANK('Master Submitted DPDs'!Q232),"",'Master Submitted DPDs'!Q232)</f>
        <v>43664</v>
      </c>
      <c r="P910" s="2">
        <f>IF(ISBLANK('Master Submitted DPDs'!AO232),"",'Master Submitted DPDs'!AO232)</f>
        <v>43912</v>
      </c>
      <c r="Q910" t="str">
        <f>IF(ISBLANK('Master Submitted DPDs'!AU232),"",'Master Submitted DPDs'!AU232)</f>
        <v>SOU</v>
      </c>
      <c r="R910" t="str">
        <f t="shared" si="31"/>
        <v>Closed</v>
      </c>
      <c r="S910" s="3"/>
      <c r="T910">
        <f>IF(ISBLANK('Master Submitted DPDs'!G232),"",'Master Submitted DPDs'!G232)</f>
        <v>3</v>
      </c>
    </row>
    <row r="911" spans="1:20" ht="15" x14ac:dyDescent="0.2">
      <c r="A911" s="3" t="str">
        <f>IF(ISBLANK('Master Submitted DPDs'!$B233),"","Local Plans")</f>
        <v>Local Plans</v>
      </c>
      <c r="B911" t="str">
        <f>IF(ISBLANK('Master Submitted DPDs'!F233),"",'Master Submitted DPDs'!F233)</f>
        <v>LP</v>
      </c>
      <c r="C911" s="3" t="str">
        <f>IF(ISBLANK('Master Submitted DPDs'!$B233),"","IH")</f>
        <v>IH</v>
      </c>
      <c r="D911" s="3" t="str">
        <f>LOOKUP($F911,'fuzzy LPA lookup'!$E:$E,'fuzzy LPA lookup'!$A:$A)</f>
        <v>V2825</v>
      </c>
      <c r="E911" s="3" t="str">
        <f>LOOKUP($F911,'fuzzy LPA lookup'!$E:$E,'fuzzy LPA lookup'!$D:$D)</f>
        <v>Northampton Borough Council</v>
      </c>
      <c r="F911" s="8">
        <f>IF(ISBLANK('Master Submitted DPDs'!B233),"",'Master Submitted DPDs'!B233)</f>
        <v>1929</v>
      </c>
      <c r="G911" t="str">
        <f>IF(ISBLANK('Master Submitted DPDs'!AS233),"","Withdrawn")</f>
        <v/>
      </c>
      <c r="H911" s="2" t="str">
        <f>IF(ISBLANK('Master Submitted DPDs'!AS233),"",'Master Submitted DPDs'!AS233)</f>
        <v/>
      </c>
      <c r="I911" s="3"/>
      <c r="J911" s="3"/>
      <c r="K911" s="3"/>
      <c r="L911" s="2">
        <f>IF(ISBLANK('Master Submitted DPDs'!J233),"",'Master Submitted DPDs'!J233)</f>
        <v>43404</v>
      </c>
      <c r="M911" s="2">
        <f t="shared" si="30"/>
        <v>43404</v>
      </c>
      <c r="N911" s="2">
        <f>IF(ISBLANK('Master Submitted DPDs'!M233),IF(ISBLANK('Master Submitted DPDs'!O233),"",'Master Submitted DPDs'!O233),'Master Submitted DPDs'!M233)</f>
        <v>43411</v>
      </c>
      <c r="O911" s="2">
        <f>IF(ISBLANK('Master Submitted DPDs'!Q233),"",'Master Submitted DPDs'!Q233)</f>
        <v>44201</v>
      </c>
      <c r="P911" s="2">
        <f>IF(ISBLANK('Master Submitted DPDs'!AO233),"",'Master Submitted DPDs'!AO233)</f>
        <v>44634</v>
      </c>
      <c r="Q911" t="str">
        <f>IF(ISBLANK('Master Submitted DPDs'!AU233),"",'Master Submitted DPDs'!AU233)</f>
        <v>SOU</v>
      </c>
      <c r="R911" t="str">
        <f t="shared" si="31"/>
        <v>Closed</v>
      </c>
      <c r="S911" s="3"/>
      <c r="T911">
        <f>IF(ISBLANK('Master Submitted DPDs'!G233),"",'Master Submitted DPDs'!G233)</f>
        <v>3</v>
      </c>
    </row>
    <row r="912" spans="1:20" ht="15" x14ac:dyDescent="0.2">
      <c r="A912" s="3" t="str">
        <f>IF(ISBLANK('Master Submitted DPDs'!$B234),"","Local Plans")</f>
        <v>Local Plans</v>
      </c>
      <c r="B912" t="str">
        <f>IF(ISBLANK('Master Submitted DPDs'!F234),"",'Master Submitted DPDs'!F234)</f>
        <v>LP</v>
      </c>
      <c r="C912" s="3" t="str">
        <f>IF(ISBLANK('Master Submitted DPDs'!$B234),"","IH")</f>
        <v>IH</v>
      </c>
      <c r="D912" s="3" t="str">
        <f>LOOKUP($F912,'fuzzy LPA lookup'!$E:$E,'fuzzy LPA lookup'!$A:$A)</f>
        <v>Y2810</v>
      </c>
      <c r="E912" s="3" t="str">
        <f>LOOKUP($F912,'fuzzy LPA lookup'!$E:$E,'fuzzy LPA lookup'!$D:$D)</f>
        <v>Daventry District Council</v>
      </c>
      <c r="F912" s="8">
        <f>IF(ISBLANK('Master Submitted DPDs'!B234),"",'Master Submitted DPDs'!B234)</f>
        <v>1935</v>
      </c>
      <c r="G912" t="str">
        <f>IF(ISBLANK('Master Submitted DPDs'!AS234),"","Withdrawn")</f>
        <v/>
      </c>
      <c r="H912" s="2" t="str">
        <f>IF(ISBLANK('Master Submitted DPDs'!AS234),"",'Master Submitted DPDs'!AS234)</f>
        <v/>
      </c>
      <c r="I912" s="3"/>
      <c r="J912" s="3"/>
      <c r="K912" s="3"/>
      <c r="L912" s="2">
        <f>IF(ISBLANK('Master Submitted DPDs'!J234),"",'Master Submitted DPDs'!J234)</f>
        <v>43405</v>
      </c>
      <c r="M912" s="2">
        <f t="shared" si="30"/>
        <v>43405</v>
      </c>
      <c r="N912" s="2">
        <f>IF(ISBLANK('Master Submitted DPDs'!M234),IF(ISBLANK('Master Submitted DPDs'!O234),"",'Master Submitted DPDs'!O234),'Master Submitted DPDs'!M234)</f>
        <v>43410</v>
      </c>
      <c r="O912" s="2">
        <f>IF(ISBLANK('Master Submitted DPDs'!Q234),"",'Master Submitted DPDs'!Q234)</f>
        <v>43664</v>
      </c>
      <c r="P912" s="2">
        <f>IF(ISBLANK('Master Submitted DPDs'!AO234),"",'Master Submitted DPDs'!AO234)</f>
        <v>43915</v>
      </c>
      <c r="Q912" t="str">
        <f>IF(ISBLANK('Master Submitted DPDs'!AU234),"",'Master Submitted DPDs'!AU234)</f>
        <v>SOU</v>
      </c>
      <c r="R912" t="str">
        <f t="shared" si="31"/>
        <v>Closed</v>
      </c>
      <c r="S912" s="3"/>
      <c r="T912">
        <f>IF(ISBLANK('Master Submitted DPDs'!G234),"",'Master Submitted DPDs'!G234)</f>
        <v>3</v>
      </c>
    </row>
    <row r="913" spans="1:20" ht="15" x14ac:dyDescent="0.2">
      <c r="A913" s="3" t="str">
        <f>IF(ISBLANK('Master Submitted DPDs'!$B235),"","Local Plans")</f>
        <v>Local Plans</v>
      </c>
      <c r="B913" t="str">
        <f>IF(ISBLANK('Master Submitted DPDs'!F235),"",'Master Submitted DPDs'!F235)</f>
        <v>AAP</v>
      </c>
      <c r="C913" s="3" t="str">
        <f>IF(ISBLANK('Master Submitted DPDs'!$B235),"","IH")</f>
        <v>IH</v>
      </c>
      <c r="D913" s="3" t="str">
        <f>LOOKUP($F913,'fuzzy LPA lookup'!$E:$E,'fuzzy LPA lookup'!$A:$A)</f>
        <v>N2535</v>
      </c>
      <c r="E913" s="3" t="str">
        <f>LOOKUP($F913,'fuzzy LPA lookup'!$E:$E,'fuzzy LPA lookup'!$D:$D)</f>
        <v>West Lindsey District Council</v>
      </c>
      <c r="F913" s="8">
        <f>IF(ISBLANK('Master Submitted DPDs'!B235),"",'Master Submitted DPDs'!B235)</f>
        <v>1816</v>
      </c>
      <c r="G913" t="str">
        <f>IF(ISBLANK('Master Submitted DPDs'!AS235),"","Withdrawn")</f>
        <v/>
      </c>
      <c r="H913" s="2" t="str">
        <f>IF(ISBLANK('Master Submitted DPDs'!AS235),"",'Master Submitted DPDs'!AS235)</f>
        <v/>
      </c>
      <c r="I913" s="3"/>
      <c r="J913" s="3"/>
      <c r="K913" s="3"/>
      <c r="L913" s="2">
        <f>IF(ISBLANK('Master Submitted DPDs'!J235),"",'Master Submitted DPDs'!J235)</f>
        <v>43413</v>
      </c>
      <c r="M913" s="2">
        <f t="shared" si="30"/>
        <v>43413</v>
      </c>
      <c r="N913" s="2">
        <f>IF(ISBLANK('Master Submitted DPDs'!M235),IF(ISBLANK('Master Submitted DPDs'!O235),"",'Master Submitted DPDs'!O235),'Master Submitted DPDs'!M235)</f>
        <v>43433</v>
      </c>
      <c r="O913" s="2">
        <f>IF(ISBLANK('Master Submitted DPDs'!Q235),"",'Master Submitted DPDs'!Q235)</f>
        <v>43615</v>
      </c>
      <c r="P913" s="2">
        <f>IF(ISBLANK('Master Submitted DPDs'!AO235),"",'Master Submitted DPDs'!AO235)</f>
        <v>43697</v>
      </c>
      <c r="Q913" t="str">
        <f>IF(ISBLANK('Master Submitted DPDs'!AU235),"",'Master Submitted DPDs'!AU235)</f>
        <v>SOU</v>
      </c>
      <c r="R913" t="str">
        <f t="shared" si="31"/>
        <v>Closed</v>
      </c>
      <c r="S913" s="3"/>
      <c r="T913">
        <f>IF(ISBLANK('Master Submitted DPDs'!G235),"",'Master Submitted DPDs'!G235)</f>
        <v>2</v>
      </c>
    </row>
    <row r="914" spans="1:20" ht="15" x14ac:dyDescent="0.2">
      <c r="A914" s="3" t="str">
        <f>IF(ISBLANK('Master Submitted DPDs'!$B236),"","Local Plans")</f>
        <v>Local Plans</v>
      </c>
      <c r="B914" t="str">
        <f>IF(ISBLANK('Master Submitted DPDs'!F236),"",'Master Submitted DPDs'!F236)</f>
        <v>LP</v>
      </c>
      <c r="C914" s="3" t="str">
        <f>IF(ISBLANK('Master Submitted DPDs'!$B236),"","IH")</f>
        <v>IH</v>
      </c>
      <c r="D914" s="3" t="str">
        <f>LOOKUP($F914,'fuzzy LPA lookup'!$E:$E,'fuzzy LPA lookup'!$A:$A)</f>
        <v>Z4310</v>
      </c>
      <c r="E914" s="3" t="str">
        <f>LOOKUP($F914,'fuzzy LPA lookup'!$E:$E,'fuzzy LPA lookup'!$D:$D)</f>
        <v>Liverpool City Council</v>
      </c>
      <c r="F914" s="8">
        <f>IF(ISBLANK('Master Submitted DPDs'!B236),"",'Master Submitted DPDs'!B236)</f>
        <v>1897</v>
      </c>
      <c r="G914" t="str">
        <f>IF(ISBLANK('Master Submitted DPDs'!AS236),"","Withdrawn")</f>
        <v/>
      </c>
      <c r="H914" s="2" t="str">
        <f>IF(ISBLANK('Master Submitted DPDs'!AS236),"",'Master Submitted DPDs'!AS236)</f>
        <v/>
      </c>
      <c r="I914" s="3"/>
      <c r="J914" s="3"/>
      <c r="K914" s="3"/>
      <c r="L914" s="2">
        <f>IF(ISBLANK('Master Submitted DPDs'!J236),"",'Master Submitted DPDs'!J236)</f>
        <v>43448</v>
      </c>
      <c r="M914" s="2">
        <f t="shared" si="30"/>
        <v>43448</v>
      </c>
      <c r="N914" s="2">
        <f>IF(ISBLANK('Master Submitted DPDs'!M236),IF(ISBLANK('Master Submitted DPDs'!O236),"",'Master Submitted DPDs'!O236),'Master Submitted DPDs'!M236)</f>
        <v>43451</v>
      </c>
      <c r="O914" s="2">
        <f>IF(ISBLANK('Master Submitted DPDs'!Q236),"",'Master Submitted DPDs'!Q236)</f>
        <v>43760</v>
      </c>
      <c r="P914" s="2">
        <f>IF(ISBLANK('Master Submitted DPDs'!AO236),"",'Master Submitted DPDs'!AO236)</f>
        <v>43819</v>
      </c>
      <c r="Q914" t="str">
        <f>IF(ISBLANK('Master Submitted DPDs'!AU236),"",'Master Submitted DPDs'!AU236)</f>
        <v>SOU</v>
      </c>
      <c r="R914" t="str">
        <f t="shared" si="31"/>
        <v>Closed</v>
      </c>
      <c r="S914" s="3"/>
      <c r="T914">
        <f>IF(ISBLANK('Master Submitted DPDs'!G236),"",'Master Submitted DPDs'!G236)</f>
        <v>3</v>
      </c>
    </row>
    <row r="915" spans="1:20" ht="15" x14ac:dyDescent="0.2">
      <c r="A915" s="3" t="str">
        <f>IF(ISBLANK('Master Submitted DPDs'!$B237),"","Local Plans")</f>
        <v>Local Plans</v>
      </c>
      <c r="B915" t="str">
        <f>IF(ISBLANK('Master Submitted DPDs'!F237),"",'Master Submitted DPDs'!F237)</f>
        <v>SA</v>
      </c>
      <c r="C915" s="3" t="str">
        <f>IF(ISBLANK('Master Submitted DPDs'!$B237),"","IH")</f>
        <v>IH</v>
      </c>
      <c r="D915" s="3" t="str">
        <f>LOOKUP($F915,'fuzzy LPA lookup'!$E:$E,'fuzzy LPA lookup'!$A:$A)</f>
        <v>Y2810</v>
      </c>
      <c r="E915" s="3" t="str">
        <f>LOOKUP($F915,'fuzzy LPA lookup'!$E:$E,'fuzzy LPA lookup'!$D:$D)</f>
        <v>Daventry District Council</v>
      </c>
      <c r="F915" s="8">
        <f>IF(ISBLANK('Master Submitted DPDs'!B237),"",'Master Submitted DPDs'!B237)</f>
        <v>1934</v>
      </c>
      <c r="G915" t="str">
        <f>IF(ISBLANK('Master Submitted DPDs'!AS237),"","Withdrawn")</f>
        <v/>
      </c>
      <c r="H915" s="2" t="str">
        <f>IF(ISBLANK('Master Submitted DPDs'!AS237),"",'Master Submitted DPDs'!AS237)</f>
        <v/>
      </c>
      <c r="I915" s="3"/>
      <c r="J915" s="3"/>
      <c r="K915" s="3"/>
      <c r="L915" s="2">
        <f>IF(ISBLANK('Master Submitted DPDs'!J237),"",'Master Submitted DPDs'!J237)</f>
        <v>43453</v>
      </c>
      <c r="M915" s="2">
        <f t="shared" si="30"/>
        <v>43453</v>
      </c>
      <c r="N915" s="2">
        <f>IF(ISBLANK('Master Submitted DPDs'!M237),IF(ISBLANK('Master Submitted DPDs'!O237),"",'Master Submitted DPDs'!O237),'Master Submitted DPDs'!M237)</f>
        <v>43476</v>
      </c>
      <c r="O915" s="2">
        <f>IF(ISBLANK('Master Submitted DPDs'!Q237),"",'Master Submitted DPDs'!Q237)</f>
        <v>43643</v>
      </c>
      <c r="P915" s="2">
        <f>IF(ISBLANK('Master Submitted DPDs'!AO237),"",'Master Submitted DPDs'!AO237)</f>
        <v>43840</v>
      </c>
      <c r="Q915" t="str">
        <f>IF(ISBLANK('Master Submitted DPDs'!AU237),"",'Master Submitted DPDs'!AU237)</f>
        <v>SOU</v>
      </c>
      <c r="R915" t="str">
        <f t="shared" si="31"/>
        <v>Closed</v>
      </c>
      <c r="S915" s="3"/>
      <c r="T915">
        <f>IF(ISBLANK('Master Submitted DPDs'!G237),"",'Master Submitted DPDs'!G237)</f>
        <v>2</v>
      </c>
    </row>
    <row r="916" spans="1:20" ht="15" x14ac:dyDescent="0.2">
      <c r="A916" s="3" t="str">
        <f>IF(ISBLANK('Master Submitted DPDs'!$B238),"","Local Plans")</f>
        <v>Local Plans</v>
      </c>
      <c r="B916" t="str">
        <f>IF(ISBLANK('Master Submitted DPDs'!F238),"",'Master Submitted DPDs'!F238)</f>
        <v>SA</v>
      </c>
      <c r="C916" s="3" t="str">
        <f>IF(ISBLANK('Master Submitted DPDs'!$B238),"","IH")</f>
        <v>IH</v>
      </c>
      <c r="D916" s="3" t="str">
        <f>LOOKUP($F916,'fuzzy LPA lookup'!$E:$E,'fuzzy LPA lookup'!$A:$A)</f>
        <v>P1425</v>
      </c>
      <c r="E916" s="3" t="str">
        <f>LOOKUP($F916,'fuzzy LPA lookup'!$E:$E,'fuzzy LPA lookup'!$D:$D)</f>
        <v>Lewes District Council</v>
      </c>
      <c r="F916" s="8">
        <f>IF(ISBLANK('Master Submitted DPDs'!B238),"",'Master Submitted DPDs'!B238)</f>
        <v>1914</v>
      </c>
      <c r="G916" t="str">
        <f>IF(ISBLANK('Master Submitted DPDs'!AS238),"","Withdrawn")</f>
        <v/>
      </c>
      <c r="H916" s="2" t="str">
        <f>IF(ISBLANK('Master Submitted DPDs'!AS238),"",'Master Submitted DPDs'!AS238)</f>
        <v/>
      </c>
      <c r="I916" s="3"/>
      <c r="J916" s="3"/>
      <c r="K916" s="3"/>
      <c r="L916" s="2">
        <f>IF(ISBLANK('Master Submitted DPDs'!J238),"",'Master Submitted DPDs'!J238)</f>
        <v>43455</v>
      </c>
      <c r="M916" s="2">
        <f t="shared" si="30"/>
        <v>43455</v>
      </c>
      <c r="N916" s="2">
        <f>IF(ISBLANK('Master Submitted DPDs'!M238),IF(ISBLANK('Master Submitted DPDs'!O238),"",'Master Submitted DPDs'!O238),'Master Submitted DPDs'!M238)</f>
        <v>43473</v>
      </c>
      <c r="O916" s="2">
        <f>IF(ISBLANK('Master Submitted DPDs'!Q238),"",'Master Submitted DPDs'!Q238)</f>
        <v>43567</v>
      </c>
      <c r="P916" s="2">
        <f>IF(ISBLANK('Master Submitted DPDs'!AO238),"",'Master Submitted DPDs'!AO238)</f>
        <v>43819</v>
      </c>
      <c r="Q916" t="str">
        <f>IF(ISBLANK('Master Submitted DPDs'!AU238),"",'Master Submitted DPDs'!AU238)</f>
        <v>SOU</v>
      </c>
      <c r="R916" t="str">
        <f t="shared" si="31"/>
        <v>Closed</v>
      </c>
      <c r="S916" s="3"/>
      <c r="T916">
        <f>IF(ISBLANK('Master Submitted DPDs'!G238),"",'Master Submitted DPDs'!G238)</f>
        <v>2</v>
      </c>
    </row>
    <row r="917" spans="1:20" ht="15" x14ac:dyDescent="0.2">
      <c r="A917" s="3" t="str">
        <f>IF(ISBLANK('Master Submitted DPDs'!$B239),"","Local Plans")</f>
        <v>Local Plans</v>
      </c>
      <c r="B917" t="str">
        <f>IF(ISBLANK('Master Submitted DPDs'!F239),"",'Master Submitted DPDs'!F239)</f>
        <v>M&amp;W</v>
      </c>
      <c r="C917" s="3" t="str">
        <f>IF(ISBLANK('Master Submitted DPDs'!$B239),"","IH")</f>
        <v>IH</v>
      </c>
      <c r="D917" s="3" t="str">
        <f>LOOKUP($F917,'fuzzy LPA lookup'!$E:$E,'fuzzy LPA lookup'!$A:$A)</f>
        <v>T1600</v>
      </c>
      <c r="E917" s="3" t="str">
        <f>LOOKUP($F917,'fuzzy LPA lookup'!$E:$E,'fuzzy LPA lookup'!$D:$D)</f>
        <v>Gloucestershire County Council</v>
      </c>
      <c r="F917" s="8">
        <f>IF(ISBLANK('Master Submitted DPDs'!B239),"",'Master Submitted DPDs'!B239)</f>
        <v>2028</v>
      </c>
      <c r="G917" t="str">
        <f>IF(ISBLANK('Master Submitted DPDs'!AS239),"","Withdrawn")</f>
        <v/>
      </c>
      <c r="H917" s="2" t="str">
        <f>IF(ISBLANK('Master Submitted DPDs'!AS239),"",'Master Submitted DPDs'!AS239)</f>
        <v/>
      </c>
      <c r="I917" s="3"/>
      <c r="J917" s="3"/>
      <c r="K917" s="3"/>
      <c r="L917" s="2">
        <f>IF(ISBLANK('Master Submitted DPDs'!J239),"",'Master Submitted DPDs'!J239)</f>
        <v>43455</v>
      </c>
      <c r="M917" s="2">
        <f t="shared" si="30"/>
        <v>43455</v>
      </c>
      <c r="N917" s="2">
        <f>IF(ISBLANK('Master Submitted DPDs'!M239),IF(ISBLANK('Master Submitted DPDs'!O239),"",'Master Submitted DPDs'!O239),'Master Submitted DPDs'!M239)</f>
        <v>43507</v>
      </c>
      <c r="O917" s="2">
        <f>IF(ISBLANK('Master Submitted DPDs'!Q239),"",'Master Submitted DPDs'!Q239)</f>
        <v>43628</v>
      </c>
      <c r="P917" s="2">
        <f>IF(ISBLANK('Master Submitted DPDs'!AO239),"",'Master Submitted DPDs'!AO239)</f>
        <v>43821</v>
      </c>
      <c r="Q917" t="str">
        <f>IF(ISBLANK('Master Submitted DPDs'!AU239),"",'Master Submitted DPDs'!AU239)</f>
        <v>SOU</v>
      </c>
      <c r="R917" t="str">
        <f t="shared" si="31"/>
        <v>Closed</v>
      </c>
      <c r="S917" s="3"/>
      <c r="T917">
        <f>IF(ISBLANK('Master Submitted DPDs'!G239),"",'Master Submitted DPDs'!G239)</f>
        <v>2</v>
      </c>
    </row>
    <row r="918" spans="1:20" ht="15" x14ac:dyDescent="0.2">
      <c r="A918" s="3" t="str">
        <f>IF(ISBLANK('Master Submitted DPDs'!$B240),"","Local Plans")</f>
        <v>Local Plans</v>
      </c>
      <c r="B918" t="str">
        <f>IF(ISBLANK('Master Submitted DPDs'!F240),"",'Master Submitted DPDs'!F240)</f>
        <v>LP</v>
      </c>
      <c r="C918" s="3" t="str">
        <f>IF(ISBLANK('Master Submitted DPDs'!$B240),"","IH")</f>
        <v>IH</v>
      </c>
      <c r="D918" s="3" t="str">
        <f>LOOKUP($F918,'fuzzy LPA lookup'!$E:$E,'fuzzy LPA lookup'!$A:$A)</f>
        <v>X3025</v>
      </c>
      <c r="E918" s="3" t="str">
        <f>LOOKUP($F918,'fuzzy LPA lookup'!$E:$E,'fuzzy LPA lookup'!$D:$D)</f>
        <v>Mansfield District Council</v>
      </c>
      <c r="F918" s="8">
        <f>IF(ISBLANK('Master Submitted DPDs'!B240),"",'Master Submitted DPDs'!B240)</f>
        <v>1943</v>
      </c>
      <c r="G918" t="str">
        <f>IF(ISBLANK('Master Submitted DPDs'!AS240),"","Withdrawn")</f>
        <v/>
      </c>
      <c r="H918" s="2" t="str">
        <f>IF(ISBLANK('Master Submitted DPDs'!AS240),"",'Master Submitted DPDs'!AS240)</f>
        <v/>
      </c>
      <c r="I918" s="3"/>
      <c r="J918" s="3"/>
      <c r="K918" s="3"/>
      <c r="L918" s="2">
        <f>IF(ISBLANK('Master Submitted DPDs'!J240),"",'Master Submitted DPDs'!J240)</f>
        <v>43455</v>
      </c>
      <c r="M918" s="2">
        <f t="shared" si="30"/>
        <v>43455</v>
      </c>
      <c r="N918" s="2">
        <f>IF(ISBLANK('Master Submitted DPDs'!M240),IF(ISBLANK('Master Submitted DPDs'!O240),"",'Master Submitted DPDs'!O240),'Master Submitted DPDs'!M240)</f>
        <v>43455</v>
      </c>
      <c r="O918" s="2">
        <f>IF(ISBLANK('Master Submitted DPDs'!Q240),"",'Master Submitted DPDs'!Q240)</f>
        <v>43629</v>
      </c>
      <c r="P918" s="2">
        <f>IF(ISBLANK('Master Submitted DPDs'!AO240),"",'Master Submitted DPDs'!AO240)</f>
        <v>43837</v>
      </c>
      <c r="Q918" t="str">
        <f>IF(ISBLANK('Master Submitted DPDs'!AU240),"",'Master Submitted DPDs'!AU240)</f>
        <v>SOU</v>
      </c>
      <c r="R918" t="str">
        <f t="shared" si="31"/>
        <v>Closed</v>
      </c>
      <c r="S918" s="3"/>
      <c r="T918">
        <f>IF(ISBLANK('Master Submitted DPDs'!G240),"",'Master Submitted DPDs'!G240)</f>
        <v>3</v>
      </c>
    </row>
    <row r="919" spans="1:20" ht="15" x14ac:dyDescent="0.2">
      <c r="A919" s="3" t="str">
        <f>IF(ISBLANK('Master Submitted DPDs'!$B241),"","Local Plans")</f>
        <v>Local Plans</v>
      </c>
      <c r="B919" t="str">
        <f>IF(ISBLANK('Master Submitted DPDs'!F241),"",'Master Submitted DPDs'!F241)</f>
        <v>M&amp;W</v>
      </c>
      <c r="C919" s="3" t="str">
        <f>IF(ISBLANK('Master Submitted DPDs'!$B241),"","IH")</f>
        <v>IH</v>
      </c>
      <c r="D919" s="3" t="str">
        <f>LOOKUP($F919,'fuzzy LPA lookup'!$E:$E,'fuzzy LPA lookup'!$A:$A)</f>
        <v>V3500</v>
      </c>
      <c r="E919" s="3" t="str">
        <f>LOOKUP($F919,'fuzzy LPA lookup'!$E:$E,'fuzzy LPA lookup'!$D:$D)</f>
        <v>Suffolk County Council</v>
      </c>
      <c r="F919" s="8">
        <f>IF(ISBLANK('Master Submitted DPDs'!B241),"",'Master Submitted DPDs'!B241)</f>
        <v>2055</v>
      </c>
      <c r="G919" t="str">
        <f>IF(ISBLANK('Master Submitted DPDs'!AS241),"","Withdrawn")</f>
        <v/>
      </c>
      <c r="H919" s="2" t="str">
        <f>IF(ISBLANK('Master Submitted DPDs'!AS241),"",'Master Submitted DPDs'!AS241)</f>
        <v/>
      </c>
      <c r="I919" s="3"/>
      <c r="J919" s="3"/>
      <c r="K919" s="3"/>
      <c r="L919" s="2">
        <f>IF(ISBLANK('Master Submitted DPDs'!J241),"",'Master Submitted DPDs'!J241)</f>
        <v>43455</v>
      </c>
      <c r="M919" s="2">
        <f t="shared" si="30"/>
        <v>43455</v>
      </c>
      <c r="N919" s="2">
        <f>IF(ISBLANK('Master Submitted DPDs'!M241),IF(ISBLANK('Master Submitted DPDs'!O241),"",'Master Submitted DPDs'!O241),'Master Submitted DPDs'!M241)</f>
        <v>43455</v>
      </c>
      <c r="O919" s="2">
        <f>IF(ISBLANK('Master Submitted DPDs'!Q241),"",'Master Submitted DPDs'!Q241)</f>
        <v>43642</v>
      </c>
      <c r="P919" s="2">
        <f>IF(ISBLANK('Master Submitted DPDs'!AO241),"",'Master Submitted DPDs'!AO241)</f>
        <v>43899</v>
      </c>
      <c r="Q919" t="str">
        <f>IF(ISBLANK('Master Submitted DPDs'!AU241),"",'Master Submitted DPDs'!AU241)</f>
        <v>SOU</v>
      </c>
      <c r="R919" t="str">
        <f t="shared" si="31"/>
        <v>Closed</v>
      </c>
      <c r="S919" s="3"/>
      <c r="T919">
        <f>IF(ISBLANK('Master Submitted DPDs'!G241),"",'Master Submitted DPDs'!G241)</f>
        <v>2</v>
      </c>
    </row>
    <row r="920" spans="1:20" ht="15" x14ac:dyDescent="0.2">
      <c r="A920" s="3" t="str">
        <f>IF(ISBLANK('Master Submitted DPDs'!$B242),"","Local Plans")</f>
        <v>Local Plans</v>
      </c>
      <c r="B920" t="str">
        <f>IF(ISBLANK('Master Submitted DPDs'!F242),"",'Master Submitted DPDs'!F242)</f>
        <v>LP</v>
      </c>
      <c r="C920" s="3" t="str">
        <f>IF(ISBLANK('Master Submitted DPDs'!$B242),"","IH")</f>
        <v>IH</v>
      </c>
      <c r="D920" s="3" t="str">
        <f>LOOKUP($F920,'fuzzy LPA lookup'!$E:$E,'fuzzy LPA lookup'!$A:$A)</f>
        <v>X3025</v>
      </c>
      <c r="E920" s="3" t="str">
        <f>LOOKUP($F920,'fuzzy LPA lookup'!$E:$E,'fuzzy LPA lookup'!$D:$D)</f>
        <v>Mansfield District Council</v>
      </c>
      <c r="F920" s="8">
        <f>IF(ISBLANK('Master Submitted DPDs'!B242),"",'Master Submitted DPDs'!B242)</f>
        <v>1939</v>
      </c>
      <c r="G920" t="str">
        <f>IF(ISBLANK('Master Submitted DPDs'!AS242),"","Withdrawn")</f>
        <v/>
      </c>
      <c r="H920" s="2" t="str">
        <f>IF(ISBLANK('Master Submitted DPDs'!AS242),"",'Master Submitted DPDs'!AS242)</f>
        <v/>
      </c>
      <c r="I920" s="3"/>
      <c r="J920" s="3"/>
      <c r="K920" s="3"/>
      <c r="L920" s="2">
        <f>IF(ISBLANK('Master Submitted DPDs'!J242),"",'Master Submitted DPDs'!J242)</f>
        <v>43455</v>
      </c>
      <c r="M920" s="2">
        <f t="shared" si="30"/>
        <v>43455</v>
      </c>
      <c r="N920" s="2">
        <f>IF(ISBLANK('Master Submitted DPDs'!M242),IF(ISBLANK('Master Submitted DPDs'!O242),"",'Master Submitted DPDs'!O242),'Master Submitted DPDs'!M242)</f>
        <v>43453</v>
      </c>
      <c r="O920" s="2">
        <f>IF(ISBLANK('Master Submitted DPDs'!Q242),"",'Master Submitted DPDs'!Q242)</f>
        <v>43975</v>
      </c>
      <c r="P920" s="2">
        <f>IF(ISBLANK('Master Submitted DPDs'!AO242),"",'Master Submitted DPDs'!AO242)</f>
        <v>43921</v>
      </c>
      <c r="Q920" t="str">
        <f>IF(ISBLANK('Master Submitted DPDs'!AU242),"",'Master Submitted DPDs'!AU242)</f>
        <v>SOU</v>
      </c>
      <c r="R920" t="str">
        <f t="shared" si="31"/>
        <v>Closed</v>
      </c>
      <c r="S920" s="3"/>
      <c r="T920">
        <f>IF(ISBLANK('Master Submitted DPDs'!G242),"",'Master Submitted DPDs'!G242)</f>
        <v>3</v>
      </c>
    </row>
    <row r="921" spans="1:20" ht="15" x14ac:dyDescent="0.2">
      <c r="A921" s="3" t="str">
        <f>IF(ISBLANK('Master Submitted DPDs'!$B243),"","Local Plans")</f>
        <v>Local Plans</v>
      </c>
      <c r="B921" t="str">
        <f>IF(ISBLANK('Master Submitted DPDs'!F243),"",'Master Submitted DPDs'!F243)</f>
        <v>LP</v>
      </c>
      <c r="C921" s="3" t="str">
        <f>IF(ISBLANK('Master Submitted DPDs'!$B243),"","IH")</f>
        <v>IH</v>
      </c>
      <c r="D921" s="3" t="str">
        <f>LOOKUP($F921,'fuzzy LPA lookup'!$E:$E,'fuzzy LPA lookup'!$A:$A)</f>
        <v>A4710</v>
      </c>
      <c r="E921" s="3" t="str">
        <f>LOOKUP($F921,'fuzzy LPA lookup'!$E:$E,'fuzzy LPA lookup'!$D:$D)</f>
        <v>Calderdale Metropolitan Borough Council</v>
      </c>
      <c r="F921" s="8">
        <f>IF(ISBLANK('Master Submitted DPDs'!B243),"",'Master Submitted DPDs'!B243)</f>
        <v>2006</v>
      </c>
      <c r="G921" t="str">
        <f>IF(ISBLANK('Master Submitted DPDs'!AS243),"","Withdrawn")</f>
        <v/>
      </c>
      <c r="H921" s="2" t="str">
        <f>IF(ISBLANK('Master Submitted DPDs'!AS243),"",'Master Submitted DPDs'!AS243)</f>
        <v/>
      </c>
      <c r="I921" s="3"/>
      <c r="J921" s="3"/>
      <c r="K921" s="3"/>
      <c r="L921" s="2">
        <f>IF(ISBLANK('Master Submitted DPDs'!J243),"",'Master Submitted DPDs'!J243)</f>
        <v>43476</v>
      </c>
      <c r="M921" s="2">
        <f t="shared" si="30"/>
        <v>43476</v>
      </c>
      <c r="N921" s="2">
        <f>IF(ISBLANK('Master Submitted DPDs'!M243),IF(ISBLANK('Master Submitted DPDs'!O243),"",'Master Submitted DPDs'!O243),'Master Submitted DPDs'!M243)</f>
        <v>43476</v>
      </c>
      <c r="O921" s="2">
        <f>IF(ISBLANK('Master Submitted DPDs'!Q243),"",'Master Submitted DPDs'!Q243)</f>
        <v>44589</v>
      </c>
      <c r="P921" s="2">
        <f>IF(ISBLANK('Master Submitted DPDs'!AO243),"",'Master Submitted DPDs'!AO243)</f>
        <v>44952</v>
      </c>
      <c r="Q921" t="str">
        <f>IF(ISBLANK('Master Submitted DPDs'!AU243),"",'Master Submitted DPDs'!AU243)</f>
        <v>SOU</v>
      </c>
      <c r="R921" t="str">
        <f t="shared" si="31"/>
        <v>Closed</v>
      </c>
      <c r="S921" s="3"/>
      <c r="T921">
        <f>IF(ISBLANK('Master Submitted DPDs'!G243),"",'Master Submitted DPDs'!G243)</f>
        <v>3</v>
      </c>
    </row>
    <row r="922" spans="1:20" ht="15" x14ac:dyDescent="0.2">
      <c r="A922" s="3" t="str">
        <f>IF(ISBLANK('Master Submitted DPDs'!$B244),"","Local Plans")</f>
        <v>Local Plans</v>
      </c>
      <c r="B922" t="str">
        <f>IF(ISBLANK('Master Submitted DPDs'!F244),"",'Master Submitted DPDs'!F244)</f>
        <v>LP</v>
      </c>
      <c r="C922" s="3" t="str">
        <f>IF(ISBLANK('Master Submitted DPDs'!$B244),"","IH")</f>
        <v>IH</v>
      </c>
      <c r="D922" s="3" t="str">
        <f>LOOKUP($F922,'fuzzy LPA lookup'!$E:$E,'fuzzy LPA lookup'!$A:$A)</f>
        <v>Y2810</v>
      </c>
      <c r="E922" s="3" t="str">
        <f>LOOKUP($F922,'fuzzy LPA lookup'!$E:$E,'fuzzy LPA lookup'!$D:$D)</f>
        <v>Daventry District Council</v>
      </c>
      <c r="F922" s="8">
        <f>IF(ISBLANK('Master Submitted DPDs'!B244),"",'Master Submitted DPDs'!B244)</f>
        <v>1936</v>
      </c>
      <c r="G922" t="str">
        <f>IF(ISBLANK('Master Submitted DPDs'!AS244),"","Withdrawn")</f>
        <v/>
      </c>
      <c r="H922" s="2" t="str">
        <f>IF(ISBLANK('Master Submitted DPDs'!AS244),"",'Master Submitted DPDs'!AS244)</f>
        <v/>
      </c>
      <c r="I922" s="3"/>
      <c r="J922" s="3"/>
      <c r="K922" s="3"/>
      <c r="L922" s="2">
        <f>IF(ISBLANK('Master Submitted DPDs'!J244),"",'Master Submitted DPDs'!J244)</f>
        <v>43479</v>
      </c>
      <c r="M922" s="2">
        <f t="shared" si="30"/>
        <v>43479</v>
      </c>
      <c r="N922" s="2">
        <f>IF(ISBLANK('Master Submitted DPDs'!M244),IF(ISBLANK('Master Submitted DPDs'!O244),"",'Master Submitted DPDs'!O244),'Master Submitted DPDs'!M244)</f>
        <v>43479</v>
      </c>
      <c r="O922" s="2">
        <f>IF(ISBLANK('Master Submitted DPDs'!Q244),"",'Master Submitted DPDs'!Q244)</f>
        <v>43616</v>
      </c>
      <c r="P922" s="2">
        <f>IF(ISBLANK('Master Submitted DPDs'!AO244),"",'Master Submitted DPDs'!AO244)</f>
        <v>43836</v>
      </c>
      <c r="Q922" t="str">
        <f>IF(ISBLANK('Master Submitted DPDs'!AU244),"",'Master Submitted DPDs'!AU244)</f>
        <v>SOU</v>
      </c>
      <c r="R922" t="str">
        <f t="shared" si="31"/>
        <v>Closed</v>
      </c>
      <c r="S922" s="3"/>
      <c r="T922">
        <f>IF(ISBLANK('Master Submitted DPDs'!G244),"",'Master Submitted DPDs'!G244)</f>
        <v>3</v>
      </c>
    </row>
    <row r="923" spans="1:20" ht="15" x14ac:dyDescent="0.2">
      <c r="A923" s="3" t="str">
        <f>IF(ISBLANK('Master Submitted DPDs'!$B245),"","Local Plans")</f>
        <v>Local Plans</v>
      </c>
      <c r="B923" t="str">
        <f>IF(ISBLANK('Master Submitted DPDs'!F245),"",'Master Submitted DPDs'!F245)</f>
        <v>SA</v>
      </c>
      <c r="C923" s="3" t="str">
        <f>IF(ISBLANK('Master Submitted DPDs'!$B245),"","IH")</f>
        <v>IH</v>
      </c>
      <c r="D923" s="3" t="str">
        <f>LOOKUP($F923,'fuzzy LPA lookup'!$E:$E,'fuzzy LPA lookup'!$A:$A)</f>
        <v>U1430</v>
      </c>
      <c r="E923" s="3" t="str">
        <f>LOOKUP($F923,'fuzzy LPA lookup'!$E:$E,'fuzzy LPA lookup'!$D:$D)</f>
        <v>Rother District Council</v>
      </c>
      <c r="F923" s="8">
        <f>IF(ISBLANK('Master Submitted DPDs'!B245),"",'Master Submitted DPDs'!B245)</f>
        <v>1952</v>
      </c>
      <c r="G923" t="str">
        <f>IF(ISBLANK('Master Submitted DPDs'!AS245),"","Withdrawn")</f>
        <v/>
      </c>
      <c r="H923" s="2" t="str">
        <f>IF(ISBLANK('Master Submitted DPDs'!AS245),"",'Master Submitted DPDs'!AS245)</f>
        <v/>
      </c>
      <c r="I923" s="3"/>
      <c r="J923" s="3"/>
      <c r="K923" s="3"/>
      <c r="L923" s="2">
        <f>IF(ISBLANK('Master Submitted DPDs'!J245),"",'Master Submitted DPDs'!J245)</f>
        <v>43483</v>
      </c>
      <c r="M923" s="2">
        <f t="shared" si="30"/>
        <v>43483</v>
      </c>
      <c r="N923" s="2">
        <f>IF(ISBLANK('Master Submitted DPDs'!M245),IF(ISBLANK('Master Submitted DPDs'!O245),"",'Master Submitted DPDs'!O245),'Master Submitted DPDs'!M245)</f>
        <v>43489</v>
      </c>
      <c r="O923" s="2">
        <f>IF(ISBLANK('Master Submitted DPDs'!Q245),"",'Master Submitted DPDs'!Q245)</f>
        <v>43601</v>
      </c>
      <c r="P923" s="2">
        <f>IF(ISBLANK('Master Submitted DPDs'!AO245),"",'Master Submitted DPDs'!AO245)</f>
        <v>43774</v>
      </c>
      <c r="Q923" t="str">
        <f>IF(ISBLANK('Master Submitted DPDs'!AU245),"",'Master Submitted DPDs'!AU245)</f>
        <v>SOU</v>
      </c>
      <c r="R923" t="str">
        <f t="shared" si="31"/>
        <v>Closed</v>
      </c>
      <c r="S923" s="3"/>
      <c r="T923">
        <f>IF(ISBLANK('Master Submitted DPDs'!G245),"",'Master Submitted DPDs'!G245)</f>
        <v>2</v>
      </c>
    </row>
    <row r="924" spans="1:20" ht="15" x14ac:dyDescent="0.2">
      <c r="A924" s="3" t="str">
        <f>IF(ISBLANK('Master Submitted DPDs'!$B246),"","Local Plans")</f>
        <v>Local Plans</v>
      </c>
      <c r="B924" t="str">
        <f>IF(ISBLANK('Master Submitted DPDs'!F246),"",'Master Submitted DPDs'!F246)</f>
        <v>SA</v>
      </c>
      <c r="C924" s="3" t="str">
        <f>IF(ISBLANK('Master Submitted DPDs'!$B246),"","IH")</f>
        <v>IH</v>
      </c>
      <c r="D924" s="3" t="str">
        <f>LOOKUP($F924,'fuzzy LPA lookup'!$E:$E,'fuzzy LPA lookup'!$A:$A)</f>
        <v>Z0835</v>
      </c>
      <c r="E924" s="3" t="str">
        <f>LOOKUP($F924,'fuzzy LPA lookup'!$E:$E,'fuzzy LPA lookup'!$D:$D)</f>
        <v>The Isles of Scilly Council</v>
      </c>
      <c r="F924" s="8">
        <f>IF(ISBLANK('Master Submitted DPDs'!B246),"",'Master Submitted DPDs'!B246)</f>
        <v>1998</v>
      </c>
      <c r="G924" t="str">
        <f>IF(ISBLANK('Master Submitted DPDs'!AS246),"","Withdrawn")</f>
        <v/>
      </c>
      <c r="H924" s="2" t="str">
        <f>IF(ISBLANK('Master Submitted DPDs'!AS246),"",'Master Submitted DPDs'!AS246)</f>
        <v/>
      </c>
      <c r="I924" s="3"/>
      <c r="J924" s="3"/>
      <c r="K924" s="3"/>
      <c r="L924" s="2">
        <f>IF(ISBLANK('Master Submitted DPDs'!J246),"",'Master Submitted DPDs'!J246)</f>
        <v>43483</v>
      </c>
      <c r="M924" s="2">
        <f t="shared" si="30"/>
        <v>43483</v>
      </c>
      <c r="N924" s="2">
        <f>IF(ISBLANK('Master Submitted DPDs'!M246),IF(ISBLANK('Master Submitted DPDs'!O246),"",'Master Submitted DPDs'!O246),'Master Submitted DPDs'!M246)</f>
        <v>43483</v>
      </c>
      <c r="O924" s="2">
        <f>IF(ISBLANK('Master Submitted DPDs'!Q246),"",'Master Submitted DPDs'!Q246)</f>
        <v>43607</v>
      </c>
      <c r="P924" s="2">
        <f>IF(ISBLANK('Master Submitted DPDs'!AO246),"",'Master Submitted DPDs'!AO246)</f>
        <v>43839</v>
      </c>
      <c r="Q924" t="str">
        <f>IF(ISBLANK('Master Submitted DPDs'!AU246),"",'Master Submitted DPDs'!AU246)</f>
        <v>SOU</v>
      </c>
      <c r="R924" t="str">
        <f t="shared" si="31"/>
        <v>Closed</v>
      </c>
      <c r="S924" s="3"/>
      <c r="T924">
        <f>IF(ISBLANK('Master Submitted DPDs'!G246),"",'Master Submitted DPDs'!G246)</f>
        <v>2</v>
      </c>
    </row>
    <row r="925" spans="1:20" ht="15" x14ac:dyDescent="0.2">
      <c r="A925" s="3" t="str">
        <f>IF(ISBLANK('Master Submitted DPDs'!$B247),"","Local Plans")</f>
        <v>Local Plans</v>
      </c>
      <c r="B925" t="str">
        <f>IF(ISBLANK('Master Submitted DPDs'!F247),"",'Master Submitted DPDs'!F247)</f>
        <v>LP</v>
      </c>
      <c r="C925" s="3" t="str">
        <f>IF(ISBLANK('Master Submitted DPDs'!$B247),"","IH")</f>
        <v>IH</v>
      </c>
      <c r="D925" s="3" t="str">
        <f>LOOKUP($F925,'fuzzy LPA lookup'!$E:$E,'fuzzy LPA lookup'!$A:$A)</f>
        <v>M1900</v>
      </c>
      <c r="E925" s="3" t="str">
        <f>LOOKUP($F925,'fuzzy LPA lookup'!$E:$E,'fuzzy LPA lookup'!$D:$D)</f>
        <v>Hertfordshire County Council</v>
      </c>
      <c r="F925" s="8">
        <f>IF(ISBLANK('Master Submitted DPDs'!B247),"",'Master Submitted DPDs'!B247)</f>
        <v>1933</v>
      </c>
      <c r="G925" t="str">
        <f>IF(ISBLANK('Master Submitted DPDs'!AS247),"","Withdrawn")</f>
        <v/>
      </c>
      <c r="H925" s="2" t="str">
        <f>IF(ISBLANK('Master Submitted DPDs'!AS247),"",'Master Submitted DPDs'!AS247)</f>
        <v/>
      </c>
      <c r="I925" s="3"/>
      <c r="J925" s="3"/>
      <c r="K925" s="3"/>
      <c r="L925" s="2">
        <f>IF(ISBLANK('Master Submitted DPDs'!J247),"",'Master Submitted DPDs'!J247)</f>
        <v>43483</v>
      </c>
      <c r="M925" s="2">
        <f t="shared" si="30"/>
        <v>43483</v>
      </c>
      <c r="N925" s="2">
        <f>IF(ISBLANK('Master Submitted DPDs'!M247),IF(ISBLANK('Master Submitted DPDs'!O247),"",'Master Submitted DPDs'!O247),'Master Submitted DPDs'!M247)</f>
        <v>43483</v>
      </c>
      <c r="O925" s="2">
        <f>IF(ISBLANK('Master Submitted DPDs'!Q247),"",'Master Submitted DPDs'!Q247)</f>
        <v>43797</v>
      </c>
      <c r="P925" s="2">
        <f>IF(ISBLANK('Master Submitted DPDs'!AO247),"",'Master Submitted DPDs'!AO247)</f>
        <v>45336</v>
      </c>
      <c r="Q925" t="str">
        <f>IF(ISBLANK('Master Submitted DPDs'!AU247),"",'Master Submitted DPDs'!AU247)</f>
        <v>UNS</v>
      </c>
      <c r="R925" t="str">
        <f t="shared" si="31"/>
        <v>Closed</v>
      </c>
      <c r="S925" s="3"/>
      <c r="T925">
        <f>IF(ISBLANK('Master Submitted DPDs'!G247),"",'Master Submitted DPDs'!G247)</f>
        <v>3</v>
      </c>
    </row>
    <row r="926" spans="1:20" ht="15" x14ac:dyDescent="0.2">
      <c r="A926" s="3" t="str">
        <f>IF(ISBLANK('Master Submitted DPDs'!$B248),"","Local Plans")</f>
        <v>Local Plans</v>
      </c>
      <c r="B926" t="str">
        <f>IF(ISBLANK('Master Submitted DPDs'!F248),"",'Master Submitted DPDs'!F248)</f>
        <v>LP</v>
      </c>
      <c r="C926" s="3" t="str">
        <f>IF(ISBLANK('Master Submitted DPDs'!$B248),"","IH")</f>
        <v>IH</v>
      </c>
      <c r="D926" s="3" t="str">
        <f>LOOKUP($F926,'fuzzy LPA lookup'!$E:$E,'fuzzy LPA lookup'!$A:$A)</f>
        <v>V2825</v>
      </c>
      <c r="E926" s="3" t="str">
        <f>LOOKUP($F926,'fuzzy LPA lookup'!$E:$E,'fuzzy LPA lookup'!$D:$D)</f>
        <v>Northampton Borough Council</v>
      </c>
      <c r="F926" s="8">
        <f>IF(ISBLANK('Master Submitted DPDs'!B248),"",'Master Submitted DPDs'!B248)</f>
        <v>1924</v>
      </c>
      <c r="G926" t="str">
        <f>IF(ISBLANK('Master Submitted DPDs'!AS248),"","Withdrawn")</f>
        <v>Withdrawn</v>
      </c>
      <c r="H926" s="2">
        <f>IF(ISBLANK('Master Submitted DPDs'!AS248),"",'Master Submitted DPDs'!AS248)</f>
        <v>43956</v>
      </c>
      <c r="I926" s="3"/>
      <c r="J926" s="3"/>
      <c r="K926" s="3"/>
      <c r="L926" s="2">
        <f>IF(ISBLANK('Master Submitted DPDs'!J248),"",'Master Submitted DPDs'!J248)</f>
        <v>43483</v>
      </c>
      <c r="M926" s="2">
        <f t="shared" si="30"/>
        <v>43483</v>
      </c>
      <c r="N926" s="2">
        <f>IF(ISBLANK('Master Submitted DPDs'!M248),IF(ISBLANK('Master Submitted DPDs'!O248),"",'Master Submitted DPDs'!O248),'Master Submitted DPDs'!M248)</f>
        <v>43489</v>
      </c>
      <c r="O926" s="2" t="str">
        <f>IF(ISBLANK('Master Submitted DPDs'!Q248),"",'Master Submitted DPDs'!Q248)</f>
        <v/>
      </c>
      <c r="P926" s="2" t="str">
        <f>IF(ISBLANK('Master Submitted DPDs'!AO248),"",'Master Submitted DPDs'!AO248)</f>
        <v/>
      </c>
      <c r="Q926" t="str">
        <f>IF(ISBLANK('Master Submitted DPDs'!AU248),"",'Master Submitted DPDs'!AU248)</f>
        <v>DPDW</v>
      </c>
      <c r="R926" t="str">
        <f t="shared" si="31"/>
        <v>Closed</v>
      </c>
      <c r="S926" s="3"/>
      <c r="T926">
        <f>IF(ISBLANK('Master Submitted DPDs'!G248),"",'Master Submitted DPDs'!G248)</f>
        <v>3</v>
      </c>
    </row>
    <row r="927" spans="1:20" ht="15" x14ac:dyDescent="0.2">
      <c r="A927" s="3" t="str">
        <f>IF(ISBLANK('Master Submitted DPDs'!$B249),"","Local Plans")</f>
        <v>Local Plans</v>
      </c>
      <c r="B927" t="str">
        <f>IF(ISBLANK('Master Submitted DPDs'!F249),"",'Master Submitted DPDs'!F249)</f>
        <v>LP</v>
      </c>
      <c r="C927" s="3" t="str">
        <f>IF(ISBLANK('Master Submitted DPDs'!$B249),"","IH")</f>
        <v>IH</v>
      </c>
      <c r="D927" s="3" t="str">
        <f>LOOKUP($F927,'fuzzy LPA lookup'!$E:$E,'fuzzy LPA lookup'!$A:$A)</f>
        <v>X3025</v>
      </c>
      <c r="E927" s="3" t="str">
        <f>LOOKUP($F927,'fuzzy LPA lookup'!$E:$E,'fuzzy LPA lookup'!$D:$D)</f>
        <v>Mansfield District Council</v>
      </c>
      <c r="F927" s="8">
        <f>IF(ISBLANK('Master Submitted DPDs'!B249),"",'Master Submitted DPDs'!B249)</f>
        <v>1948</v>
      </c>
      <c r="G927" t="str">
        <f>IF(ISBLANK('Master Submitted DPDs'!AS249),"","Withdrawn")</f>
        <v>Withdrawn</v>
      </c>
      <c r="H927" s="2">
        <f>IF(ISBLANK('Master Submitted DPDs'!AS249),"",'Master Submitted DPDs'!AS249)</f>
        <v>43899</v>
      </c>
      <c r="I927" s="3"/>
      <c r="J927" s="3"/>
      <c r="K927" s="3"/>
      <c r="L927" s="2">
        <f>IF(ISBLANK('Master Submitted DPDs'!J249),"",'Master Submitted DPDs'!J249)</f>
        <v>43483</v>
      </c>
      <c r="M927" s="2">
        <f t="shared" si="30"/>
        <v>43483</v>
      </c>
      <c r="N927" s="2">
        <f>IF(ISBLANK('Master Submitted DPDs'!M249),IF(ISBLANK('Master Submitted DPDs'!O249),"",'Master Submitted DPDs'!O249),'Master Submitted DPDs'!M249)</f>
        <v>43489</v>
      </c>
      <c r="O927" s="2" t="str">
        <f>IF(ISBLANK('Master Submitted DPDs'!Q249),"",'Master Submitted DPDs'!Q249)</f>
        <v/>
      </c>
      <c r="P927" s="2" t="str">
        <f>IF(ISBLANK('Master Submitted DPDs'!AO249),"",'Master Submitted DPDs'!AO249)</f>
        <v/>
      </c>
      <c r="Q927" t="str">
        <f>IF(ISBLANK('Master Submitted DPDs'!AU249),"",'Master Submitted DPDs'!AU249)</f>
        <v>DPDW</v>
      </c>
      <c r="R927" t="str">
        <f t="shared" si="31"/>
        <v>Closed</v>
      </c>
      <c r="S927" s="3"/>
      <c r="T927">
        <f>IF(ISBLANK('Master Submitted DPDs'!G249),"",'Master Submitted DPDs'!G249)</f>
        <v>3</v>
      </c>
    </row>
    <row r="928" spans="1:20" ht="15" x14ac:dyDescent="0.2">
      <c r="A928" s="3" t="str">
        <f>IF(ISBLANK('Master Submitted DPDs'!$B250),"","Local Plans")</f>
        <v>Local Plans</v>
      </c>
      <c r="B928" t="str">
        <f>IF(ISBLANK('Master Submitted DPDs'!F250),"",'Master Submitted DPDs'!F250)</f>
        <v>SA</v>
      </c>
      <c r="C928" s="3" t="str">
        <f>IF(ISBLANK('Master Submitted DPDs'!$B250),"","IH")</f>
        <v>IH</v>
      </c>
      <c r="D928" s="3" t="str">
        <f>LOOKUP($F928,'fuzzy LPA lookup'!$E:$E,'fuzzy LPA lookup'!$A:$A)</f>
        <v>P1425</v>
      </c>
      <c r="E928" s="3" t="str">
        <f>LOOKUP($F928,'fuzzy LPA lookup'!$E:$E,'fuzzy LPA lookup'!$D:$D)</f>
        <v>Lewes District Council</v>
      </c>
      <c r="F928" s="8">
        <f>IF(ISBLANK('Master Submitted DPDs'!B250),"",'Master Submitted DPDs'!B250)</f>
        <v>1919</v>
      </c>
      <c r="G928" t="str">
        <f>IF(ISBLANK('Master Submitted DPDs'!AS250),"","Withdrawn")</f>
        <v/>
      </c>
      <c r="H928" s="2" t="str">
        <f>IF(ISBLANK('Master Submitted DPDs'!AS250),"",'Master Submitted DPDs'!AS250)</f>
        <v/>
      </c>
      <c r="I928" s="3"/>
      <c r="J928" s="3"/>
      <c r="K928" s="3"/>
      <c r="L928" s="2">
        <f>IF(ISBLANK('Master Submitted DPDs'!J250),"",'Master Submitted DPDs'!J250)</f>
        <v>43487</v>
      </c>
      <c r="M928" s="2">
        <f t="shared" si="30"/>
        <v>43487</v>
      </c>
      <c r="N928" s="2">
        <f>IF(ISBLANK('Master Submitted DPDs'!M250),IF(ISBLANK('Master Submitted DPDs'!O250),"",'Master Submitted DPDs'!O250),'Master Submitted DPDs'!M250)</f>
        <v>43490</v>
      </c>
      <c r="O928" s="2">
        <f>IF(ISBLANK('Master Submitted DPDs'!Q250),"",'Master Submitted DPDs'!Q250)</f>
        <v>43636</v>
      </c>
      <c r="P928" s="2">
        <f>IF(ISBLANK('Master Submitted DPDs'!AO250),"",'Master Submitted DPDs'!AO250)</f>
        <v>44005</v>
      </c>
      <c r="Q928" t="str">
        <f>IF(ISBLANK('Master Submitted DPDs'!AU250),"",'Master Submitted DPDs'!AU250)</f>
        <v>SOU</v>
      </c>
      <c r="R928" t="str">
        <f t="shared" si="31"/>
        <v>Closed</v>
      </c>
      <c r="S928" s="3"/>
      <c r="T928">
        <f>IF(ISBLANK('Master Submitted DPDs'!G250),"",'Master Submitted DPDs'!G250)</f>
        <v>2</v>
      </c>
    </row>
    <row r="929" spans="1:20" ht="15" x14ac:dyDescent="0.2">
      <c r="A929" s="3" t="str">
        <f>IF(ISBLANK('Master Submitted DPDs'!$B251),"","Local Plans")</f>
        <v>Local Plans</v>
      </c>
      <c r="B929" t="str">
        <f>IF(ISBLANK('Master Submitted DPDs'!F251),"",'Master Submitted DPDs'!F251)</f>
        <v>LP</v>
      </c>
      <c r="C929" s="3" t="str">
        <f>IF(ISBLANK('Master Submitted DPDs'!$B251),"","IH")</f>
        <v>IH</v>
      </c>
      <c r="D929" s="3" t="str">
        <f>LOOKUP($F929,'fuzzy LPA lookup'!$E:$E,'fuzzy LPA lookup'!$A:$A)</f>
        <v>Z0835</v>
      </c>
      <c r="E929" s="3" t="str">
        <f>LOOKUP($F929,'fuzzy LPA lookup'!$E:$E,'fuzzy LPA lookup'!$D:$D)</f>
        <v>The Isles of Scilly Council</v>
      </c>
      <c r="F929" s="8">
        <f>IF(ISBLANK('Master Submitted DPDs'!B251),"",'Master Submitted DPDs'!B251)</f>
        <v>1999</v>
      </c>
      <c r="G929" t="str">
        <f>IF(ISBLANK('Master Submitted DPDs'!AS251),"","Withdrawn")</f>
        <v/>
      </c>
      <c r="H929" s="2" t="str">
        <f>IF(ISBLANK('Master Submitted DPDs'!AS251),"",'Master Submitted DPDs'!AS251)</f>
        <v/>
      </c>
      <c r="I929" s="3"/>
      <c r="J929" s="3"/>
      <c r="K929" s="3"/>
      <c r="L929" s="2">
        <f>IF(ISBLANK('Master Submitted DPDs'!J251),"",'Master Submitted DPDs'!J251)</f>
        <v>43488</v>
      </c>
      <c r="M929" s="2">
        <f t="shared" si="30"/>
        <v>43488</v>
      </c>
      <c r="N929" s="2">
        <f>IF(ISBLANK('Master Submitted DPDs'!M251),IF(ISBLANK('Master Submitted DPDs'!O251),"",'Master Submitted DPDs'!O251),'Master Submitted DPDs'!M251)</f>
        <v>43510</v>
      </c>
      <c r="O929" s="2">
        <f>IF(ISBLANK('Master Submitted DPDs'!Q251),"",'Master Submitted DPDs'!Q251)</f>
        <v>44008</v>
      </c>
      <c r="P929" s="2">
        <f>IF(ISBLANK('Master Submitted DPDs'!AO251),"",'Master Submitted DPDs'!AO251)</f>
        <v>43992</v>
      </c>
      <c r="Q929" t="str">
        <f>IF(ISBLANK('Master Submitted DPDs'!AU251),"",'Master Submitted DPDs'!AU251)</f>
        <v>SOU</v>
      </c>
      <c r="R929" t="str">
        <f t="shared" si="31"/>
        <v>Closed</v>
      </c>
      <c r="S929" s="3"/>
      <c r="T929">
        <f>IF(ISBLANK('Master Submitted DPDs'!G251),"",'Master Submitted DPDs'!G251)</f>
        <v>3</v>
      </c>
    </row>
    <row r="930" spans="1:20" ht="15" x14ac:dyDescent="0.2">
      <c r="A930" s="3" t="str">
        <f>IF(ISBLANK('Master Submitted DPDs'!$B252),"","Local Plans")</f>
        <v>Local Plans</v>
      </c>
      <c r="B930" t="str">
        <f>IF(ISBLANK('Master Submitted DPDs'!F252),"",'Master Submitted DPDs'!F252)</f>
        <v>LP</v>
      </c>
      <c r="C930" s="3" t="str">
        <f>IF(ISBLANK('Master Submitted DPDs'!$B252),"","IH")</f>
        <v>IH</v>
      </c>
      <c r="D930" s="3" t="str">
        <f>LOOKUP($F930,'fuzzy LPA lookup'!$E:$E,'fuzzy LPA lookup'!$A:$A)</f>
        <v>P1045</v>
      </c>
      <c r="E930" s="3" t="str">
        <f>LOOKUP($F930,'fuzzy LPA lookup'!$E:$E,'fuzzy LPA lookup'!$D:$D)</f>
        <v>Derbyshire Dales District Council</v>
      </c>
      <c r="F930" s="8">
        <f>IF(ISBLANK('Master Submitted DPDs'!B252),"",'Master Submitted DPDs'!B252)</f>
        <v>1469</v>
      </c>
      <c r="G930" t="str">
        <f>IF(ISBLANK('Master Submitted DPDs'!AS252),"","Withdrawn")</f>
        <v>Withdrawn</v>
      </c>
      <c r="H930" s="2">
        <f>IF(ISBLANK('Master Submitted DPDs'!AS252),"",'Master Submitted DPDs'!AS252)</f>
        <v>44390</v>
      </c>
      <c r="I930" s="3"/>
      <c r="J930" s="3"/>
      <c r="K930" s="3"/>
      <c r="L930" s="2">
        <f>IF(ISBLANK('Master Submitted DPDs'!J252),"",'Master Submitted DPDs'!J252)</f>
        <v>43488</v>
      </c>
      <c r="M930" s="2">
        <f t="shared" si="30"/>
        <v>43488</v>
      </c>
      <c r="N930" s="2">
        <f>IF(ISBLANK('Master Submitted DPDs'!M252),IF(ISBLANK('Master Submitted DPDs'!O252),"",'Master Submitted DPDs'!O252),'Master Submitted DPDs'!M252)</f>
        <v>43510</v>
      </c>
      <c r="O930" s="2">
        <f>IF(ISBLANK('Master Submitted DPDs'!Q252),"",'Master Submitted DPDs'!Q252)</f>
        <v>44112</v>
      </c>
      <c r="P930" s="2">
        <f>IF(ISBLANK('Master Submitted DPDs'!AO252),"",'Master Submitted DPDs'!AO252)</f>
        <v>44354</v>
      </c>
      <c r="Q930" t="str">
        <f>IF(ISBLANK('Master Submitted DPDs'!AU252),"",'Master Submitted DPDs'!AU252)</f>
        <v>UNS</v>
      </c>
      <c r="R930" t="str">
        <f t="shared" si="31"/>
        <v>Closed</v>
      </c>
      <c r="S930" s="3"/>
      <c r="T930">
        <f>IF(ISBLANK('Master Submitted DPDs'!G252),"",'Master Submitted DPDs'!G252)</f>
        <v>3</v>
      </c>
    </row>
    <row r="931" spans="1:20" ht="15" x14ac:dyDescent="0.2">
      <c r="A931" s="3" t="str">
        <f>IF(ISBLANK('Master Submitted DPDs'!$B253),"","Local Plans")</f>
        <v>Local Plans</v>
      </c>
      <c r="B931" t="str">
        <f>IF(ISBLANK('Master Submitted DPDs'!F253),"",'Master Submitted DPDs'!F253)</f>
        <v>SA</v>
      </c>
      <c r="C931" s="3" t="str">
        <f>IF(ISBLANK('Master Submitted DPDs'!$B253),"","IH")</f>
        <v>IH</v>
      </c>
      <c r="D931" s="3" t="str">
        <f>LOOKUP($F931,'fuzzy LPA lookup'!$E:$E,'fuzzy LPA lookup'!$A:$A)</f>
        <v>V3500</v>
      </c>
      <c r="E931" s="3" t="str">
        <f>LOOKUP($F931,'fuzzy LPA lookup'!$E:$E,'fuzzy LPA lookup'!$D:$D)</f>
        <v>Suffolk County Council</v>
      </c>
      <c r="F931" s="8">
        <f>IF(ISBLANK('Master Submitted DPDs'!B253),"",'Master Submitted DPDs'!B253)</f>
        <v>2060</v>
      </c>
      <c r="G931" t="str">
        <f>IF(ISBLANK('Master Submitted DPDs'!AS253),"","Withdrawn")</f>
        <v/>
      </c>
      <c r="H931" s="2" t="str">
        <f>IF(ISBLANK('Master Submitted DPDs'!AS253),"",'Master Submitted DPDs'!AS253)</f>
        <v/>
      </c>
      <c r="I931" s="3"/>
      <c r="J931" s="3"/>
      <c r="K931" s="3"/>
      <c r="L931" s="2">
        <f>IF(ISBLANK('Master Submitted DPDs'!J253),"",'Master Submitted DPDs'!J253)</f>
        <v>43488</v>
      </c>
      <c r="M931" s="2">
        <f t="shared" si="30"/>
        <v>43488</v>
      </c>
      <c r="N931" s="2">
        <f>IF(ISBLANK('Master Submitted DPDs'!M253),IF(ISBLANK('Master Submitted DPDs'!O253),"",'Master Submitted DPDs'!O253),'Master Submitted DPDs'!M253)</f>
        <v>43494</v>
      </c>
      <c r="O931" s="2">
        <f>IF(ISBLANK('Master Submitted DPDs'!Q253),"",'Master Submitted DPDs'!Q253)</f>
        <v>44169</v>
      </c>
      <c r="P931" s="2">
        <f>IF(ISBLANK('Master Submitted DPDs'!AO253),"",'Master Submitted DPDs'!AO253)</f>
        <v>44440</v>
      </c>
      <c r="Q931" t="str">
        <f>IF(ISBLANK('Master Submitted DPDs'!AU253),"",'Master Submitted DPDs'!AU253)</f>
        <v>SOU</v>
      </c>
      <c r="R931" t="str">
        <f t="shared" si="31"/>
        <v>Closed</v>
      </c>
      <c r="S931" s="3"/>
      <c r="T931">
        <f>IF(ISBLANK('Master Submitted DPDs'!G253),"",'Master Submitted DPDs'!G253)</f>
        <v>2</v>
      </c>
    </row>
    <row r="932" spans="1:20" ht="15" x14ac:dyDescent="0.2">
      <c r="A932" s="3" t="str">
        <f>IF(ISBLANK('Master Submitted DPDs'!$B254),"","Local Plans")</f>
        <v>Local Plans</v>
      </c>
      <c r="B932" t="str">
        <f>IF(ISBLANK('Master Submitted DPDs'!F254),"",'Master Submitted DPDs'!F254)</f>
        <v>LP</v>
      </c>
      <c r="C932" s="3" t="str">
        <f>IF(ISBLANK('Master Submitted DPDs'!$B254),"","IH")</f>
        <v>IH</v>
      </c>
      <c r="D932" s="3" t="str">
        <f>LOOKUP($F932,'fuzzy LPA lookup'!$E:$E,'fuzzy LPA lookup'!$A:$A)</f>
        <v>U1105</v>
      </c>
      <c r="E932" s="3" t="str">
        <f>LOOKUP($F932,'fuzzy LPA lookup'!$E:$E,'fuzzy LPA lookup'!$D:$D)</f>
        <v>East Devon District Council</v>
      </c>
      <c r="F932" s="8">
        <f>IF(ISBLANK('Master Submitted DPDs'!B254),"",'Master Submitted DPDs'!B254)</f>
        <v>2016</v>
      </c>
      <c r="G932" t="str">
        <f>IF(ISBLANK('Master Submitted DPDs'!AS254),"","Withdrawn")</f>
        <v/>
      </c>
      <c r="H932" s="2" t="str">
        <f>IF(ISBLANK('Master Submitted DPDs'!AS254),"",'Master Submitted DPDs'!AS254)</f>
        <v/>
      </c>
      <c r="I932" s="3"/>
      <c r="J932" s="3"/>
      <c r="K932" s="3"/>
      <c r="L932" s="2">
        <f>IF(ISBLANK('Master Submitted DPDs'!J254),"",'Master Submitted DPDs'!J254)</f>
        <v>43493</v>
      </c>
      <c r="M932" s="2">
        <f t="shared" si="30"/>
        <v>43493</v>
      </c>
      <c r="N932" s="2">
        <f>IF(ISBLANK('Master Submitted DPDs'!M254),IF(ISBLANK('Master Submitted DPDs'!O254),"",'Master Submitted DPDs'!O254),'Master Submitted DPDs'!M254)</f>
        <v>43494</v>
      </c>
      <c r="O932" s="2">
        <f>IF(ISBLANK('Master Submitted DPDs'!Q254),"",'Master Submitted DPDs'!Q254)</f>
        <v>44761</v>
      </c>
      <c r="P932" s="2">
        <f>IF(ISBLANK('Master Submitted DPDs'!AO254),"",'Master Submitted DPDs'!AO254)</f>
        <v>45419</v>
      </c>
      <c r="Q932" t="str">
        <f>IF(ISBLANK('Master Submitted DPDs'!AU254),"",'Master Submitted DPDs'!AU254)</f>
        <v>SOU</v>
      </c>
      <c r="R932" t="str">
        <f t="shared" si="31"/>
        <v>Closed</v>
      </c>
      <c r="S932" s="3"/>
      <c r="T932">
        <f>IF(ISBLANK('Master Submitted DPDs'!G254),"",'Master Submitted DPDs'!G254)</f>
        <v>3</v>
      </c>
    </row>
    <row r="933" spans="1:20" ht="15" x14ac:dyDescent="0.2">
      <c r="A933" s="3" t="str">
        <f>IF(ISBLANK('Master Submitted DPDs'!$B255),"","Local Plans")</f>
        <v>Local Plans</v>
      </c>
      <c r="B933" t="str">
        <f>IF(ISBLANK('Master Submitted DPDs'!F255),"",'Master Submitted DPDs'!F255)</f>
        <v>LP</v>
      </c>
      <c r="C933" s="3" t="str">
        <f>IF(ISBLANK('Master Submitted DPDs'!$B255),"","IH")</f>
        <v>IH</v>
      </c>
      <c r="D933" s="3" t="str">
        <f>LOOKUP($F933,'fuzzy LPA lookup'!$E:$E,'fuzzy LPA lookup'!$A:$A)</f>
        <v>U1105</v>
      </c>
      <c r="E933" s="3" t="str">
        <f>LOOKUP($F933,'fuzzy LPA lookup'!$E:$E,'fuzzy LPA lookup'!$D:$D)</f>
        <v>East Devon District Council</v>
      </c>
      <c r="F933" s="8">
        <f>IF(ISBLANK('Master Submitted DPDs'!B255),"",'Master Submitted DPDs'!B255)</f>
        <v>2017</v>
      </c>
      <c r="G933" t="str">
        <f>IF(ISBLANK('Master Submitted DPDs'!AS255),"","Withdrawn")</f>
        <v/>
      </c>
      <c r="H933" s="2" t="str">
        <f>IF(ISBLANK('Master Submitted DPDs'!AS255),"",'Master Submitted DPDs'!AS255)</f>
        <v/>
      </c>
      <c r="I933" s="3"/>
      <c r="J933" s="3"/>
      <c r="K933" s="3"/>
      <c r="L933" s="2">
        <f>IF(ISBLANK('Master Submitted DPDs'!J255),"",'Master Submitted DPDs'!J255)</f>
        <v>43532</v>
      </c>
      <c r="M933" s="2">
        <f t="shared" si="30"/>
        <v>43532</v>
      </c>
      <c r="N933" s="2">
        <f>IF(ISBLANK('Master Submitted DPDs'!M255),IF(ISBLANK('Master Submitted DPDs'!O255),"",'Master Submitted DPDs'!O255),'Master Submitted DPDs'!M255)</f>
        <v>43543</v>
      </c>
      <c r="O933" s="2">
        <f>IF(ISBLANK('Master Submitted DPDs'!Q255),"",'Master Submitted DPDs'!Q255)</f>
        <v>43809</v>
      </c>
      <c r="P933" s="2">
        <f>IF(ISBLANK('Master Submitted DPDs'!AO255),"",'Master Submitted DPDs'!AO255)</f>
        <v>43945</v>
      </c>
      <c r="Q933" t="str">
        <f>IF(ISBLANK('Master Submitted DPDs'!AU255),"",'Master Submitted DPDs'!AU255)</f>
        <v>SOU</v>
      </c>
      <c r="R933" t="str">
        <f t="shared" si="31"/>
        <v>Closed</v>
      </c>
      <c r="S933" s="3"/>
      <c r="T933">
        <f>IF(ISBLANK('Master Submitted DPDs'!G255),"",'Master Submitted DPDs'!G255)</f>
        <v>3</v>
      </c>
    </row>
    <row r="934" spans="1:20" ht="15" x14ac:dyDescent="0.2">
      <c r="A934" s="3" t="str">
        <f>IF(ISBLANK('Master Submitted DPDs'!$B256),"","Local Plans")</f>
        <v>Local Plans</v>
      </c>
      <c r="B934" t="str">
        <f>IF(ISBLANK('Master Submitted DPDs'!F256),"",'Master Submitted DPDs'!F256)</f>
        <v>SA</v>
      </c>
      <c r="C934" s="3" t="str">
        <f>IF(ISBLANK('Master Submitted DPDs'!$B256),"","IH")</f>
        <v>IH</v>
      </c>
      <c r="D934" s="3" t="str">
        <f>LOOKUP($F934,'fuzzy LPA lookup'!$E:$E,'fuzzy LPA lookup'!$A:$A)</f>
        <v>V3500</v>
      </c>
      <c r="E934" s="3" t="str">
        <f>LOOKUP($F934,'fuzzy LPA lookup'!$E:$E,'fuzzy LPA lookup'!$D:$D)</f>
        <v>Suffolk County Council</v>
      </c>
      <c r="F934" s="8">
        <f>IF(ISBLANK('Master Submitted DPDs'!B256),"",'Master Submitted DPDs'!B256)</f>
        <v>2059</v>
      </c>
      <c r="G934" t="str">
        <f>IF(ISBLANK('Master Submitted DPDs'!AS256),"","Withdrawn")</f>
        <v/>
      </c>
      <c r="H934" s="2" t="str">
        <f>IF(ISBLANK('Master Submitted DPDs'!AS256),"",'Master Submitted DPDs'!AS256)</f>
        <v/>
      </c>
      <c r="I934" s="3"/>
      <c r="J934" s="3"/>
      <c r="K934" s="3"/>
      <c r="L934" s="2">
        <f>IF(ISBLANK('Master Submitted DPDs'!J256),"",'Master Submitted DPDs'!J256)</f>
        <v>43537</v>
      </c>
      <c r="M934" s="2">
        <f t="shared" si="30"/>
        <v>43537</v>
      </c>
      <c r="N934" s="2">
        <f>IF(ISBLANK('Master Submitted DPDs'!M256),IF(ISBLANK('Master Submitted DPDs'!O256),"",'Master Submitted DPDs'!O256),'Master Submitted DPDs'!M256)</f>
        <v>43538</v>
      </c>
      <c r="O934" s="2">
        <f>IF(ISBLANK('Master Submitted DPDs'!Q256),"",'Master Submitted DPDs'!Q256)</f>
        <v>43657</v>
      </c>
      <c r="P934" s="2">
        <f>IF(ISBLANK('Master Submitted DPDs'!AO256),"",'Master Submitted DPDs'!AO256)</f>
        <v>43899</v>
      </c>
      <c r="Q934" t="str">
        <f>IF(ISBLANK('Master Submitted DPDs'!AU256),"",'Master Submitted DPDs'!AU256)</f>
        <v>SOU</v>
      </c>
      <c r="R934" t="str">
        <f t="shared" si="31"/>
        <v>Closed</v>
      </c>
      <c r="S934" s="3"/>
      <c r="T934">
        <f>IF(ISBLANK('Master Submitted DPDs'!G256),"",'Master Submitted DPDs'!G256)</f>
        <v>2</v>
      </c>
    </row>
    <row r="935" spans="1:20" ht="15" x14ac:dyDescent="0.2">
      <c r="A935" s="3" t="str">
        <f>IF(ISBLANK('Master Submitted DPDs'!$B257),"","Local Plans")</f>
        <v>Local Plans</v>
      </c>
      <c r="B935" t="str">
        <f>IF(ISBLANK('Master Submitted DPDs'!F257),"",'Master Submitted DPDs'!F257)</f>
        <v>LP</v>
      </c>
      <c r="C935" s="3" t="str">
        <f>IF(ISBLANK('Master Submitted DPDs'!$B257),"","IH")</f>
        <v>IH</v>
      </c>
      <c r="D935" s="3" t="str">
        <f>LOOKUP($F935,'fuzzy LPA lookup'!$E:$E,'fuzzy LPA lookup'!$A:$A)</f>
        <v>Z0835</v>
      </c>
      <c r="E935" s="3" t="str">
        <f>LOOKUP($F935,'fuzzy LPA lookup'!$E:$E,'fuzzy LPA lookup'!$D:$D)</f>
        <v>The Isles of Scilly Council</v>
      </c>
      <c r="F935" s="8">
        <f>IF(ISBLANK('Master Submitted DPDs'!B257),"",'Master Submitted DPDs'!B257)</f>
        <v>2003</v>
      </c>
      <c r="G935" t="str">
        <f>IF(ISBLANK('Master Submitted DPDs'!AS257),"","Withdrawn")</f>
        <v/>
      </c>
      <c r="H935" s="2" t="str">
        <f>IF(ISBLANK('Master Submitted DPDs'!AS257),"",'Master Submitted DPDs'!AS257)</f>
        <v/>
      </c>
      <c r="I935" s="3"/>
      <c r="J935" s="3"/>
      <c r="K935" s="3"/>
      <c r="L935" s="2">
        <f>IF(ISBLANK('Master Submitted DPDs'!J257),"",'Master Submitted DPDs'!J257)</f>
        <v>43546</v>
      </c>
      <c r="M935" s="2">
        <f t="shared" si="30"/>
        <v>43546</v>
      </c>
      <c r="N935" s="2">
        <f>IF(ISBLANK('Master Submitted DPDs'!M257),IF(ISBLANK('Master Submitted DPDs'!O257),"",'Master Submitted DPDs'!O257),'Master Submitted DPDs'!M257)</f>
        <v>43551</v>
      </c>
      <c r="O935" s="2">
        <f>IF(ISBLANK('Master Submitted DPDs'!Q257),"",'Master Submitted DPDs'!Q257)</f>
        <v>43818</v>
      </c>
      <c r="P935" s="2">
        <f>IF(ISBLANK('Master Submitted DPDs'!AO257),"",'Master Submitted DPDs'!AO257)</f>
        <v>43966</v>
      </c>
      <c r="Q935" t="str">
        <f>IF(ISBLANK('Master Submitted DPDs'!AU257),"",'Master Submitted DPDs'!AU257)</f>
        <v>SOU</v>
      </c>
      <c r="R935" t="str">
        <f t="shared" si="31"/>
        <v>Closed</v>
      </c>
      <c r="S935" s="3"/>
      <c r="T935">
        <f>IF(ISBLANK('Master Submitted DPDs'!G257),"",'Master Submitted DPDs'!G257)</f>
        <v>3</v>
      </c>
    </row>
    <row r="936" spans="1:20" ht="15" x14ac:dyDescent="0.2">
      <c r="A936" s="3" t="str">
        <f>IF(ISBLANK('Master Submitted DPDs'!$B258),"","Local Plans")</f>
        <v>Local Plans</v>
      </c>
      <c r="B936" t="str">
        <f>IF(ISBLANK('Master Submitted DPDs'!F258),"",'Master Submitted DPDs'!F258)</f>
        <v>LP</v>
      </c>
      <c r="C936" s="3" t="str">
        <f>IF(ISBLANK('Master Submitted DPDs'!$B258),"","IH")</f>
        <v>IH</v>
      </c>
      <c r="D936" s="3" t="str">
        <f>LOOKUP($F936,'fuzzy LPA lookup'!$E:$E,'fuzzy LPA lookup'!$A:$A)</f>
        <v>U1105</v>
      </c>
      <c r="E936" s="3" t="str">
        <f>LOOKUP($F936,'fuzzy LPA lookup'!$E:$E,'fuzzy LPA lookup'!$D:$D)</f>
        <v>East Devon District Council</v>
      </c>
      <c r="F936" s="8">
        <f>IF(ISBLANK('Master Submitted DPDs'!B258),"",'Master Submitted DPDs'!B258)</f>
        <v>2013</v>
      </c>
      <c r="G936" t="str">
        <f>IF(ISBLANK('Master Submitted DPDs'!AS258),"","Withdrawn")</f>
        <v/>
      </c>
      <c r="H936" s="2" t="str">
        <f>IF(ISBLANK('Master Submitted DPDs'!AS258),"",'Master Submitted DPDs'!AS258)</f>
        <v/>
      </c>
      <c r="I936" s="3"/>
      <c r="J936" s="3"/>
      <c r="K936" s="3"/>
      <c r="L936" s="2">
        <f>IF(ISBLANK('Master Submitted DPDs'!J258),"",'Master Submitted DPDs'!J258)</f>
        <v>43549</v>
      </c>
      <c r="M936" s="2">
        <f t="shared" si="30"/>
        <v>43549</v>
      </c>
      <c r="N936" s="2">
        <f>IF(ISBLANK('Master Submitted DPDs'!M258),IF(ISBLANK('Master Submitted DPDs'!O258),"",'Master Submitted DPDs'!O258),'Master Submitted DPDs'!M258)</f>
        <v>43570</v>
      </c>
      <c r="O936" s="2">
        <f>IF(ISBLANK('Master Submitted DPDs'!Q258),"",'Master Submitted DPDs'!Q258)</f>
        <v>43748</v>
      </c>
      <c r="P936" s="2">
        <f>IF(ISBLANK('Master Submitted DPDs'!AO258),"",'Master Submitted DPDs'!AO258)</f>
        <v>44519</v>
      </c>
      <c r="Q936" t="str">
        <f>IF(ISBLANK('Master Submitted DPDs'!AU258),"",'Master Submitted DPDs'!AU258)</f>
        <v>SOU</v>
      </c>
      <c r="R936" t="str">
        <f t="shared" si="31"/>
        <v>Closed</v>
      </c>
      <c r="S936" s="3"/>
      <c r="T936">
        <f>IF(ISBLANK('Master Submitted DPDs'!G258),"",'Master Submitted DPDs'!G258)</f>
        <v>3</v>
      </c>
    </row>
    <row r="937" spans="1:20" ht="15" x14ac:dyDescent="0.2">
      <c r="A937" s="3" t="str">
        <f>IF(ISBLANK('Master Submitted DPDs'!$B259),"","Local Plans")</f>
        <v>Local Plans</v>
      </c>
      <c r="B937" t="str">
        <f>IF(ISBLANK('Master Submitted DPDs'!F259),"",'Master Submitted DPDs'!F259)</f>
        <v>LP</v>
      </c>
      <c r="C937" s="3" t="str">
        <f>IF(ISBLANK('Master Submitted DPDs'!$B259),"","IH")</f>
        <v>IH</v>
      </c>
      <c r="D937" s="3" t="str">
        <f>LOOKUP($F937,'fuzzy LPA lookup'!$E:$E,'fuzzy LPA lookup'!$A:$A)</f>
        <v>P1425</v>
      </c>
      <c r="E937" s="3" t="str">
        <f>LOOKUP($F937,'fuzzy LPA lookup'!$E:$E,'fuzzy LPA lookup'!$D:$D)</f>
        <v>Lewes District Council</v>
      </c>
      <c r="F937" s="8">
        <f>IF(ISBLANK('Master Submitted DPDs'!B259),"",'Master Submitted DPDs'!B259)</f>
        <v>1917</v>
      </c>
      <c r="G937" t="str">
        <f>IF(ISBLANK('Master Submitted DPDs'!AS259),"","Withdrawn")</f>
        <v>Withdrawn</v>
      </c>
      <c r="H937" s="2">
        <f>IF(ISBLANK('Master Submitted DPDs'!AS259),"",'Master Submitted DPDs'!AS259)</f>
        <v>44623</v>
      </c>
      <c r="I937" s="3"/>
      <c r="J937" s="3"/>
      <c r="K937" s="3"/>
      <c r="L937" s="2">
        <f>IF(ISBLANK('Master Submitted DPDs'!J259),"",'Master Submitted DPDs'!J259)</f>
        <v>43552</v>
      </c>
      <c r="M937" s="2">
        <f t="shared" si="30"/>
        <v>43552</v>
      </c>
      <c r="N937" s="2">
        <f>IF(ISBLANK('Master Submitted DPDs'!M259),IF(ISBLANK('Master Submitted DPDs'!O259),"",'Master Submitted DPDs'!O259),'Master Submitted DPDs'!M259)</f>
        <v>43556</v>
      </c>
      <c r="O937" s="2" t="str">
        <f>IF(ISBLANK('Master Submitted DPDs'!Q259),"",'Master Submitted DPDs'!Q259)</f>
        <v/>
      </c>
      <c r="P937" s="2" t="str">
        <f>IF(ISBLANK('Master Submitted DPDs'!AO259),"",'Master Submitted DPDs'!AO259)</f>
        <v/>
      </c>
      <c r="Q937" t="str">
        <f>IF(ISBLANK('Master Submitted DPDs'!AU259),"",'Master Submitted DPDs'!AU259)</f>
        <v>DPDW</v>
      </c>
      <c r="R937" t="str">
        <f t="shared" si="31"/>
        <v>Closed</v>
      </c>
      <c r="S937" s="3"/>
      <c r="T937">
        <f>IF(ISBLANK('Master Submitted DPDs'!G259),"",'Master Submitted DPDs'!G259)</f>
        <v>3</v>
      </c>
    </row>
    <row r="938" spans="1:20" ht="15" x14ac:dyDescent="0.2">
      <c r="A938" s="3" t="str">
        <f>IF(ISBLANK('Master Submitted DPDs'!$B260),"","Local Plans")</f>
        <v>Local Plans</v>
      </c>
      <c r="B938" t="str">
        <f>IF(ISBLANK('Master Submitted DPDs'!F260),"",'Master Submitted DPDs'!F260)</f>
        <v>LP</v>
      </c>
      <c r="C938" s="3" t="str">
        <f>IF(ISBLANK('Master Submitted DPDs'!$B260),"","IH")</f>
        <v>IH</v>
      </c>
      <c r="D938" s="3" t="str">
        <f>LOOKUP($F938,'fuzzy LPA lookup'!$E:$E,'fuzzy LPA lookup'!$A:$A)</f>
        <v>H4505</v>
      </c>
      <c r="E938" s="3" t="str">
        <f>LOOKUP($F938,'fuzzy LPA lookup'!$E:$E,'fuzzy LPA lookup'!$D:$D)</f>
        <v>Gateshead Metropolitan Borough Council</v>
      </c>
      <c r="F938" s="8">
        <f>IF(ISBLANK('Master Submitted DPDs'!B260),"",'Master Submitted DPDs'!B260)</f>
        <v>1960</v>
      </c>
      <c r="G938" t="str">
        <f>IF(ISBLANK('Master Submitted DPDs'!AS260),"","Withdrawn")</f>
        <v/>
      </c>
      <c r="H938" s="2" t="str">
        <f>IF(ISBLANK('Master Submitted DPDs'!AS260),"",'Master Submitted DPDs'!AS260)</f>
        <v/>
      </c>
      <c r="I938" s="3"/>
      <c r="J938" s="3"/>
      <c r="K938" s="3"/>
      <c r="L938" s="2">
        <f>IF(ISBLANK('Master Submitted DPDs'!J260),"",'Master Submitted DPDs'!J260)</f>
        <v>43553</v>
      </c>
      <c r="M938" s="2">
        <f t="shared" si="30"/>
        <v>43553</v>
      </c>
      <c r="N938" s="2">
        <f>IF(ISBLANK('Master Submitted DPDs'!M260),IF(ISBLANK('Master Submitted DPDs'!O260),"",'Master Submitted DPDs'!O260),'Master Submitted DPDs'!M260)</f>
        <v>43553</v>
      </c>
      <c r="O938" s="2">
        <f>IF(ISBLANK('Master Submitted DPDs'!Q260),"",'Master Submitted DPDs'!Q260)</f>
        <v>43728</v>
      </c>
      <c r="P938" s="2">
        <f>IF(ISBLANK('Master Submitted DPDs'!AO260),"",'Master Submitted DPDs'!AO260)</f>
        <v>44082</v>
      </c>
      <c r="Q938" t="str">
        <f>IF(ISBLANK('Master Submitted DPDs'!AU260),"",'Master Submitted DPDs'!AU260)</f>
        <v>SOU</v>
      </c>
      <c r="R938" t="str">
        <f t="shared" si="31"/>
        <v>Closed</v>
      </c>
      <c r="S938" s="3"/>
      <c r="T938">
        <f>IF(ISBLANK('Master Submitted DPDs'!G260),"",'Master Submitted DPDs'!G260)</f>
        <v>3</v>
      </c>
    </row>
    <row r="939" spans="1:20" ht="15" x14ac:dyDescent="0.2">
      <c r="A939" s="3" t="str">
        <f>IF(ISBLANK('Master Submitted DPDs'!$B261),"","Local Plans")</f>
        <v>Local Plans</v>
      </c>
      <c r="B939" t="str">
        <f>IF(ISBLANK('Master Submitted DPDs'!F261),"",'Master Submitted DPDs'!F261)</f>
        <v>LP</v>
      </c>
      <c r="C939" s="3" t="str">
        <f>IF(ISBLANK('Master Submitted DPDs'!$B261),"","IH")</f>
        <v>IH</v>
      </c>
      <c r="D939" s="3" t="str">
        <f>LOOKUP($F939,'fuzzy LPA lookup'!$E:$E,'fuzzy LPA lookup'!$A:$A)</f>
        <v>F5730</v>
      </c>
      <c r="E939" s="3" t="str">
        <f>LOOKUP($F939,'fuzzy LPA lookup'!$E:$E,'fuzzy LPA lookup'!$D:$D)</f>
        <v>Old Oak and Park Royal Development Corporation</v>
      </c>
      <c r="F939" s="8">
        <f>IF(ISBLANK('Master Submitted DPDs'!B261),"",'Master Submitted DPDs'!B261)</f>
        <v>1859</v>
      </c>
      <c r="G939" t="str">
        <f>IF(ISBLANK('Master Submitted DPDs'!AS261),"","Withdrawn")</f>
        <v/>
      </c>
      <c r="H939" s="2" t="str">
        <f>IF(ISBLANK('Master Submitted DPDs'!AS261),"",'Master Submitted DPDs'!AS261)</f>
        <v/>
      </c>
      <c r="I939" s="3"/>
      <c r="J939" s="3"/>
      <c r="K939" s="3"/>
      <c r="L939" s="2">
        <f>IF(ISBLANK('Master Submitted DPDs'!J261),"",'Master Submitted DPDs'!J261)</f>
        <v>43553</v>
      </c>
      <c r="M939" s="2">
        <f t="shared" si="30"/>
        <v>43553</v>
      </c>
      <c r="N939" s="2">
        <f>IF(ISBLANK('Master Submitted DPDs'!M261),IF(ISBLANK('Master Submitted DPDs'!O261),"",'Master Submitted DPDs'!O261),'Master Submitted DPDs'!M261)</f>
        <v>43553</v>
      </c>
      <c r="O939" s="2">
        <f>IF(ISBLANK('Master Submitted DPDs'!Q261),"",'Master Submitted DPDs'!Q261)</f>
        <v>44050</v>
      </c>
      <c r="P939" s="2">
        <f>IF(ISBLANK('Master Submitted DPDs'!AO261),"",'Master Submitted DPDs'!AO261)</f>
        <v>44162</v>
      </c>
      <c r="Q939" t="str">
        <f>IF(ISBLANK('Master Submitted DPDs'!AU261),"",'Master Submitted DPDs'!AU261)</f>
        <v>SOU</v>
      </c>
      <c r="R939" t="str">
        <f t="shared" si="31"/>
        <v>Closed</v>
      </c>
      <c r="S939" s="3"/>
      <c r="T939">
        <f>IF(ISBLANK('Master Submitted DPDs'!G261),"",'Master Submitted DPDs'!G261)</f>
        <v>3</v>
      </c>
    </row>
    <row r="940" spans="1:20" ht="15" x14ac:dyDescent="0.2">
      <c r="A940" s="3" t="str">
        <f>IF(ISBLANK('Master Submitted DPDs'!$B262),"","Local Plans")</f>
        <v>Local Plans</v>
      </c>
      <c r="B940" t="str">
        <f>IF(ISBLANK('Master Submitted DPDs'!F262),"",'Master Submitted DPDs'!F262)</f>
        <v>LP</v>
      </c>
      <c r="C940" s="3" t="str">
        <f>IF(ISBLANK('Master Submitted DPDs'!$B262),"","IH")</f>
        <v>IH</v>
      </c>
      <c r="D940" s="3" t="str">
        <f>LOOKUP($F940,'fuzzy LPA lookup'!$E:$E,'fuzzy LPA lookup'!$A:$A)</f>
        <v>H4505</v>
      </c>
      <c r="E940" s="3" t="str">
        <f>LOOKUP($F940,'fuzzy LPA lookup'!$E:$E,'fuzzy LPA lookup'!$D:$D)</f>
        <v>Gateshead Metropolitan Borough Council</v>
      </c>
      <c r="F940" s="8">
        <f>IF(ISBLANK('Master Submitted DPDs'!B262),"",'Master Submitted DPDs'!B262)</f>
        <v>1962</v>
      </c>
      <c r="G940" t="str">
        <f>IF(ISBLANK('Master Submitted DPDs'!AS262),"","Withdrawn")</f>
        <v>Withdrawn</v>
      </c>
      <c r="H940" s="2">
        <f>IF(ISBLANK('Master Submitted DPDs'!AS262),"",'Master Submitted DPDs'!AS262)</f>
        <v>44158</v>
      </c>
      <c r="I940" s="3"/>
      <c r="J940" s="3"/>
      <c r="K940" s="3"/>
      <c r="L940" s="2">
        <f>IF(ISBLANK('Master Submitted DPDs'!J262),"",'Master Submitted DPDs'!J262)</f>
        <v>43553</v>
      </c>
      <c r="M940" s="2">
        <f t="shared" si="30"/>
        <v>43553</v>
      </c>
      <c r="N940" s="2">
        <f>IF(ISBLANK('Master Submitted DPDs'!M262),IF(ISBLANK('Master Submitted DPDs'!O262),"",'Master Submitted DPDs'!O262),'Master Submitted DPDs'!M262)</f>
        <v>43556</v>
      </c>
      <c r="O940" s="2" t="str">
        <f>IF(ISBLANK('Master Submitted DPDs'!Q262),"",'Master Submitted DPDs'!Q262)</f>
        <v/>
      </c>
      <c r="P940" s="2" t="str">
        <f>IF(ISBLANK('Master Submitted DPDs'!AO262),"",'Master Submitted DPDs'!AO262)</f>
        <v/>
      </c>
      <c r="Q940" t="str">
        <f>IF(ISBLANK('Master Submitted DPDs'!AU262),"",'Master Submitted DPDs'!AU262)</f>
        <v>DPDW</v>
      </c>
      <c r="R940" t="str">
        <f t="shared" si="31"/>
        <v>Closed</v>
      </c>
      <c r="S940" s="3"/>
      <c r="T940">
        <f>IF(ISBLANK('Master Submitted DPDs'!G262),"",'Master Submitted DPDs'!G262)</f>
        <v>3</v>
      </c>
    </row>
    <row r="941" spans="1:20" ht="15" x14ac:dyDescent="0.2">
      <c r="A941" s="3" t="str">
        <f>IF(ISBLANK('Master Submitted DPDs'!$B263),"","Local Plans")</f>
        <v>Local Plans</v>
      </c>
      <c r="B941" t="str">
        <f>IF(ISBLANK('Master Submitted DPDs'!F263),"",'Master Submitted DPDs'!F263)</f>
        <v>M&amp;W</v>
      </c>
      <c r="C941" s="3" t="str">
        <f>IF(ISBLANK('Master Submitted DPDs'!$B263),"","IH")</f>
        <v>IH</v>
      </c>
      <c r="D941" s="3" t="str">
        <f>LOOKUP($F941,'fuzzy LPA lookup'!$E:$E,'fuzzy LPA lookup'!$A:$A)</f>
        <v>B3600</v>
      </c>
      <c r="E941" s="3" t="str">
        <f>LOOKUP($F941,'fuzzy LPA lookup'!$E:$E,'fuzzy LPA lookup'!$D:$D)</f>
        <v>Surrey County Council</v>
      </c>
      <c r="F941" s="8">
        <f>IF(ISBLANK('Master Submitted DPDs'!B263),"",'Master Submitted DPDs'!B263)</f>
        <v>2071</v>
      </c>
      <c r="G941" t="str">
        <f>IF(ISBLANK('Master Submitted DPDs'!AS263),"","Withdrawn")</f>
        <v/>
      </c>
      <c r="H941" s="2" t="str">
        <f>IF(ISBLANK('Master Submitted DPDs'!AS263),"",'Master Submitted DPDs'!AS263)</f>
        <v/>
      </c>
      <c r="I941" s="3"/>
      <c r="J941" s="3"/>
      <c r="K941" s="3"/>
      <c r="L941" s="2">
        <f>IF(ISBLANK('Master Submitted DPDs'!J263),"",'Master Submitted DPDs'!J263)</f>
        <v>43567</v>
      </c>
      <c r="M941" s="2">
        <f t="shared" si="30"/>
        <v>43567</v>
      </c>
      <c r="N941" s="2">
        <f>IF(ISBLANK('Master Submitted DPDs'!M263),IF(ISBLANK('Master Submitted DPDs'!O263),"",'Master Submitted DPDs'!O263),'Master Submitted DPDs'!M263)</f>
        <v>43579</v>
      </c>
      <c r="O941" s="2">
        <f>IF(ISBLANK('Master Submitted DPDs'!Q263),"",'Master Submitted DPDs'!Q263)</f>
        <v>43734</v>
      </c>
      <c r="P941" s="2">
        <f>IF(ISBLANK('Master Submitted DPDs'!AO263),"",'Master Submitted DPDs'!AO263)</f>
        <v>43962</v>
      </c>
      <c r="Q941" t="str">
        <f>IF(ISBLANK('Master Submitted DPDs'!AU263),"",'Master Submitted DPDs'!AU263)</f>
        <v>SOU</v>
      </c>
      <c r="R941" t="str">
        <f t="shared" si="31"/>
        <v>Closed</v>
      </c>
      <c r="S941" s="3"/>
      <c r="T941">
        <f>IF(ISBLANK('Master Submitted DPDs'!G263),"",'Master Submitted DPDs'!G263)</f>
        <v>2</v>
      </c>
    </row>
    <row r="942" spans="1:20" ht="15" x14ac:dyDescent="0.2">
      <c r="A942" s="3" t="str">
        <f>IF(ISBLANK('Master Submitted DPDs'!$B264),"","Local Plans")</f>
        <v>Local Plans</v>
      </c>
      <c r="B942" t="str">
        <f>IF(ISBLANK('Master Submitted DPDs'!F264),"",'Master Submitted DPDs'!F264)</f>
        <v>SA</v>
      </c>
      <c r="C942" s="3" t="str">
        <f>IF(ISBLANK('Master Submitted DPDs'!$B264),"","IH")</f>
        <v>IH</v>
      </c>
      <c r="D942" s="3" t="str">
        <f>LOOKUP($F942,'fuzzy LPA lookup'!$E:$E,'fuzzy LPA lookup'!$A:$A)</f>
        <v>H4505</v>
      </c>
      <c r="E942" s="3" t="str">
        <f>LOOKUP($F942,'fuzzy LPA lookup'!$E:$E,'fuzzy LPA lookup'!$D:$D)</f>
        <v>Gateshead Metropolitan Borough Council</v>
      </c>
      <c r="F942" s="8">
        <f>IF(ISBLANK('Master Submitted DPDs'!B264),"",'Master Submitted DPDs'!B264)</f>
        <v>1959</v>
      </c>
      <c r="G942" t="str">
        <f>IF(ISBLANK('Master Submitted DPDs'!AS264),"","Withdrawn")</f>
        <v/>
      </c>
      <c r="H942" s="2" t="str">
        <f>IF(ISBLANK('Master Submitted DPDs'!AS264),"",'Master Submitted DPDs'!AS264)</f>
        <v/>
      </c>
      <c r="I942" s="3"/>
      <c r="J942" s="3"/>
      <c r="K942" s="3"/>
      <c r="L942" s="2">
        <f>IF(ISBLANK('Master Submitted DPDs'!J264),"",'Master Submitted DPDs'!J264)</f>
        <v>43567</v>
      </c>
      <c r="M942" s="2">
        <f t="shared" si="30"/>
        <v>43567</v>
      </c>
      <c r="N942" s="2">
        <f>IF(ISBLANK('Master Submitted DPDs'!M264),IF(ISBLANK('Master Submitted DPDs'!O264),"",'Master Submitted DPDs'!O264),'Master Submitted DPDs'!M264)</f>
        <v>43570</v>
      </c>
      <c r="O942" s="2">
        <f>IF(ISBLANK('Master Submitted DPDs'!Q264),"",'Master Submitted DPDs'!Q264)</f>
        <v>44157</v>
      </c>
      <c r="P942" s="2">
        <f>IF(ISBLANK('Master Submitted DPDs'!AO264),"",'Master Submitted DPDs'!AO264)</f>
        <v>44138</v>
      </c>
      <c r="Q942" t="str">
        <f>IF(ISBLANK('Master Submitted DPDs'!AU264),"",'Master Submitted DPDs'!AU264)</f>
        <v>SOU</v>
      </c>
      <c r="R942" t="str">
        <f t="shared" si="31"/>
        <v>Closed</v>
      </c>
      <c r="S942" s="3"/>
      <c r="T942">
        <f>IF(ISBLANK('Master Submitted DPDs'!G264),"",'Master Submitted DPDs'!G264)</f>
        <v>2</v>
      </c>
    </row>
    <row r="943" spans="1:20" ht="15" x14ac:dyDescent="0.2">
      <c r="A943" s="3" t="str">
        <f>IF(ISBLANK('Master Submitted DPDs'!$B265),"","Local Plans")</f>
        <v>Local Plans</v>
      </c>
      <c r="B943" t="str">
        <f>IF(ISBLANK('Master Submitted DPDs'!F265),"",'Master Submitted DPDs'!F265)</f>
        <v>LP</v>
      </c>
      <c r="C943" s="3" t="str">
        <f>IF(ISBLANK('Master Submitted DPDs'!$B265),"","IH")</f>
        <v>IH</v>
      </c>
      <c r="D943" s="3" t="str">
        <f>LOOKUP($F943,'fuzzy LPA lookup'!$E:$E,'fuzzy LPA lookup'!$A:$A)</f>
        <v>V2825</v>
      </c>
      <c r="E943" s="3" t="str">
        <f>LOOKUP($F943,'fuzzy LPA lookup'!$E:$E,'fuzzy LPA lookup'!$D:$D)</f>
        <v>Northampton Borough Council</v>
      </c>
      <c r="F943" s="8">
        <f>IF(ISBLANK('Master Submitted DPDs'!B265),"",'Master Submitted DPDs'!B265)</f>
        <v>1930</v>
      </c>
      <c r="G943" t="str">
        <f>IF(ISBLANK('Master Submitted DPDs'!AS265),"","Withdrawn")</f>
        <v/>
      </c>
      <c r="H943" s="2" t="str">
        <f>IF(ISBLANK('Master Submitted DPDs'!AS265),"",'Master Submitted DPDs'!AS265)</f>
        <v/>
      </c>
      <c r="I943" s="3"/>
      <c r="J943" s="3"/>
      <c r="K943" s="3"/>
      <c r="L943" s="2">
        <f>IF(ISBLANK('Master Submitted DPDs'!J265),"",'Master Submitted DPDs'!J265)</f>
        <v>43585</v>
      </c>
      <c r="M943" s="2">
        <f t="shared" si="30"/>
        <v>43585</v>
      </c>
      <c r="N943" s="2">
        <f>IF(ISBLANK('Master Submitted DPDs'!M265),IF(ISBLANK('Master Submitted DPDs'!O265),"",'Master Submitted DPDs'!O265),'Master Submitted DPDs'!M265)</f>
        <v>43605</v>
      </c>
      <c r="O943" s="2">
        <f>IF(ISBLANK('Master Submitted DPDs'!Q265),"",'Master Submitted DPDs'!Q265)</f>
        <v>43741</v>
      </c>
      <c r="P943" s="2">
        <f>IF(ISBLANK('Master Submitted DPDs'!AO265),"",'Master Submitted DPDs'!AO265)</f>
        <v>43892</v>
      </c>
      <c r="Q943" t="str">
        <f>IF(ISBLANK('Master Submitted DPDs'!AU265),"",'Master Submitted DPDs'!AU265)</f>
        <v>UNS</v>
      </c>
      <c r="R943" t="str">
        <f t="shared" si="31"/>
        <v>Closed</v>
      </c>
      <c r="S943" s="3"/>
      <c r="T943">
        <f>IF(ISBLANK('Master Submitted DPDs'!G265),"",'Master Submitted DPDs'!G265)</f>
        <v>3</v>
      </c>
    </row>
    <row r="944" spans="1:20" ht="15" x14ac:dyDescent="0.2">
      <c r="A944" s="3" t="str">
        <f>IF(ISBLANK('Master Submitted DPDs'!$B266),"","Local Plans")</f>
        <v>Local Plans</v>
      </c>
      <c r="B944" t="str">
        <f>IF(ISBLANK('Master Submitted DPDs'!F266),"",'Master Submitted DPDs'!F266)</f>
        <v>PR</v>
      </c>
      <c r="C944" s="3" t="str">
        <f>IF(ISBLANK('Master Submitted DPDs'!$B266),"","IH")</f>
        <v>IH</v>
      </c>
      <c r="D944" s="3" t="str">
        <f>LOOKUP($F944,'fuzzy LPA lookup'!$E:$E,'fuzzy LPA lookup'!$A:$A)</f>
        <v>U3935</v>
      </c>
      <c r="E944" s="3" t="str">
        <f>LOOKUP($F944,'fuzzy LPA lookup'!$E:$E,'fuzzy LPA lookup'!$D:$D)</f>
        <v>Swindon Borough Council</v>
      </c>
      <c r="F944" s="8">
        <f>IF(ISBLANK('Master Submitted DPDs'!B266),"",'Master Submitted DPDs'!B266)</f>
        <v>2243</v>
      </c>
      <c r="G944" t="str">
        <f>IF(ISBLANK('Master Submitted DPDs'!AS266),"","Withdrawn")</f>
        <v/>
      </c>
      <c r="H944" s="2" t="str">
        <f>IF(ISBLANK('Master Submitted DPDs'!AS266),"",'Master Submitted DPDs'!AS266)</f>
        <v/>
      </c>
      <c r="I944" s="3"/>
      <c r="J944" s="3"/>
      <c r="K944" s="3"/>
      <c r="L944" s="2">
        <f>IF(ISBLANK('Master Submitted DPDs'!J266),"",'Master Submitted DPDs'!J266)</f>
        <v>43588</v>
      </c>
      <c r="M944" s="2">
        <f t="shared" si="30"/>
        <v>43588</v>
      </c>
      <c r="N944" s="2">
        <f>IF(ISBLANK('Master Submitted DPDs'!M266),IF(ISBLANK('Master Submitted DPDs'!O266),"",'Master Submitted DPDs'!O266),'Master Submitted DPDs'!M266)</f>
        <v>42874</v>
      </c>
      <c r="O944" s="2" t="str">
        <f>IF(ISBLANK('Master Submitted DPDs'!Q266),"",'Master Submitted DPDs'!Q266)</f>
        <v/>
      </c>
      <c r="P944" s="2">
        <f>IF(ISBLANK('Master Submitted DPDs'!AO266),"",'Master Submitted DPDs'!AO266)</f>
        <v>43865</v>
      </c>
      <c r="Q944" t="str">
        <f>IF(ISBLANK('Master Submitted DPDs'!AU266),"",'Master Submitted DPDs'!AU266)</f>
        <v>SOU</v>
      </c>
      <c r="R944" t="str">
        <f t="shared" si="31"/>
        <v>Closed</v>
      </c>
      <c r="S944" s="3"/>
      <c r="T944">
        <f>IF(ISBLANK('Master Submitted DPDs'!G266),"",'Master Submitted DPDs'!G266)</f>
        <v>3</v>
      </c>
    </row>
    <row r="945" spans="1:20" ht="15" x14ac:dyDescent="0.2">
      <c r="A945" s="3" t="str">
        <f>IF(ISBLANK('Master Submitted DPDs'!$B267),"","Local Plans")</f>
        <v>Local Plans</v>
      </c>
      <c r="B945" t="str">
        <f>IF(ISBLANK('Master Submitted DPDs'!F267),"",'Master Submitted DPDs'!F267)</f>
        <v>M&amp;W</v>
      </c>
      <c r="C945" s="3" t="str">
        <f>IF(ISBLANK('Master Submitted DPDs'!$B267),"","IH")</f>
        <v>IH</v>
      </c>
      <c r="D945" s="3" t="str">
        <f>LOOKUP($F945,'fuzzy LPA lookup'!$E:$E,'fuzzy LPA lookup'!$A:$A)</f>
        <v>W2275</v>
      </c>
      <c r="E945" s="3" t="str">
        <f>LOOKUP($F945,'fuzzy LPA lookup'!$E:$E,'fuzzy LPA lookup'!$D:$D)</f>
        <v>Kent County Council</v>
      </c>
      <c r="F945" s="8">
        <f>IF(ISBLANK('Master Submitted DPDs'!B267),"",'Master Submitted DPDs'!B267)</f>
        <v>1957</v>
      </c>
      <c r="G945" t="str">
        <f>IF(ISBLANK('Master Submitted DPDs'!AS267),"","Withdrawn")</f>
        <v/>
      </c>
      <c r="H945" s="2" t="str">
        <f>IF(ISBLANK('Master Submitted DPDs'!AS267),"",'Master Submitted DPDs'!AS267)</f>
        <v/>
      </c>
      <c r="I945" s="3"/>
      <c r="J945" s="3"/>
      <c r="K945" s="3"/>
      <c r="L945" s="2">
        <f>IF(ISBLANK('Master Submitted DPDs'!J267),"",'Master Submitted DPDs'!J267)</f>
        <v>43588</v>
      </c>
      <c r="M945" s="2">
        <f t="shared" si="30"/>
        <v>43588</v>
      </c>
      <c r="N945" s="2">
        <f>IF(ISBLANK('Master Submitted DPDs'!M267),IF(ISBLANK('Master Submitted DPDs'!O267),"",'Master Submitted DPDs'!O267),'Master Submitted DPDs'!M267)</f>
        <v>43588</v>
      </c>
      <c r="O945" s="2">
        <f>IF(ISBLANK('Master Submitted DPDs'!Q267),"",'Master Submitted DPDs'!Q267)</f>
        <v>43753</v>
      </c>
      <c r="P945" s="2">
        <f>IF(ISBLANK('Master Submitted DPDs'!AO267),"",'Master Submitted DPDs'!AO267)</f>
        <v>43944</v>
      </c>
      <c r="Q945" t="str">
        <f>IF(ISBLANK('Master Submitted DPDs'!AU267),"",'Master Submitted DPDs'!AU267)</f>
        <v>SOU</v>
      </c>
      <c r="R945" t="str">
        <f t="shared" si="31"/>
        <v>Closed</v>
      </c>
      <c r="S945" s="3"/>
      <c r="T945">
        <f>IF(ISBLANK('Master Submitted DPDs'!G267),"",'Master Submitted DPDs'!G267)</f>
        <v>2</v>
      </c>
    </row>
    <row r="946" spans="1:20" ht="15" x14ac:dyDescent="0.2">
      <c r="A946" s="3" t="str">
        <f>IF(ISBLANK('Master Submitted DPDs'!$B268),"","Local Plans")</f>
        <v>Local Plans</v>
      </c>
      <c r="B946" t="str">
        <f>IF(ISBLANK('Master Submitted DPDs'!F268),"",'Master Submitted DPDs'!F268)</f>
        <v>M&amp;W</v>
      </c>
      <c r="C946" s="3" t="str">
        <f>IF(ISBLANK('Master Submitted DPDs'!$B268),"","IH")</f>
        <v>IH</v>
      </c>
      <c r="D946" s="3" t="str">
        <f>LOOKUP($F946,'fuzzy LPA lookup'!$E:$E,'fuzzy LPA lookup'!$A:$A)</f>
        <v>W2275</v>
      </c>
      <c r="E946" s="3" t="str">
        <f>LOOKUP($F946,'fuzzy LPA lookup'!$E:$E,'fuzzy LPA lookup'!$D:$D)</f>
        <v>Kent County Council</v>
      </c>
      <c r="F946" s="8">
        <f>IF(ISBLANK('Master Submitted DPDs'!B268),"",'Master Submitted DPDs'!B268)</f>
        <v>1956</v>
      </c>
      <c r="G946" t="str">
        <f>IF(ISBLANK('Master Submitted DPDs'!AS268),"","Withdrawn")</f>
        <v/>
      </c>
      <c r="H946" s="2" t="str">
        <f>IF(ISBLANK('Master Submitted DPDs'!AS268),"",'Master Submitted DPDs'!AS268)</f>
        <v/>
      </c>
      <c r="I946" s="3"/>
      <c r="J946" s="3"/>
      <c r="K946" s="3"/>
      <c r="L946" s="2">
        <f>IF(ISBLANK('Master Submitted DPDs'!J268),"",'Master Submitted DPDs'!J268)</f>
        <v>43588</v>
      </c>
      <c r="M946" s="2">
        <f t="shared" si="30"/>
        <v>43588</v>
      </c>
      <c r="N946" s="2">
        <f>IF(ISBLANK('Master Submitted DPDs'!M268),IF(ISBLANK('Master Submitted DPDs'!O268),"",'Master Submitted DPDs'!O268),'Master Submitted DPDs'!M268)</f>
        <v>43588</v>
      </c>
      <c r="O946" s="2">
        <f>IF(ISBLANK('Master Submitted DPDs'!Q268),"",'Master Submitted DPDs'!Q268)</f>
        <v>43753</v>
      </c>
      <c r="P946" s="2">
        <f>IF(ISBLANK('Master Submitted DPDs'!AO268),"",'Master Submitted DPDs'!AO268)</f>
        <v>43944</v>
      </c>
      <c r="Q946" t="str">
        <f>IF(ISBLANK('Master Submitted DPDs'!AU268),"",'Master Submitted DPDs'!AU268)</f>
        <v>SOU</v>
      </c>
      <c r="R946" t="str">
        <f t="shared" si="31"/>
        <v>Closed</v>
      </c>
      <c r="S946" s="3"/>
      <c r="T946">
        <f>IF(ISBLANK('Master Submitted DPDs'!G268),"",'Master Submitted DPDs'!G268)</f>
        <v>2</v>
      </c>
    </row>
    <row r="947" spans="1:20" ht="15" x14ac:dyDescent="0.2">
      <c r="A947" s="3" t="str">
        <f>IF(ISBLANK('Master Submitted DPDs'!$B269),"","Local Plans")</f>
        <v>Local Plans</v>
      </c>
      <c r="B947" t="str">
        <f>IF(ISBLANK('Master Submitted DPDs'!F269),"",'Master Submitted DPDs'!F269)</f>
        <v>SA</v>
      </c>
      <c r="C947" s="3" t="str">
        <f>IF(ISBLANK('Master Submitted DPDs'!$B269),"","IH")</f>
        <v>IH</v>
      </c>
      <c r="D947" s="3" t="str">
        <f>LOOKUP($F947,'fuzzy LPA lookup'!$E:$E,'fuzzy LPA lookup'!$A:$A)</f>
        <v>B3600</v>
      </c>
      <c r="E947" s="3" t="str">
        <f>LOOKUP($F947,'fuzzy LPA lookup'!$E:$E,'fuzzy LPA lookup'!$D:$D)</f>
        <v>Surrey County Council</v>
      </c>
      <c r="F947" s="8">
        <f>IF(ISBLANK('Master Submitted DPDs'!B269),"",'Master Submitted DPDs'!B269)</f>
        <v>2076</v>
      </c>
      <c r="G947" t="str">
        <f>IF(ISBLANK('Master Submitted DPDs'!AS269),"","Withdrawn")</f>
        <v/>
      </c>
      <c r="H947" s="2" t="str">
        <f>IF(ISBLANK('Master Submitted DPDs'!AS269),"",'Master Submitted DPDs'!AS269)</f>
        <v/>
      </c>
      <c r="I947" s="3"/>
      <c r="J947" s="3"/>
      <c r="K947" s="3"/>
      <c r="L947" s="2">
        <f>IF(ISBLANK('Master Submitted DPDs'!J269),"",'Master Submitted DPDs'!J269)</f>
        <v>43609</v>
      </c>
      <c r="M947" s="2">
        <f t="shared" si="30"/>
        <v>43609</v>
      </c>
      <c r="N947" s="2">
        <f>IF(ISBLANK('Master Submitted DPDs'!M269),IF(ISBLANK('Master Submitted DPDs'!O269),"",'Master Submitted DPDs'!O269),'Master Submitted DPDs'!M269)</f>
        <v>43640</v>
      </c>
      <c r="O947" s="2">
        <f>IF(ISBLANK('Master Submitted DPDs'!Q269),"",'Master Submitted DPDs'!Q269)</f>
        <v>43720</v>
      </c>
      <c r="P947" s="2">
        <f>IF(ISBLANK('Master Submitted DPDs'!AO269),"",'Master Submitted DPDs'!AO269)</f>
        <v>44011</v>
      </c>
      <c r="Q947" t="str">
        <f>IF(ISBLANK('Master Submitted DPDs'!AU269),"",'Master Submitted DPDs'!AU269)</f>
        <v>SOU</v>
      </c>
      <c r="R947" t="str">
        <f t="shared" si="31"/>
        <v>Closed</v>
      </c>
      <c r="S947" s="3"/>
      <c r="T947">
        <f>IF(ISBLANK('Master Submitted DPDs'!G269),"",'Master Submitted DPDs'!G269)</f>
        <v>2</v>
      </c>
    </row>
    <row r="948" spans="1:20" ht="15" x14ac:dyDescent="0.2">
      <c r="A948" s="3" t="str">
        <f>IF(ISBLANK('Master Submitted DPDs'!$B270),"","Local Plans")</f>
        <v>Local Plans</v>
      </c>
      <c r="B948" t="str">
        <f>IF(ISBLANK('Master Submitted DPDs'!F270),"",'Master Submitted DPDs'!F270)</f>
        <v>LP</v>
      </c>
      <c r="C948" s="3" t="str">
        <f>IF(ISBLANK('Master Submitted DPDs'!$B270),"","IH")</f>
        <v>IH</v>
      </c>
      <c r="D948" s="3" t="str">
        <f>LOOKUP($F948,'fuzzy LPA lookup'!$E:$E,'fuzzy LPA lookup'!$A:$A)</f>
        <v>V3500</v>
      </c>
      <c r="E948" s="3" t="str">
        <f>LOOKUP($F948,'fuzzy LPA lookup'!$E:$E,'fuzzy LPA lookup'!$D:$D)</f>
        <v>Suffolk County Council</v>
      </c>
      <c r="F948" s="8">
        <f>IF(ISBLANK('Master Submitted DPDs'!B270),"",'Master Submitted DPDs'!B270)</f>
        <v>2068</v>
      </c>
      <c r="G948" t="str">
        <f>IF(ISBLANK('Master Submitted DPDs'!AS270),"","Withdrawn")</f>
        <v/>
      </c>
      <c r="H948" s="2" t="str">
        <f>IF(ISBLANK('Master Submitted DPDs'!AS270),"",'Master Submitted DPDs'!AS270)</f>
        <v/>
      </c>
      <c r="I948" s="3"/>
      <c r="J948" s="3"/>
      <c r="K948" s="3"/>
      <c r="L948" s="2">
        <f>IF(ISBLANK('Master Submitted DPDs'!J270),"",'Master Submitted DPDs'!J270)</f>
        <v>43614</v>
      </c>
      <c r="M948" s="2">
        <f t="shared" si="30"/>
        <v>43614</v>
      </c>
      <c r="N948" s="2">
        <f>IF(ISBLANK('Master Submitted DPDs'!M270),IF(ISBLANK('Master Submitted DPDs'!O270),"",'Master Submitted DPDs'!O270),'Master Submitted DPDs'!M270)</f>
        <v>43635</v>
      </c>
      <c r="O948" s="2">
        <f>IF(ISBLANK('Master Submitted DPDs'!Q270),"",'Master Submitted DPDs'!Q270)</f>
        <v>44154</v>
      </c>
      <c r="P948" s="2">
        <f>IF(ISBLANK('Master Submitted DPDs'!AO270),"",'Master Submitted DPDs'!AO270)</f>
        <v>44587</v>
      </c>
      <c r="Q948" t="str">
        <f>IF(ISBLANK('Master Submitted DPDs'!AU270),"",'Master Submitted DPDs'!AU270)</f>
        <v>SOU</v>
      </c>
      <c r="R948" t="str">
        <f t="shared" si="31"/>
        <v>Closed</v>
      </c>
      <c r="S948" s="3"/>
      <c r="T948">
        <f>IF(ISBLANK('Master Submitted DPDs'!G270),"",'Master Submitted DPDs'!G270)</f>
        <v>3</v>
      </c>
    </row>
    <row r="949" spans="1:20" ht="15" x14ac:dyDescent="0.2">
      <c r="A949" s="3" t="str">
        <f>IF(ISBLANK('Master Submitted DPDs'!$B271),"","Local Plans")</f>
        <v>Local Plans</v>
      </c>
      <c r="B949" t="str">
        <f>IF(ISBLANK('Master Submitted DPDs'!F271),"",'Master Submitted DPDs'!F271)</f>
        <v>PR</v>
      </c>
      <c r="C949" s="3" t="str">
        <f>IF(ISBLANK('Master Submitted DPDs'!$B271),"","IH")</f>
        <v>IH</v>
      </c>
      <c r="D949" s="3" t="str">
        <f>LOOKUP($F949,'fuzzy LPA lookup'!$E:$E,'fuzzy LPA lookup'!$A:$A)</f>
        <v>U3935</v>
      </c>
      <c r="E949" s="3" t="str">
        <f>LOOKUP($F949,'fuzzy LPA lookup'!$E:$E,'fuzzy LPA lookup'!$D:$D)</f>
        <v>Swindon Borough Council</v>
      </c>
      <c r="F949" s="8">
        <f>IF(ISBLANK('Master Submitted DPDs'!B271),"",'Master Submitted DPDs'!B271)</f>
        <v>2244</v>
      </c>
      <c r="G949" t="str">
        <f>IF(ISBLANK('Master Submitted DPDs'!AS271),"","Withdrawn")</f>
        <v/>
      </c>
      <c r="H949" s="2" t="str">
        <f>IF(ISBLANK('Master Submitted DPDs'!AS271),"",'Master Submitted DPDs'!AS271)</f>
        <v/>
      </c>
      <c r="I949" s="3"/>
      <c r="J949" s="3"/>
      <c r="K949" s="3"/>
      <c r="L949" s="2">
        <f>IF(ISBLANK('Master Submitted DPDs'!J271),"",'Master Submitted DPDs'!J271)</f>
        <v>43636</v>
      </c>
      <c r="M949" s="2">
        <f t="shared" si="30"/>
        <v>43636</v>
      </c>
      <c r="N949" s="2">
        <f>IF(ISBLANK('Master Submitted DPDs'!M271),IF(ISBLANK('Master Submitted DPDs'!O271),"",'Master Submitted DPDs'!O271),'Master Submitted DPDs'!M271)</f>
        <v>43637</v>
      </c>
      <c r="O949" s="2" t="str">
        <f>IF(ISBLANK('Master Submitted DPDs'!Q271),"",'Master Submitted DPDs'!Q271)</f>
        <v/>
      </c>
      <c r="P949" s="2">
        <f>IF(ISBLANK('Master Submitted DPDs'!AO271),"",'Master Submitted DPDs'!AO271)</f>
        <v>43865</v>
      </c>
      <c r="Q949" t="str">
        <f>IF(ISBLANK('Master Submitted DPDs'!AU271),"",'Master Submitted DPDs'!AU271)</f>
        <v>SOU</v>
      </c>
      <c r="R949" t="str">
        <f t="shared" si="31"/>
        <v>Closed</v>
      </c>
      <c r="S949" s="3"/>
      <c r="T949">
        <f>IF(ISBLANK('Master Submitted DPDs'!G271),"",'Master Submitted DPDs'!G271)</f>
        <v>3</v>
      </c>
    </row>
    <row r="950" spans="1:20" ht="15" x14ac:dyDescent="0.2">
      <c r="A950" s="3" t="str">
        <f>IF(ISBLANK('Master Submitted DPDs'!$B272),"","Local Plans")</f>
        <v>Local Plans</v>
      </c>
      <c r="B950" t="str">
        <f>IF(ISBLANK('Master Submitted DPDs'!F272),"",'Master Submitted DPDs'!F272)</f>
        <v>LP</v>
      </c>
      <c r="C950" s="3" t="str">
        <f>IF(ISBLANK('Master Submitted DPDs'!$B272),"","IH")</f>
        <v>IH</v>
      </c>
      <c r="D950" s="3" t="str">
        <f>LOOKUP($F950,'fuzzy LPA lookup'!$E:$E,'fuzzy LPA lookup'!$A:$A)</f>
        <v>V2825</v>
      </c>
      <c r="E950" s="3" t="str">
        <f>LOOKUP($F950,'fuzzy LPA lookup'!$E:$E,'fuzzy LPA lookup'!$D:$D)</f>
        <v>Northampton Borough Council</v>
      </c>
      <c r="F950" s="8">
        <f>IF(ISBLANK('Master Submitted DPDs'!B272),"",'Master Submitted DPDs'!B272)</f>
        <v>1925</v>
      </c>
      <c r="G950" t="str">
        <f>IF(ISBLANK('Master Submitted DPDs'!AS272),"","Withdrawn")</f>
        <v/>
      </c>
      <c r="H950" s="2" t="str">
        <f>IF(ISBLANK('Master Submitted DPDs'!AS272),"",'Master Submitted DPDs'!AS272)</f>
        <v/>
      </c>
      <c r="I950" s="3"/>
      <c r="J950" s="3"/>
      <c r="K950" s="3"/>
      <c r="L950" s="2">
        <f>IF(ISBLANK('Master Submitted DPDs'!J272),"",'Master Submitted DPDs'!J272)</f>
        <v>43644</v>
      </c>
      <c r="M950" s="2">
        <f t="shared" si="30"/>
        <v>43644</v>
      </c>
      <c r="N950" s="2">
        <f>IF(ISBLANK('Master Submitted DPDs'!M272),IF(ISBLANK('Master Submitted DPDs'!O272),"",'Master Submitted DPDs'!O272),'Master Submitted DPDs'!M272)</f>
        <v>43647</v>
      </c>
      <c r="O950" s="2">
        <f>IF(ISBLANK('Master Submitted DPDs'!Q272),"",'Master Submitted DPDs'!Q272)</f>
        <v>43775</v>
      </c>
      <c r="P950" s="2">
        <f>IF(ISBLANK('Master Submitted DPDs'!AO272),"",'Master Submitted DPDs'!AO272)</f>
        <v>43978</v>
      </c>
      <c r="Q950" t="str">
        <f>IF(ISBLANK('Master Submitted DPDs'!AU272),"",'Master Submitted DPDs'!AU272)</f>
        <v>SOU</v>
      </c>
      <c r="R950" t="str">
        <f t="shared" si="31"/>
        <v>Closed</v>
      </c>
      <c r="S950" s="3"/>
      <c r="T950">
        <f>IF(ISBLANK('Master Submitted DPDs'!G272),"",'Master Submitted DPDs'!G272)</f>
        <v>3</v>
      </c>
    </row>
    <row r="951" spans="1:20" ht="15" x14ac:dyDescent="0.2">
      <c r="A951" s="3" t="str">
        <f>IF(ISBLANK('Master Submitted DPDs'!$B273),"","Local Plans")</f>
        <v>Local Plans</v>
      </c>
      <c r="B951" t="str">
        <f>IF(ISBLANK('Master Submitted DPDs'!F273),"",'Master Submitted DPDs'!F273)</f>
        <v>LP</v>
      </c>
      <c r="C951" s="3" t="str">
        <f>IF(ISBLANK('Master Submitted DPDs'!$B273),"","IH")</f>
        <v>IH</v>
      </c>
      <c r="D951" s="3" t="str">
        <f>LOOKUP($F951,'fuzzy LPA lookup'!$E:$E,'fuzzy LPA lookup'!$A:$A)</f>
        <v>B3600</v>
      </c>
      <c r="E951" s="3" t="str">
        <f>LOOKUP($F951,'fuzzy LPA lookup'!$E:$E,'fuzzy LPA lookup'!$D:$D)</f>
        <v>Surrey County Council</v>
      </c>
      <c r="F951" s="8">
        <f>IF(ISBLANK('Master Submitted DPDs'!B273),"",'Master Submitted DPDs'!B273)</f>
        <v>2074</v>
      </c>
      <c r="G951" t="str">
        <f>IF(ISBLANK('Master Submitted DPDs'!AS273),"","Withdrawn")</f>
        <v/>
      </c>
      <c r="H951" s="2" t="str">
        <f>IF(ISBLANK('Master Submitted DPDs'!AS273),"",'Master Submitted DPDs'!AS273)</f>
        <v/>
      </c>
      <c r="I951" s="3"/>
      <c r="J951" s="3"/>
      <c r="K951" s="3"/>
      <c r="L951" s="2">
        <f>IF(ISBLANK('Master Submitted DPDs'!J273),"",'Master Submitted DPDs'!J273)</f>
        <v>43644</v>
      </c>
      <c r="M951" s="2">
        <f t="shared" si="30"/>
        <v>43644</v>
      </c>
      <c r="N951" s="2">
        <f>IF(ISBLANK('Master Submitted DPDs'!M273),IF(ISBLANK('Master Submitted DPDs'!O273),"",'Master Submitted DPDs'!O273),'Master Submitted DPDs'!M273)</f>
        <v>43647</v>
      </c>
      <c r="O951" s="2">
        <f>IF(ISBLANK('Master Submitted DPDs'!Q273),"",'Master Submitted DPDs'!Q273)</f>
        <v>43867</v>
      </c>
      <c r="P951" s="2">
        <f>IF(ISBLANK('Master Submitted DPDs'!AO273),"",'Master Submitted DPDs'!AO273)</f>
        <v>44091</v>
      </c>
      <c r="Q951" t="str">
        <f>IF(ISBLANK('Master Submitted DPDs'!AU273),"",'Master Submitted DPDs'!AU273)</f>
        <v>SOU</v>
      </c>
      <c r="R951" t="str">
        <f t="shared" si="31"/>
        <v>Closed</v>
      </c>
      <c r="S951" s="3"/>
      <c r="T951">
        <f>IF(ISBLANK('Master Submitted DPDs'!G273),"",'Master Submitted DPDs'!G273)</f>
        <v>3</v>
      </c>
    </row>
    <row r="952" spans="1:20" ht="15" x14ac:dyDescent="0.2">
      <c r="A952" s="3" t="str">
        <f>IF(ISBLANK('Master Submitted DPDs'!$B274),"","Local Plans")</f>
        <v>Local Plans</v>
      </c>
      <c r="B952" t="str">
        <f>IF(ISBLANK('Master Submitted DPDs'!F274),"",'Master Submitted DPDs'!F274)</f>
        <v>LP</v>
      </c>
      <c r="C952" s="3" t="str">
        <f>IF(ISBLANK('Master Submitted DPDs'!$B274),"","IH")</f>
        <v>IH</v>
      </c>
      <c r="D952" s="3" t="str">
        <f>LOOKUP($F952,'fuzzy LPA lookup'!$E:$E,'fuzzy LPA lookup'!$A:$A)</f>
        <v>U1105</v>
      </c>
      <c r="E952" s="3" t="str">
        <f>LOOKUP($F952,'fuzzy LPA lookup'!$E:$E,'fuzzy LPA lookup'!$D:$D)</f>
        <v>East Devon District Council</v>
      </c>
      <c r="F952" s="8">
        <f>IF(ISBLANK('Master Submitted DPDs'!B274),"",'Master Submitted DPDs'!B274)</f>
        <v>2015</v>
      </c>
      <c r="G952" t="str">
        <f>IF(ISBLANK('Master Submitted DPDs'!AS274),"","Withdrawn")</f>
        <v/>
      </c>
      <c r="H952" s="2" t="str">
        <f>IF(ISBLANK('Master Submitted DPDs'!AS274),"",'Master Submitted DPDs'!AS274)</f>
        <v/>
      </c>
      <c r="I952" s="3"/>
      <c r="J952" s="3"/>
      <c r="K952" s="3"/>
      <c r="L952" s="2">
        <f>IF(ISBLANK('Master Submitted DPDs'!J274),"",'Master Submitted DPDs'!J274)</f>
        <v>43648</v>
      </c>
      <c r="M952" s="2">
        <f t="shared" si="30"/>
        <v>43648</v>
      </c>
      <c r="N952" s="2">
        <f>IF(ISBLANK('Master Submitted DPDs'!M274),IF(ISBLANK('Master Submitted DPDs'!O274),"",'Master Submitted DPDs'!O274),'Master Submitted DPDs'!M274)</f>
        <v>43656</v>
      </c>
      <c r="O952" s="2">
        <f>IF(ISBLANK('Master Submitted DPDs'!Q274),"",'Master Submitted DPDs'!Q274)</f>
        <v>43782</v>
      </c>
      <c r="P952" s="2">
        <f>IF(ISBLANK('Master Submitted DPDs'!AO274),"",'Master Submitted DPDs'!AO274)</f>
        <v>43966</v>
      </c>
      <c r="Q952" t="str">
        <f>IF(ISBLANK('Master Submitted DPDs'!AU274),"",'Master Submitted DPDs'!AU274)</f>
        <v>SOU</v>
      </c>
      <c r="R952" t="str">
        <f t="shared" si="31"/>
        <v>Closed</v>
      </c>
      <c r="S952" s="3"/>
      <c r="T952">
        <f>IF(ISBLANK('Master Submitted DPDs'!G274),"",'Master Submitted DPDs'!G274)</f>
        <v>3</v>
      </c>
    </row>
    <row r="953" spans="1:20" ht="15" x14ac:dyDescent="0.2">
      <c r="A953" s="3" t="str">
        <f>IF(ISBLANK('Master Submitted DPDs'!$B275),"","Local Plans")</f>
        <v>Local Plans</v>
      </c>
      <c r="B953" t="str">
        <f>IF(ISBLANK('Master Submitted DPDs'!F275),"",'Master Submitted DPDs'!F275)</f>
        <v>SA</v>
      </c>
      <c r="C953" s="3" t="str">
        <f>IF(ISBLANK('Master Submitted DPDs'!$B275),"","IH")</f>
        <v>IH</v>
      </c>
      <c r="D953" s="3" t="str">
        <f>LOOKUP($F953,'fuzzy LPA lookup'!$E:$E,'fuzzy LPA lookup'!$A:$A)</f>
        <v>U1430</v>
      </c>
      <c r="E953" s="3" t="str">
        <f>LOOKUP($F953,'fuzzy LPA lookup'!$E:$E,'fuzzy LPA lookup'!$D:$D)</f>
        <v>Rother District Council</v>
      </c>
      <c r="F953" s="8">
        <f>IF(ISBLANK('Master Submitted DPDs'!B275),"",'Master Submitted DPDs'!B275)</f>
        <v>1955</v>
      </c>
      <c r="G953" t="str">
        <f>IF(ISBLANK('Master Submitted DPDs'!AS275),"","Withdrawn")</f>
        <v/>
      </c>
      <c r="H953" s="2" t="str">
        <f>IF(ISBLANK('Master Submitted DPDs'!AS275),"",'Master Submitted DPDs'!AS275)</f>
        <v/>
      </c>
      <c r="I953" s="3"/>
      <c r="J953" s="3"/>
      <c r="K953" s="3"/>
      <c r="L953" s="2">
        <f>IF(ISBLANK('Master Submitted DPDs'!J275),"",'Master Submitted DPDs'!J275)</f>
        <v>43677</v>
      </c>
      <c r="M953" s="2">
        <f t="shared" si="30"/>
        <v>43677</v>
      </c>
      <c r="N953" s="2">
        <f>IF(ISBLANK('Master Submitted DPDs'!M275),IF(ISBLANK('Master Submitted DPDs'!O275),"",'Master Submitted DPDs'!O275),'Master Submitted DPDs'!M275)</f>
        <v>43707</v>
      </c>
      <c r="O953" s="2">
        <f>IF(ISBLANK('Master Submitted DPDs'!Q275),"",'Master Submitted DPDs'!Q275)</f>
        <v>43810</v>
      </c>
      <c r="P953" s="2">
        <f>IF(ISBLANK('Master Submitted DPDs'!AO275),"",'Master Submitted DPDs'!AO275)</f>
        <v>44414</v>
      </c>
      <c r="Q953" t="str">
        <f>IF(ISBLANK('Master Submitted DPDs'!AU275),"",'Master Submitted DPDs'!AU275)</f>
        <v>SOU</v>
      </c>
      <c r="R953" t="str">
        <f t="shared" si="31"/>
        <v>Closed</v>
      </c>
      <c r="S953" s="3"/>
      <c r="T953">
        <f>IF(ISBLANK('Master Submitted DPDs'!G275),"",'Master Submitted DPDs'!G275)</f>
        <v>2</v>
      </c>
    </row>
    <row r="954" spans="1:20" ht="15" x14ac:dyDescent="0.2">
      <c r="A954" s="3" t="str">
        <f>IF(ISBLANK('Master Submitted DPDs'!$B276),"","Local Plans")</f>
        <v>Local Plans</v>
      </c>
      <c r="B954" t="str">
        <f>IF(ISBLANK('Master Submitted DPDs'!F276),"",'Master Submitted DPDs'!F276)</f>
        <v>LP</v>
      </c>
      <c r="C954" s="3" t="str">
        <f>IF(ISBLANK('Master Submitted DPDs'!$B276),"","IH")</f>
        <v>IH</v>
      </c>
      <c r="D954" s="3" t="str">
        <f>LOOKUP($F954,'fuzzy LPA lookup'!$E:$E,'fuzzy LPA lookup'!$A:$A)</f>
        <v>T1600</v>
      </c>
      <c r="E954" s="3" t="str">
        <f>LOOKUP($F954,'fuzzy LPA lookup'!$E:$E,'fuzzy LPA lookup'!$D:$D)</f>
        <v>Gloucestershire County Council</v>
      </c>
      <c r="F954" s="8">
        <f>IF(ISBLANK('Master Submitted DPDs'!B276),"",'Master Submitted DPDs'!B276)</f>
        <v>2032</v>
      </c>
      <c r="G954" t="str">
        <f>IF(ISBLANK('Master Submitted DPDs'!AS276),"","Withdrawn")</f>
        <v/>
      </c>
      <c r="H954" s="2" t="str">
        <f>IF(ISBLANK('Master Submitted DPDs'!AS276),"",'Master Submitted DPDs'!AS276)</f>
        <v/>
      </c>
      <c r="I954" s="3"/>
      <c r="J954" s="3"/>
      <c r="K954" s="3"/>
      <c r="L954" s="2">
        <f>IF(ISBLANK('Master Submitted DPDs'!J276),"",'Master Submitted DPDs'!J276)</f>
        <v>43678</v>
      </c>
      <c r="M954" s="2">
        <f t="shared" si="30"/>
        <v>43678</v>
      </c>
      <c r="N954" s="2">
        <f>IF(ISBLANK('Master Submitted DPDs'!M276),IF(ISBLANK('Master Submitted DPDs'!O276),"",'Master Submitted DPDs'!O276),'Master Submitted DPDs'!M276)</f>
        <v>43685</v>
      </c>
      <c r="O954" s="2">
        <f>IF(ISBLANK('Master Submitted DPDs'!Q276),"",'Master Submitted DPDs'!Q276)</f>
        <v>43804</v>
      </c>
      <c r="P954" s="2">
        <f>IF(ISBLANK('Master Submitted DPDs'!AO276),"",'Master Submitted DPDs'!AO276)</f>
        <v>44270</v>
      </c>
      <c r="Q954" t="str">
        <f>IF(ISBLANK('Master Submitted DPDs'!AU276),"",'Master Submitted DPDs'!AU276)</f>
        <v>SOU</v>
      </c>
      <c r="R954" t="str">
        <f t="shared" si="31"/>
        <v>Closed</v>
      </c>
      <c r="S954" s="3"/>
      <c r="T954">
        <f>IF(ISBLANK('Master Submitted DPDs'!G276),"",'Master Submitted DPDs'!G276)</f>
        <v>3</v>
      </c>
    </row>
    <row r="955" spans="1:20" ht="15" x14ac:dyDescent="0.2">
      <c r="A955" s="3" t="str">
        <f>IF(ISBLANK('Master Submitted DPDs'!$B277),"","Local Plans")</f>
        <v>Local Plans</v>
      </c>
      <c r="B955" t="str">
        <f>IF(ISBLANK('Master Submitted DPDs'!F277),"",'Master Submitted DPDs'!F277)</f>
        <v>AAP</v>
      </c>
      <c r="C955" s="3" t="str">
        <f>IF(ISBLANK('Master Submitted DPDs'!$B277),"","IH")</f>
        <v>IH</v>
      </c>
      <c r="D955" s="3" t="str">
        <f>LOOKUP($F955,'fuzzy LPA lookup'!$E:$E,'fuzzy LPA lookup'!$A:$A)</f>
        <v>U1105</v>
      </c>
      <c r="E955" s="3" t="str">
        <f>LOOKUP($F955,'fuzzy LPA lookup'!$E:$E,'fuzzy LPA lookup'!$D:$D)</f>
        <v>East Devon District Council</v>
      </c>
      <c r="F955" s="8">
        <f>IF(ISBLANK('Master Submitted DPDs'!B277),"",'Master Submitted DPDs'!B277)</f>
        <v>2009</v>
      </c>
      <c r="G955" t="str">
        <f>IF(ISBLANK('Master Submitted DPDs'!AS277),"","Withdrawn")</f>
        <v/>
      </c>
      <c r="H955" s="2" t="str">
        <f>IF(ISBLANK('Master Submitted DPDs'!AS277),"",'Master Submitted DPDs'!AS277)</f>
        <v/>
      </c>
      <c r="I955" s="3"/>
      <c r="J955" s="3"/>
      <c r="K955" s="3"/>
      <c r="L955" s="2">
        <f>IF(ISBLANK('Master Submitted DPDs'!J277),"",'Master Submitted DPDs'!J277)</f>
        <v>43679</v>
      </c>
      <c r="M955" s="2">
        <f t="shared" si="30"/>
        <v>43679</v>
      </c>
      <c r="N955" s="2">
        <f>IF(ISBLANK('Master Submitted DPDs'!M277),IF(ISBLANK('Master Submitted DPDs'!O277),"",'Master Submitted DPDs'!O277),'Master Submitted DPDs'!M277)</f>
        <v>43682</v>
      </c>
      <c r="O955" s="2">
        <f>IF(ISBLANK('Master Submitted DPDs'!Q277),"",'Master Submitted DPDs'!Q277)</f>
        <v>44155</v>
      </c>
      <c r="P955" s="2">
        <f>IF(ISBLANK('Master Submitted DPDs'!AO277),"",'Master Submitted DPDs'!AO277)</f>
        <v>44784</v>
      </c>
      <c r="Q955" t="str">
        <f>IF(ISBLANK('Master Submitted DPDs'!AU277),"",'Master Submitted DPDs'!AU277)</f>
        <v>SOU</v>
      </c>
      <c r="R955" t="str">
        <f t="shared" si="31"/>
        <v>Closed</v>
      </c>
      <c r="S955" s="3"/>
      <c r="T955">
        <f>IF(ISBLANK('Master Submitted DPDs'!G277),"",'Master Submitted DPDs'!G277)</f>
        <v>2</v>
      </c>
    </row>
    <row r="956" spans="1:20" ht="15" x14ac:dyDescent="0.2">
      <c r="A956" s="3" t="str">
        <f>IF(ISBLANK('Master Submitted DPDs'!$B278),"","Local Plans")</f>
        <v>Local Plans</v>
      </c>
      <c r="B956" t="str">
        <f>IF(ISBLANK('Master Submitted DPDs'!F278),"",'Master Submitted DPDs'!F278)</f>
        <v>M&amp;W</v>
      </c>
      <c r="C956" s="3" t="str">
        <f>IF(ISBLANK('Master Submitted DPDs'!$B278),"","IH")</f>
        <v>IH</v>
      </c>
      <c r="D956" s="3" t="str">
        <f>LOOKUP($F956,'fuzzy LPA lookup'!$E:$E,'fuzzy LPA lookup'!$A:$A)</f>
        <v>T1600</v>
      </c>
      <c r="E956" s="3" t="str">
        <f>LOOKUP($F956,'fuzzy LPA lookup'!$E:$E,'fuzzy LPA lookup'!$D:$D)</f>
        <v>Gloucestershire County Council</v>
      </c>
      <c r="F956" s="8">
        <f>IF(ISBLANK('Master Submitted DPDs'!B278),"",'Master Submitted DPDs'!B278)</f>
        <v>2054</v>
      </c>
      <c r="G956" t="str">
        <f>IF(ISBLANK('Master Submitted DPDs'!AS278),"","Withdrawn")</f>
        <v/>
      </c>
      <c r="H956" s="2" t="str">
        <f>IF(ISBLANK('Master Submitted DPDs'!AS278),"",'Master Submitted DPDs'!AS278)</f>
        <v/>
      </c>
      <c r="I956" s="3"/>
      <c r="J956" s="3"/>
      <c r="K956" s="3"/>
      <c r="L956" s="2">
        <f>IF(ISBLANK('Master Submitted DPDs'!J278),"",'Master Submitted DPDs'!J278)</f>
        <v>43685</v>
      </c>
      <c r="M956" s="2">
        <f t="shared" si="30"/>
        <v>43685</v>
      </c>
      <c r="N956" s="2">
        <f>IF(ISBLANK('Master Submitted DPDs'!M278),IF(ISBLANK('Master Submitted DPDs'!O278),"",'Master Submitted DPDs'!O278),'Master Submitted DPDs'!M278)</f>
        <v>43691</v>
      </c>
      <c r="O956" s="2">
        <f>IF(ISBLANK('Master Submitted DPDs'!Q278),"",'Master Submitted DPDs'!Q278)</f>
        <v>43790</v>
      </c>
      <c r="P956" s="2">
        <f>IF(ISBLANK('Master Submitted DPDs'!AO278),"",'Master Submitted DPDs'!AO278)</f>
        <v>44496</v>
      </c>
      <c r="Q956" t="str">
        <f>IF(ISBLANK('Master Submitted DPDs'!AU278),"",'Master Submitted DPDs'!AU278)</f>
        <v>SOU</v>
      </c>
      <c r="R956" t="str">
        <f t="shared" si="31"/>
        <v>Closed</v>
      </c>
      <c r="S956" s="3"/>
      <c r="T956">
        <f>IF(ISBLANK('Master Submitted DPDs'!G278),"",'Master Submitted DPDs'!G278)</f>
        <v>2</v>
      </c>
    </row>
    <row r="957" spans="1:20" ht="15" x14ac:dyDescent="0.2">
      <c r="A957" s="3" t="str">
        <f>IF(ISBLANK('Master Submitted DPDs'!$B279),"","Local Plans")</f>
        <v>Local Plans</v>
      </c>
      <c r="B957" t="str">
        <f>IF(ISBLANK('Master Submitted DPDs'!F279),"",'Master Submitted DPDs'!F279)</f>
        <v>LP</v>
      </c>
      <c r="C957" s="3" t="str">
        <f>IF(ISBLANK('Master Submitted DPDs'!$B279),"","IH")</f>
        <v>IH</v>
      </c>
      <c r="D957" s="3" t="str">
        <f>LOOKUP($F957,'fuzzy LPA lookup'!$E:$E,'fuzzy LPA lookup'!$A:$A)</f>
        <v>X3025</v>
      </c>
      <c r="E957" s="3" t="str">
        <f>LOOKUP($F957,'fuzzy LPA lookup'!$E:$E,'fuzzy LPA lookup'!$D:$D)</f>
        <v>Mansfield District Council</v>
      </c>
      <c r="F957" s="8">
        <f>IF(ISBLANK('Master Submitted DPDs'!B279),"",'Master Submitted DPDs'!B279)</f>
        <v>1940</v>
      </c>
      <c r="G957" t="str">
        <f>IF(ISBLANK('Master Submitted DPDs'!AS279),"","Withdrawn")</f>
        <v>Withdrawn</v>
      </c>
      <c r="H957" s="2">
        <f>IF(ISBLANK('Master Submitted DPDs'!AS279),"",'Master Submitted DPDs'!AS279)</f>
        <v>44125</v>
      </c>
      <c r="I957" s="3"/>
      <c r="J957" s="3"/>
      <c r="K957" s="3"/>
      <c r="L957" s="2">
        <f>IF(ISBLANK('Master Submitted DPDs'!J279),"",'Master Submitted DPDs'!J279)</f>
        <v>43734</v>
      </c>
      <c r="M957" s="2">
        <f t="shared" si="30"/>
        <v>43734</v>
      </c>
      <c r="N957" s="2">
        <f>IF(ISBLANK('Master Submitted DPDs'!M279),IF(ISBLANK('Master Submitted DPDs'!O279),"",'Master Submitted DPDs'!O279),'Master Submitted DPDs'!M279)</f>
        <v>43742</v>
      </c>
      <c r="O957" s="2">
        <f>IF(ISBLANK('Master Submitted DPDs'!Q279),"",'Master Submitted DPDs'!Q279)</f>
        <v>43907</v>
      </c>
      <c r="P957" s="2" t="str">
        <f>IF(ISBLANK('Master Submitted DPDs'!AO279),"",'Master Submitted DPDs'!AO279)</f>
        <v/>
      </c>
      <c r="Q957" t="str">
        <f>IF(ISBLANK('Master Submitted DPDs'!AU279),"",'Master Submitted DPDs'!AU279)</f>
        <v>DPDW</v>
      </c>
      <c r="R957" t="str">
        <f t="shared" si="31"/>
        <v>Closed</v>
      </c>
      <c r="S957" s="3"/>
      <c r="T957">
        <f>IF(ISBLANK('Master Submitted DPDs'!G279),"",'Master Submitted DPDs'!G279)</f>
        <v>3</v>
      </c>
    </row>
    <row r="958" spans="1:20" ht="15" x14ac:dyDescent="0.2">
      <c r="A958" s="3" t="str">
        <f>IF(ISBLANK('Master Submitted DPDs'!$B280),"","Local Plans")</f>
        <v>Local Plans</v>
      </c>
      <c r="B958" t="str">
        <f>IF(ISBLANK('Master Submitted DPDs'!F280),"",'Master Submitted DPDs'!F280)</f>
        <v>LP</v>
      </c>
      <c r="C958" s="3" t="str">
        <f>IF(ISBLANK('Master Submitted DPDs'!$B280),"","IH")</f>
        <v>IH</v>
      </c>
      <c r="D958" s="3" t="str">
        <f>LOOKUP($F958,'fuzzy LPA lookup'!$E:$E,'fuzzy LPA lookup'!$A:$A)</f>
        <v>B3600</v>
      </c>
      <c r="E958" s="3" t="str">
        <f>LOOKUP($F958,'fuzzy LPA lookup'!$E:$E,'fuzzy LPA lookup'!$D:$D)</f>
        <v>Surrey County Council</v>
      </c>
      <c r="F958" s="8">
        <f>IF(ISBLANK('Master Submitted DPDs'!B280),"",'Master Submitted DPDs'!B280)</f>
        <v>2095</v>
      </c>
      <c r="G958" t="str">
        <f>IF(ISBLANK('Master Submitted DPDs'!AS280),"","Withdrawn")</f>
        <v/>
      </c>
      <c r="H958" s="2" t="str">
        <f>IF(ISBLANK('Master Submitted DPDs'!AS280),"",'Master Submitted DPDs'!AS280)</f>
        <v/>
      </c>
      <c r="I958" s="3"/>
      <c r="J958" s="3"/>
      <c r="K958" s="3"/>
      <c r="L958" s="2">
        <f>IF(ISBLANK('Master Submitted DPDs'!J280),"",'Master Submitted DPDs'!J280)</f>
        <v>43738</v>
      </c>
      <c r="M958" s="2">
        <f t="shared" si="30"/>
        <v>43738</v>
      </c>
      <c r="N958" s="2">
        <f>IF(ISBLANK('Master Submitted DPDs'!M280),IF(ISBLANK('Master Submitted DPDs'!O280),"",'Master Submitted DPDs'!O280),'Master Submitted DPDs'!M280)</f>
        <v>43739</v>
      </c>
      <c r="O958" s="2">
        <f>IF(ISBLANK('Master Submitted DPDs'!Q280),"",'Master Submitted DPDs'!Q280)</f>
        <v>43860</v>
      </c>
      <c r="P958" s="2">
        <f>IF(ISBLANK('Master Submitted DPDs'!AO280),"",'Master Submitted DPDs'!AO280)</f>
        <v>43999</v>
      </c>
      <c r="Q958" t="str">
        <f>IF(ISBLANK('Master Submitted DPDs'!AU280),"",'Master Submitted DPDs'!AU280)</f>
        <v>SOU</v>
      </c>
      <c r="R958" t="str">
        <f t="shared" si="31"/>
        <v>Closed</v>
      </c>
      <c r="S958" s="3"/>
      <c r="T958">
        <f>IF(ISBLANK('Master Submitted DPDs'!G280),"",'Master Submitted DPDs'!G280)</f>
        <v>3</v>
      </c>
    </row>
    <row r="959" spans="1:20" ht="15" x14ac:dyDescent="0.2">
      <c r="A959" s="3" t="str">
        <f>IF(ISBLANK('Master Submitted DPDs'!$B281),"","Local Plans")</f>
        <v>Local Plans</v>
      </c>
      <c r="B959" t="str">
        <f>IF(ISBLANK('Master Submitted DPDs'!F281),"",'Master Submitted DPDs'!F281)</f>
        <v>LP</v>
      </c>
      <c r="C959" s="3" t="str">
        <f>IF(ISBLANK('Master Submitted DPDs'!$B281),"","IH")</f>
        <v>IH</v>
      </c>
      <c r="D959" s="3" t="str">
        <f>LOOKUP($F959,'fuzzy LPA lookup'!$E:$E,'fuzzy LPA lookup'!$A:$A)</f>
        <v>Z0835</v>
      </c>
      <c r="E959" s="3" t="str">
        <f>LOOKUP($F959,'fuzzy LPA lookup'!$E:$E,'fuzzy LPA lookup'!$D:$D)</f>
        <v>The Isles of Scilly Council</v>
      </c>
      <c r="F959" s="8">
        <f>IF(ISBLANK('Master Submitted DPDs'!B281),"",'Master Submitted DPDs'!B281)</f>
        <v>1975</v>
      </c>
      <c r="G959" t="str">
        <f>IF(ISBLANK('Master Submitted DPDs'!AS281),"","Withdrawn")</f>
        <v/>
      </c>
      <c r="H959" s="2" t="str">
        <f>IF(ISBLANK('Master Submitted DPDs'!AS281),"",'Master Submitted DPDs'!AS281)</f>
        <v/>
      </c>
      <c r="I959" s="3"/>
      <c r="J959" s="3"/>
      <c r="K959" s="3"/>
      <c r="L959" s="2">
        <f>IF(ISBLANK('Master Submitted DPDs'!J281),"",'Master Submitted DPDs'!J281)</f>
        <v>43738</v>
      </c>
      <c r="M959" s="2">
        <f t="shared" si="30"/>
        <v>43738</v>
      </c>
      <c r="N959" s="2">
        <f>IF(ISBLANK('Master Submitted DPDs'!M281),IF(ISBLANK('Master Submitted DPDs'!O281),"",'Master Submitted DPDs'!O281),'Master Submitted DPDs'!M281)</f>
        <v>43748</v>
      </c>
      <c r="O959" s="2">
        <f>IF(ISBLANK('Master Submitted DPDs'!Q281),"",'Master Submitted DPDs'!Q281)</f>
        <v>43853</v>
      </c>
      <c r="P959" s="2">
        <f>IF(ISBLANK('Master Submitted DPDs'!AO281),"",'Master Submitted DPDs'!AO281)</f>
        <v>44250</v>
      </c>
      <c r="Q959" t="str">
        <f>IF(ISBLANK('Master Submitted DPDs'!AU281),"",'Master Submitted DPDs'!AU281)</f>
        <v>SOU</v>
      </c>
      <c r="R959" t="str">
        <f t="shared" si="31"/>
        <v>Closed</v>
      </c>
      <c r="S959" s="3"/>
      <c r="T959">
        <f>IF(ISBLANK('Master Submitted DPDs'!G281),"",'Master Submitted DPDs'!G281)</f>
        <v>3</v>
      </c>
    </row>
    <row r="960" spans="1:20" ht="15" x14ac:dyDescent="0.2">
      <c r="A960" s="3" t="str">
        <f>IF(ISBLANK('Master Submitted DPDs'!$B282),"","Local Plans")</f>
        <v>Local Plans</v>
      </c>
      <c r="B960" t="str">
        <f>IF(ISBLANK('Master Submitted DPDs'!F282),"",'Master Submitted DPDs'!F282)</f>
        <v>LP</v>
      </c>
      <c r="C960" s="3" t="str">
        <f>IF(ISBLANK('Master Submitted DPDs'!$B282),"","IH")</f>
        <v>IH</v>
      </c>
      <c r="D960" s="3" t="str">
        <f>LOOKUP($F960,'fuzzy LPA lookup'!$E:$E,'fuzzy LPA lookup'!$A:$A)</f>
        <v>Z0835</v>
      </c>
      <c r="E960" s="3" t="str">
        <f>LOOKUP($F960,'fuzzy LPA lookup'!$E:$E,'fuzzy LPA lookup'!$D:$D)</f>
        <v>The Isles of Scilly Council</v>
      </c>
      <c r="F960" s="8">
        <f>IF(ISBLANK('Master Submitted DPDs'!B282),"",'Master Submitted DPDs'!B282)</f>
        <v>1997</v>
      </c>
      <c r="G960" t="str">
        <f>IF(ISBLANK('Master Submitted DPDs'!AS282),"","Withdrawn")</f>
        <v/>
      </c>
      <c r="H960" s="2" t="str">
        <f>IF(ISBLANK('Master Submitted DPDs'!AS282),"",'Master Submitted DPDs'!AS282)</f>
        <v/>
      </c>
      <c r="I960" s="3"/>
      <c r="J960" s="3"/>
      <c r="K960" s="3"/>
      <c r="L960" s="2">
        <f>IF(ISBLANK('Master Submitted DPDs'!J282),"",'Master Submitted DPDs'!J282)</f>
        <v>43788</v>
      </c>
      <c r="M960" s="2">
        <f t="shared" si="30"/>
        <v>43788</v>
      </c>
      <c r="N960" s="2">
        <f>IF(ISBLANK('Master Submitted DPDs'!M282),IF(ISBLANK('Master Submitted DPDs'!O282),"",'Master Submitted DPDs'!O282),'Master Submitted DPDs'!M282)</f>
        <v>43794</v>
      </c>
      <c r="O960" s="2">
        <f>IF(ISBLANK('Master Submitted DPDs'!Q282),"",'Master Submitted DPDs'!Q282)</f>
        <v>44119</v>
      </c>
      <c r="P960" s="2">
        <f>IF(ISBLANK('Master Submitted DPDs'!AO282),"",'Master Submitted DPDs'!AO282)</f>
        <v>44274</v>
      </c>
      <c r="Q960" t="str">
        <f>IF(ISBLANK('Master Submitted DPDs'!AU282),"",'Master Submitted DPDs'!AU282)</f>
        <v>SOU</v>
      </c>
      <c r="R960" t="str">
        <f t="shared" si="31"/>
        <v>Closed</v>
      </c>
      <c r="S960" s="3"/>
      <c r="T960">
        <f>IF(ISBLANK('Master Submitted DPDs'!G282),"",'Master Submitted DPDs'!G282)</f>
        <v>3</v>
      </c>
    </row>
    <row r="961" spans="1:20" ht="15" x14ac:dyDescent="0.2">
      <c r="A961" s="3" t="str">
        <f>IF(ISBLANK('Master Submitted DPDs'!$B283),"","Local Plans")</f>
        <v>Local Plans</v>
      </c>
      <c r="B961" t="str">
        <f>IF(ISBLANK('Master Submitted DPDs'!F283),"",'Master Submitted DPDs'!F283)</f>
        <v>M&amp;W</v>
      </c>
      <c r="C961" s="3" t="str">
        <f>IF(ISBLANK('Master Submitted DPDs'!$B283),"","IH")</f>
        <v>IH</v>
      </c>
      <c r="D961" s="3" t="str">
        <f>LOOKUP($F961,'fuzzy LPA lookup'!$E:$E,'fuzzy LPA lookup'!$A:$A)</f>
        <v>N2535</v>
      </c>
      <c r="E961" s="3" t="str">
        <f>LOOKUP($F961,'fuzzy LPA lookup'!$E:$E,'fuzzy LPA lookup'!$D:$D)</f>
        <v>West Lindsey District Council</v>
      </c>
      <c r="F961" s="8">
        <f>IF(ISBLANK('Master Submitted DPDs'!B283),"",'Master Submitted DPDs'!B283)</f>
        <v>1806</v>
      </c>
      <c r="G961" t="str">
        <f>IF(ISBLANK('Master Submitted DPDs'!AS283),"","Withdrawn")</f>
        <v/>
      </c>
      <c r="H961" s="2" t="str">
        <f>IF(ISBLANK('Master Submitted DPDs'!AS283),"",'Master Submitted DPDs'!AS283)</f>
        <v/>
      </c>
      <c r="I961" s="3"/>
      <c r="J961" s="3"/>
      <c r="K961" s="3"/>
      <c r="L961" s="2">
        <f>IF(ISBLANK('Master Submitted DPDs'!J283),"",'Master Submitted DPDs'!J283)</f>
        <v>43798</v>
      </c>
      <c r="M961" s="2">
        <f t="shared" si="30"/>
        <v>43798</v>
      </c>
      <c r="N961" s="2">
        <f>IF(ISBLANK('Master Submitted DPDs'!M283),IF(ISBLANK('Master Submitted DPDs'!O283),"",'Master Submitted DPDs'!O283),'Master Submitted DPDs'!M283)</f>
        <v>43801</v>
      </c>
      <c r="O961" s="2">
        <f>IF(ISBLANK('Master Submitted DPDs'!Q283),"",'Master Submitted DPDs'!Q283)</f>
        <v>44125</v>
      </c>
      <c r="P961" s="2">
        <f>IF(ISBLANK('Master Submitted DPDs'!AO283),"",'Master Submitted DPDs'!AO283)</f>
        <v>44741</v>
      </c>
      <c r="Q961" t="str">
        <f>IF(ISBLANK('Master Submitted DPDs'!AU283),"",'Master Submitted DPDs'!AU283)</f>
        <v>SOU</v>
      </c>
      <c r="R961" t="str">
        <f t="shared" si="31"/>
        <v>Closed</v>
      </c>
      <c r="S961" s="3"/>
      <c r="T961">
        <f>IF(ISBLANK('Master Submitted DPDs'!G283),"",'Master Submitted DPDs'!G283)</f>
        <v>2</v>
      </c>
    </row>
    <row r="962" spans="1:20" ht="15" x14ac:dyDescent="0.2">
      <c r="A962" s="3" t="str">
        <f>IF(ISBLANK('Master Submitted DPDs'!$B284),"","Local Plans")</f>
        <v>Local Plans</v>
      </c>
      <c r="B962" t="str">
        <f>IF(ISBLANK('Master Submitted DPDs'!F284),"",'Master Submitted DPDs'!F284)</f>
        <v>M&amp;W</v>
      </c>
      <c r="C962" s="3" t="str">
        <f>IF(ISBLANK('Master Submitted DPDs'!$B284),"","IH")</f>
        <v>IH</v>
      </c>
      <c r="D962" s="3" t="str">
        <f>LOOKUP($F962,'fuzzy LPA lookup'!$E:$E,'fuzzy LPA lookup'!$A:$A)</f>
        <v>E1855</v>
      </c>
      <c r="E962" s="3" t="str">
        <f>LOOKUP($F962,'fuzzy LPA lookup'!$E:$E,'fuzzy LPA lookup'!$D:$D)</f>
        <v>Worcestershire County Council</v>
      </c>
      <c r="F962" s="8">
        <f>IF(ISBLANK('Master Submitted DPDs'!B284),"",'Master Submitted DPDs'!B284)</f>
        <v>2099</v>
      </c>
      <c r="G962" t="str">
        <f>IF(ISBLANK('Master Submitted DPDs'!AS284),"","Withdrawn")</f>
        <v/>
      </c>
      <c r="H962" s="2" t="str">
        <f>IF(ISBLANK('Master Submitted DPDs'!AS284),"",'Master Submitted DPDs'!AS284)</f>
        <v/>
      </c>
      <c r="I962" s="3"/>
      <c r="J962" s="3"/>
      <c r="K962" s="3"/>
      <c r="L962" s="2">
        <f>IF(ISBLANK('Master Submitted DPDs'!J284),"",'Master Submitted DPDs'!J284)</f>
        <v>43816</v>
      </c>
      <c r="M962" s="2">
        <f t="shared" si="30"/>
        <v>43816</v>
      </c>
      <c r="N962" s="2">
        <f>IF(ISBLANK('Master Submitted DPDs'!M284),IF(ISBLANK('Master Submitted DPDs'!O284),"",'Master Submitted DPDs'!O284),'Master Submitted DPDs'!M284)</f>
        <v>43817</v>
      </c>
      <c r="O962" s="2">
        <f>IF(ISBLANK('Master Submitted DPDs'!Q284),"",'Master Submitted DPDs'!Q284)</f>
        <v>44183</v>
      </c>
      <c r="P962" s="2">
        <f>IF(ISBLANK('Master Submitted DPDs'!AO284),"",'Master Submitted DPDs'!AO284)</f>
        <v>44687</v>
      </c>
      <c r="Q962" t="str">
        <f>IF(ISBLANK('Master Submitted DPDs'!AU284),"",'Master Submitted DPDs'!AU284)</f>
        <v>SOU</v>
      </c>
      <c r="R962" t="str">
        <f t="shared" si="31"/>
        <v>Closed</v>
      </c>
      <c r="S962" s="3"/>
      <c r="T962">
        <f>IF(ISBLANK('Master Submitted DPDs'!G284),"",'Master Submitted DPDs'!G284)</f>
        <v>2</v>
      </c>
    </row>
    <row r="963" spans="1:20" ht="15" x14ac:dyDescent="0.2">
      <c r="A963" s="3" t="str">
        <f>IF(ISBLANK('Master Submitted DPDs'!$B285),"","Local Plans")</f>
        <v>Local Plans</v>
      </c>
      <c r="B963" t="str">
        <f>IF(ISBLANK('Master Submitted DPDs'!F285),"",'Master Submitted DPDs'!F285)</f>
        <v>SA</v>
      </c>
      <c r="C963" s="3" t="str">
        <f>IF(ISBLANK('Master Submitted DPDs'!$B285),"","IH")</f>
        <v>IH</v>
      </c>
      <c r="D963" s="3" t="str">
        <f>LOOKUP($F963,'fuzzy LPA lookup'!$E:$E,'fuzzy LPA lookup'!$A:$A)</f>
        <v>U2805</v>
      </c>
      <c r="E963" s="3" t="str">
        <f>LOOKUP($F963,'fuzzy LPA lookup'!$E:$E,'fuzzy LPA lookup'!$D:$D)</f>
        <v>Corby Borough Council</v>
      </c>
      <c r="F963" s="8">
        <f>IF(ISBLANK('Master Submitted DPDs'!B285),"",'Master Submitted DPDs'!B285)</f>
        <v>2096</v>
      </c>
      <c r="G963" t="str">
        <f>IF(ISBLANK('Master Submitted DPDs'!AS285),"","Withdrawn")</f>
        <v/>
      </c>
      <c r="H963" s="2" t="str">
        <f>IF(ISBLANK('Master Submitted DPDs'!AS285),"",'Master Submitted DPDs'!AS285)</f>
        <v/>
      </c>
      <c r="I963" s="3"/>
      <c r="J963" s="3"/>
      <c r="K963" s="3"/>
      <c r="L963" s="2">
        <f>IF(ISBLANK('Master Submitted DPDs'!J285),"",'Master Submitted DPDs'!J285)</f>
        <v>43818</v>
      </c>
      <c r="M963" s="2">
        <f t="shared" ref="M963:M1025" si="32">L963</f>
        <v>43818</v>
      </c>
      <c r="N963" s="2">
        <f>IF(ISBLANK('Master Submitted DPDs'!M285),IF(ISBLANK('Master Submitted DPDs'!O285),"",'Master Submitted DPDs'!O285),'Master Submitted DPDs'!M285)</f>
        <v>43837</v>
      </c>
      <c r="O963" s="2">
        <f>IF(ISBLANK('Master Submitted DPDs'!Q285),"",'Master Submitted DPDs'!Q285)</f>
        <v>44105</v>
      </c>
      <c r="P963" s="2">
        <f>IF(ISBLANK('Master Submitted DPDs'!AO285),"",'Master Submitted DPDs'!AO285)</f>
        <v>44365</v>
      </c>
      <c r="Q963" t="str">
        <f>IF(ISBLANK('Master Submitted DPDs'!AU285),"",'Master Submitted DPDs'!AU285)</f>
        <v>SOU</v>
      </c>
      <c r="R963" t="str">
        <f t="shared" ref="R963:R1025" si="33">IF(F963="","",IF(AND(H963="",Q963&lt;&gt;"UNS",P963=""),"Open","Closed"))</f>
        <v>Closed</v>
      </c>
      <c r="S963" s="3"/>
      <c r="T963">
        <f>IF(ISBLANK('Master Submitted DPDs'!G285),"",'Master Submitted DPDs'!G285)</f>
        <v>2</v>
      </c>
    </row>
    <row r="964" spans="1:20" ht="15" x14ac:dyDescent="0.2">
      <c r="A964" s="3" t="str">
        <f>IF(ISBLANK('Master Submitted DPDs'!$B286),"","Local Plans")</f>
        <v>Local Plans</v>
      </c>
      <c r="B964" t="str">
        <f>IF(ISBLANK('Master Submitted DPDs'!F286),"",'Master Submitted DPDs'!F286)</f>
        <v>LP</v>
      </c>
      <c r="C964" s="3" t="str">
        <f>IF(ISBLANK('Master Submitted DPDs'!$B286),"","IH")</f>
        <v>IH</v>
      </c>
      <c r="D964" s="3" t="str">
        <f>LOOKUP($F964,'fuzzy LPA lookup'!$E:$E,'fuzzy LPA lookup'!$A:$A)</f>
        <v>J1535</v>
      </c>
      <c r="E964" s="3" t="str">
        <f>LOOKUP($F964,'fuzzy LPA lookup'!$E:$E,'fuzzy LPA lookup'!$D:$D)</f>
        <v>Epping Forest District Council</v>
      </c>
      <c r="F964" s="8">
        <f>IF(ISBLANK('Master Submitted DPDs'!B286),"",'Master Submitted DPDs'!B286)</f>
        <v>1883</v>
      </c>
      <c r="G964" t="str">
        <f>IF(ISBLANK('Master Submitted DPDs'!AS286),"","Withdrawn")</f>
        <v/>
      </c>
      <c r="H964" s="2" t="str">
        <f>IF(ISBLANK('Master Submitted DPDs'!AS286),"",'Master Submitted DPDs'!AS286)</f>
        <v/>
      </c>
      <c r="I964" s="3"/>
      <c r="J964" s="3"/>
      <c r="K964" s="3"/>
      <c r="L964" s="2">
        <f>IF(ISBLANK('Master Submitted DPDs'!J286),"",'Master Submitted DPDs'!J286)</f>
        <v>43846</v>
      </c>
      <c r="M964" s="2">
        <f t="shared" si="32"/>
        <v>43846</v>
      </c>
      <c r="N964" s="2">
        <f>IF(ISBLANK('Master Submitted DPDs'!M286),IF(ISBLANK('Master Submitted DPDs'!O286),"",'Master Submitted DPDs'!O286),'Master Submitted DPDs'!M286)</f>
        <v>43847</v>
      </c>
      <c r="O964" s="2">
        <f>IF(ISBLANK('Master Submitted DPDs'!Q286),"",'Master Submitted DPDs'!Q286)</f>
        <v>44315</v>
      </c>
      <c r="P964" s="2">
        <f>IF(ISBLANK('Master Submitted DPDs'!AO286),"",'Master Submitted DPDs'!AO286)</f>
        <v>44517</v>
      </c>
      <c r="Q964" t="str">
        <f>IF(ISBLANK('Master Submitted DPDs'!AU286),"",'Master Submitted DPDs'!AU286)</f>
        <v>SOU</v>
      </c>
      <c r="R964" t="str">
        <f t="shared" si="33"/>
        <v>Closed</v>
      </c>
      <c r="S964" s="3"/>
      <c r="T964">
        <f>IF(ISBLANK('Master Submitted DPDs'!G286),"",'Master Submitted DPDs'!G286)</f>
        <v>3</v>
      </c>
    </row>
    <row r="965" spans="1:20" ht="15" x14ac:dyDescent="0.2">
      <c r="A965" s="3" t="str">
        <f>IF(ISBLANK('Master Submitted DPDs'!$B287),"","Local Plans")</f>
        <v>Local Plans</v>
      </c>
      <c r="B965" t="str">
        <f>IF(ISBLANK('Master Submitted DPDs'!F287),"",'Master Submitted DPDs'!F287)</f>
        <v>M&amp;W</v>
      </c>
      <c r="C965" s="3" t="str">
        <f>IF(ISBLANK('Master Submitted DPDs'!$B287),"","IH")</f>
        <v>IH</v>
      </c>
      <c r="D965" s="3" t="str">
        <f>LOOKUP($F965,'fuzzy LPA lookup'!$E:$E,'fuzzy LPA lookup'!$A:$A)</f>
        <v>B3600</v>
      </c>
      <c r="E965" s="3" t="str">
        <f>LOOKUP($F965,'fuzzy LPA lookup'!$E:$E,'fuzzy LPA lookup'!$D:$D)</f>
        <v>Surrey County Council</v>
      </c>
      <c r="F965" s="8">
        <f>IF(ISBLANK('Master Submitted DPDs'!B287),"",'Master Submitted DPDs'!B287)</f>
        <v>2088</v>
      </c>
      <c r="G965" t="str">
        <f>IF(ISBLANK('Master Submitted DPDs'!AS287),"","Withdrawn")</f>
        <v/>
      </c>
      <c r="H965" s="2" t="str">
        <f>IF(ISBLANK('Master Submitted DPDs'!AS287),"",'Master Submitted DPDs'!AS287)</f>
        <v/>
      </c>
      <c r="I965" s="3"/>
      <c r="J965" s="3"/>
      <c r="K965" s="3"/>
      <c r="L965" s="2">
        <f>IF(ISBLANK('Master Submitted DPDs'!J287),"",'Master Submitted DPDs'!J287)</f>
        <v>43867</v>
      </c>
      <c r="M965" s="2">
        <f t="shared" si="32"/>
        <v>43867</v>
      </c>
      <c r="N965" s="2">
        <f>IF(ISBLANK('Master Submitted DPDs'!M287),IF(ISBLANK('Master Submitted DPDs'!O287),"",'Master Submitted DPDs'!O287),'Master Submitted DPDs'!M287)</f>
        <v>43867</v>
      </c>
      <c r="O965" s="2">
        <f>IF(ISBLANK('Master Submitted DPDs'!Q287),"",'Master Submitted DPDs'!Q287)</f>
        <v>44133</v>
      </c>
      <c r="P965" s="2">
        <f>IF(ISBLANK('Master Submitted DPDs'!AO287),"",'Master Submitted DPDs'!AO287)</f>
        <v>44265</v>
      </c>
      <c r="Q965" t="str">
        <f>IF(ISBLANK('Master Submitted DPDs'!AU287),"",'Master Submitted DPDs'!AU287)</f>
        <v>SOU</v>
      </c>
      <c r="R965" t="str">
        <f t="shared" si="33"/>
        <v>Closed</v>
      </c>
      <c r="S965" s="3"/>
      <c r="T965">
        <f>IF(ISBLANK('Master Submitted DPDs'!G287),"",'Master Submitted DPDs'!G287)</f>
        <v>2</v>
      </c>
    </row>
    <row r="966" spans="1:20" ht="15" x14ac:dyDescent="0.2">
      <c r="A966" s="3" t="str">
        <f>IF(ISBLANK('Master Submitted DPDs'!$B288),"","Local Plans")</f>
        <v>Local Plans</v>
      </c>
      <c r="B966" t="str">
        <f>IF(ISBLANK('Master Submitted DPDs'!F288),"",'Master Submitted DPDs'!F288)</f>
        <v>SA</v>
      </c>
      <c r="C966" s="3" t="str">
        <f>IF(ISBLANK('Master Submitted DPDs'!$B288),"","IH")</f>
        <v>IH</v>
      </c>
      <c r="D966" s="3" t="str">
        <f>LOOKUP($F966,'fuzzy LPA lookup'!$E:$E,'fuzzy LPA lookup'!$A:$A)</f>
        <v>E1855</v>
      </c>
      <c r="E966" s="3" t="str">
        <f>LOOKUP($F966,'fuzzy LPA lookup'!$E:$E,'fuzzy LPA lookup'!$D:$D)</f>
        <v>Worcestershire County Council</v>
      </c>
      <c r="F966" s="8">
        <f>IF(ISBLANK('Master Submitted DPDs'!B288),"",'Master Submitted DPDs'!B288)</f>
        <v>2205</v>
      </c>
      <c r="G966" t="str">
        <f>IF(ISBLANK('Master Submitted DPDs'!AS288),"","Withdrawn")</f>
        <v/>
      </c>
      <c r="H966" s="2" t="str">
        <f>IF(ISBLANK('Master Submitted DPDs'!AS288),"",'Master Submitted DPDs'!AS288)</f>
        <v/>
      </c>
      <c r="I966" s="3"/>
      <c r="J966" s="3"/>
      <c r="K966" s="3"/>
      <c r="L966" s="2">
        <f>IF(ISBLANK('Master Submitted DPDs'!J288),"",'Master Submitted DPDs'!J288)</f>
        <v>43873</v>
      </c>
      <c r="M966" s="2">
        <f t="shared" si="32"/>
        <v>43873</v>
      </c>
      <c r="N966" s="2">
        <f>IF(ISBLANK('Master Submitted DPDs'!M288),IF(ISBLANK('Master Submitted DPDs'!O288),"",'Master Submitted DPDs'!O288),'Master Submitted DPDs'!M288)</f>
        <v>43873</v>
      </c>
      <c r="O966" s="2">
        <f>IF(ISBLANK('Master Submitted DPDs'!Q288),"",'Master Submitted DPDs'!Q288)</f>
        <v>44470</v>
      </c>
      <c r="P966" s="2">
        <f>IF(ISBLANK('Master Submitted DPDs'!AO288),"",'Master Submitted DPDs'!AO288)</f>
        <v>45112</v>
      </c>
      <c r="Q966" t="str">
        <f>IF(ISBLANK('Master Submitted DPDs'!AU288),"",'Master Submitted DPDs'!AU288)</f>
        <v>SOU</v>
      </c>
      <c r="R966" t="str">
        <f t="shared" si="33"/>
        <v>Closed</v>
      </c>
      <c r="S966" s="3"/>
      <c r="T966">
        <f>IF(ISBLANK('Master Submitted DPDs'!G288),"",'Master Submitted DPDs'!G288)</f>
        <v>2</v>
      </c>
    </row>
    <row r="967" spans="1:20" ht="15" x14ac:dyDescent="0.2">
      <c r="A967" s="3" t="str">
        <f>IF(ISBLANK('Master Submitted DPDs'!$B289),"","Local Plans")</f>
        <v>Local Plans</v>
      </c>
      <c r="B967" t="str">
        <f>IF(ISBLANK('Master Submitted DPDs'!F289),"",'Master Submitted DPDs'!F289)</f>
        <v>AAP</v>
      </c>
      <c r="C967" s="3" t="str">
        <f>IF(ISBLANK('Master Submitted DPDs'!$B289),"","IH")</f>
        <v>IH</v>
      </c>
      <c r="D967" s="3" t="str">
        <f>LOOKUP($F967,'fuzzy LPA lookup'!$E:$E,'fuzzy LPA lookup'!$A:$A)</f>
        <v>E1855</v>
      </c>
      <c r="E967" s="3" t="str">
        <f>LOOKUP($F967,'fuzzy LPA lookup'!$E:$E,'fuzzy LPA lookup'!$D:$D)</f>
        <v>Worcestershire County Council</v>
      </c>
      <c r="F967" s="8">
        <f>IF(ISBLANK('Master Submitted DPDs'!B289),"",'Master Submitted DPDs'!B289)</f>
        <v>2206</v>
      </c>
      <c r="G967" t="str">
        <f>IF(ISBLANK('Master Submitted DPDs'!AS289),"","Withdrawn")</f>
        <v/>
      </c>
      <c r="H967" s="2" t="str">
        <f>IF(ISBLANK('Master Submitted DPDs'!AS289),"",'Master Submitted DPDs'!AS289)</f>
        <v/>
      </c>
      <c r="I967" s="3"/>
      <c r="J967" s="3"/>
      <c r="K967" s="3"/>
      <c r="L967" s="2">
        <f>IF(ISBLANK('Master Submitted DPDs'!J289),"",'Master Submitted DPDs'!J289)</f>
        <v>43873</v>
      </c>
      <c r="M967" s="2">
        <f t="shared" si="32"/>
        <v>43873</v>
      </c>
      <c r="N967" s="2">
        <f>IF(ISBLANK('Master Submitted DPDs'!M289),IF(ISBLANK('Master Submitted DPDs'!O289),"",'Master Submitted DPDs'!O289),'Master Submitted DPDs'!M289)</f>
        <v>43873</v>
      </c>
      <c r="O967" s="2">
        <f>IF(ISBLANK('Master Submitted DPDs'!Q289),"",'Master Submitted DPDs'!Q289)</f>
        <v>44470</v>
      </c>
      <c r="P967" s="2">
        <f>IF(ISBLANK('Master Submitted DPDs'!AO289),"",'Master Submitted DPDs'!AO289)</f>
        <v>45112</v>
      </c>
      <c r="Q967" t="str">
        <f>IF(ISBLANK('Master Submitted DPDs'!AU289),"",'Master Submitted DPDs'!AU289)</f>
        <v>SOU</v>
      </c>
      <c r="R967" t="str">
        <f t="shared" si="33"/>
        <v>Closed</v>
      </c>
      <c r="S967" s="3"/>
      <c r="T967">
        <f>IF(ISBLANK('Master Submitted DPDs'!G289),"",'Master Submitted DPDs'!G289)</f>
        <v>2</v>
      </c>
    </row>
    <row r="968" spans="1:20" ht="15" x14ac:dyDescent="0.2">
      <c r="A968" s="3" t="str">
        <f>IF(ISBLANK('Master Submitted DPDs'!$B290),"","Local Plans")</f>
        <v>Local Plans</v>
      </c>
      <c r="B968" t="str">
        <f>IF(ISBLANK('Master Submitted DPDs'!F290),"",'Master Submitted DPDs'!F290)</f>
        <v>LP</v>
      </c>
      <c r="C968" s="3" t="str">
        <f>IF(ISBLANK('Master Submitted DPDs'!$B290),"","IH")</f>
        <v>IH</v>
      </c>
      <c r="D968" s="3" t="str">
        <f>LOOKUP($F968,'fuzzy LPA lookup'!$E:$E,'fuzzy LPA lookup'!$A:$A)</f>
        <v>Z0835</v>
      </c>
      <c r="E968" s="3" t="str">
        <f>LOOKUP($F968,'fuzzy LPA lookup'!$E:$E,'fuzzy LPA lookup'!$D:$D)</f>
        <v>The Isles of Scilly Council</v>
      </c>
      <c r="F968" s="8">
        <f>IF(ISBLANK('Master Submitted DPDs'!B290),"",'Master Submitted DPDs'!B290)</f>
        <v>1982</v>
      </c>
      <c r="G968" t="str">
        <f>IF(ISBLANK('Master Submitted DPDs'!AS290),"","Withdrawn")</f>
        <v/>
      </c>
      <c r="H968" s="2" t="str">
        <f>IF(ISBLANK('Master Submitted DPDs'!AS290),"",'Master Submitted DPDs'!AS290)</f>
        <v/>
      </c>
      <c r="I968" s="3"/>
      <c r="J968" s="3"/>
      <c r="K968" s="3"/>
      <c r="L968" s="2">
        <f>IF(ISBLANK('Master Submitted DPDs'!J290),"",'Master Submitted DPDs'!J290)</f>
        <v>43873</v>
      </c>
      <c r="M968" s="2">
        <f t="shared" si="32"/>
        <v>43873</v>
      </c>
      <c r="N968" s="2">
        <f>IF(ISBLANK('Master Submitted DPDs'!M290),IF(ISBLANK('Master Submitted DPDs'!O290),"",'Master Submitted DPDs'!O290),'Master Submitted DPDs'!M290)</f>
        <v>43873</v>
      </c>
      <c r="O968" s="2">
        <f>IF(ISBLANK('Master Submitted DPDs'!Q290),"",'Master Submitted DPDs'!Q290)</f>
        <v>44470</v>
      </c>
      <c r="P968" s="2">
        <f>IF(ISBLANK('Master Submitted DPDs'!AO290),"",'Master Submitted DPDs'!AO290)</f>
        <v>45112</v>
      </c>
      <c r="Q968" t="str">
        <f>IF(ISBLANK('Master Submitted DPDs'!AU290),"",'Master Submitted DPDs'!AU290)</f>
        <v>SOU</v>
      </c>
      <c r="R968" t="str">
        <f t="shared" si="33"/>
        <v>Closed</v>
      </c>
      <c r="S968" s="3"/>
      <c r="T968">
        <f>IF(ISBLANK('Master Submitted DPDs'!G290),"",'Master Submitted DPDs'!G290)</f>
        <v>3</v>
      </c>
    </row>
    <row r="969" spans="1:20" ht="15" x14ac:dyDescent="0.2">
      <c r="A969" s="3" t="str">
        <f>IF(ISBLANK('Master Submitted DPDs'!$B291),"","Local Plans")</f>
        <v>Local Plans</v>
      </c>
      <c r="B969" t="str">
        <f>IF(ISBLANK('Master Submitted DPDs'!F291),"",'Master Submitted DPDs'!F291)</f>
        <v>LP</v>
      </c>
      <c r="C969" s="3" t="str">
        <f>IF(ISBLANK('Master Submitted DPDs'!$B291),"","IH")</f>
        <v>IH</v>
      </c>
      <c r="D969" s="3" t="str">
        <f>LOOKUP($F969,'fuzzy LPA lookup'!$E:$E,'fuzzy LPA lookup'!$A:$A)</f>
        <v>X3025</v>
      </c>
      <c r="E969" s="3" t="str">
        <f>LOOKUP($F969,'fuzzy LPA lookup'!$E:$E,'fuzzy LPA lookup'!$D:$D)</f>
        <v>Mansfield District Council</v>
      </c>
      <c r="F969" s="8">
        <f>IF(ISBLANK('Master Submitted DPDs'!B291),"",'Master Submitted DPDs'!B291)</f>
        <v>1946</v>
      </c>
      <c r="G969" t="str">
        <f>IF(ISBLANK('Master Submitted DPDs'!AS291),"","Withdrawn")</f>
        <v/>
      </c>
      <c r="H969" s="2" t="str">
        <f>IF(ISBLANK('Master Submitted DPDs'!AS291),"",'Master Submitted DPDs'!AS291)</f>
        <v/>
      </c>
      <c r="I969" s="3"/>
      <c r="J969" s="3"/>
      <c r="K969" s="3"/>
      <c r="L969" s="2">
        <f>IF(ISBLANK('Master Submitted DPDs'!J291),"",'Master Submitted DPDs'!J291)</f>
        <v>43875</v>
      </c>
      <c r="M969" s="2">
        <f t="shared" si="32"/>
        <v>43875</v>
      </c>
      <c r="N969" s="2">
        <f>IF(ISBLANK('Master Submitted DPDs'!M291),IF(ISBLANK('Master Submitted DPDs'!O291),"",'Master Submitted DPDs'!O291),'Master Submitted DPDs'!M291)</f>
        <v>43882</v>
      </c>
      <c r="O969" s="2">
        <f>IF(ISBLANK('Master Submitted DPDs'!Q291),"",'Master Submitted DPDs'!Q291)</f>
        <v>44405</v>
      </c>
      <c r="P969" s="2">
        <f>IF(ISBLANK('Master Submitted DPDs'!AO291),"",'Master Submitted DPDs'!AO291)</f>
        <v>44615</v>
      </c>
      <c r="Q969" t="str">
        <f>IF(ISBLANK('Master Submitted DPDs'!AU291),"",'Master Submitted DPDs'!AU291)</f>
        <v>SOU</v>
      </c>
      <c r="R969" t="str">
        <f t="shared" si="33"/>
        <v>Closed</v>
      </c>
      <c r="S969" s="3"/>
      <c r="T969">
        <f>IF(ISBLANK('Master Submitted DPDs'!G291),"",'Master Submitted DPDs'!G291)</f>
        <v>3</v>
      </c>
    </row>
    <row r="970" spans="1:20" ht="15" x14ac:dyDescent="0.2">
      <c r="A970" s="3" t="str">
        <f>IF(ISBLANK('Master Submitted DPDs'!$B292),"","Local Plans")</f>
        <v>Local Plans</v>
      </c>
      <c r="B970" t="str">
        <f>IF(ISBLANK('Master Submitted DPDs'!F292),"",'Master Submitted DPDs'!F292)</f>
        <v>LP</v>
      </c>
      <c r="C970" s="3" t="str">
        <f>IF(ISBLANK('Master Submitted DPDs'!$B292),"","IH")</f>
        <v>IH</v>
      </c>
      <c r="D970" s="3" t="str">
        <f>LOOKUP($F970,'fuzzy LPA lookup'!$E:$E,'fuzzy LPA lookup'!$A:$A)</f>
        <v>U3935</v>
      </c>
      <c r="E970" s="3" t="str">
        <f>LOOKUP($F970,'fuzzy LPA lookup'!$E:$E,'fuzzy LPA lookup'!$D:$D)</f>
        <v>Swindon Borough Council</v>
      </c>
      <c r="F970" s="8">
        <f>IF(ISBLANK('Master Submitted DPDs'!B292),"",'Master Submitted DPDs'!B292)</f>
        <v>2234</v>
      </c>
      <c r="G970" t="str">
        <f>IF(ISBLANK('Master Submitted DPDs'!AS292),"","Withdrawn")</f>
        <v/>
      </c>
      <c r="H970" s="2" t="str">
        <f>IF(ISBLANK('Master Submitted DPDs'!AS292),"",'Master Submitted DPDs'!AS292)</f>
        <v/>
      </c>
      <c r="I970" s="3"/>
      <c r="J970" s="3"/>
      <c r="K970" s="3"/>
      <c r="L970" s="2">
        <f>IF(ISBLANK('Master Submitted DPDs'!J292),"",'Master Submitted DPDs'!J292)</f>
        <v>43879</v>
      </c>
      <c r="M970" s="2">
        <f t="shared" si="32"/>
        <v>43879</v>
      </c>
      <c r="N970" s="2">
        <f>IF(ISBLANK('Master Submitted DPDs'!M292),IF(ISBLANK('Master Submitted DPDs'!O292),"",'Master Submitted DPDs'!O292),'Master Submitted DPDs'!M292)</f>
        <v>43882</v>
      </c>
      <c r="O970" s="2">
        <f>IF(ISBLANK('Master Submitted DPDs'!Q292),"",'Master Submitted DPDs'!Q292)</f>
        <v>44092</v>
      </c>
      <c r="P970" s="2">
        <f>IF(ISBLANK('Master Submitted DPDs'!AO292),"",'Master Submitted DPDs'!AO292)</f>
        <v>44244</v>
      </c>
      <c r="Q970" t="str">
        <f>IF(ISBLANK('Master Submitted DPDs'!AU292),"",'Master Submitted DPDs'!AU292)</f>
        <v>SOU</v>
      </c>
      <c r="R970" t="str">
        <f t="shared" si="33"/>
        <v>Closed</v>
      </c>
      <c r="S970" s="3"/>
      <c r="T970">
        <f>IF(ISBLANK('Master Submitted DPDs'!G292),"",'Master Submitted DPDs'!G292)</f>
        <v>3</v>
      </c>
    </row>
    <row r="971" spans="1:20" ht="15" x14ac:dyDescent="0.2">
      <c r="A971" s="3" t="str">
        <f>IF(ISBLANK('Master Submitted DPDs'!$B293),"","Local Plans")</f>
        <v>Local Plans</v>
      </c>
      <c r="B971" t="str">
        <f>IF(ISBLANK('Master Submitted DPDs'!F293),"",'Master Submitted DPDs'!F293)</f>
        <v>LP</v>
      </c>
      <c r="C971" s="3" t="str">
        <f>IF(ISBLANK('Master Submitted DPDs'!$B293),"","IH")</f>
        <v>IH</v>
      </c>
      <c r="D971" s="3" t="str">
        <f>LOOKUP($F971,'fuzzy LPA lookup'!$E:$E,'fuzzy LPA lookup'!$A:$A)</f>
        <v>Z0835</v>
      </c>
      <c r="E971" s="3" t="str">
        <f>LOOKUP($F971,'fuzzy LPA lookup'!$E:$E,'fuzzy LPA lookup'!$D:$D)</f>
        <v>The Isles of Scilly Council</v>
      </c>
      <c r="F971" s="8">
        <f>IF(ISBLANK('Master Submitted DPDs'!B293),"",'Master Submitted DPDs'!B293)</f>
        <v>1989</v>
      </c>
      <c r="G971" t="str">
        <f>IF(ISBLANK('Master Submitted DPDs'!AS293),"","Withdrawn")</f>
        <v/>
      </c>
      <c r="H971" s="2" t="str">
        <f>IF(ISBLANK('Master Submitted DPDs'!AS293),"",'Master Submitted DPDs'!AS293)</f>
        <v/>
      </c>
      <c r="I971" s="3"/>
      <c r="J971" s="3"/>
      <c r="K971" s="3"/>
      <c r="L971" s="2">
        <f>IF(ISBLANK('Master Submitted DPDs'!J293),"",'Master Submitted DPDs'!J293)</f>
        <v>43894</v>
      </c>
      <c r="M971" s="2">
        <f t="shared" si="32"/>
        <v>43894</v>
      </c>
      <c r="N971" s="2">
        <f>IF(ISBLANK('Master Submitted DPDs'!M293),IF(ISBLANK('Master Submitted DPDs'!O293),"",'Master Submitted DPDs'!O293),'Master Submitted DPDs'!M293)</f>
        <v>43895</v>
      </c>
      <c r="O971" s="2">
        <f>IF(ISBLANK('Master Submitted DPDs'!Q293),"",'Master Submitted DPDs'!Q293)</f>
        <v>44166</v>
      </c>
      <c r="P971" s="2">
        <f>IF(ISBLANK('Master Submitted DPDs'!AO293),"",'Master Submitted DPDs'!AO293)</f>
        <v>44377</v>
      </c>
      <c r="Q971" t="str">
        <f>IF(ISBLANK('Master Submitted DPDs'!AU293),"",'Master Submitted DPDs'!AU293)</f>
        <v>SOU</v>
      </c>
      <c r="R971" t="str">
        <f t="shared" si="33"/>
        <v>Closed</v>
      </c>
      <c r="S971" s="3"/>
      <c r="T971">
        <f>IF(ISBLANK('Master Submitted DPDs'!G293),"",'Master Submitted DPDs'!G293)</f>
        <v>3</v>
      </c>
    </row>
    <row r="972" spans="1:20" ht="15" x14ac:dyDescent="0.2">
      <c r="A972" s="3" t="str">
        <f>IF(ISBLANK('Master Submitted DPDs'!$B294),"","Local Plans")</f>
        <v>Local Plans</v>
      </c>
      <c r="B972" t="str">
        <f>IF(ISBLANK('Master Submitted DPDs'!F294),"",'Master Submitted DPDs'!F294)</f>
        <v>LP</v>
      </c>
      <c r="C972" s="3" t="str">
        <f>IF(ISBLANK('Master Submitted DPDs'!$B294),"","IH")</f>
        <v>IH</v>
      </c>
      <c r="D972" s="3" t="str">
        <f>LOOKUP($F972,'fuzzy LPA lookup'!$E:$E,'fuzzy LPA lookup'!$A:$A)</f>
        <v>Z0835</v>
      </c>
      <c r="E972" s="3" t="str">
        <f>LOOKUP($F972,'fuzzy LPA lookup'!$E:$E,'fuzzy LPA lookup'!$D:$D)</f>
        <v>The Isles of Scilly Council</v>
      </c>
      <c r="F972" s="8">
        <f>IF(ISBLANK('Master Submitted DPDs'!B294),"",'Master Submitted DPDs'!B294)</f>
        <v>2005</v>
      </c>
      <c r="G972" t="str">
        <f>IF(ISBLANK('Master Submitted DPDs'!AS294),"","Withdrawn")</f>
        <v/>
      </c>
      <c r="H972" s="2" t="str">
        <f>IF(ISBLANK('Master Submitted DPDs'!AS294),"",'Master Submitted DPDs'!AS294)</f>
        <v/>
      </c>
      <c r="I972" s="3"/>
      <c r="J972" s="3"/>
      <c r="K972" s="3"/>
      <c r="L972" s="2">
        <f>IF(ISBLANK('Master Submitted DPDs'!J294),"",'Master Submitted DPDs'!J294)</f>
        <v>43895</v>
      </c>
      <c r="M972" s="2">
        <f t="shared" si="32"/>
        <v>43895</v>
      </c>
      <c r="N972" s="2">
        <f>IF(ISBLANK('Master Submitted DPDs'!M294),IF(ISBLANK('Master Submitted DPDs'!O294),"",'Master Submitted DPDs'!O294),'Master Submitted DPDs'!M294)</f>
        <v>43903</v>
      </c>
      <c r="O972" s="2">
        <f>IF(ISBLANK('Master Submitted DPDs'!Q294),"",'Master Submitted DPDs'!Q294)</f>
        <v>44364</v>
      </c>
      <c r="P972" s="2">
        <f>IF(ISBLANK('Master Submitted DPDs'!AO294),"",'Master Submitted DPDs'!AO294)</f>
        <v>44614</v>
      </c>
      <c r="Q972" t="str">
        <f>IF(ISBLANK('Master Submitted DPDs'!AU294),"",'Master Submitted DPDs'!AU294)</f>
        <v>SOU</v>
      </c>
      <c r="R972" t="str">
        <f t="shared" si="33"/>
        <v>Closed</v>
      </c>
      <c r="S972" s="3"/>
      <c r="T972">
        <f>IF(ISBLANK('Master Submitted DPDs'!G294),"",'Master Submitted DPDs'!G294)</f>
        <v>3</v>
      </c>
    </row>
    <row r="973" spans="1:20" ht="15" x14ac:dyDescent="0.2">
      <c r="A973" s="3" t="str">
        <f>IF(ISBLANK('Master Submitted DPDs'!$B295),"","Local Plans")</f>
        <v>Local Plans</v>
      </c>
      <c r="B973" t="str">
        <f>IF(ISBLANK('Master Submitted DPDs'!F295),"",'Master Submitted DPDs'!F295)</f>
        <v>LP</v>
      </c>
      <c r="C973" s="3" t="str">
        <f>IF(ISBLANK('Master Submitted DPDs'!$B295),"","IH")</f>
        <v>IH</v>
      </c>
      <c r="D973" s="3" t="str">
        <f>LOOKUP($F973,'fuzzy LPA lookup'!$E:$E,'fuzzy LPA lookup'!$A:$A)</f>
        <v>N2535</v>
      </c>
      <c r="E973" s="3" t="str">
        <f>LOOKUP($F973,'fuzzy LPA lookup'!$E:$E,'fuzzy LPA lookup'!$D:$D)</f>
        <v>West Lindsey District Council</v>
      </c>
      <c r="F973" s="8">
        <f>IF(ISBLANK('Master Submitted DPDs'!B295),"",'Master Submitted DPDs'!B295)</f>
        <v>1835</v>
      </c>
      <c r="G973" t="str">
        <f>IF(ISBLANK('Master Submitted DPDs'!AS295),"","Withdrawn")</f>
        <v/>
      </c>
      <c r="H973" s="2" t="str">
        <f>IF(ISBLANK('Master Submitted DPDs'!AS295),"",'Master Submitted DPDs'!AS295)</f>
        <v/>
      </c>
      <c r="I973" s="3"/>
      <c r="J973" s="3"/>
      <c r="K973" s="3"/>
      <c r="L973" s="2">
        <f>IF(ISBLANK('Master Submitted DPDs'!J295),"",'Master Submitted DPDs'!J295)</f>
        <v>43900</v>
      </c>
      <c r="M973" s="2">
        <f t="shared" si="32"/>
        <v>43900</v>
      </c>
      <c r="N973" s="2">
        <f>IF(ISBLANK('Master Submitted DPDs'!M295),IF(ISBLANK('Master Submitted DPDs'!O295),"",'Master Submitted DPDs'!O295),'Master Submitted DPDs'!M295)</f>
        <v>43909</v>
      </c>
      <c r="O973" s="2">
        <f>IF(ISBLANK('Master Submitted DPDs'!Q295),"",'Master Submitted DPDs'!Q295)</f>
        <v>44378</v>
      </c>
      <c r="P973" s="2">
        <f>IF(ISBLANK('Master Submitted DPDs'!AO295),"",'Master Submitted DPDs'!AO295)</f>
        <v>44615</v>
      </c>
      <c r="Q973" t="str">
        <f>IF(ISBLANK('Master Submitted DPDs'!AU295),"",'Master Submitted DPDs'!AU295)</f>
        <v>SOU</v>
      </c>
      <c r="R973" t="str">
        <f t="shared" si="33"/>
        <v>Closed</v>
      </c>
      <c r="S973" s="3"/>
      <c r="T973">
        <f>IF(ISBLANK('Master Submitted DPDs'!G295),"",'Master Submitted DPDs'!G295)</f>
        <v>3</v>
      </c>
    </row>
    <row r="974" spans="1:20" ht="15" x14ac:dyDescent="0.2">
      <c r="A974" s="3" t="str">
        <f>IF(ISBLANK('Master Submitted DPDs'!$B296),"","Local Plans")</f>
        <v>Local Plans</v>
      </c>
      <c r="B974" t="str">
        <f>IF(ISBLANK('Master Submitted DPDs'!F296),"",'Master Submitted DPDs'!F296)</f>
        <v>LP</v>
      </c>
      <c r="C974" s="3" t="str">
        <f>IF(ISBLANK('Master Submitted DPDs'!$B296),"","IH")</f>
        <v>IH</v>
      </c>
      <c r="D974" s="3" t="str">
        <f>LOOKUP($F974,'fuzzy LPA lookup'!$E:$E,'fuzzy LPA lookup'!$A:$A)</f>
        <v>T1600</v>
      </c>
      <c r="E974" s="3" t="str">
        <f>LOOKUP($F974,'fuzzy LPA lookup'!$E:$E,'fuzzy LPA lookup'!$D:$D)</f>
        <v>Gloucestershire County Council</v>
      </c>
      <c r="F974" s="8">
        <f>IF(ISBLANK('Master Submitted DPDs'!B296),"",'Master Submitted DPDs'!B296)</f>
        <v>2049</v>
      </c>
      <c r="G974" t="str">
        <f>IF(ISBLANK('Master Submitted DPDs'!AS296),"","Withdrawn")</f>
        <v/>
      </c>
      <c r="H974" s="2" t="str">
        <f>IF(ISBLANK('Master Submitted DPDs'!AS296),"",'Master Submitted DPDs'!AS296)</f>
        <v/>
      </c>
      <c r="I974" s="3"/>
      <c r="J974" s="3"/>
      <c r="K974" s="3"/>
      <c r="L974" s="2">
        <f>IF(ISBLANK('Master Submitted DPDs'!J296),"",'Master Submitted DPDs'!J296)</f>
        <v>43907</v>
      </c>
      <c r="M974" s="2">
        <f t="shared" si="32"/>
        <v>43907</v>
      </c>
      <c r="N974" s="2">
        <f>IF(ISBLANK('Master Submitted DPDs'!M296),IF(ISBLANK('Master Submitted DPDs'!O296),"",'Master Submitted DPDs'!O296),'Master Submitted DPDs'!M296)</f>
        <v>43910</v>
      </c>
      <c r="O974" s="2">
        <f>IF(ISBLANK('Master Submitted DPDs'!Q296),"",'Master Submitted DPDs'!Q296)</f>
        <v>44120</v>
      </c>
      <c r="P974" s="2">
        <f>IF(ISBLANK('Master Submitted DPDs'!AO296),"",'Master Submitted DPDs'!AO296)</f>
        <v>44578</v>
      </c>
      <c r="Q974" t="str">
        <f>IF(ISBLANK('Master Submitted DPDs'!AU296),"",'Master Submitted DPDs'!AU296)</f>
        <v>SOU</v>
      </c>
      <c r="R974" t="str">
        <f t="shared" si="33"/>
        <v>Closed</v>
      </c>
      <c r="S974" s="3"/>
      <c r="T974">
        <f>IF(ISBLANK('Master Submitted DPDs'!G296),"",'Master Submitted DPDs'!G296)</f>
        <v>3</v>
      </c>
    </row>
    <row r="975" spans="1:20" ht="15" x14ac:dyDescent="0.2">
      <c r="A975" s="3" t="str">
        <f>IF(ISBLANK('Master Submitted DPDs'!$B297),"","Local Plans")</f>
        <v>Local Plans</v>
      </c>
      <c r="B975" t="str">
        <f>IF(ISBLANK('Master Submitted DPDs'!F297),"",'Master Submitted DPDs'!F297)</f>
        <v>M&amp;W</v>
      </c>
      <c r="C975" s="3" t="str">
        <f>IF(ISBLANK('Master Submitted DPDs'!$B297),"","IH")</f>
        <v>IH</v>
      </c>
      <c r="D975" s="3" t="str">
        <f>LOOKUP($F975,'fuzzy LPA lookup'!$E:$E,'fuzzy LPA lookup'!$A:$A)</f>
        <v>U2805</v>
      </c>
      <c r="E975" s="3" t="str">
        <f>LOOKUP($F975,'fuzzy LPA lookup'!$E:$E,'fuzzy LPA lookup'!$D:$D)</f>
        <v>Corby Borough Council</v>
      </c>
      <c r="F975" s="8">
        <f>IF(ISBLANK('Master Submitted DPDs'!B297),"",'Master Submitted DPDs'!B297)</f>
        <v>2098</v>
      </c>
      <c r="G975" t="str">
        <f>IF(ISBLANK('Master Submitted DPDs'!AS297),"","Withdrawn")</f>
        <v/>
      </c>
      <c r="H975" s="2" t="str">
        <f>IF(ISBLANK('Master Submitted DPDs'!AS297),"",'Master Submitted DPDs'!AS297)</f>
        <v/>
      </c>
      <c r="I975" s="3"/>
      <c r="J975" s="3"/>
      <c r="K975" s="3"/>
      <c r="L975" s="2">
        <f>IF(ISBLANK('Master Submitted DPDs'!J297),"",'Master Submitted DPDs'!J297)</f>
        <v>43914</v>
      </c>
      <c r="M975" s="2">
        <f t="shared" si="32"/>
        <v>43914</v>
      </c>
      <c r="N975" s="2">
        <f>IF(ISBLANK('Master Submitted DPDs'!M297),IF(ISBLANK('Master Submitted DPDs'!O297),"",'Master Submitted DPDs'!O297),'Master Submitted DPDs'!M297)</f>
        <v>43922</v>
      </c>
      <c r="O975" s="2">
        <f>IF(ISBLANK('Master Submitted DPDs'!Q297),"",'Master Submitted DPDs'!Q297)</f>
        <v>44091</v>
      </c>
      <c r="P975" s="2">
        <f>IF(ISBLANK('Master Submitted DPDs'!AO297),"",'Master Submitted DPDs'!AO297)</f>
        <v>44281</v>
      </c>
      <c r="Q975" t="str">
        <f>IF(ISBLANK('Master Submitted DPDs'!AU297),"",'Master Submitted DPDs'!AU297)</f>
        <v>SOU</v>
      </c>
      <c r="R975" t="str">
        <f t="shared" si="33"/>
        <v>Closed</v>
      </c>
      <c r="S975" s="3"/>
      <c r="T975">
        <f>IF(ISBLANK('Master Submitted DPDs'!G297),"",'Master Submitted DPDs'!G297)</f>
        <v>2</v>
      </c>
    </row>
    <row r="976" spans="1:20" ht="15" x14ac:dyDescent="0.2">
      <c r="A976" s="3" t="str">
        <f>IF(ISBLANK('Master Submitted DPDs'!$B298),"","Local Plans")</f>
        <v>Local Plans</v>
      </c>
      <c r="B976" t="str">
        <f>IF(ISBLANK('Master Submitted DPDs'!F298),"",'Master Submitted DPDs'!F298)</f>
        <v>LP</v>
      </c>
      <c r="C976" s="3" t="str">
        <f>IF(ISBLANK('Master Submitted DPDs'!$B298),"","IH")</f>
        <v>IH</v>
      </c>
      <c r="D976" s="3" t="str">
        <f>LOOKUP($F976,'fuzzy LPA lookup'!$E:$E,'fuzzy LPA lookup'!$A:$A)</f>
        <v>Z0835</v>
      </c>
      <c r="E976" s="3" t="str">
        <f>LOOKUP($F976,'fuzzy LPA lookup'!$E:$E,'fuzzy LPA lookup'!$D:$D)</f>
        <v>The Isles of Scilly Council</v>
      </c>
      <c r="F976" s="8">
        <f>IF(ISBLANK('Master Submitted DPDs'!B298),"",'Master Submitted DPDs'!B298)</f>
        <v>1991</v>
      </c>
      <c r="G976" t="str">
        <f>IF(ISBLANK('Master Submitted DPDs'!AS298),"","Withdrawn")</f>
        <v/>
      </c>
      <c r="H976" s="2" t="str">
        <f>IF(ISBLANK('Master Submitted DPDs'!AS298),"",'Master Submitted DPDs'!AS298)</f>
        <v/>
      </c>
      <c r="I976" s="3"/>
      <c r="J976" s="3"/>
      <c r="K976" s="3"/>
      <c r="L976" s="2">
        <f>IF(ISBLANK('Master Submitted DPDs'!J298),"",'Master Submitted DPDs'!J298)</f>
        <v>43921</v>
      </c>
      <c r="M976" s="2">
        <f t="shared" si="32"/>
        <v>43921</v>
      </c>
      <c r="N976" s="2">
        <f>IF(ISBLANK('Master Submitted DPDs'!M298),IF(ISBLANK('Master Submitted DPDs'!O298),"",'Master Submitted DPDs'!O298),'Master Submitted DPDs'!M298)</f>
        <v>43924</v>
      </c>
      <c r="O976" s="2">
        <f>IF(ISBLANK('Master Submitted DPDs'!Q298),"",'Master Submitted DPDs'!Q298)</f>
        <v>44348</v>
      </c>
      <c r="P976" s="2">
        <f>IF(ISBLANK('Master Submitted DPDs'!AO298),"",'Master Submitted DPDs'!AO298)</f>
        <v>44580</v>
      </c>
      <c r="Q976" t="str">
        <f>IF(ISBLANK('Master Submitted DPDs'!AU298),"",'Master Submitted DPDs'!AU298)</f>
        <v>SOU</v>
      </c>
      <c r="R976" t="str">
        <f t="shared" si="33"/>
        <v>Closed</v>
      </c>
      <c r="S976" s="3"/>
      <c r="T976">
        <f>IF(ISBLANK('Master Submitted DPDs'!G298),"",'Master Submitted DPDs'!G298)</f>
        <v>3</v>
      </c>
    </row>
    <row r="977" spans="1:20" ht="15" x14ac:dyDescent="0.2">
      <c r="A977" s="3" t="str">
        <f>IF(ISBLANK('Master Submitted DPDs'!$B299),"","Local Plans")</f>
        <v>Local Plans</v>
      </c>
      <c r="B977" t="str">
        <f>IF(ISBLANK('Master Submitted DPDs'!F299),"",'Master Submitted DPDs'!F299)</f>
        <v>M&amp;W</v>
      </c>
      <c r="C977" s="3" t="str">
        <f>IF(ISBLANK('Master Submitted DPDs'!$B299),"","IH")</f>
        <v>IH</v>
      </c>
      <c r="D977" s="3" t="str">
        <f>LOOKUP($F977,'fuzzy LPA lookup'!$E:$E,'fuzzy LPA lookup'!$A:$A)</f>
        <v>U3935</v>
      </c>
      <c r="E977" s="3" t="str">
        <f>LOOKUP($F977,'fuzzy LPA lookup'!$E:$E,'fuzzy LPA lookup'!$D:$D)</f>
        <v>Swindon Borough Council</v>
      </c>
      <c r="F977" s="8">
        <f>IF(ISBLANK('Master Submitted DPDs'!B299),"",'Master Submitted DPDs'!B299)</f>
        <v>2229</v>
      </c>
      <c r="G977" t="str">
        <f>IF(ISBLANK('Master Submitted DPDs'!AS299),"","Withdrawn")</f>
        <v/>
      </c>
      <c r="H977" s="2" t="str">
        <f>IF(ISBLANK('Master Submitted DPDs'!AS299),"",'Master Submitted DPDs'!AS299)</f>
        <v/>
      </c>
      <c r="I977" s="3"/>
      <c r="J977" s="3"/>
      <c r="K977" s="3"/>
      <c r="L977" s="2">
        <f>IF(ISBLANK('Master Submitted DPDs'!J299),"",'Master Submitted DPDs'!J299)</f>
        <v>43938</v>
      </c>
      <c r="M977" s="2">
        <f t="shared" si="32"/>
        <v>43938</v>
      </c>
      <c r="N977" s="2">
        <f>IF(ISBLANK('Master Submitted DPDs'!M299),IF(ISBLANK('Master Submitted DPDs'!O299),"",'Master Submitted DPDs'!O299),'Master Submitted DPDs'!M299)</f>
        <v>43941</v>
      </c>
      <c r="O977" s="2">
        <f>IF(ISBLANK('Master Submitted DPDs'!Q299),"",'Master Submitted DPDs'!Q299)</f>
        <v>44070</v>
      </c>
      <c r="P977" s="2">
        <f>IF(ISBLANK('Master Submitted DPDs'!AO299),"",'Master Submitted DPDs'!AO299)</f>
        <v>44231</v>
      </c>
      <c r="Q977" t="str">
        <f>IF(ISBLANK('Master Submitted DPDs'!AU299),"",'Master Submitted DPDs'!AU299)</f>
        <v>SOU</v>
      </c>
      <c r="R977" t="str">
        <f t="shared" si="33"/>
        <v>Closed</v>
      </c>
      <c r="S977" s="3"/>
      <c r="T977">
        <f>IF(ISBLANK('Master Submitted DPDs'!G299),"",'Master Submitted DPDs'!G299)</f>
        <v>2</v>
      </c>
    </row>
    <row r="978" spans="1:20" ht="15" x14ac:dyDescent="0.2">
      <c r="A978" s="3" t="str">
        <f>IF(ISBLANK('Master Submitted DPDs'!$B300),"","Local Plans")</f>
        <v>Local Plans</v>
      </c>
      <c r="B978" t="str">
        <f>IF(ISBLANK('Master Submitted DPDs'!F300),"",'Master Submitted DPDs'!F300)</f>
        <v>LP</v>
      </c>
      <c r="C978" s="3" t="str">
        <f>IF(ISBLANK('Master Submitted DPDs'!$B300),"","IH")</f>
        <v>IH</v>
      </c>
      <c r="D978" s="3" t="str">
        <f>LOOKUP($F978,'fuzzy LPA lookup'!$E:$E,'fuzzy LPA lookup'!$A:$A)</f>
        <v>Z0835</v>
      </c>
      <c r="E978" s="3" t="str">
        <f>LOOKUP($F978,'fuzzy LPA lookup'!$E:$E,'fuzzy LPA lookup'!$D:$D)</f>
        <v>The Isles of Scilly Council</v>
      </c>
      <c r="F978" s="8">
        <f>IF(ISBLANK('Master Submitted DPDs'!B300),"",'Master Submitted DPDs'!B300)</f>
        <v>2004</v>
      </c>
      <c r="G978" t="str">
        <f>IF(ISBLANK('Master Submitted DPDs'!AS300),"","Withdrawn")</f>
        <v/>
      </c>
      <c r="H978" s="2" t="str">
        <f>IF(ISBLANK('Master Submitted DPDs'!AS300),"",'Master Submitted DPDs'!AS300)</f>
        <v/>
      </c>
      <c r="I978" s="3"/>
      <c r="J978" s="3"/>
      <c r="K978" s="3"/>
      <c r="L978" s="2">
        <f>IF(ISBLANK('Master Submitted DPDs'!J300),"",'Master Submitted DPDs'!J300)</f>
        <v>43951</v>
      </c>
      <c r="M978" s="2">
        <f t="shared" si="32"/>
        <v>43951</v>
      </c>
      <c r="N978" s="2">
        <f>IF(ISBLANK('Master Submitted DPDs'!M300),IF(ISBLANK('Master Submitted DPDs'!O300),"",'Master Submitted DPDs'!O300),'Master Submitted DPDs'!M300)</f>
        <v>43962</v>
      </c>
      <c r="O978" s="2">
        <f>IF(ISBLANK('Master Submitted DPDs'!Q300),"",'Master Submitted DPDs'!Q300)</f>
        <v>44237</v>
      </c>
      <c r="P978" s="2">
        <f>IF(ISBLANK('Master Submitted DPDs'!AO300),"",'Master Submitted DPDs'!AO300)</f>
        <v>44631</v>
      </c>
      <c r="Q978" t="str">
        <f>IF(ISBLANK('Master Submitted DPDs'!AU300),"",'Master Submitted DPDs'!AU300)</f>
        <v>SOU</v>
      </c>
      <c r="R978" t="str">
        <f t="shared" si="33"/>
        <v>Closed</v>
      </c>
      <c r="S978" s="3"/>
      <c r="T978">
        <f>IF(ISBLANK('Master Submitted DPDs'!G300),"",'Master Submitted DPDs'!G300)</f>
        <v>3</v>
      </c>
    </row>
    <row r="979" spans="1:20" ht="15" x14ac:dyDescent="0.2">
      <c r="A979" s="3" t="str">
        <f>IF(ISBLANK('Master Submitted DPDs'!$B301),"","Local Plans")</f>
        <v>Local Plans</v>
      </c>
      <c r="B979" t="str">
        <f>IF(ISBLANK('Master Submitted DPDs'!F301),"",'Master Submitted DPDs'!F301)</f>
        <v>SA</v>
      </c>
      <c r="C979" s="3" t="str">
        <f>IF(ISBLANK('Master Submitted DPDs'!$B301),"","IH")</f>
        <v>IH</v>
      </c>
      <c r="D979" s="3" t="str">
        <f>LOOKUP($F979,'fuzzy LPA lookup'!$E:$E,'fuzzy LPA lookup'!$A:$A)</f>
        <v>Z0835</v>
      </c>
      <c r="E979" s="3" t="str">
        <f>LOOKUP($F979,'fuzzy LPA lookup'!$E:$E,'fuzzy LPA lookup'!$D:$D)</f>
        <v>The Isles of Scilly Council</v>
      </c>
      <c r="F979" s="8">
        <f>IF(ISBLANK('Master Submitted DPDs'!B301),"",'Master Submitted DPDs'!B301)</f>
        <v>1988</v>
      </c>
      <c r="G979" t="str">
        <f>IF(ISBLANK('Master Submitted DPDs'!AS301),"","Withdrawn")</f>
        <v/>
      </c>
      <c r="H979" s="2" t="str">
        <f>IF(ISBLANK('Master Submitted DPDs'!AS301),"",'Master Submitted DPDs'!AS301)</f>
        <v/>
      </c>
      <c r="I979" s="3"/>
      <c r="J979" s="3"/>
      <c r="K979" s="3"/>
      <c r="L979" s="2">
        <f>IF(ISBLANK('Master Submitted DPDs'!J301),"",'Master Submitted DPDs'!J301)</f>
        <v>43969</v>
      </c>
      <c r="M979" s="2">
        <f t="shared" si="32"/>
        <v>43969</v>
      </c>
      <c r="N979" s="2">
        <f>IF(ISBLANK('Master Submitted DPDs'!M301),IF(ISBLANK('Master Submitted DPDs'!O301),"",'Master Submitted DPDs'!O301),'Master Submitted DPDs'!M301)</f>
        <v>43970</v>
      </c>
      <c r="O979" s="2">
        <f>IF(ISBLANK('Master Submitted DPDs'!Q301),"",'Master Submitted DPDs'!Q301)</f>
        <v>44273</v>
      </c>
      <c r="P979" s="2">
        <f>IF(ISBLANK('Master Submitted DPDs'!AO301),"",'Master Submitted DPDs'!AO301)</f>
        <v>44663</v>
      </c>
      <c r="Q979" t="str">
        <f>IF(ISBLANK('Master Submitted DPDs'!AU301),"",'Master Submitted DPDs'!AU301)</f>
        <v>SOU</v>
      </c>
      <c r="R979" t="str">
        <f t="shared" si="33"/>
        <v>Closed</v>
      </c>
      <c r="S979" s="3"/>
      <c r="T979">
        <f>IF(ISBLANK('Master Submitted DPDs'!G301),"",'Master Submitted DPDs'!G301)</f>
        <v>2</v>
      </c>
    </row>
    <row r="980" spans="1:20" ht="15" x14ac:dyDescent="0.2">
      <c r="A980" s="3" t="str">
        <f>IF(ISBLANK('Master Submitted DPDs'!$B302),"","Local Plans")</f>
        <v>Local Plans</v>
      </c>
      <c r="B980" t="str">
        <f>IF(ISBLANK('Master Submitted DPDs'!F302),"",'Master Submitted DPDs'!F302)</f>
        <v>LP</v>
      </c>
      <c r="C980" s="3" t="str">
        <f>IF(ISBLANK('Master Submitted DPDs'!$B302),"","IH")</f>
        <v>IH</v>
      </c>
      <c r="D980" s="3" t="str">
        <f>LOOKUP($F980,'fuzzy LPA lookup'!$E:$E,'fuzzy LPA lookup'!$A:$A)</f>
        <v>T1600</v>
      </c>
      <c r="E980" s="3" t="str">
        <f>LOOKUP($F980,'fuzzy LPA lookup'!$E:$E,'fuzzy LPA lookup'!$D:$D)</f>
        <v>Gloucestershire County Council</v>
      </c>
      <c r="F980" s="8">
        <f>IF(ISBLANK('Master Submitted DPDs'!B302),"",'Master Submitted DPDs'!B302)</f>
        <v>2030</v>
      </c>
      <c r="G980" t="str">
        <f>IF(ISBLANK('Master Submitted DPDs'!AS302),"","Withdrawn")</f>
        <v/>
      </c>
      <c r="H980" s="2" t="str">
        <f>IF(ISBLANK('Master Submitted DPDs'!AS302),"",'Master Submitted DPDs'!AS302)</f>
        <v/>
      </c>
      <c r="I980" s="3"/>
      <c r="J980" s="3"/>
      <c r="K980" s="3"/>
      <c r="L980" s="2">
        <f>IF(ISBLANK('Master Submitted DPDs'!J302),"",'Master Submitted DPDs'!J302)</f>
        <v>43973</v>
      </c>
      <c r="M980" s="2">
        <f t="shared" si="32"/>
        <v>43973</v>
      </c>
      <c r="N980" s="2">
        <f>IF(ISBLANK('Master Submitted DPDs'!M302),IF(ISBLANK('Master Submitted DPDs'!O302),"",'Master Submitted DPDs'!O302),'Master Submitted DPDs'!M302)</f>
        <v>43983</v>
      </c>
      <c r="O980" s="2">
        <f>IF(ISBLANK('Master Submitted DPDs'!Q302),"",'Master Submitted DPDs'!Q302)</f>
        <v>44147</v>
      </c>
      <c r="P980" s="2">
        <f>IF(ISBLANK('Master Submitted DPDs'!AO302),"",'Master Submitted DPDs'!AO302)</f>
        <v>44399</v>
      </c>
      <c r="Q980" t="str">
        <f>IF(ISBLANK('Master Submitted DPDs'!AU302),"",'Master Submitted DPDs'!AU302)</f>
        <v>SOU</v>
      </c>
      <c r="R980" t="str">
        <f t="shared" si="33"/>
        <v>Closed</v>
      </c>
      <c r="S980" s="3"/>
      <c r="T980">
        <f>IF(ISBLANK('Master Submitted DPDs'!G302),"",'Master Submitted DPDs'!G302)</f>
        <v>3</v>
      </c>
    </row>
    <row r="981" spans="1:20" ht="15" x14ac:dyDescent="0.2">
      <c r="A981" s="3" t="str">
        <f>IF(ISBLANK('Master Submitted DPDs'!$B303),"","Local Plans")</f>
        <v>Local Plans</v>
      </c>
      <c r="B981" t="str">
        <f>IF(ISBLANK('Master Submitted DPDs'!F303),"",'Master Submitted DPDs'!F303)</f>
        <v>SA</v>
      </c>
      <c r="C981" s="3" t="str">
        <f>IF(ISBLANK('Master Submitted DPDs'!$B303),"","IH")</f>
        <v>IH</v>
      </c>
      <c r="D981" s="3" t="str">
        <f>LOOKUP($F981,'fuzzy LPA lookup'!$E:$E,'fuzzy LPA lookup'!$A:$A)</f>
        <v>L2820</v>
      </c>
      <c r="E981" s="3" t="str">
        <f>LOOKUP($F981,'fuzzy LPA lookup'!$E:$E,'fuzzy LPA lookup'!$D:$D)</f>
        <v>Kettering Borough Council</v>
      </c>
      <c r="F981" s="8">
        <f>IF(ISBLANK('Master Submitted DPDs'!B303),"",'Master Submitted DPDs'!B303)</f>
        <v>1922</v>
      </c>
      <c r="G981" t="str">
        <f>IF(ISBLANK('Master Submitted DPDs'!AS303),"","Withdrawn")</f>
        <v/>
      </c>
      <c r="H981" s="2" t="str">
        <f>IF(ISBLANK('Master Submitted DPDs'!AS303),"",'Master Submitted DPDs'!AS303)</f>
        <v/>
      </c>
      <c r="I981" s="3"/>
      <c r="J981" s="3"/>
      <c r="K981" s="3"/>
      <c r="L981" s="2">
        <f>IF(ISBLANK('Master Submitted DPDs'!J303),"",'Master Submitted DPDs'!J303)</f>
        <v>43979</v>
      </c>
      <c r="M981" s="2">
        <f t="shared" si="32"/>
        <v>43979</v>
      </c>
      <c r="N981" s="2">
        <f>IF(ISBLANK('Master Submitted DPDs'!M303),IF(ISBLANK('Master Submitted DPDs'!O303),"",'Master Submitted DPDs'!O303),'Master Submitted DPDs'!M303)</f>
        <v>43983</v>
      </c>
      <c r="O981" s="2">
        <f>IF(ISBLANK('Master Submitted DPDs'!Q303),"",'Master Submitted DPDs'!Q303)</f>
        <v>44120</v>
      </c>
      <c r="P981" s="2">
        <f>IF(ISBLANK('Master Submitted DPDs'!AO303),"",'Master Submitted DPDs'!AO303)</f>
        <v>44379</v>
      </c>
      <c r="Q981" t="str">
        <f>IF(ISBLANK('Master Submitted DPDs'!AU303),"",'Master Submitted DPDs'!AU303)</f>
        <v>SOU</v>
      </c>
      <c r="R981" t="str">
        <f t="shared" si="33"/>
        <v>Closed</v>
      </c>
      <c r="S981" s="3"/>
      <c r="T981">
        <f>IF(ISBLANK('Master Submitted DPDs'!G303),"",'Master Submitted DPDs'!G303)</f>
        <v>2</v>
      </c>
    </row>
    <row r="982" spans="1:20" ht="15" x14ac:dyDescent="0.2">
      <c r="A982" s="3" t="str">
        <f>IF(ISBLANK('Master Submitted DPDs'!$B304),"","Local Plans")</f>
        <v>Local Plans</v>
      </c>
      <c r="B982" t="str">
        <f>IF(ISBLANK('Master Submitted DPDs'!F304),"",'Master Submitted DPDs'!F304)</f>
        <v>LP</v>
      </c>
      <c r="C982" s="3" t="str">
        <f>IF(ISBLANK('Master Submitted DPDs'!$B304),"","IH")</f>
        <v>IH</v>
      </c>
      <c r="D982" s="3" t="str">
        <f>LOOKUP($F982,'fuzzy LPA lookup'!$E:$E,'fuzzy LPA lookup'!$A:$A)</f>
        <v>B3600</v>
      </c>
      <c r="E982" s="3" t="str">
        <f>LOOKUP($F982,'fuzzy LPA lookup'!$E:$E,'fuzzy LPA lookup'!$D:$D)</f>
        <v>Surrey County Council</v>
      </c>
      <c r="F982" s="8">
        <f>IF(ISBLANK('Master Submitted DPDs'!B304),"",'Master Submitted DPDs'!B304)</f>
        <v>2072</v>
      </c>
      <c r="G982" t="str">
        <f>IF(ISBLANK('Master Submitted DPDs'!AS304),"","Withdrawn")</f>
        <v/>
      </c>
      <c r="H982" s="2" t="str">
        <f>IF(ISBLANK('Master Submitted DPDs'!AS304),"",'Master Submitted DPDs'!AS304)</f>
        <v/>
      </c>
      <c r="I982" s="3"/>
      <c r="J982" s="3"/>
      <c r="K982" s="3"/>
      <c r="L982" s="2">
        <f>IF(ISBLANK('Master Submitted DPDs'!J304),"",'Master Submitted DPDs'!J304)</f>
        <v>43992</v>
      </c>
      <c r="M982" s="2">
        <f t="shared" si="32"/>
        <v>43992</v>
      </c>
      <c r="N982" s="2">
        <f>IF(ISBLANK('Master Submitted DPDs'!M304),IF(ISBLANK('Master Submitted DPDs'!O304),"",'Master Submitted DPDs'!O304),'Master Submitted DPDs'!M304)</f>
        <v>44011</v>
      </c>
      <c r="O982" s="2">
        <f>IF(ISBLANK('Master Submitted DPDs'!Q304),"",'Master Submitted DPDs'!Q304)</f>
        <v>44181</v>
      </c>
      <c r="P982" s="2">
        <f>IF(ISBLANK('Master Submitted DPDs'!AO304),"",'Master Submitted DPDs'!AO304)</f>
        <v>44609</v>
      </c>
      <c r="Q982" t="str">
        <f>IF(ISBLANK('Master Submitted DPDs'!AU304),"",'Master Submitted DPDs'!AU304)</f>
        <v>SOU</v>
      </c>
      <c r="R982" t="str">
        <f t="shared" si="33"/>
        <v>Closed</v>
      </c>
      <c r="S982" s="3"/>
      <c r="T982">
        <f>IF(ISBLANK('Master Submitted DPDs'!G304),"",'Master Submitted DPDs'!G304)</f>
        <v>3</v>
      </c>
    </row>
    <row r="983" spans="1:20" ht="15" x14ac:dyDescent="0.2">
      <c r="A983" s="3" t="str">
        <f>IF(ISBLANK('Master Submitted DPDs'!$B305),"","Local Plans")</f>
        <v>Local Plans</v>
      </c>
      <c r="B983" t="str">
        <f>IF(ISBLANK('Master Submitted DPDs'!F305),"",'Master Submitted DPDs'!F305)</f>
        <v>DM</v>
      </c>
      <c r="C983" s="3" t="str">
        <f>IF(ISBLANK('Master Submitted DPDs'!$B305),"","IH")</f>
        <v>IH</v>
      </c>
      <c r="D983" s="3" t="str">
        <f>LOOKUP($F983,'fuzzy LPA lookup'!$E:$E,'fuzzy LPA lookup'!$A:$A)</f>
        <v>T1600</v>
      </c>
      <c r="E983" s="3" t="str">
        <f>LOOKUP($F983,'fuzzy LPA lookup'!$E:$E,'fuzzy LPA lookup'!$D:$D)</f>
        <v>Gloucestershire County Council</v>
      </c>
      <c r="F983" s="8">
        <f>IF(ISBLANK('Master Submitted DPDs'!B305),"",'Master Submitted DPDs'!B305)</f>
        <v>2038</v>
      </c>
      <c r="G983" t="str">
        <f>IF(ISBLANK('Master Submitted DPDs'!AS305),"","Withdrawn")</f>
        <v/>
      </c>
      <c r="H983" s="2" t="str">
        <f>IF(ISBLANK('Master Submitted DPDs'!AS305),"",'Master Submitted DPDs'!AS305)</f>
        <v/>
      </c>
      <c r="I983" s="3"/>
      <c r="J983" s="3"/>
      <c r="K983" s="3"/>
      <c r="L983" s="2">
        <f>IF(ISBLANK('Master Submitted DPDs'!J305),"",'Master Submitted DPDs'!J305)</f>
        <v>44029</v>
      </c>
      <c r="M983" s="2">
        <f t="shared" si="32"/>
        <v>44029</v>
      </c>
      <c r="N983" s="2">
        <f>IF(ISBLANK('Master Submitted DPDs'!M305),IF(ISBLANK('Master Submitted DPDs'!O305),"",'Master Submitted DPDs'!O305),'Master Submitted DPDs'!M305)</f>
        <v>44041</v>
      </c>
      <c r="O983" s="2">
        <f>IF(ISBLANK('Master Submitted DPDs'!Q305),"",'Master Submitted DPDs'!Q305)</f>
        <v>44147</v>
      </c>
      <c r="P983" s="2">
        <f>IF(ISBLANK('Master Submitted DPDs'!AO305),"",'Master Submitted DPDs'!AO305)</f>
        <v>44469</v>
      </c>
      <c r="Q983" t="str">
        <f>IF(ISBLANK('Master Submitted DPDs'!AU305),"",'Master Submitted DPDs'!AU305)</f>
        <v>SOU</v>
      </c>
      <c r="R983" t="str">
        <f t="shared" si="33"/>
        <v>Closed</v>
      </c>
      <c r="S983" s="3"/>
      <c r="T983">
        <f>IF(ISBLANK('Master Submitted DPDs'!G305),"",'Master Submitted DPDs'!G305)</f>
        <v>2</v>
      </c>
    </row>
    <row r="984" spans="1:20" ht="15" x14ac:dyDescent="0.2">
      <c r="A984" s="3" t="str">
        <f>IF(ISBLANK('Master Submitted DPDs'!$B306),"","Local Plans")</f>
        <v>Local Plans</v>
      </c>
      <c r="B984" t="str">
        <f>IF(ISBLANK('Master Submitted DPDs'!F306),"",'Master Submitted DPDs'!F306)</f>
        <v>SA</v>
      </c>
      <c r="C984" s="3" t="str">
        <f>IF(ISBLANK('Master Submitted DPDs'!$B306),"","IH")</f>
        <v>IH</v>
      </c>
      <c r="D984" s="3" t="str">
        <f>LOOKUP($F984,'fuzzy LPA lookup'!$E:$E,'fuzzy LPA lookup'!$A:$A)</f>
        <v>T1600</v>
      </c>
      <c r="E984" s="3" t="str">
        <f>LOOKUP($F984,'fuzzy LPA lookup'!$E:$E,'fuzzy LPA lookup'!$D:$D)</f>
        <v>Gloucestershire County Council</v>
      </c>
      <c r="F984" s="8">
        <f>IF(ISBLANK('Master Submitted DPDs'!B306),"",'Master Submitted DPDs'!B306)</f>
        <v>2048</v>
      </c>
      <c r="G984" t="str">
        <f>IF(ISBLANK('Master Submitted DPDs'!AS306),"","Withdrawn")</f>
        <v/>
      </c>
      <c r="H984" s="2" t="str">
        <f>IF(ISBLANK('Master Submitted DPDs'!AS306),"",'Master Submitted DPDs'!AS306)</f>
        <v/>
      </c>
      <c r="I984" s="3"/>
      <c r="J984" s="3"/>
      <c r="K984" s="3"/>
      <c r="L984" s="2">
        <f>IF(ISBLANK('Master Submitted DPDs'!J306),"",'Master Submitted DPDs'!J306)</f>
        <v>44043</v>
      </c>
      <c r="M984" s="2">
        <f t="shared" si="32"/>
        <v>44043</v>
      </c>
      <c r="N984" s="2">
        <f>IF(ISBLANK('Master Submitted DPDs'!M306),IF(ISBLANK('Master Submitted DPDs'!O306),"",'Master Submitted DPDs'!O306),'Master Submitted DPDs'!M306)</f>
        <v>44049</v>
      </c>
      <c r="O984" s="2">
        <f>IF(ISBLANK('Master Submitted DPDs'!Q306),"",'Master Submitted DPDs'!Q306)</f>
        <v>44315</v>
      </c>
      <c r="P984" s="2">
        <f>IF(ISBLANK('Master Submitted DPDs'!AO306),"",'Master Submitted DPDs'!AO306)</f>
        <v>44505</v>
      </c>
      <c r="Q984" t="str">
        <f>IF(ISBLANK('Master Submitted DPDs'!AU306),"",'Master Submitted DPDs'!AU306)</f>
        <v>SOU</v>
      </c>
      <c r="R984" t="str">
        <f t="shared" si="33"/>
        <v>Closed</v>
      </c>
      <c r="S984" s="3"/>
      <c r="T984">
        <f>IF(ISBLANK('Master Submitted DPDs'!G306),"",'Master Submitted DPDs'!G306)</f>
        <v>2</v>
      </c>
    </row>
    <row r="985" spans="1:20" ht="15" x14ac:dyDescent="0.2">
      <c r="A985" s="3" t="str">
        <f>IF(ISBLANK('Master Submitted DPDs'!$B307),"","Local Plans")</f>
        <v>Local Plans</v>
      </c>
      <c r="B985" t="str">
        <f>IF(ISBLANK('Master Submitted DPDs'!F307),"",'Master Submitted DPDs'!F307)</f>
        <v>LP</v>
      </c>
      <c r="C985" s="3" t="str">
        <f>IF(ISBLANK('Master Submitted DPDs'!$B307),"","IH")</f>
        <v>IH</v>
      </c>
      <c r="D985" s="3" t="str">
        <f>LOOKUP($F985,'fuzzy LPA lookup'!$E:$E,'fuzzy LPA lookup'!$A:$A)</f>
        <v>E1855</v>
      </c>
      <c r="E985" s="3" t="str">
        <f>LOOKUP($F985,'fuzzy LPA lookup'!$E:$E,'fuzzy LPA lookup'!$D:$D)</f>
        <v>Worcestershire County Council</v>
      </c>
      <c r="F985" s="8">
        <f>IF(ISBLANK('Master Submitted DPDs'!B307),"",'Master Submitted DPDs'!B307)</f>
        <v>2207</v>
      </c>
      <c r="G985" t="str">
        <f>IF(ISBLANK('Master Submitted DPDs'!AS307),"","Withdrawn")</f>
        <v/>
      </c>
      <c r="H985" s="2" t="str">
        <f>IF(ISBLANK('Master Submitted DPDs'!AS307),"",'Master Submitted DPDs'!AS307)</f>
        <v/>
      </c>
      <c r="I985" s="3"/>
      <c r="J985" s="3"/>
      <c r="K985" s="3"/>
      <c r="L985" s="2">
        <f>IF(ISBLANK('Master Submitted DPDs'!J307),"",'Master Submitted DPDs'!J307)</f>
        <v>44095</v>
      </c>
      <c r="M985" s="2">
        <f t="shared" si="32"/>
        <v>44095</v>
      </c>
      <c r="N985" s="2">
        <f>IF(ISBLANK('Master Submitted DPDs'!M307),IF(ISBLANK('Master Submitted DPDs'!O307),"",'Master Submitted DPDs'!O307),'Master Submitted DPDs'!M307)</f>
        <v>44116</v>
      </c>
      <c r="O985" s="2">
        <f>IF(ISBLANK('Master Submitted DPDs'!Q307),"",'Master Submitted DPDs'!Q307)</f>
        <v>44267</v>
      </c>
      <c r="P985" s="2">
        <f>IF(ISBLANK('Master Submitted DPDs'!AO307),"",'Master Submitted DPDs'!AO307)</f>
        <v>44501</v>
      </c>
      <c r="Q985" t="str">
        <f>IF(ISBLANK('Master Submitted DPDs'!AU307),"",'Master Submitted DPDs'!AU307)</f>
        <v>SOU</v>
      </c>
      <c r="R985" t="str">
        <f t="shared" si="33"/>
        <v>Closed</v>
      </c>
      <c r="S985" s="3"/>
      <c r="T985">
        <f>IF(ISBLANK('Master Submitted DPDs'!G307),"",'Master Submitted DPDs'!G307)</f>
        <v>3</v>
      </c>
    </row>
    <row r="986" spans="1:20" ht="15" x14ac:dyDescent="0.2">
      <c r="A986" s="3" t="str">
        <f>IF(ISBLANK('Master Submitted DPDs'!$B308),"","Local Plans")</f>
        <v>Local Plans</v>
      </c>
      <c r="B986" t="str">
        <f>IF(ISBLANK('Master Submitted DPDs'!F308),"",'Master Submitted DPDs'!F308)</f>
        <v>LP</v>
      </c>
      <c r="C986" s="3" t="str">
        <f>IF(ISBLANK('Master Submitted DPDs'!$B308),"","IH")</f>
        <v>IH</v>
      </c>
      <c r="D986" s="3" t="str">
        <f>LOOKUP($F986,'fuzzy LPA lookup'!$E:$E,'fuzzy LPA lookup'!$A:$A)</f>
        <v>U3935</v>
      </c>
      <c r="E986" s="3" t="str">
        <f>LOOKUP($F986,'fuzzy LPA lookup'!$E:$E,'fuzzy LPA lookup'!$D:$D)</f>
        <v>Swindon Borough Council</v>
      </c>
      <c r="F986" s="8">
        <f>IF(ISBLANK('Master Submitted DPDs'!B308),"",'Master Submitted DPDs'!B308)</f>
        <v>2233</v>
      </c>
      <c r="G986" t="str">
        <f>IF(ISBLANK('Master Submitted DPDs'!AS308),"","Withdrawn")</f>
        <v>Withdrawn</v>
      </c>
      <c r="H986" s="2">
        <f>IF(ISBLANK('Master Submitted DPDs'!AS308),"",'Master Submitted DPDs'!AS308)</f>
        <v>44727</v>
      </c>
      <c r="I986" s="3"/>
      <c r="J986" s="3"/>
      <c r="K986" s="3"/>
      <c r="L986" s="2">
        <f>IF(ISBLANK('Master Submitted DPDs'!J308),"",'Master Submitted DPDs'!J308)</f>
        <v>44106</v>
      </c>
      <c r="M986" s="2">
        <f t="shared" si="32"/>
        <v>44106</v>
      </c>
      <c r="N986" s="2">
        <f>IF(ISBLANK('Master Submitted DPDs'!M308),IF(ISBLANK('Master Submitted DPDs'!O308),"",'Master Submitted DPDs'!O308),'Master Submitted DPDs'!M308)</f>
        <v>44127</v>
      </c>
      <c r="O986" s="2">
        <f>IF(ISBLANK('Master Submitted DPDs'!Q308),"",'Master Submitted DPDs'!Q308)</f>
        <v>44376</v>
      </c>
      <c r="P986" s="2">
        <f>IF(ISBLANK('Master Submitted DPDs'!AO308),"",'Master Submitted DPDs'!AO308)</f>
        <v>44623</v>
      </c>
      <c r="Q986" t="str">
        <f>IF(ISBLANK('Master Submitted DPDs'!AU308),"",'Master Submitted DPDs'!AU308)</f>
        <v>DPDW</v>
      </c>
      <c r="R986" t="str">
        <f t="shared" si="33"/>
        <v>Closed</v>
      </c>
      <c r="S986" s="3"/>
      <c r="T986">
        <f>IF(ISBLANK('Master Submitted DPDs'!G308),"",'Master Submitted DPDs'!G308)</f>
        <v>3</v>
      </c>
    </row>
    <row r="987" spans="1:20" ht="15" x14ac:dyDescent="0.2">
      <c r="A987" s="3" t="str">
        <f>IF(ISBLANK('Master Submitted DPDs'!$B309),"","Local Plans")</f>
        <v>Local Plans</v>
      </c>
      <c r="B987" t="str">
        <f>IF(ISBLANK('Master Submitted DPDs'!F309),"",'Master Submitted DPDs'!F309)</f>
        <v>LP</v>
      </c>
      <c r="C987" s="3" t="str">
        <f>IF(ISBLANK('Master Submitted DPDs'!$B309),"","IH")</f>
        <v>IH</v>
      </c>
      <c r="D987" s="3" t="str">
        <f>LOOKUP($F987,'fuzzy LPA lookup'!$E:$E,'fuzzy LPA lookup'!$A:$A)</f>
        <v>U3935</v>
      </c>
      <c r="E987" s="3" t="str">
        <f>LOOKUP($F987,'fuzzy LPA lookup'!$E:$E,'fuzzy LPA lookup'!$D:$D)</f>
        <v>Swindon Borough Council</v>
      </c>
      <c r="F987" s="8">
        <f>IF(ISBLANK('Master Submitted DPDs'!B309),"",'Master Submitted DPDs'!B309)</f>
        <v>2240</v>
      </c>
      <c r="G987" t="str">
        <f>IF(ISBLANK('Master Submitted DPDs'!AS309),"","Withdrawn")</f>
        <v/>
      </c>
      <c r="H987" s="2" t="str">
        <f>IF(ISBLANK('Master Submitted DPDs'!AS309),"",'Master Submitted DPDs'!AS309)</f>
        <v/>
      </c>
      <c r="I987" s="3"/>
      <c r="J987" s="3"/>
      <c r="K987" s="3"/>
      <c r="L987" s="2">
        <f>IF(ISBLANK('Master Submitted DPDs'!J309),"",'Master Submitted DPDs'!J309)</f>
        <v>44125</v>
      </c>
      <c r="M987" s="2">
        <f t="shared" si="32"/>
        <v>44125</v>
      </c>
      <c r="N987" s="2">
        <f>IF(ISBLANK('Master Submitted DPDs'!M309),IF(ISBLANK('Master Submitted DPDs'!O309),"",'Master Submitted DPDs'!O309),'Master Submitted DPDs'!M309)</f>
        <v>44138</v>
      </c>
      <c r="O987" s="2">
        <f>IF(ISBLANK('Master Submitted DPDs'!Q309),"",'Master Submitted DPDs'!Q309)</f>
        <v>44273</v>
      </c>
      <c r="P987" s="2">
        <f>IF(ISBLANK('Master Submitted DPDs'!AO309),"",'Master Submitted DPDs'!AO309)</f>
        <v>44490</v>
      </c>
      <c r="Q987" t="str">
        <f>IF(ISBLANK('Master Submitted DPDs'!AU309),"",'Master Submitted DPDs'!AU309)</f>
        <v>SOU</v>
      </c>
      <c r="R987" t="str">
        <f t="shared" si="33"/>
        <v>Closed</v>
      </c>
      <c r="S987" s="3"/>
      <c r="T987">
        <f>IF(ISBLANK('Master Submitted DPDs'!G309),"",'Master Submitted DPDs'!G309)</f>
        <v>3</v>
      </c>
    </row>
    <row r="988" spans="1:20" ht="15" x14ac:dyDescent="0.2">
      <c r="A988" s="3" t="str">
        <f>IF(ISBLANK('Master Submitted DPDs'!$B310),"","Local Plans")</f>
        <v>Local Plans</v>
      </c>
      <c r="B988" t="str">
        <f>IF(ISBLANK('Master Submitted DPDs'!F310),"",'Master Submitted DPDs'!F310)</f>
        <v>LP</v>
      </c>
      <c r="C988" s="3" t="str">
        <f>IF(ISBLANK('Master Submitted DPDs'!$B310),"","IH")</f>
        <v>IH</v>
      </c>
      <c r="D988" s="3" t="str">
        <f>LOOKUP($F988,'fuzzy LPA lookup'!$E:$E,'fuzzy LPA lookup'!$A:$A)</f>
        <v>Z0835</v>
      </c>
      <c r="E988" s="3" t="str">
        <f>LOOKUP($F988,'fuzzy LPA lookup'!$E:$E,'fuzzy LPA lookup'!$D:$D)</f>
        <v>The Isles of Scilly Council</v>
      </c>
      <c r="F988" s="8">
        <f>IF(ISBLANK('Master Submitted DPDs'!B310),"",'Master Submitted DPDs'!B310)</f>
        <v>1985</v>
      </c>
      <c r="G988" t="str">
        <f>IF(ISBLANK('Master Submitted DPDs'!AS310),"","Withdrawn")</f>
        <v/>
      </c>
      <c r="H988" s="2" t="str">
        <f>IF(ISBLANK('Master Submitted DPDs'!AS310),"",'Master Submitted DPDs'!AS310)</f>
        <v/>
      </c>
      <c r="I988" s="3"/>
      <c r="J988" s="3"/>
      <c r="K988" s="3"/>
      <c r="L988" s="2">
        <f>IF(ISBLANK('Master Submitted DPDs'!J310),"",'Master Submitted DPDs'!J310)</f>
        <v>44133</v>
      </c>
      <c r="M988" s="2">
        <f t="shared" si="32"/>
        <v>44133</v>
      </c>
      <c r="N988" s="2">
        <f>IF(ISBLANK('Master Submitted DPDs'!M310),IF(ISBLANK('Master Submitted DPDs'!O310),"",'Master Submitted DPDs'!O310),'Master Submitted DPDs'!M310)</f>
        <v>44140</v>
      </c>
      <c r="O988" s="2">
        <f>IF(ISBLANK('Master Submitted DPDs'!Q310),"",'Master Submitted DPDs'!Q310)</f>
        <v>44371</v>
      </c>
      <c r="P988" s="2">
        <f>IF(ISBLANK('Master Submitted DPDs'!AO310),"",'Master Submitted DPDs'!AO310)</f>
        <v>44699</v>
      </c>
      <c r="Q988" t="str">
        <f>IF(ISBLANK('Master Submitted DPDs'!AU310),"",'Master Submitted DPDs'!AU310)</f>
        <v>SOU</v>
      </c>
      <c r="R988" t="str">
        <f t="shared" si="33"/>
        <v>Closed</v>
      </c>
      <c r="S988" s="3"/>
      <c r="T988">
        <f>IF(ISBLANK('Master Submitted DPDs'!G310),"",'Master Submitted DPDs'!G310)</f>
        <v>3</v>
      </c>
    </row>
    <row r="989" spans="1:20" ht="15" x14ac:dyDescent="0.2">
      <c r="A989" s="3" t="str">
        <f>IF(ISBLANK('Master Submitted DPDs'!$B311),"","Local Plans")</f>
        <v>Local Plans</v>
      </c>
      <c r="B989" t="str">
        <f>IF(ISBLANK('Master Submitted DPDs'!F311),"",'Master Submitted DPDs'!F311)</f>
        <v>SA</v>
      </c>
      <c r="C989" s="3" t="str">
        <f>IF(ISBLANK('Master Submitted DPDs'!$B311),"","IH")</f>
        <v>IH</v>
      </c>
      <c r="D989" s="3" t="str">
        <f>LOOKUP($F989,'fuzzy LPA lookup'!$E:$E,'fuzzy LPA lookup'!$A:$A)</f>
        <v>U1620</v>
      </c>
      <c r="E989" s="3" t="str">
        <f>LOOKUP($F989,'fuzzy LPA lookup'!$E:$E,'fuzzy LPA lookup'!$D:$D)</f>
        <v>Gloucester City Council</v>
      </c>
      <c r="F989" s="8">
        <f>IF(ISBLANK('Master Submitted DPDs'!B311),"",'Master Submitted DPDs'!B311)</f>
        <v>2210</v>
      </c>
      <c r="G989" t="str">
        <f>IF(ISBLANK('Master Submitted DPDs'!AS311),"","Withdrawn")</f>
        <v/>
      </c>
      <c r="H989" s="2" t="str">
        <f>IF(ISBLANK('Master Submitted DPDs'!AS311),"",'Master Submitted DPDs'!AS311)</f>
        <v/>
      </c>
      <c r="I989" s="3"/>
      <c r="J989" s="3"/>
      <c r="K989" s="3"/>
      <c r="L989" s="2">
        <f>IF(ISBLANK('Master Submitted DPDs'!J311),"",'Master Submitted DPDs'!J311)</f>
        <v>44147</v>
      </c>
      <c r="M989" s="2">
        <f t="shared" si="32"/>
        <v>44147</v>
      </c>
      <c r="N989" s="2">
        <f>IF(ISBLANK('Master Submitted DPDs'!M311),IF(ISBLANK('Master Submitted DPDs'!O311),"",'Master Submitted DPDs'!O311),'Master Submitted DPDs'!M311)</f>
        <v>44169</v>
      </c>
      <c r="O989" s="2">
        <f>IF(ISBLANK('Master Submitted DPDs'!Q311),"",'Master Submitted DPDs'!Q311)</f>
        <v>44356</v>
      </c>
      <c r="P989" s="2">
        <f>IF(ISBLANK('Master Submitted DPDs'!AO311),"",'Master Submitted DPDs'!AO311)</f>
        <v>44874</v>
      </c>
      <c r="Q989" t="str">
        <f>IF(ISBLANK('Master Submitted DPDs'!AU311),"",'Master Submitted DPDs'!AU311)</f>
        <v>SOU</v>
      </c>
      <c r="R989" t="str">
        <f t="shared" si="33"/>
        <v>Closed</v>
      </c>
      <c r="S989" s="3"/>
      <c r="T989">
        <f>IF(ISBLANK('Master Submitted DPDs'!G311),"",'Master Submitted DPDs'!G311)</f>
        <v>2</v>
      </c>
    </row>
    <row r="990" spans="1:20" ht="15" x14ac:dyDescent="0.2">
      <c r="A990" s="3" t="str">
        <f>IF(ISBLANK('Master Submitted DPDs'!$B312),"","Local Plans")</f>
        <v>Local Plans</v>
      </c>
      <c r="B990" t="str">
        <f>IF(ISBLANK('Master Submitted DPDs'!F312),"",'Master Submitted DPDs'!F312)</f>
        <v>LP</v>
      </c>
      <c r="C990" s="3" t="str">
        <f>IF(ISBLANK('Master Submitted DPDs'!$B312),"","IH")</f>
        <v>IH</v>
      </c>
      <c r="D990" s="3" t="str">
        <f>LOOKUP($F990,'fuzzy LPA lookup'!$E:$E,'fuzzy LPA lookup'!$A:$A)</f>
        <v>F5730</v>
      </c>
      <c r="E990" s="3" t="str">
        <f>LOOKUP($F990,'fuzzy LPA lookup'!$E:$E,'fuzzy LPA lookup'!$D:$D)</f>
        <v>Old Oak and Park Royal Development Corporation</v>
      </c>
      <c r="F990" s="8">
        <f>IF(ISBLANK('Master Submitted DPDs'!B312),"",'Master Submitted DPDs'!B312)</f>
        <v>1866</v>
      </c>
      <c r="G990" t="str">
        <f>IF(ISBLANK('Master Submitted DPDs'!AS312),"","Withdrawn")</f>
        <v>Withdrawn</v>
      </c>
      <c r="H990" s="2">
        <f>IF(ISBLANK('Master Submitted DPDs'!AS312),"",'Master Submitted DPDs'!AS312)</f>
        <v>45064</v>
      </c>
      <c r="I990" s="3"/>
      <c r="J990" s="3"/>
      <c r="K990" s="3"/>
      <c r="L990" s="2">
        <f>IF(ISBLANK('Master Submitted DPDs'!J312),"",'Master Submitted DPDs'!J312)</f>
        <v>44179</v>
      </c>
      <c r="M990" s="2">
        <f t="shared" si="32"/>
        <v>44179</v>
      </c>
      <c r="N990" s="2">
        <f>IF(ISBLANK('Master Submitted DPDs'!M312),IF(ISBLANK('Master Submitted DPDs'!O312),"",'Master Submitted DPDs'!O312),'Master Submitted DPDs'!M312)</f>
        <v>44200</v>
      </c>
      <c r="O990" s="2" t="str">
        <f>IF(ISBLANK('Master Submitted DPDs'!Q312),"",'Master Submitted DPDs'!Q312)</f>
        <v/>
      </c>
      <c r="P990" s="2" t="str">
        <f>IF(ISBLANK('Master Submitted DPDs'!AO312),"",'Master Submitted DPDs'!AO312)</f>
        <v/>
      </c>
      <c r="Q990" t="str">
        <f>IF(ISBLANK('Master Submitted DPDs'!AU312),"",'Master Submitted DPDs'!AU312)</f>
        <v>DPDW</v>
      </c>
      <c r="R990" t="str">
        <f t="shared" si="33"/>
        <v>Closed</v>
      </c>
      <c r="S990" s="3"/>
      <c r="T990">
        <f>IF(ISBLANK('Master Submitted DPDs'!G312),"",'Master Submitted DPDs'!G312)</f>
        <v>3</v>
      </c>
    </row>
    <row r="991" spans="1:20" ht="15" x14ac:dyDescent="0.2">
      <c r="A991" s="3" t="str">
        <f>IF(ISBLANK('Master Submitted DPDs'!$B313),"","Local Plans")</f>
        <v>Local Plans</v>
      </c>
      <c r="B991" t="str">
        <f>IF(ISBLANK('Master Submitted DPDs'!F313),"",'Master Submitted DPDs'!F313)</f>
        <v>SA</v>
      </c>
      <c r="C991" s="3" t="str">
        <f>IF(ISBLANK('Master Submitted DPDs'!$B313),"","IH")</f>
        <v>IH</v>
      </c>
      <c r="D991" s="3" t="str">
        <f>LOOKUP($F991,'fuzzy LPA lookup'!$E:$E,'fuzzy LPA lookup'!$A:$A)</f>
        <v>U3935</v>
      </c>
      <c r="E991" s="3" t="str">
        <f>LOOKUP($F991,'fuzzy LPA lookup'!$E:$E,'fuzzy LPA lookup'!$D:$D)</f>
        <v>Swindon Borough Council</v>
      </c>
      <c r="F991" s="8">
        <f>IF(ISBLANK('Master Submitted DPDs'!B313),"",'Master Submitted DPDs'!B313)</f>
        <v>2241</v>
      </c>
      <c r="G991" t="str">
        <f>IF(ISBLANK('Master Submitted DPDs'!AS313),"","Withdrawn")</f>
        <v/>
      </c>
      <c r="H991" s="2" t="str">
        <f>IF(ISBLANK('Master Submitted DPDs'!AS313),"",'Master Submitted DPDs'!AS313)</f>
        <v/>
      </c>
      <c r="I991" s="3"/>
      <c r="J991" s="3"/>
      <c r="K991" s="3"/>
      <c r="L991" s="2">
        <f>IF(ISBLANK('Master Submitted DPDs'!J313),"",'Master Submitted DPDs'!J313)</f>
        <v>44181</v>
      </c>
      <c r="M991" s="2">
        <f t="shared" si="32"/>
        <v>44181</v>
      </c>
      <c r="N991" s="2">
        <f>IF(ISBLANK('Master Submitted DPDs'!M313),IF(ISBLANK('Master Submitted DPDs'!O313),"",'Master Submitted DPDs'!O313),'Master Submitted DPDs'!M313)</f>
        <v>44202</v>
      </c>
      <c r="O991" s="2">
        <f>IF(ISBLANK('Master Submitted DPDs'!Q313),"",'Master Submitted DPDs'!Q313)</f>
        <v>44363</v>
      </c>
      <c r="P991" s="2">
        <f>IF(ISBLANK('Master Submitted DPDs'!AO313),"",'Master Submitted DPDs'!AO313)</f>
        <v>44711</v>
      </c>
      <c r="Q991" t="str">
        <f>IF(ISBLANK('Master Submitted DPDs'!AU313),"",'Master Submitted DPDs'!AU313)</f>
        <v>SOU</v>
      </c>
      <c r="R991" t="str">
        <f t="shared" si="33"/>
        <v>Closed</v>
      </c>
      <c r="S991" s="3"/>
      <c r="T991">
        <f>IF(ISBLANK('Master Submitted DPDs'!G313),"",'Master Submitted DPDs'!G313)</f>
        <v>2</v>
      </c>
    </row>
    <row r="992" spans="1:20" ht="15" x14ac:dyDescent="0.2">
      <c r="A992" s="3" t="str">
        <f>IF(ISBLANK('Master Submitted DPDs'!$B315),"","Local Plans")</f>
        <v>Local Plans</v>
      </c>
      <c r="B992" t="str">
        <f>IF(ISBLANK('Master Submitted DPDs'!F315),"",'Master Submitted DPDs'!F315)</f>
        <v>M&amp;W</v>
      </c>
      <c r="C992" s="3" t="str">
        <f>IF(ISBLANK('Master Submitted DPDs'!$B315),"","IH")</f>
        <v>IH</v>
      </c>
      <c r="D992" s="3" t="str">
        <f>LOOKUP($F992,'fuzzy LPA lookup'!$E:$E,'fuzzy LPA lookup'!$A:$A)</f>
        <v>U3935</v>
      </c>
      <c r="E992" s="3" t="str">
        <f>LOOKUP($F992,'fuzzy LPA lookup'!$E:$E,'fuzzy LPA lookup'!$D:$D)</f>
        <v>Swindon Borough Council</v>
      </c>
      <c r="F992" s="8">
        <f>IF(ISBLANK('Master Submitted DPDs'!B315),"",'Master Submitted DPDs'!B315)</f>
        <v>2246</v>
      </c>
      <c r="G992" t="str">
        <f>IF(ISBLANK('Master Submitted DPDs'!AS315),"","Withdrawn")</f>
        <v/>
      </c>
      <c r="H992" s="2" t="str">
        <f>IF(ISBLANK('Master Submitted DPDs'!AS315),"",'Master Submitted DPDs'!AS315)</f>
        <v/>
      </c>
      <c r="I992" s="3"/>
      <c r="J992" s="3"/>
      <c r="K992" s="3"/>
      <c r="L992" s="2">
        <f>IF(ISBLANK('Master Submitted DPDs'!J315),"",'Master Submitted DPDs'!J315)</f>
        <v>44215</v>
      </c>
      <c r="M992" s="2">
        <f t="shared" si="32"/>
        <v>44215</v>
      </c>
      <c r="N992" s="2">
        <f>IF(ISBLANK('Master Submitted DPDs'!M315),IF(ISBLANK('Master Submitted DPDs'!O315),"",'Master Submitted DPDs'!O315),'Master Submitted DPDs'!M315)</f>
        <v>44222</v>
      </c>
      <c r="O992" s="2">
        <f>IF(ISBLANK('Master Submitted DPDs'!Q315),"",'Master Submitted DPDs'!Q315)</f>
        <v>44441</v>
      </c>
      <c r="P992" s="2">
        <f>IF(ISBLANK('Master Submitted DPDs'!AO315),"",'Master Submitted DPDs'!AO315)</f>
        <v>44886</v>
      </c>
      <c r="Q992" t="str">
        <f>IF(ISBLANK('Master Submitted DPDs'!AU315),"",'Master Submitted DPDs'!AU315)</f>
        <v>SOU</v>
      </c>
      <c r="R992" t="str">
        <f t="shared" si="33"/>
        <v>Closed</v>
      </c>
      <c r="S992" s="3"/>
      <c r="T992">
        <f>IF(ISBLANK('Master Submitted DPDs'!G315),"",'Master Submitted DPDs'!G315)</f>
        <v>2</v>
      </c>
    </row>
    <row r="993" spans="1:20" ht="15" x14ac:dyDescent="0.2">
      <c r="A993" s="3" t="str">
        <f>IF(ISBLANK('Master Submitted DPDs'!$B316),"","Local Plans")</f>
        <v>Local Plans</v>
      </c>
      <c r="B993" t="str">
        <f>IF(ISBLANK('Master Submitted DPDs'!F316),"",'Master Submitted DPDs'!F316)</f>
        <v>LP</v>
      </c>
      <c r="C993" s="3" t="str">
        <f>IF(ISBLANK('Master Submitted DPDs'!$B316),"","IH")</f>
        <v>IH</v>
      </c>
      <c r="D993" s="3" t="str">
        <f>LOOKUP($F993,'fuzzy LPA lookup'!$E:$E,'fuzzy LPA lookup'!$A:$A)</f>
        <v>H4505</v>
      </c>
      <c r="E993" s="3" t="str">
        <f>LOOKUP($F993,'fuzzy LPA lookup'!$E:$E,'fuzzy LPA lookup'!$D:$D)</f>
        <v>Gateshead Metropolitan Borough Council</v>
      </c>
      <c r="F993" s="8">
        <f>IF(ISBLANK('Master Submitted DPDs'!B316),"",'Master Submitted DPDs'!B316)</f>
        <v>1963</v>
      </c>
      <c r="G993" t="str">
        <f>IF(ISBLANK('Master Submitted DPDs'!AS316),"","Withdrawn")</f>
        <v>Withdrawn</v>
      </c>
      <c r="H993" s="2">
        <f>IF(ISBLANK('Master Submitted DPDs'!AS316),"",'Master Submitted DPDs'!AS316)</f>
        <v>44440</v>
      </c>
      <c r="I993" s="3"/>
      <c r="J993" s="3"/>
      <c r="K993" s="3"/>
      <c r="L993" s="2">
        <f>IF(ISBLANK('Master Submitted DPDs'!J316),"",'Master Submitted DPDs'!J316)</f>
        <v>44230</v>
      </c>
      <c r="M993" s="2">
        <f t="shared" si="32"/>
        <v>44230</v>
      </c>
      <c r="N993" s="2">
        <f>IF(ISBLANK('Master Submitted DPDs'!M316),IF(ISBLANK('Master Submitted DPDs'!O316),"",'Master Submitted DPDs'!O316),'Master Submitted DPDs'!M316)</f>
        <v>44246</v>
      </c>
      <c r="O993" s="2" t="str">
        <f>IF(ISBLANK('Master Submitted DPDs'!Q316),"",'Master Submitted DPDs'!Q316)</f>
        <v/>
      </c>
      <c r="P993" s="2" t="str">
        <f>IF(ISBLANK('Master Submitted DPDs'!AO316),"",'Master Submitted DPDs'!AO316)</f>
        <v/>
      </c>
      <c r="Q993" t="str">
        <f>IF(ISBLANK('Master Submitted DPDs'!AU316),"",'Master Submitted DPDs'!AU316)</f>
        <v>DPDW</v>
      </c>
      <c r="R993" t="str">
        <f t="shared" si="33"/>
        <v>Closed</v>
      </c>
      <c r="S993" s="3"/>
      <c r="T993">
        <f>IF(ISBLANK('Master Submitted DPDs'!G316),"",'Master Submitted DPDs'!G316)</f>
        <v>3</v>
      </c>
    </row>
    <row r="994" spans="1:20" ht="15" x14ac:dyDescent="0.2">
      <c r="A994" s="3" t="str">
        <f>IF(ISBLANK('Master Submitted DPDs'!$B317),"","Local Plans")</f>
        <v>Local Plans</v>
      </c>
      <c r="B994" t="str">
        <f>IF(ISBLANK('Master Submitted DPDs'!F317),"",'Master Submitted DPDs'!F317)</f>
        <v>SA</v>
      </c>
      <c r="C994" s="3" t="str">
        <f>IF(ISBLANK('Master Submitted DPDs'!$B317),"","IH")</f>
        <v>IH</v>
      </c>
      <c r="D994" s="3" t="str">
        <f>LOOKUP($F994,'fuzzy LPA lookup'!$E:$E,'fuzzy LPA lookup'!$A:$A)</f>
        <v>V2825</v>
      </c>
      <c r="E994" s="3" t="str">
        <f>LOOKUP($F994,'fuzzy LPA lookup'!$E:$E,'fuzzy LPA lookup'!$D:$D)</f>
        <v>Northampton Borough Council</v>
      </c>
      <c r="F994" s="8">
        <f>IF(ISBLANK('Master Submitted DPDs'!B317),"",'Master Submitted DPDs'!B317)</f>
        <v>1923</v>
      </c>
      <c r="G994" t="str">
        <f>IF(ISBLANK('Master Submitted DPDs'!AS317),"","Withdrawn")</f>
        <v/>
      </c>
      <c r="H994" s="2" t="str">
        <f>IF(ISBLANK('Master Submitted DPDs'!AS317),"",'Master Submitted DPDs'!AS317)</f>
        <v/>
      </c>
      <c r="I994" s="3"/>
      <c r="J994" s="3"/>
      <c r="K994" s="3"/>
      <c r="L994" s="2">
        <f>IF(ISBLANK('Master Submitted DPDs'!J317),"",'Master Submitted DPDs'!J317)</f>
        <v>44231</v>
      </c>
      <c r="M994" s="2">
        <f t="shared" si="32"/>
        <v>44231</v>
      </c>
      <c r="N994" s="2">
        <f>IF(ISBLANK('Master Submitted DPDs'!M317),IF(ISBLANK('Master Submitted DPDs'!O317),"",'Master Submitted DPDs'!O317),'Master Submitted DPDs'!M317)</f>
        <v>44236</v>
      </c>
      <c r="O994" s="2">
        <f>IF(ISBLANK('Master Submitted DPDs'!Q317),"",'Master Submitted DPDs'!Q317)</f>
        <v>44530</v>
      </c>
      <c r="P994" s="2">
        <f>IF(ISBLANK('Master Submitted DPDs'!AO317),"",'Master Submitted DPDs'!AO317)</f>
        <v>44960</v>
      </c>
      <c r="Q994" t="str">
        <f>IF(ISBLANK('Master Submitted DPDs'!AU317),"",'Master Submitted DPDs'!AU317)</f>
        <v>SOU</v>
      </c>
      <c r="R994" t="str">
        <f t="shared" si="33"/>
        <v>Closed</v>
      </c>
      <c r="S994" s="3"/>
      <c r="T994">
        <f>IF(ISBLANK('Master Submitted DPDs'!G317),"",'Master Submitted DPDs'!G317)</f>
        <v>2</v>
      </c>
    </row>
    <row r="995" spans="1:20" ht="15" x14ac:dyDescent="0.2">
      <c r="A995" s="3" t="str">
        <f>IF(ISBLANK('Master Submitted DPDs'!$B318),"","Local Plans")</f>
        <v>Local Plans</v>
      </c>
      <c r="B995" t="str">
        <f>IF(ISBLANK('Master Submitted DPDs'!F318),"",'Master Submitted DPDs'!F318)</f>
        <v>AAP</v>
      </c>
      <c r="C995" s="3" t="str">
        <f>IF(ISBLANK('Master Submitted DPDs'!$B318),"","IH")</f>
        <v>IH</v>
      </c>
      <c r="D995" s="3" t="str">
        <f>LOOKUP($F995,'fuzzy LPA lookup'!$E:$E,'fuzzy LPA lookup'!$A:$A)</f>
        <v>U3935</v>
      </c>
      <c r="E995" s="3" t="str">
        <f>LOOKUP($F995,'fuzzy LPA lookup'!$E:$E,'fuzzy LPA lookup'!$D:$D)</f>
        <v>Swindon Borough Council</v>
      </c>
      <c r="F995" s="8">
        <f>IF(ISBLANK('Master Submitted DPDs'!B318),"",'Master Submitted DPDs'!B318)</f>
        <v>2239</v>
      </c>
      <c r="G995" t="str">
        <f>IF(ISBLANK('Master Submitted DPDs'!AS318),"","Withdrawn")</f>
        <v/>
      </c>
      <c r="H995" s="2" t="str">
        <f>IF(ISBLANK('Master Submitted DPDs'!AS318),"",'Master Submitted DPDs'!AS318)</f>
        <v/>
      </c>
      <c r="I995" s="3"/>
      <c r="J995" s="3"/>
      <c r="K995" s="3"/>
      <c r="L995" s="2">
        <f>IF(ISBLANK('Master Submitted DPDs'!J318),"",'Master Submitted DPDs'!J318)</f>
        <v>44237</v>
      </c>
      <c r="M995" s="2">
        <f t="shared" si="32"/>
        <v>44237</v>
      </c>
      <c r="N995" s="2">
        <f>IF(ISBLANK('Master Submitted DPDs'!M318),IF(ISBLANK('Master Submitted DPDs'!O318),"",'Master Submitted DPDs'!O318),'Master Submitted DPDs'!M318)</f>
        <v>44257</v>
      </c>
      <c r="O995" s="2">
        <f>IF(ISBLANK('Master Submitted DPDs'!Q318),"",'Master Submitted DPDs'!Q318)</f>
        <v>44385</v>
      </c>
      <c r="P995" s="2">
        <f>IF(ISBLANK('Master Submitted DPDs'!AO318),"",'Master Submitted DPDs'!AO318)</f>
        <v>44986</v>
      </c>
      <c r="Q995" t="str">
        <f>IF(ISBLANK('Master Submitted DPDs'!AU318),"",'Master Submitted DPDs'!AU318)</f>
        <v>SOU</v>
      </c>
      <c r="R995" t="str">
        <f t="shared" si="33"/>
        <v>Closed</v>
      </c>
      <c r="S995" s="3"/>
      <c r="T995">
        <f>IF(ISBLANK('Master Submitted DPDs'!G318),"",'Master Submitted DPDs'!G318)</f>
        <v>2</v>
      </c>
    </row>
    <row r="996" spans="1:20" ht="15" x14ac:dyDescent="0.2">
      <c r="A996" s="3" t="str">
        <f>IF(ISBLANK('Master Submitted DPDs'!$B319),"","Local Plans")</f>
        <v>Local Plans</v>
      </c>
      <c r="B996" t="str">
        <f>IF(ISBLANK('Master Submitted DPDs'!F319),"",'Master Submitted DPDs'!F319)</f>
        <v>LP</v>
      </c>
      <c r="C996" s="3" t="str">
        <f>IF(ISBLANK('Master Submitted DPDs'!$B319),"","IH")</f>
        <v>IH</v>
      </c>
      <c r="D996" s="3" t="str">
        <f>LOOKUP($F996,'fuzzy LPA lookup'!$E:$E,'fuzzy LPA lookup'!$A:$A)</f>
        <v>Z0923</v>
      </c>
      <c r="E996" s="3" t="str">
        <f>LOOKUP($F996,'fuzzy LPA lookup'!$E:$E,'fuzzy LPA lookup'!$D:$D)</f>
        <v>Copeland Borough Council</v>
      </c>
      <c r="F996" s="8">
        <f>IF(ISBLANK('Master Submitted DPDs'!B319),"",'Master Submitted DPDs'!B319)</f>
        <v>1374</v>
      </c>
      <c r="G996" t="str">
        <f>IF(ISBLANK('Master Submitted DPDs'!AS319),"","Withdrawn")</f>
        <v>Withdrawn</v>
      </c>
      <c r="H996" s="2">
        <f>IF(ISBLANK('Master Submitted DPDs'!AS319),"",'Master Submitted DPDs'!AS319)</f>
        <v>44636</v>
      </c>
      <c r="I996" s="3"/>
      <c r="J996" s="3"/>
      <c r="K996" s="3"/>
      <c r="L996" s="2">
        <f>IF(ISBLANK('Master Submitted DPDs'!J319),"",'Master Submitted DPDs'!J319)</f>
        <v>44239</v>
      </c>
      <c r="M996" s="2">
        <f t="shared" si="32"/>
        <v>44239</v>
      </c>
      <c r="N996" s="2">
        <f>IF(ISBLANK('Master Submitted DPDs'!M319),IF(ISBLANK('Master Submitted DPDs'!O319),"",'Master Submitted DPDs'!O319),'Master Submitted DPDs'!M319)</f>
        <v>44243</v>
      </c>
      <c r="O996" s="2" t="str">
        <f>IF(ISBLANK('Master Submitted DPDs'!Q319),"",'Master Submitted DPDs'!Q319)</f>
        <v/>
      </c>
      <c r="P996" s="2" t="str">
        <f>IF(ISBLANK('Master Submitted DPDs'!AO319),"",'Master Submitted DPDs'!AO319)</f>
        <v/>
      </c>
      <c r="Q996" t="str">
        <f>IF(ISBLANK('Master Submitted DPDs'!AU319),"",'Master Submitted DPDs'!AU319)</f>
        <v>DPDW</v>
      </c>
      <c r="R996" t="str">
        <f t="shared" si="33"/>
        <v>Closed</v>
      </c>
      <c r="S996" s="3"/>
      <c r="T996">
        <f>IF(ISBLANK('Master Submitted DPDs'!G319),"",'Master Submitted DPDs'!G319)</f>
        <v>3</v>
      </c>
    </row>
    <row r="997" spans="1:20" ht="15" x14ac:dyDescent="0.2">
      <c r="A997" s="3" t="str">
        <f>IF(ISBLANK('Master Submitted DPDs'!$B320),"","Local Plans")</f>
        <v>Local Plans</v>
      </c>
      <c r="B997" t="str">
        <f>IF(ISBLANK('Master Submitted DPDs'!F320),"",'Master Submitted DPDs'!F320)</f>
        <v>M&amp;W</v>
      </c>
      <c r="C997" s="3" t="str">
        <f>IF(ISBLANK('Master Submitted DPDs'!$B320),"","IH")</f>
        <v>IH</v>
      </c>
      <c r="D997" s="3" t="str">
        <f>LOOKUP($F997,'fuzzy LPA lookup'!$E:$E,'fuzzy LPA lookup'!$A:$A)</f>
        <v>H4505</v>
      </c>
      <c r="E997" s="3" t="str">
        <f>LOOKUP($F997,'fuzzy LPA lookup'!$E:$E,'fuzzy LPA lookup'!$D:$D)</f>
        <v>Gateshead Metropolitan Borough Council</v>
      </c>
      <c r="F997" s="8">
        <f>IF(ISBLANK('Master Submitted DPDs'!B320),"",'Master Submitted DPDs'!B320)</f>
        <v>1961</v>
      </c>
      <c r="G997" t="str">
        <f>IF(ISBLANK('Master Submitted DPDs'!AS320),"","Withdrawn")</f>
        <v/>
      </c>
      <c r="H997" s="2" t="str">
        <f>IF(ISBLANK('Master Submitted DPDs'!AS320),"",'Master Submitted DPDs'!AS320)</f>
        <v/>
      </c>
      <c r="I997" s="3"/>
      <c r="J997" s="3"/>
      <c r="K997" s="3"/>
      <c r="L997" s="2">
        <f>IF(ISBLANK('Master Submitted DPDs'!J320),"",'Master Submitted DPDs'!J320)</f>
        <v>44252</v>
      </c>
      <c r="M997" s="2">
        <f t="shared" si="32"/>
        <v>44252</v>
      </c>
      <c r="N997" s="2">
        <f>IF(ISBLANK('Master Submitted DPDs'!M320),IF(ISBLANK('Master Submitted DPDs'!O320),"",'Master Submitted DPDs'!O320),'Master Submitted DPDs'!M320)</f>
        <v>44286</v>
      </c>
      <c r="O997" s="2">
        <f>IF(ISBLANK('Master Submitted DPDs'!Q320),"",'Master Submitted DPDs'!Q320)</f>
        <v>44481</v>
      </c>
      <c r="P997" s="2">
        <f>IF(ISBLANK('Master Submitted DPDs'!AO320),"",'Master Submitted DPDs'!AO320)</f>
        <v>44854</v>
      </c>
      <c r="Q997" t="str">
        <f>IF(ISBLANK('Master Submitted DPDs'!AU320),"",'Master Submitted DPDs'!AU320)</f>
        <v>SOU</v>
      </c>
      <c r="R997" t="str">
        <f t="shared" si="33"/>
        <v>Closed</v>
      </c>
      <c r="S997" s="3"/>
      <c r="T997">
        <f>IF(ISBLANK('Master Submitted DPDs'!G320),"",'Master Submitted DPDs'!G320)</f>
        <v>2</v>
      </c>
    </row>
    <row r="998" spans="1:20" ht="15" x14ac:dyDescent="0.2">
      <c r="A998" s="3" t="str">
        <f>IF(ISBLANK('Master Submitted DPDs'!$B321),"","Local Plans")</f>
        <v>Local Plans</v>
      </c>
      <c r="B998" t="str">
        <f>IF(ISBLANK('Master Submitted DPDs'!F321),"",'Master Submitted DPDs'!F321)</f>
        <v>SA</v>
      </c>
      <c r="C998" s="3" t="str">
        <f>IF(ISBLANK('Master Submitted DPDs'!$B321),"","IH")</f>
        <v>IH</v>
      </c>
      <c r="D998" s="3" t="str">
        <f>LOOKUP($F998,'fuzzy LPA lookup'!$E:$E,'fuzzy LPA lookup'!$A:$A)</f>
        <v>U3935</v>
      </c>
      <c r="E998" s="3" t="str">
        <f>LOOKUP($F998,'fuzzy LPA lookup'!$E:$E,'fuzzy LPA lookup'!$D:$D)</f>
        <v>Swindon Borough Council</v>
      </c>
      <c r="F998" s="8">
        <f>IF(ISBLANK('Master Submitted DPDs'!B321),"",'Master Submitted DPDs'!B321)</f>
        <v>2250</v>
      </c>
      <c r="G998" t="str">
        <f>IF(ISBLANK('Master Submitted DPDs'!AS321),"","Withdrawn")</f>
        <v/>
      </c>
      <c r="H998" s="2" t="str">
        <f>IF(ISBLANK('Master Submitted DPDs'!AS321),"",'Master Submitted DPDs'!AS321)</f>
        <v/>
      </c>
      <c r="I998" s="3"/>
      <c r="J998" s="3"/>
      <c r="K998" s="3"/>
      <c r="L998" s="2">
        <f>IF(ISBLANK('Master Submitted DPDs'!J321),"",'Master Submitted DPDs'!J321)</f>
        <v>44281</v>
      </c>
      <c r="M998" s="2">
        <f t="shared" si="32"/>
        <v>44281</v>
      </c>
      <c r="N998" s="2">
        <f>IF(ISBLANK('Master Submitted DPDs'!M321),IF(ISBLANK('Master Submitted DPDs'!O321),"",'Master Submitted DPDs'!O321),'Master Submitted DPDs'!M321)</f>
        <v>44186</v>
      </c>
      <c r="O998" s="2">
        <f>IF(ISBLANK('Master Submitted DPDs'!Q321),"",'Master Submitted DPDs'!Q321)</f>
        <v>44699</v>
      </c>
      <c r="P998" s="2">
        <f>IF(ISBLANK('Master Submitted DPDs'!AO321),"",'Master Submitted DPDs'!AO321)</f>
        <v>45293</v>
      </c>
      <c r="Q998" t="str">
        <f>IF(ISBLANK('Master Submitted DPDs'!AU321),"",'Master Submitted DPDs'!AU321)</f>
        <v>SOU</v>
      </c>
      <c r="R998" t="str">
        <f t="shared" si="33"/>
        <v>Closed</v>
      </c>
      <c r="S998" s="3"/>
      <c r="T998">
        <f>IF(ISBLANK('Master Submitted DPDs'!G321),"",'Master Submitted DPDs'!G321)</f>
        <v>3</v>
      </c>
    </row>
    <row r="999" spans="1:20" ht="15" x14ac:dyDescent="0.2">
      <c r="A999" s="3" t="str">
        <f>IF(ISBLANK('Master Submitted DPDs'!$B322),"","Local Plans")</f>
        <v>Local Plans</v>
      </c>
      <c r="B999" t="str">
        <f>IF(ISBLANK('Master Submitted DPDs'!F322),"",'Master Submitted DPDs'!F322)</f>
        <v>SA</v>
      </c>
      <c r="C999" s="3" t="str">
        <f>IF(ISBLANK('Master Submitted DPDs'!$B322),"","IH")</f>
        <v>IH</v>
      </c>
      <c r="D999" s="3" t="str">
        <f>LOOKUP($F999,'fuzzy LPA lookup'!$E:$E,'fuzzy LPA lookup'!$A:$A)</f>
        <v>B3600</v>
      </c>
      <c r="E999" s="3" t="str">
        <f>LOOKUP($F999,'fuzzy LPA lookup'!$E:$E,'fuzzy LPA lookup'!$D:$D)</f>
        <v>Surrey County Council</v>
      </c>
      <c r="F999" s="8">
        <f>IF(ISBLANK('Master Submitted DPDs'!B322),"",'Master Submitted DPDs'!B322)</f>
        <v>2083</v>
      </c>
      <c r="G999" t="str">
        <f>IF(ISBLANK('Master Submitted DPDs'!AS322),"","Withdrawn")</f>
        <v/>
      </c>
      <c r="H999" s="2" t="str">
        <f>IF(ISBLANK('Master Submitted DPDs'!AS322),"",'Master Submitted DPDs'!AS322)</f>
        <v/>
      </c>
      <c r="I999" s="3"/>
      <c r="J999" s="3"/>
      <c r="K999" s="3"/>
      <c r="L999" s="2">
        <f>IF(ISBLANK('Master Submitted DPDs'!J322),"",'Master Submitted DPDs'!J322)</f>
        <v>44284</v>
      </c>
      <c r="M999" s="2">
        <f t="shared" si="32"/>
        <v>44284</v>
      </c>
      <c r="N999" s="2">
        <f>IF(ISBLANK('Master Submitted DPDs'!M322),IF(ISBLANK('Master Submitted DPDs'!O322),"",'Master Submitted DPDs'!O322),'Master Submitted DPDs'!M322)</f>
        <v>44312</v>
      </c>
      <c r="O999" s="2">
        <f>IF(ISBLANK('Master Submitted DPDs'!Q322),"",'Master Submitted DPDs'!Q322)</f>
        <v>44686</v>
      </c>
      <c r="P999" s="2">
        <f>IF(ISBLANK('Master Submitted DPDs'!AO322),"",'Master Submitted DPDs'!AO322)</f>
        <v>45138</v>
      </c>
      <c r="Q999" t="str">
        <f>IF(ISBLANK('Master Submitted DPDs'!AU322),"",'Master Submitted DPDs'!AU322)</f>
        <v>SOU</v>
      </c>
      <c r="R999" t="str">
        <f t="shared" si="33"/>
        <v>Closed</v>
      </c>
      <c r="S999" s="3"/>
      <c r="T999">
        <f>IF(ISBLANK('Master Submitted DPDs'!G322),"",'Master Submitted DPDs'!G322)</f>
        <v>3</v>
      </c>
    </row>
    <row r="1000" spans="1:20" ht="15" x14ac:dyDescent="0.2">
      <c r="A1000" s="3" t="str">
        <f>IF(ISBLANK('Master Submitted DPDs'!$B323),"","Local Plans")</f>
        <v>Local Plans</v>
      </c>
      <c r="B1000" t="str">
        <f>IF(ISBLANK('Master Submitted DPDs'!F323),"",'Master Submitted DPDs'!F323)</f>
        <v>LP</v>
      </c>
      <c r="C1000" s="3" t="str">
        <f>IF(ISBLANK('Master Submitted DPDs'!$B323),"","IH")</f>
        <v>IH</v>
      </c>
      <c r="D1000" s="3" t="str">
        <f>LOOKUP($F1000,'fuzzy LPA lookup'!$E:$E,'fuzzy LPA lookup'!$A:$A)</f>
        <v>H4505</v>
      </c>
      <c r="E1000" s="3" t="str">
        <f>LOOKUP($F1000,'fuzzy LPA lookup'!$E:$E,'fuzzy LPA lookup'!$D:$D)</f>
        <v>Gateshead Metropolitan Borough Council</v>
      </c>
      <c r="F1000" s="8">
        <f>IF(ISBLANK('Master Submitted DPDs'!B323),"",'Master Submitted DPDs'!B323)</f>
        <v>1966</v>
      </c>
      <c r="G1000" t="str">
        <f>IF(ISBLANK('Master Submitted DPDs'!AS323),"","Withdrawn")</f>
        <v/>
      </c>
      <c r="H1000" s="2" t="str">
        <f>IF(ISBLANK('Master Submitted DPDs'!AS323),"",'Master Submitted DPDs'!AS323)</f>
        <v/>
      </c>
      <c r="I1000" s="3"/>
      <c r="J1000" s="3"/>
      <c r="K1000" s="3"/>
      <c r="L1000" s="2">
        <f>IF(ISBLANK('Master Submitted DPDs'!J323),"",'Master Submitted DPDs'!J323)</f>
        <v>44286</v>
      </c>
      <c r="M1000" s="2">
        <f t="shared" si="32"/>
        <v>44286</v>
      </c>
      <c r="N1000" s="2">
        <f>IF(ISBLANK('Master Submitted DPDs'!M323),IF(ISBLANK('Master Submitted DPDs'!O323),"",'Master Submitted DPDs'!O323),'Master Submitted DPDs'!M323)</f>
        <v>44292</v>
      </c>
      <c r="O1000" s="2">
        <f>IF(ISBLANK('Master Submitted DPDs'!Q323),"",'Master Submitted DPDs'!Q323)</f>
        <v>45105</v>
      </c>
      <c r="P1000" s="2">
        <f>IF(ISBLANK('Master Submitted DPDs'!AO323),"",'Master Submitted DPDs'!AO323)</f>
        <v>45188</v>
      </c>
      <c r="Q1000" t="str">
        <f>IF(ISBLANK('Master Submitted DPDs'!AU323),"",'Master Submitted DPDs'!AU323)</f>
        <v>SOU</v>
      </c>
      <c r="R1000" t="str">
        <f t="shared" si="33"/>
        <v>Closed</v>
      </c>
      <c r="S1000" s="3"/>
      <c r="T1000">
        <f>IF(ISBLANK('Master Submitted DPDs'!G323),"",'Master Submitted DPDs'!G323)</f>
        <v>3</v>
      </c>
    </row>
    <row r="1001" spans="1:20" ht="15" x14ac:dyDescent="0.2">
      <c r="A1001" s="3" t="str">
        <f>IF(ISBLANK('Master Submitted DPDs'!$B324),"","Local Plans")</f>
        <v>Local Plans</v>
      </c>
      <c r="B1001" t="str">
        <f>IF(ISBLANK('Master Submitted DPDs'!F324),"",'Master Submitted DPDs'!F324)</f>
        <v>SA</v>
      </c>
      <c r="C1001" s="3" t="str">
        <f>IF(ISBLANK('Master Submitted DPDs'!$B324),"","IH")</f>
        <v>IH</v>
      </c>
      <c r="D1001" s="3" t="str">
        <f>LOOKUP($F1001,'fuzzy LPA lookup'!$E:$E,'fuzzy LPA lookup'!$A:$A)</f>
        <v>U1105</v>
      </c>
      <c r="E1001" s="3" t="str">
        <f>LOOKUP($F1001,'fuzzy LPA lookup'!$E:$E,'fuzzy LPA lookup'!$D:$D)</f>
        <v>East Devon District Council</v>
      </c>
      <c r="F1001" s="8">
        <f>IF(ISBLANK('Master Submitted DPDs'!B324),"",'Master Submitted DPDs'!B324)</f>
        <v>2022</v>
      </c>
      <c r="G1001" t="str">
        <f>IF(ISBLANK('Master Submitted DPDs'!AS324),"","Withdrawn")</f>
        <v/>
      </c>
      <c r="H1001" s="2" t="str">
        <f>IF(ISBLANK('Master Submitted DPDs'!AS324),"",'Master Submitted DPDs'!AS324)</f>
        <v/>
      </c>
      <c r="I1001" s="3"/>
      <c r="J1001" s="3"/>
      <c r="K1001" s="3"/>
      <c r="L1001" s="2">
        <f>IF(ISBLANK('Master Submitted DPDs'!J324),"",'Master Submitted DPDs'!J324)</f>
        <v>44315</v>
      </c>
      <c r="M1001" s="2">
        <f t="shared" si="32"/>
        <v>44315</v>
      </c>
      <c r="N1001" s="2">
        <f>IF(ISBLANK('Master Submitted DPDs'!M324),IF(ISBLANK('Master Submitted DPDs'!O324),"",'Master Submitted DPDs'!O324),'Master Submitted DPDs'!M324)</f>
        <v>44316</v>
      </c>
      <c r="O1001" s="2">
        <f>IF(ISBLANK('Master Submitted DPDs'!Q324),"",'Master Submitted DPDs'!Q324)</f>
        <v>44504</v>
      </c>
      <c r="P1001" s="2">
        <f>IF(ISBLANK('Master Submitted DPDs'!AO324),"",'Master Submitted DPDs'!AO324)</f>
        <v>44851</v>
      </c>
      <c r="Q1001" t="str">
        <f>IF(ISBLANK('Master Submitted DPDs'!AU324),"",'Master Submitted DPDs'!AU324)</f>
        <v>SOU</v>
      </c>
      <c r="R1001" t="str">
        <f t="shared" si="33"/>
        <v>Closed</v>
      </c>
      <c r="S1001" s="3"/>
      <c r="T1001">
        <f>IF(ISBLANK('Master Submitted DPDs'!G324),"",'Master Submitted DPDs'!G324)</f>
        <v>2</v>
      </c>
    </row>
    <row r="1002" spans="1:20" ht="15" x14ac:dyDescent="0.2">
      <c r="A1002" s="3" t="str">
        <f>IF(ISBLANK('Master Submitted DPDs'!$B325),"","Local Plans")</f>
        <v>Local Plans</v>
      </c>
      <c r="B1002" t="str">
        <f>IF(ISBLANK('Master Submitted DPDs'!F325),"",'Master Submitted DPDs'!F325)</f>
        <v>LP</v>
      </c>
      <c r="C1002" s="3" t="str">
        <f>IF(ISBLANK('Master Submitted DPDs'!$B325),"","IH")</f>
        <v>IH</v>
      </c>
      <c r="D1002" s="3" t="str">
        <f>LOOKUP($F1002,'fuzzy LPA lookup'!$E:$E,'fuzzy LPA lookup'!$A:$A)</f>
        <v>Z0835</v>
      </c>
      <c r="E1002" s="3" t="str">
        <f>LOOKUP($F1002,'fuzzy LPA lookup'!$E:$E,'fuzzy LPA lookup'!$D:$D)</f>
        <v>The Isles of Scilly Council</v>
      </c>
      <c r="F1002" s="8">
        <f>IF(ISBLANK('Master Submitted DPDs'!B325),"",'Master Submitted DPDs'!B325)</f>
        <v>1977</v>
      </c>
      <c r="G1002" t="str">
        <f>IF(ISBLANK('Master Submitted DPDs'!AS325),"","Withdrawn")</f>
        <v/>
      </c>
      <c r="H1002" s="2" t="str">
        <f>IF(ISBLANK('Master Submitted DPDs'!AS325),"",'Master Submitted DPDs'!AS325)</f>
        <v/>
      </c>
      <c r="I1002" s="3"/>
      <c r="J1002" s="3"/>
      <c r="K1002" s="3"/>
      <c r="L1002" s="2">
        <f>IF(ISBLANK('Master Submitted DPDs'!J325),"",'Master Submitted DPDs'!J325)</f>
        <v>44316</v>
      </c>
      <c r="M1002" s="2">
        <f t="shared" si="32"/>
        <v>44316</v>
      </c>
      <c r="N1002" s="2">
        <f>IF(ISBLANK('Master Submitted DPDs'!M325),IF(ISBLANK('Master Submitted DPDs'!O325),"",'Master Submitted DPDs'!O325),'Master Submitted DPDs'!M325)</f>
        <v>44322</v>
      </c>
      <c r="O1002" s="2">
        <f>IF(ISBLANK('Master Submitted DPDs'!Q325),"",'Master Submitted DPDs'!Q325)</f>
        <v>44995</v>
      </c>
      <c r="P1002" s="2">
        <f>IF(ISBLANK('Master Submitted DPDs'!AO325),"",'Master Submitted DPDs'!AO325)</f>
        <v>45299</v>
      </c>
      <c r="Q1002" t="str">
        <f>IF(ISBLANK('Master Submitted DPDs'!AU325),"",'Master Submitted DPDs'!AU325)</f>
        <v>SOU</v>
      </c>
      <c r="R1002" t="str">
        <f t="shared" si="33"/>
        <v>Closed</v>
      </c>
      <c r="S1002" s="3"/>
      <c r="T1002">
        <f>IF(ISBLANK('Master Submitted DPDs'!G325),"",'Master Submitted DPDs'!G325)</f>
        <v>3</v>
      </c>
    </row>
    <row r="1003" spans="1:20" ht="15" x14ac:dyDescent="0.2">
      <c r="A1003" s="3" t="str">
        <f>IF(ISBLANK('Master Submitted DPDs'!$B326),"","Local Plans")</f>
        <v>Local Plans</v>
      </c>
      <c r="B1003" t="str">
        <f>IF(ISBLANK('Master Submitted DPDs'!F326),"",'Master Submitted DPDs'!F326)</f>
        <v>LP</v>
      </c>
      <c r="C1003" s="3" t="str">
        <f>IF(ISBLANK('Master Submitted DPDs'!$B326),"","IH")</f>
        <v>IH</v>
      </c>
      <c r="D1003" s="3" t="str">
        <f>LOOKUP($F1003,'fuzzy LPA lookup'!$E:$E,'fuzzy LPA lookup'!$A:$A)</f>
        <v>V3500</v>
      </c>
      <c r="E1003" s="3" t="str">
        <f>LOOKUP($F1003,'fuzzy LPA lookup'!$E:$E,'fuzzy LPA lookup'!$D:$D)</f>
        <v>Suffolk County Council</v>
      </c>
      <c r="F1003" s="8">
        <f>IF(ISBLANK('Master Submitted DPDs'!B326),"",'Master Submitted DPDs'!B326)</f>
        <v>2070</v>
      </c>
      <c r="G1003" t="str">
        <f>IF(ISBLANK('Master Submitted DPDs'!AS326),"","Withdrawn")</f>
        <v/>
      </c>
      <c r="H1003" s="2" t="str">
        <f>IF(ISBLANK('Master Submitted DPDs'!AS326),"",'Master Submitted DPDs'!AS326)</f>
        <v/>
      </c>
      <c r="I1003" s="3"/>
      <c r="J1003" s="3"/>
      <c r="K1003" s="3"/>
      <c r="L1003" s="2">
        <f>IF(ISBLANK('Master Submitted DPDs'!J326),"",'Master Submitted DPDs'!J326)</f>
        <v>44320</v>
      </c>
      <c r="M1003" s="2">
        <f t="shared" si="32"/>
        <v>44320</v>
      </c>
      <c r="N1003" s="2">
        <f>IF(ISBLANK('Master Submitted DPDs'!M326),IF(ISBLANK('Master Submitted DPDs'!O326),"",'Master Submitted DPDs'!O326),'Master Submitted DPDs'!M326)</f>
        <v>44326</v>
      </c>
      <c r="O1003" s="2">
        <f>IF(ISBLANK('Master Submitted DPDs'!Q326),"",'Master Submitted DPDs'!Q326)</f>
        <v>44937</v>
      </c>
      <c r="P1003" s="2">
        <f>IF(ISBLANK('Master Submitted DPDs'!AO326),"",'Master Submitted DPDs'!AO326)</f>
        <v>45236</v>
      </c>
      <c r="Q1003" t="str">
        <f>IF(ISBLANK('Master Submitted DPDs'!AU326),"",'Master Submitted DPDs'!AU326)</f>
        <v>SOU</v>
      </c>
      <c r="R1003" t="str">
        <f t="shared" si="33"/>
        <v>Closed</v>
      </c>
      <c r="S1003" s="3"/>
      <c r="T1003">
        <f>IF(ISBLANK('Master Submitted DPDs'!G326),"",'Master Submitted DPDs'!G326)</f>
        <v>3</v>
      </c>
    </row>
    <row r="1004" spans="1:20" ht="15" x14ac:dyDescent="0.2">
      <c r="A1004" s="3" t="str">
        <f>IF(ISBLANK('Master Submitted DPDs'!$B327),"","Local Plans")</f>
        <v>Local Plans</v>
      </c>
      <c r="B1004" t="str">
        <f>IF(ISBLANK('Master Submitted DPDs'!F327),"",'Master Submitted DPDs'!F327)</f>
        <v>SA</v>
      </c>
      <c r="C1004" s="3" t="str">
        <f>IF(ISBLANK('Master Submitted DPDs'!$B327),"","IH")</f>
        <v>IH</v>
      </c>
      <c r="D1004" s="3" t="str">
        <f>LOOKUP($F1004,'fuzzy LPA lookup'!$E:$E,'fuzzy LPA lookup'!$A:$A)</f>
        <v>U3935</v>
      </c>
      <c r="E1004" s="3" t="str">
        <f>LOOKUP($F1004,'fuzzy LPA lookup'!$E:$E,'fuzzy LPA lookup'!$D:$D)</f>
        <v>Swindon Borough Council</v>
      </c>
      <c r="F1004" s="8">
        <f>IF(ISBLANK('Master Submitted DPDs'!B327),"",'Master Submitted DPDs'!B327)</f>
        <v>2245</v>
      </c>
      <c r="G1004" t="str">
        <f>IF(ISBLANK('Master Submitted DPDs'!AS327),"","Withdrawn")</f>
        <v/>
      </c>
      <c r="H1004" s="2" t="str">
        <f>IF(ISBLANK('Master Submitted DPDs'!AS327),"",'Master Submitted DPDs'!AS327)</f>
        <v/>
      </c>
      <c r="I1004" s="3"/>
      <c r="J1004" s="3"/>
      <c r="K1004" s="3"/>
      <c r="L1004" s="2">
        <f>IF(ISBLANK('Master Submitted DPDs'!J327),"",'Master Submitted DPDs'!J327)</f>
        <v>44329</v>
      </c>
      <c r="M1004" s="2">
        <f t="shared" si="32"/>
        <v>44329</v>
      </c>
      <c r="N1004" s="2">
        <f>IF(ISBLANK('Master Submitted DPDs'!M327),IF(ISBLANK('Master Submitted DPDs'!O327),"",'Master Submitted DPDs'!O327),'Master Submitted DPDs'!M327)</f>
        <v>44363</v>
      </c>
      <c r="O1004" s="2">
        <f>IF(ISBLANK('Master Submitted DPDs'!Q327),"",'Master Submitted DPDs'!Q327)</f>
        <v>44516</v>
      </c>
      <c r="P1004" s="2">
        <f>IF(ISBLANK('Master Submitted DPDs'!AO327),"",'Master Submitted DPDs'!AO327)</f>
        <v>44761</v>
      </c>
      <c r="Q1004" t="str">
        <f>IF(ISBLANK('Master Submitted DPDs'!AU327),"",'Master Submitted DPDs'!AU327)</f>
        <v>SOU</v>
      </c>
      <c r="R1004" t="str">
        <f t="shared" si="33"/>
        <v>Closed</v>
      </c>
      <c r="S1004" s="3"/>
      <c r="T1004">
        <f>IF(ISBLANK('Master Submitted DPDs'!G327),"",'Master Submitted DPDs'!G327)</f>
        <v>2</v>
      </c>
    </row>
    <row r="1005" spans="1:20" ht="15" x14ac:dyDescent="0.2">
      <c r="A1005" s="3" t="str">
        <f>IF(ISBLANK('Master Submitted DPDs'!$B328),"","Local Plans")</f>
        <v>Local Plans</v>
      </c>
      <c r="B1005" t="str">
        <f>IF(ISBLANK('Master Submitted DPDs'!F328),"",'Master Submitted DPDs'!F328)</f>
        <v>LP</v>
      </c>
      <c r="C1005" s="3" t="str">
        <f>IF(ISBLANK('Master Submitted DPDs'!$B328),"","IH")</f>
        <v>IH</v>
      </c>
      <c r="D1005" s="3" t="str">
        <f>LOOKUP($F1005,'fuzzy LPA lookup'!$E:$E,'fuzzy LPA lookup'!$A:$A)</f>
        <v>Z0835</v>
      </c>
      <c r="E1005" s="3" t="str">
        <f>LOOKUP($F1005,'fuzzy LPA lookup'!$E:$E,'fuzzy LPA lookup'!$D:$D)</f>
        <v>The Isles of Scilly Council</v>
      </c>
      <c r="F1005" s="8">
        <f>IF(ISBLANK('Master Submitted DPDs'!B328),"",'Master Submitted DPDs'!B328)</f>
        <v>1984</v>
      </c>
      <c r="G1005" t="str">
        <f>IF(ISBLANK('Master Submitted DPDs'!AS328),"","Withdrawn")</f>
        <v>Withdrawn</v>
      </c>
      <c r="H1005" s="2">
        <f>IF(ISBLANK('Master Submitted DPDs'!AS328),"",'Master Submitted DPDs'!AS328)</f>
        <v>45574</v>
      </c>
      <c r="I1005" s="3"/>
      <c r="J1005" s="3"/>
      <c r="K1005" s="3"/>
      <c r="L1005" s="2">
        <f>IF(ISBLANK('Master Submitted DPDs'!J328),"",'Master Submitted DPDs'!J328)</f>
        <v>44329</v>
      </c>
      <c r="M1005" s="2">
        <f t="shared" si="32"/>
        <v>44329</v>
      </c>
      <c r="N1005" s="2">
        <f>IF(ISBLANK('Master Submitted DPDs'!M328),IF(ISBLANK('Master Submitted DPDs'!O328),"",'Master Submitted DPDs'!O328),'Master Submitted DPDs'!M328)</f>
        <v>44342</v>
      </c>
      <c r="O1005" s="2" t="str">
        <f>IF(ISBLANK('Master Submitted DPDs'!Q328),"",'Master Submitted DPDs'!Q328)</f>
        <v/>
      </c>
      <c r="P1005" s="2" t="str">
        <f>IF(ISBLANK('Master Submitted DPDs'!AO328),"",'Master Submitted DPDs'!AO328)</f>
        <v/>
      </c>
      <c r="Q1005" t="str">
        <f>IF(ISBLANK('Master Submitted DPDs'!AU328),"",'Master Submitted DPDs'!AU328)</f>
        <v>DPDW</v>
      </c>
      <c r="R1005" t="str">
        <f t="shared" si="33"/>
        <v>Closed</v>
      </c>
      <c r="S1005" s="3"/>
      <c r="T1005">
        <f>IF(ISBLANK('Master Submitted DPDs'!G328),"",'Master Submitted DPDs'!G328)</f>
        <v>3</v>
      </c>
    </row>
    <row r="1006" spans="1:20" ht="15" x14ac:dyDescent="0.2">
      <c r="A1006" s="3" t="str">
        <f>IF(ISBLANK('Master Submitted DPDs'!$B329),"","Local Plans")</f>
        <v>Local Plans</v>
      </c>
      <c r="B1006" t="str">
        <f>IF(ISBLANK('Master Submitted DPDs'!F329),"",'Master Submitted DPDs'!F329)</f>
        <v>LP</v>
      </c>
      <c r="C1006" s="3" t="str">
        <f>IF(ISBLANK('Master Submitted DPDs'!$B329),"","IH")</f>
        <v>IH</v>
      </c>
      <c r="D1006" s="3" t="str">
        <f>LOOKUP($F1006,'fuzzy LPA lookup'!$E:$E,'fuzzy LPA lookup'!$A:$A)</f>
        <v>U3935</v>
      </c>
      <c r="E1006" s="3" t="str">
        <f>LOOKUP($F1006,'fuzzy LPA lookup'!$E:$E,'fuzzy LPA lookup'!$D:$D)</f>
        <v>Swindon Borough Council</v>
      </c>
      <c r="F1006" s="8">
        <f>IF(ISBLANK('Master Submitted DPDs'!B329),"",'Master Submitted DPDs'!B329)</f>
        <v>2252</v>
      </c>
      <c r="G1006" t="str">
        <f>IF(ISBLANK('Master Submitted DPDs'!AS329),"","Withdrawn")</f>
        <v/>
      </c>
      <c r="H1006" s="2" t="str">
        <f>IF(ISBLANK('Master Submitted DPDs'!AS329),"",'Master Submitted DPDs'!AS329)</f>
        <v/>
      </c>
      <c r="I1006" s="3"/>
      <c r="J1006" s="3"/>
      <c r="K1006" s="3"/>
      <c r="L1006" s="2">
        <f>IF(ISBLANK('Master Submitted DPDs'!J329),"",'Master Submitted DPDs'!J329)</f>
        <v>44358</v>
      </c>
      <c r="M1006" s="2">
        <f t="shared" si="32"/>
        <v>44358</v>
      </c>
      <c r="N1006" s="2">
        <f>IF(ISBLANK('Master Submitted DPDs'!M329),IF(ISBLANK('Master Submitted DPDs'!O329),"",'Master Submitted DPDs'!O329),'Master Submitted DPDs'!M329)</f>
        <v>44379</v>
      </c>
      <c r="O1006" s="2">
        <f>IF(ISBLANK('Master Submitted DPDs'!Q329),"",'Master Submitted DPDs'!Q329)</f>
        <v>44517</v>
      </c>
      <c r="P1006" s="2">
        <f>IF(ISBLANK('Master Submitted DPDs'!AO329),"",'Master Submitted DPDs'!AO329)</f>
        <v>44848</v>
      </c>
      <c r="Q1006" t="str">
        <f>IF(ISBLANK('Master Submitted DPDs'!AU329),"",'Master Submitted DPDs'!AU329)</f>
        <v>SOU</v>
      </c>
      <c r="R1006" t="str">
        <f t="shared" si="33"/>
        <v>Closed</v>
      </c>
      <c r="S1006" s="3"/>
      <c r="T1006">
        <f>IF(ISBLANK('Master Submitted DPDs'!G329),"",'Master Submitted DPDs'!G329)</f>
        <v>3</v>
      </c>
    </row>
    <row r="1007" spans="1:20" ht="15" x14ac:dyDescent="0.2">
      <c r="A1007" s="3" t="str">
        <f>IF(ISBLANK('Master Submitted DPDs'!$B330),"","Local Plans")</f>
        <v>Local Plans</v>
      </c>
      <c r="B1007" t="str">
        <f>IF(ISBLANK('Master Submitted DPDs'!F330),"",'Master Submitted DPDs'!F330)</f>
        <v>SA</v>
      </c>
      <c r="C1007" s="3" t="str">
        <f>IF(ISBLANK('Master Submitted DPDs'!$B330),"","IH")</f>
        <v>IH</v>
      </c>
      <c r="D1007" s="3" t="str">
        <f>LOOKUP($F1007,'fuzzy LPA lookup'!$E:$E,'fuzzy LPA lookup'!$A:$A)</f>
        <v>E1855</v>
      </c>
      <c r="E1007" s="3" t="str">
        <f>LOOKUP($F1007,'fuzzy LPA lookup'!$E:$E,'fuzzy LPA lookup'!$D:$D)</f>
        <v>Worcestershire County Council</v>
      </c>
      <c r="F1007" s="8">
        <f>IF(ISBLANK('Master Submitted DPDs'!B330),"",'Master Submitted DPDs'!B330)</f>
        <v>2202</v>
      </c>
      <c r="G1007" t="str">
        <f>IF(ISBLANK('Master Submitted DPDs'!AS330),"","Withdrawn")</f>
        <v/>
      </c>
      <c r="H1007" s="2" t="str">
        <f>IF(ISBLANK('Master Submitted DPDs'!AS330),"",'Master Submitted DPDs'!AS330)</f>
        <v/>
      </c>
      <c r="I1007" s="3"/>
      <c r="J1007" s="3"/>
      <c r="K1007" s="3"/>
      <c r="L1007" s="2">
        <f>IF(ISBLANK('Master Submitted DPDs'!J330),"",'Master Submitted DPDs'!J330)</f>
        <v>44365</v>
      </c>
      <c r="M1007" s="2">
        <f t="shared" si="32"/>
        <v>44365</v>
      </c>
      <c r="N1007" s="2">
        <f>IF(ISBLANK('Master Submitted DPDs'!M330),IF(ISBLANK('Master Submitted DPDs'!O330),"",'Master Submitted DPDs'!O330),'Master Submitted DPDs'!M330)</f>
        <v>44375</v>
      </c>
      <c r="O1007" s="2">
        <f>IF(ISBLANK('Master Submitted DPDs'!Q330),"",'Master Submitted DPDs'!Q330)</f>
        <v>44540</v>
      </c>
      <c r="P1007" s="2">
        <f>IF(ISBLANK('Master Submitted DPDs'!AO330),"",'Master Submitted DPDs'!AO330)</f>
        <v>44869</v>
      </c>
      <c r="Q1007" t="str">
        <f>IF(ISBLANK('Master Submitted DPDs'!AU330),"",'Master Submitted DPDs'!AU330)</f>
        <v>SOU</v>
      </c>
      <c r="R1007" t="str">
        <f t="shared" si="33"/>
        <v>Closed</v>
      </c>
      <c r="S1007" s="3"/>
      <c r="T1007">
        <f>IF(ISBLANK('Master Submitted DPDs'!G330),"",'Master Submitted DPDs'!G330)</f>
        <v>2</v>
      </c>
    </row>
    <row r="1008" spans="1:20" ht="15" x14ac:dyDescent="0.2">
      <c r="A1008" s="3" t="str">
        <f>IF(ISBLANK('Master Submitted DPDs'!$B331),"","Local Plans")</f>
        <v>Local Plans</v>
      </c>
      <c r="B1008" t="str">
        <f>IF(ISBLANK('Master Submitted DPDs'!F331),"",'Master Submitted DPDs'!F331)</f>
        <v>DM</v>
      </c>
      <c r="C1008" s="3" t="str">
        <f>IF(ISBLANK('Master Submitted DPDs'!$B331),"","IH")</f>
        <v>IH</v>
      </c>
      <c r="D1008" s="3" t="str">
        <f>LOOKUP($F1008,'fuzzy LPA lookup'!$E:$E,'fuzzy LPA lookup'!$A:$A)</f>
        <v>V3500</v>
      </c>
      <c r="E1008" s="3" t="str">
        <f>LOOKUP($F1008,'fuzzy LPA lookup'!$E:$E,'fuzzy LPA lookup'!$D:$D)</f>
        <v>Suffolk County Council</v>
      </c>
      <c r="F1008" s="8">
        <f>IF(ISBLANK('Master Submitted DPDs'!B331),"",'Master Submitted DPDs'!B331)</f>
        <v>2069</v>
      </c>
      <c r="G1008" t="str">
        <f>IF(ISBLANK('Master Submitted DPDs'!AS331),"","Withdrawn")</f>
        <v/>
      </c>
      <c r="H1008" s="2" t="str">
        <f>IF(ISBLANK('Master Submitted DPDs'!AS331),"",'Master Submitted DPDs'!AS331)</f>
        <v/>
      </c>
      <c r="I1008" s="3"/>
      <c r="J1008" s="3"/>
      <c r="K1008" s="3"/>
      <c r="L1008" s="2">
        <f>IF(ISBLANK('Master Submitted DPDs'!J331),"",'Master Submitted DPDs'!J331)</f>
        <v>44377</v>
      </c>
      <c r="M1008" s="2">
        <f t="shared" si="32"/>
        <v>44377</v>
      </c>
      <c r="N1008" s="2">
        <f>IF(ISBLANK('Master Submitted DPDs'!M331),IF(ISBLANK('Master Submitted DPDs'!O331),"",'Master Submitted DPDs'!O331),'Master Submitted DPDs'!M331)</f>
        <v>44396</v>
      </c>
      <c r="O1008" s="2">
        <f>IF(ISBLANK('Master Submitted DPDs'!Q331),"",'Master Submitted DPDs'!Q331)</f>
        <v>44546</v>
      </c>
      <c r="P1008" s="2">
        <f>IF(ISBLANK('Master Submitted DPDs'!AO331),"",'Master Submitted DPDs'!AO331)</f>
        <v>44868</v>
      </c>
      <c r="Q1008" t="str">
        <f>IF(ISBLANK('Master Submitted DPDs'!AU331),"",'Master Submitted DPDs'!AU331)</f>
        <v>SOU</v>
      </c>
      <c r="R1008" t="str">
        <f t="shared" si="33"/>
        <v>Closed</v>
      </c>
      <c r="S1008" s="3"/>
      <c r="T1008">
        <f>IF(ISBLANK('Master Submitted DPDs'!G331),"",'Master Submitted DPDs'!G331)</f>
        <v>2</v>
      </c>
    </row>
    <row r="1009" spans="1:20" ht="15" x14ac:dyDescent="0.2">
      <c r="A1009" s="3" t="str">
        <f>IF(ISBLANK('Master Submitted DPDs'!$B332),"","Local Plans")</f>
        <v>Local Plans</v>
      </c>
      <c r="B1009" t="str">
        <f>IF(ISBLANK('Master Submitted DPDs'!F332),"",'Master Submitted DPDs'!F332)</f>
        <v>M&amp;W</v>
      </c>
      <c r="C1009" s="3" t="str">
        <f>IF(ISBLANK('Master Submitted DPDs'!$B332),"","IH")</f>
        <v>IH</v>
      </c>
      <c r="D1009" s="3" t="str">
        <f>LOOKUP($F1009,'fuzzy LPA lookup'!$E:$E,'fuzzy LPA lookup'!$A:$A)</f>
        <v>U1620</v>
      </c>
      <c r="E1009" s="3" t="str">
        <f>LOOKUP($F1009,'fuzzy LPA lookup'!$E:$E,'fuzzy LPA lookup'!$D:$D)</f>
        <v>Gloucester City Council</v>
      </c>
      <c r="F1009" s="8">
        <f>IF(ISBLANK('Master Submitted DPDs'!B332),"",'Master Submitted DPDs'!B332)</f>
        <v>2214</v>
      </c>
      <c r="G1009" t="str">
        <f>IF(ISBLANK('Master Submitted DPDs'!AS332),"","Withdrawn")</f>
        <v/>
      </c>
      <c r="H1009" s="2" t="str">
        <f>IF(ISBLANK('Master Submitted DPDs'!AS332),"",'Master Submitted DPDs'!AS332)</f>
        <v/>
      </c>
      <c r="I1009" s="3"/>
      <c r="J1009" s="3"/>
      <c r="K1009" s="3"/>
      <c r="L1009" s="2">
        <f>IF(ISBLANK('Master Submitted DPDs'!J332),"",'Master Submitted DPDs'!J332)</f>
        <v>44406</v>
      </c>
      <c r="M1009" s="2">
        <f t="shared" si="32"/>
        <v>44406</v>
      </c>
      <c r="N1009" s="2">
        <f>IF(ISBLANK('Master Submitted DPDs'!M332),IF(ISBLANK('Master Submitted DPDs'!O332),"",'Master Submitted DPDs'!O332),'Master Submitted DPDs'!M332)</f>
        <v>44432</v>
      </c>
      <c r="O1009" s="2">
        <f>IF(ISBLANK('Master Submitted DPDs'!Q332),"",'Master Submitted DPDs'!Q332)</f>
        <v>44595</v>
      </c>
      <c r="P1009" s="2">
        <f>IF(ISBLANK('Master Submitted DPDs'!AO332),"",'Master Submitted DPDs'!AO332)</f>
        <v>44846</v>
      </c>
      <c r="Q1009" t="str">
        <f>IF(ISBLANK('Master Submitted DPDs'!AU332),"",'Master Submitted DPDs'!AU332)</f>
        <v>SOU</v>
      </c>
      <c r="R1009" t="str">
        <f t="shared" si="33"/>
        <v>Closed</v>
      </c>
      <c r="S1009" s="3"/>
      <c r="T1009">
        <f>IF(ISBLANK('Master Submitted DPDs'!G332),"",'Master Submitted DPDs'!G332)</f>
        <v>2</v>
      </c>
    </row>
    <row r="1010" spans="1:20" ht="15" x14ac:dyDescent="0.2">
      <c r="A1010" s="3" t="str">
        <f>IF(ISBLANK('Master Submitted DPDs'!$B333),"","Local Plans")</f>
        <v>Local Plans</v>
      </c>
      <c r="B1010" t="str">
        <f>IF(ISBLANK('Master Submitted DPDs'!F333),"",'Master Submitted DPDs'!F333)</f>
        <v>LP</v>
      </c>
      <c r="C1010" s="3" t="str">
        <f>IF(ISBLANK('Master Submitted DPDs'!$B333),"","IH")</f>
        <v>IH</v>
      </c>
      <c r="D1010" s="3" t="str">
        <f>LOOKUP($F1010,'fuzzy LPA lookup'!$E:$E,'fuzzy LPA lookup'!$A:$A)</f>
        <v>U3935</v>
      </c>
      <c r="E1010" s="3" t="str">
        <f>LOOKUP($F1010,'fuzzy LPA lookup'!$E:$E,'fuzzy LPA lookup'!$D:$D)</f>
        <v>Swindon Borough Council</v>
      </c>
      <c r="F1010" s="8">
        <f>IF(ISBLANK('Master Submitted DPDs'!B333),"",'Master Submitted DPDs'!B333)</f>
        <v>2254</v>
      </c>
      <c r="G1010" t="str">
        <f>IF(ISBLANK('Master Submitted DPDs'!AS333),"","Withdrawn")</f>
        <v/>
      </c>
      <c r="H1010" s="2" t="str">
        <f>IF(ISBLANK('Master Submitted DPDs'!AS333),"",'Master Submitted DPDs'!AS333)</f>
        <v/>
      </c>
      <c r="I1010" s="3"/>
      <c r="J1010" s="3"/>
      <c r="K1010" s="3"/>
      <c r="L1010" s="2">
        <f>IF(ISBLANK('Master Submitted DPDs'!J333),"",'Master Submitted DPDs'!J333)</f>
        <v>44407</v>
      </c>
      <c r="M1010" s="2">
        <f t="shared" si="32"/>
        <v>44407</v>
      </c>
      <c r="N1010" s="2">
        <f>IF(ISBLANK('Master Submitted DPDs'!M333),IF(ISBLANK('Master Submitted DPDs'!O333),"",'Master Submitted DPDs'!O333),'Master Submitted DPDs'!M333)</f>
        <v>44427</v>
      </c>
      <c r="O1010" s="2">
        <f>IF(ISBLANK('Master Submitted DPDs'!Q333),"",'Master Submitted DPDs'!Q333)</f>
        <v>45132</v>
      </c>
      <c r="P1010" s="2">
        <f>IF(ISBLANK('Master Submitted DPDs'!AO333),"",'Master Submitted DPDs'!AO333)</f>
        <v>45341</v>
      </c>
      <c r="Q1010" t="str">
        <f>IF(ISBLANK('Master Submitted DPDs'!AU333),"",'Master Submitted DPDs'!AU333)</f>
        <v>SOU</v>
      </c>
      <c r="R1010" t="str">
        <f t="shared" si="33"/>
        <v>Closed</v>
      </c>
      <c r="S1010" s="3"/>
      <c r="T1010">
        <f>IF(ISBLANK('Master Submitted DPDs'!G333),"",'Master Submitted DPDs'!G333)</f>
        <v>3</v>
      </c>
    </row>
    <row r="1011" spans="1:20" ht="15" x14ac:dyDescent="0.2">
      <c r="A1011" s="3" t="str">
        <f>IF(ISBLANK('Master Submitted DPDs'!$B334),"","Local Plans")</f>
        <v>Local Plans</v>
      </c>
      <c r="B1011" t="str">
        <f>IF(ISBLANK('Master Submitted DPDs'!F334),"",'Master Submitted DPDs'!F334)</f>
        <v>LP</v>
      </c>
      <c r="C1011" s="3" t="str">
        <f>IF(ISBLANK('Master Submitted DPDs'!$B334),"","IH")</f>
        <v>IH</v>
      </c>
      <c r="D1011" s="3" t="str">
        <f>LOOKUP($F1011,'fuzzy LPA lookup'!$E:$E,'fuzzy LPA lookup'!$A:$A)</f>
        <v>U3935</v>
      </c>
      <c r="E1011" s="3" t="str">
        <f>LOOKUP($F1011,'fuzzy LPA lookup'!$E:$E,'fuzzy LPA lookup'!$D:$D)</f>
        <v>Swindon Borough Council</v>
      </c>
      <c r="F1011" s="8">
        <f>IF(ISBLANK('Master Submitted DPDs'!B334),"",'Master Submitted DPDs'!B334)</f>
        <v>2251</v>
      </c>
      <c r="G1011" t="str">
        <f>IF(ISBLANK('Master Submitted DPDs'!AS334),"","Withdrawn")</f>
        <v/>
      </c>
      <c r="H1011" s="2" t="str">
        <f>IF(ISBLANK('Master Submitted DPDs'!AS334),"",'Master Submitted DPDs'!AS334)</f>
        <v/>
      </c>
      <c r="I1011" s="3"/>
      <c r="J1011" s="3"/>
      <c r="K1011" s="3"/>
      <c r="L1011" s="2">
        <f>IF(ISBLANK('Master Submitted DPDs'!J334),"",'Master Submitted DPDs'!J334)</f>
        <v>44414</v>
      </c>
      <c r="M1011" s="2">
        <f t="shared" si="32"/>
        <v>44414</v>
      </c>
      <c r="N1011" s="2">
        <f>IF(ISBLANK('Master Submitted DPDs'!M334),IF(ISBLANK('Master Submitted DPDs'!O334),"",'Master Submitted DPDs'!O334),'Master Submitted DPDs'!M334)</f>
        <v>44431</v>
      </c>
      <c r="O1011" s="2">
        <f>IF(ISBLANK('Master Submitted DPDs'!Q334),"",'Master Submitted DPDs'!Q334)</f>
        <v>44601</v>
      </c>
      <c r="P1011" s="2">
        <f>IF(ISBLANK('Master Submitted DPDs'!AO334),"",'Master Submitted DPDs'!AO334)</f>
        <v>44824</v>
      </c>
      <c r="Q1011" t="str">
        <f>IF(ISBLANK('Master Submitted DPDs'!AU334),"",'Master Submitted DPDs'!AU334)</f>
        <v>SOU</v>
      </c>
      <c r="R1011" t="str">
        <f t="shared" si="33"/>
        <v>Closed</v>
      </c>
      <c r="S1011" s="3"/>
      <c r="T1011">
        <f>IF(ISBLANK('Master Submitted DPDs'!G334),"",'Master Submitted DPDs'!G334)</f>
        <v>3</v>
      </c>
    </row>
    <row r="1012" spans="1:20" ht="15" x14ac:dyDescent="0.2">
      <c r="A1012" s="3" t="str">
        <f>IF(ISBLANK('Master Submitted DPDs'!$B335),"","Local Plans")</f>
        <v>Local Plans</v>
      </c>
      <c r="B1012" t="str">
        <f>IF(ISBLANK('Master Submitted DPDs'!F335),"",'Master Submitted DPDs'!F335)</f>
        <v>LP</v>
      </c>
      <c r="C1012" s="3" t="str">
        <f>IF(ISBLANK('Master Submitted DPDs'!$B335),"","IH")</f>
        <v>IH</v>
      </c>
      <c r="D1012" s="3" t="str">
        <f>LOOKUP($F1012,'fuzzy LPA lookup'!$E:$E,'fuzzy LPA lookup'!$A:$A)</f>
        <v>U1105</v>
      </c>
      <c r="E1012" s="3" t="str">
        <f>LOOKUP($F1012,'fuzzy LPA lookup'!$E:$E,'fuzzy LPA lookup'!$D:$D)</f>
        <v>East Devon District Council</v>
      </c>
      <c r="F1012" s="8">
        <f>IF(ISBLANK('Master Submitted DPDs'!B335),"",'Master Submitted DPDs'!B335)</f>
        <v>2011</v>
      </c>
      <c r="G1012" t="str">
        <f>IF(ISBLANK('Master Submitted DPDs'!AS335),"","Withdrawn")</f>
        <v>Withdrawn</v>
      </c>
      <c r="H1012" s="2">
        <f>IF(ISBLANK('Master Submitted DPDs'!AS335),"",'Master Submitted DPDs'!AS335)</f>
        <v>45863</v>
      </c>
      <c r="I1012" s="3"/>
      <c r="J1012" s="3"/>
      <c r="K1012" s="3"/>
      <c r="L1012" s="2">
        <f>IF(ISBLANK('Master Submitted DPDs'!J335),"",'Master Submitted DPDs'!J335)</f>
        <v>44442</v>
      </c>
      <c r="M1012" s="2">
        <f t="shared" si="32"/>
        <v>44442</v>
      </c>
      <c r="N1012" s="2">
        <f>IF(ISBLANK('Master Submitted DPDs'!M335),IF(ISBLANK('Master Submitted DPDs'!O335),"",'Master Submitted DPDs'!O335),'Master Submitted DPDs'!M335)</f>
        <v>44459</v>
      </c>
      <c r="O1012" s="2" t="str">
        <f>IF(ISBLANK('Master Submitted DPDs'!Q335),"",'Master Submitted DPDs'!Q335)</f>
        <v/>
      </c>
      <c r="P1012" s="2" t="str">
        <f>IF(ISBLANK('Master Submitted DPDs'!AO335),"",'Master Submitted DPDs'!AO335)</f>
        <v/>
      </c>
      <c r="Q1012" t="str">
        <f>IF(ISBLANK('Master Submitted DPDs'!AU335),"",'Master Submitted DPDs'!AU335)</f>
        <v>DPDW</v>
      </c>
      <c r="R1012" t="str">
        <f t="shared" si="33"/>
        <v>Closed</v>
      </c>
      <c r="S1012" s="3"/>
      <c r="T1012">
        <f>IF(ISBLANK('Master Submitted DPDs'!G335),"",'Master Submitted DPDs'!G335)</f>
        <v>3</v>
      </c>
    </row>
    <row r="1013" spans="1:20" ht="15" x14ac:dyDescent="0.2">
      <c r="A1013" s="3" t="str">
        <f>IF(ISBLANK('Master Submitted DPDs'!$B338),"","Local Plans")</f>
        <v>Local Plans</v>
      </c>
      <c r="B1013" t="str">
        <f>IF(ISBLANK('Master Submitted DPDs'!F338),"",'Master Submitted DPDs'!F338)</f>
        <v>LP</v>
      </c>
      <c r="C1013" s="3" t="str">
        <f>IF(ISBLANK('Master Submitted DPDs'!$B338),"","IH")</f>
        <v>IH</v>
      </c>
      <c r="D1013" s="3" t="str">
        <f>LOOKUP($F1013,'fuzzy LPA lookup'!$E:$E,'fuzzy LPA lookup'!$A:$A)</f>
        <v>H4505</v>
      </c>
      <c r="E1013" s="3" t="str">
        <f>LOOKUP($F1013,'fuzzy LPA lookup'!$E:$E,'fuzzy LPA lookup'!$D:$D)</f>
        <v>Gateshead Metropolitan Borough Council</v>
      </c>
      <c r="F1013" s="8">
        <f>IF(ISBLANK('Master Submitted DPDs'!B338),"",'Master Submitted DPDs'!B338)</f>
        <v>1964</v>
      </c>
      <c r="G1013" t="str">
        <f>IF(ISBLANK('Master Submitted DPDs'!AS338),"","Withdrawn")</f>
        <v/>
      </c>
      <c r="H1013" s="2" t="str">
        <f>IF(ISBLANK('Master Submitted DPDs'!AS338),"",'Master Submitted DPDs'!AS338)</f>
        <v/>
      </c>
      <c r="I1013" s="3"/>
      <c r="J1013" s="3"/>
      <c r="K1013" s="3"/>
      <c r="L1013" s="2">
        <f>IF(ISBLANK('Master Submitted DPDs'!J338),"",'Master Submitted DPDs'!J338)</f>
        <v>44501</v>
      </c>
      <c r="M1013" s="2">
        <f t="shared" si="32"/>
        <v>44501</v>
      </c>
      <c r="N1013" s="2">
        <f>IF(ISBLANK('Master Submitted DPDs'!M338),IF(ISBLANK('Master Submitted DPDs'!O338),"",'Master Submitted DPDs'!O338),'Master Submitted DPDs'!M338)</f>
        <v>44518</v>
      </c>
      <c r="O1013" s="2">
        <f>IF(ISBLANK('Master Submitted DPDs'!Q338),"",'Master Submitted DPDs'!Q338)</f>
        <v>45610</v>
      </c>
      <c r="P1013" s="2">
        <f>IF(ISBLANK('Master Submitted DPDs'!AO338),"",'Master Submitted DPDs'!AO338)</f>
        <v>45944</v>
      </c>
      <c r="Q1013" t="str">
        <f>IF(ISBLANK('Master Submitted DPDs'!AU338),"",'Master Submitted DPDs'!AU338)</f>
        <v>SOU</v>
      </c>
      <c r="R1013" t="str">
        <f t="shared" si="33"/>
        <v>Closed</v>
      </c>
      <c r="S1013" s="3"/>
      <c r="T1013">
        <f>IF(ISBLANK('Master Submitted DPDs'!G338),"",'Master Submitted DPDs'!G338)</f>
        <v>3</v>
      </c>
    </row>
    <row r="1014" spans="1:20" ht="15" x14ac:dyDescent="0.2">
      <c r="A1014" s="3" t="str">
        <f>IF(ISBLANK('Master Submitted DPDs'!$B339),"","Local Plans")</f>
        <v>Local Plans</v>
      </c>
      <c r="B1014" t="str">
        <f>IF(ISBLANK('Master Submitted DPDs'!F339),"",'Master Submitted DPDs'!F339)</f>
        <v>Other</v>
      </c>
      <c r="C1014" s="3" t="str">
        <f>IF(ISBLANK('Master Submitted DPDs'!$B339),"","IH")</f>
        <v>IH</v>
      </c>
      <c r="D1014" s="3" t="str">
        <f>LOOKUP($F1014,'fuzzy LPA lookup'!$E:$E,'fuzzy LPA lookup'!$A:$A)</f>
        <v>U3935</v>
      </c>
      <c r="E1014" s="3" t="str">
        <f>LOOKUP($F1014,'fuzzy LPA lookup'!$E:$E,'fuzzy LPA lookup'!$D:$D)</f>
        <v>Swindon Borough Council</v>
      </c>
      <c r="F1014" s="8">
        <f>IF(ISBLANK('Master Submitted DPDs'!B339),"",'Master Submitted DPDs'!B339)</f>
        <v>2255</v>
      </c>
      <c r="G1014" t="str">
        <f>IF(ISBLANK('Master Submitted DPDs'!AS339),"","Withdrawn")</f>
        <v/>
      </c>
      <c r="H1014" s="2" t="str">
        <f>IF(ISBLANK('Master Submitted DPDs'!AS339),"",'Master Submitted DPDs'!AS339)</f>
        <v/>
      </c>
      <c r="I1014" s="3"/>
      <c r="J1014" s="3"/>
      <c r="K1014" s="3"/>
      <c r="L1014" s="2">
        <f>IF(ISBLANK('Master Submitted DPDs'!J339),"",'Master Submitted DPDs'!J339)</f>
        <v>44508</v>
      </c>
      <c r="M1014" s="2">
        <f t="shared" si="32"/>
        <v>44508</v>
      </c>
      <c r="N1014" s="2">
        <f>IF(ISBLANK('Master Submitted DPDs'!M339),IF(ISBLANK('Master Submitted DPDs'!O339),"",'Master Submitted DPDs'!O339),'Master Submitted DPDs'!M339)</f>
        <v>44537</v>
      </c>
      <c r="O1014" s="2">
        <f>IF(ISBLANK('Master Submitted DPDs'!Q339),"",'Master Submitted DPDs'!Q339)</f>
        <v>44736</v>
      </c>
      <c r="P1014" s="2">
        <f>IF(ISBLANK('Master Submitted DPDs'!AO339),"",'Master Submitted DPDs'!AO339)</f>
        <v>44936</v>
      </c>
      <c r="Q1014" t="str">
        <f>IF(ISBLANK('Master Submitted DPDs'!AU339),"",'Master Submitted DPDs'!AU339)</f>
        <v>SOU</v>
      </c>
      <c r="R1014" t="str">
        <f t="shared" si="33"/>
        <v>Closed</v>
      </c>
      <c r="S1014" s="3"/>
      <c r="T1014">
        <f>IF(ISBLANK('Master Submitted DPDs'!G339),"",'Master Submitted DPDs'!G339)</f>
        <v>3</v>
      </c>
    </row>
    <row r="1015" spans="1:20" ht="15" x14ac:dyDescent="0.2">
      <c r="A1015" s="3" t="str">
        <f>IF(ISBLANK('Master Submitted DPDs'!$B340),"","Local Plans")</f>
        <v>Local Plans</v>
      </c>
      <c r="B1015" t="str">
        <f>IF(ISBLANK('Master Submitted DPDs'!F340),"",'Master Submitted DPDs'!F340)</f>
        <v>AAP</v>
      </c>
      <c r="C1015" s="3" t="str">
        <f>IF(ISBLANK('Master Submitted DPDs'!$B340),"","IH")</f>
        <v>IH</v>
      </c>
      <c r="D1015" s="3" t="str">
        <f>LOOKUP($F1015,'fuzzy LPA lookup'!$E:$E,'fuzzy LPA lookup'!$A:$A)</f>
        <v>U3935</v>
      </c>
      <c r="E1015" s="3" t="str">
        <f>LOOKUP($F1015,'fuzzy LPA lookup'!$E:$E,'fuzzy LPA lookup'!$D:$D)</f>
        <v>Swindon Borough Council</v>
      </c>
      <c r="F1015" s="8">
        <f>IF(ISBLANK('Master Submitted DPDs'!B340),"",'Master Submitted DPDs'!B340)</f>
        <v>2253</v>
      </c>
      <c r="G1015" t="str">
        <f>IF(ISBLANK('Master Submitted DPDs'!AS340),"","Withdrawn")</f>
        <v/>
      </c>
      <c r="H1015" s="2" t="str">
        <f>IF(ISBLANK('Master Submitted DPDs'!AS340),"",'Master Submitted DPDs'!AS340)</f>
        <v/>
      </c>
      <c r="I1015" s="3"/>
      <c r="J1015" s="3"/>
      <c r="K1015" s="3"/>
      <c r="L1015" s="2">
        <f>IF(ISBLANK('Master Submitted DPDs'!J340),"",'Master Submitted DPDs'!J340)</f>
        <v>44526</v>
      </c>
      <c r="M1015" s="2">
        <f t="shared" si="32"/>
        <v>44526</v>
      </c>
      <c r="N1015" s="2">
        <f>IF(ISBLANK('Master Submitted DPDs'!M340),IF(ISBLANK('Master Submitted DPDs'!O340),"",'Master Submitted DPDs'!O340),'Master Submitted DPDs'!M340)</f>
        <v>44543</v>
      </c>
      <c r="O1015" s="2">
        <f>IF(ISBLANK('Master Submitted DPDs'!Q340),"",'Master Submitted DPDs'!Q340)</f>
        <v>44659</v>
      </c>
      <c r="P1015" s="2">
        <f>IF(ISBLANK('Master Submitted DPDs'!AO340),"",'Master Submitted DPDs'!AO340)</f>
        <v>44901</v>
      </c>
      <c r="Q1015" t="str">
        <f>IF(ISBLANK('Master Submitted DPDs'!AU340),"",'Master Submitted DPDs'!AU340)</f>
        <v>SOU</v>
      </c>
      <c r="R1015" t="str">
        <f t="shared" si="33"/>
        <v>Closed</v>
      </c>
      <c r="S1015" s="3"/>
      <c r="T1015">
        <f>IF(ISBLANK('Master Submitted DPDs'!G340),"",'Master Submitted DPDs'!G340)</f>
        <v>2</v>
      </c>
    </row>
    <row r="1016" spans="1:20" ht="15" x14ac:dyDescent="0.2">
      <c r="A1016" s="3" t="str">
        <f>IF(ISBLANK('Master Submitted DPDs'!#REF!),"","Local Plans")</f>
        <v>Local Plans</v>
      </c>
      <c r="B1016" t="str">
        <f>IF(ISBLANK('Master Submitted DPDs'!F341),"",'Master Submitted DPDs'!F341)</f>
        <v>LP</v>
      </c>
      <c r="C1016" s="3" t="str">
        <f>IF(ISBLANK('Master Submitted DPDs'!$B341),"","IH")</f>
        <v>IH</v>
      </c>
      <c r="D1016" s="3" t="str">
        <f>LOOKUP($F1016,'fuzzy LPA lookup'!$E:$E,'fuzzy LPA lookup'!$A:$A)</f>
        <v>H4505</v>
      </c>
      <c r="E1016" s="3" t="str">
        <f>LOOKUP($F1016,'fuzzy LPA lookup'!$E:$E,'fuzzy LPA lookup'!$D:$D)</f>
        <v>Gateshead Metropolitan Borough Council</v>
      </c>
      <c r="F1016" s="8">
        <f>IF(ISBLANK('Master Submitted DPDs'!B341),"",'Master Submitted DPDs'!B341)</f>
        <v>1970</v>
      </c>
      <c r="G1016" t="str">
        <f>IF(ISBLANK('Master Submitted DPDs'!AS341),"","Withdrawn")</f>
        <v/>
      </c>
      <c r="H1016" s="2" t="str">
        <f>IF(ISBLANK('Master Submitted DPDs'!AS341),"",'Master Submitted DPDs'!AS341)</f>
        <v/>
      </c>
      <c r="I1016" s="3"/>
      <c r="J1016" s="3"/>
      <c r="K1016" s="3"/>
      <c r="L1016" s="2">
        <f>IF(ISBLANK('Master Submitted DPDs'!J341),"",'Master Submitted DPDs'!J341)</f>
        <v>44526</v>
      </c>
      <c r="M1016" s="2">
        <f t="shared" ref="M1016:M1017" si="34">L1016</f>
        <v>44526</v>
      </c>
      <c r="N1016" s="2">
        <f>IF(ISBLANK('Master Submitted DPDs'!M341),IF(ISBLANK('Master Submitted DPDs'!O341),"",'Master Submitted DPDs'!O341),'Master Submitted DPDs'!M341)</f>
        <v>44543</v>
      </c>
      <c r="O1016" s="2">
        <f>IF(ISBLANK('Master Submitted DPDs'!Q341),"",'Master Submitted DPDs'!Q341)</f>
        <v>44876</v>
      </c>
      <c r="P1016" s="2">
        <f>IF(ISBLANK('Master Submitted DPDs'!AO341),"",'Master Submitted DPDs'!AO341)</f>
        <v>45602</v>
      </c>
      <c r="Q1016" t="str">
        <f>IF(ISBLANK('Master Submitted DPDs'!AU341),"",'Master Submitted DPDs'!AU341)</f>
        <v>SOU</v>
      </c>
      <c r="R1016" t="str">
        <f t="shared" ref="R1016:R1017" si="35">IF(F1016="","",IF(AND(H1016="",Q1016&lt;&gt;"UNS",P1016=""),"Open","Closed"))</f>
        <v>Closed</v>
      </c>
      <c r="S1016" s="3"/>
      <c r="T1016">
        <f>IF(ISBLANK('Master Submitted DPDs'!G341),"",'Master Submitted DPDs'!G341)</f>
        <v>3</v>
      </c>
    </row>
    <row r="1017" spans="1:20" ht="15" x14ac:dyDescent="0.2">
      <c r="A1017" s="3" t="str">
        <f>IF(ISBLANK('Master Submitted DPDs'!#REF!),"","Local Plans")</f>
        <v>Local Plans</v>
      </c>
      <c r="B1017" t="str">
        <f>IF(ISBLANK('Master Submitted DPDs'!F342),"",'Master Submitted DPDs'!F342)</f>
        <v>LP</v>
      </c>
      <c r="C1017" s="3" t="str">
        <f>IF(ISBLANK('Master Submitted DPDs'!$B342),"","IH")</f>
        <v>IH</v>
      </c>
      <c r="D1017" s="3" t="str">
        <f>LOOKUP($F1017,'fuzzy LPA lookup'!$E:$E,'fuzzy LPA lookup'!$A:$A)</f>
        <v>U1105</v>
      </c>
      <c r="E1017" s="3" t="str">
        <f>LOOKUP($F1017,'fuzzy LPA lookup'!$E:$E,'fuzzy LPA lookup'!$D:$D)</f>
        <v>East Devon District Council</v>
      </c>
      <c r="F1017" s="8">
        <f>IF(ISBLANK('Master Submitted DPDs'!B342),"",'Master Submitted DPDs'!B342)</f>
        <v>2019</v>
      </c>
      <c r="G1017" t="str">
        <f>IF(ISBLANK('Master Submitted DPDs'!AS342),"","Withdrawn")</f>
        <v/>
      </c>
      <c r="H1017" s="2" t="str">
        <f>IF(ISBLANK('Master Submitted DPDs'!AS342),"",'Master Submitted DPDs'!AS342)</f>
        <v/>
      </c>
      <c r="I1017" s="3"/>
      <c r="J1017" s="3"/>
      <c r="K1017" s="3"/>
      <c r="L1017" s="2">
        <f>IF(ISBLANK('Master Submitted DPDs'!J342),"",'Master Submitted DPDs'!J342)</f>
        <v>44530</v>
      </c>
      <c r="M1017" s="2">
        <f t="shared" si="34"/>
        <v>44530</v>
      </c>
      <c r="N1017" s="2">
        <f>IF(ISBLANK('Master Submitted DPDs'!M342),IF(ISBLANK('Master Submitted DPDs'!O342),"",'Master Submitted DPDs'!O342),'Master Submitted DPDs'!M342)</f>
        <v>44543</v>
      </c>
      <c r="O1017" s="2">
        <f>IF(ISBLANK('Master Submitted DPDs'!Q342),"",'Master Submitted DPDs'!Q342)</f>
        <v>44838</v>
      </c>
      <c r="P1017" s="2">
        <f>IF(ISBLANK('Master Submitted DPDs'!AO342),"",'Master Submitted DPDs'!AO342)</f>
        <v>44985</v>
      </c>
      <c r="Q1017" t="str">
        <f>IF(ISBLANK('Master Submitted DPDs'!AU342),"",'Master Submitted DPDs'!AU342)</f>
        <v>SOU</v>
      </c>
      <c r="R1017" t="str">
        <f t="shared" si="35"/>
        <v>Closed</v>
      </c>
      <c r="S1017" s="3"/>
      <c r="T1017">
        <f>IF(ISBLANK('Master Submitted DPDs'!G342),"",'Master Submitted DPDs'!G342)</f>
        <v>3</v>
      </c>
    </row>
    <row r="1018" spans="1:20" ht="15" x14ac:dyDescent="0.2">
      <c r="A1018" s="3" t="str">
        <f>IF(ISBLANK('Master Submitted DPDs'!$B349),"","Local Plans")</f>
        <v>Local Plans</v>
      </c>
      <c r="B1018" t="str">
        <f>IF(ISBLANK('Master Submitted DPDs'!F349),"",'Master Submitted DPDs'!F349)</f>
        <v>SA</v>
      </c>
      <c r="C1018" s="3" t="str">
        <f>IF(ISBLANK('Master Submitted DPDs'!$B349),"","IH")</f>
        <v>IH</v>
      </c>
      <c r="D1018" s="3" t="str">
        <f>LOOKUP($F1018,'fuzzy LPA lookup'!$E:$E,'fuzzy LPA lookup'!$A:$A)</f>
        <v>U3935</v>
      </c>
      <c r="E1018" s="3" t="str">
        <f>LOOKUP($F1018,'fuzzy LPA lookup'!$E:$E,'fuzzy LPA lookup'!$D:$D)</f>
        <v>Swindon Borough Council</v>
      </c>
      <c r="F1018" s="8">
        <f>IF(ISBLANK('Master Submitted DPDs'!B349),"",'Master Submitted DPDs'!B349)</f>
        <v>2242</v>
      </c>
      <c r="G1018" t="str">
        <f>IF(ISBLANK('Master Submitted DPDs'!AS349),"","Withdrawn")</f>
        <v/>
      </c>
      <c r="H1018" s="2" t="str">
        <f>IF(ISBLANK('Master Submitted DPDs'!AS349),"",'Master Submitted DPDs'!AS349)</f>
        <v/>
      </c>
      <c r="I1018" s="3"/>
      <c r="J1018" s="3"/>
      <c r="K1018" s="3"/>
      <c r="L1018" s="2">
        <f>IF(ISBLANK('Master Submitted DPDs'!J349),"",'Master Submitted DPDs'!J349)</f>
        <v>44552</v>
      </c>
      <c r="M1018" s="2">
        <f t="shared" si="32"/>
        <v>44552</v>
      </c>
      <c r="N1018" s="2">
        <f>IF(ISBLANK('Master Submitted DPDs'!M349),IF(ISBLANK('Master Submitted DPDs'!O349),"",'Master Submitted DPDs'!O349),'Master Submitted DPDs'!M349)</f>
        <v>44587</v>
      </c>
      <c r="O1018" s="2">
        <f>IF(ISBLANK('Master Submitted DPDs'!Q349),"",'Master Submitted DPDs'!Q349)</f>
        <v>44810</v>
      </c>
      <c r="P1018" s="2">
        <f>IF(ISBLANK('Master Submitted DPDs'!AO349),"",'Master Submitted DPDs'!AO349)</f>
        <v>44998</v>
      </c>
      <c r="Q1018" t="str">
        <f>IF(ISBLANK('Master Submitted DPDs'!AU349),"",'Master Submitted DPDs'!AU349)</f>
        <v>SOU</v>
      </c>
      <c r="R1018" t="str">
        <f t="shared" si="33"/>
        <v>Closed</v>
      </c>
      <c r="S1018" s="3"/>
      <c r="T1018">
        <f>IF(ISBLANK('Master Submitted DPDs'!G349),"",'Master Submitted DPDs'!G349)</f>
        <v>2</v>
      </c>
    </row>
    <row r="1019" spans="1:20" ht="15" x14ac:dyDescent="0.2">
      <c r="A1019" s="3" t="str">
        <f>IF(ISBLANK('Master Submitted DPDs'!$B350),"","Local Plans")</f>
        <v>Local Plans</v>
      </c>
      <c r="B1019" t="str">
        <f>IF(ISBLANK('Master Submitted DPDs'!F350),"",'Master Submitted DPDs'!F350)</f>
        <v>LP</v>
      </c>
      <c r="C1019" s="3" t="str">
        <f>IF(ISBLANK('Master Submitted DPDs'!$B350),"","IH")</f>
        <v>IH</v>
      </c>
      <c r="D1019" s="3" t="str">
        <f>LOOKUP($F1019,'fuzzy LPA lookup'!$E:$E,'fuzzy LPA lookup'!$A:$A)</f>
        <v>E1855</v>
      </c>
      <c r="E1019" s="3" t="str">
        <f>LOOKUP($F1019,'fuzzy LPA lookup'!$E:$E,'fuzzy LPA lookup'!$D:$D)</f>
        <v>Worcestershire County Council</v>
      </c>
      <c r="F1019" s="8">
        <f>IF(ISBLANK('Master Submitted DPDs'!B350),"",'Master Submitted DPDs'!B350)</f>
        <v>2175</v>
      </c>
      <c r="G1019" t="str">
        <f>IF(ISBLANK('Master Submitted DPDs'!AS350),"","Withdrawn")</f>
        <v/>
      </c>
      <c r="H1019" s="2" t="str">
        <f>IF(ISBLANK('Master Submitted DPDs'!AS350),"",'Master Submitted DPDs'!AS350)</f>
        <v/>
      </c>
      <c r="I1019" s="3"/>
      <c r="J1019" s="3"/>
      <c r="K1019" s="3"/>
      <c r="L1019" s="2">
        <f>IF(ISBLANK('Master Submitted DPDs'!J350),"",'Master Submitted DPDs'!J350)</f>
        <v>44606</v>
      </c>
      <c r="M1019" s="2">
        <f t="shared" si="32"/>
        <v>44606</v>
      </c>
      <c r="N1019" s="2">
        <f>IF(ISBLANK('Master Submitted DPDs'!M350),IF(ISBLANK('Master Submitted DPDs'!O350),"",'Master Submitted DPDs'!O350),'Master Submitted DPDs'!M350)</f>
        <v>44621</v>
      </c>
      <c r="O1019" s="2">
        <f>IF(ISBLANK('Master Submitted DPDs'!Q350),"",'Master Submitted DPDs'!Q350)</f>
        <v>45112</v>
      </c>
      <c r="P1019" s="2">
        <f>IF(ISBLANK('Master Submitted DPDs'!AO350),"",'Master Submitted DPDs'!AO350)</f>
        <v>45336</v>
      </c>
      <c r="Q1019" t="str">
        <f>IF(ISBLANK('Master Submitted DPDs'!AU350),"",'Master Submitted DPDs'!AU350)</f>
        <v>SOU</v>
      </c>
      <c r="R1019" t="str">
        <f t="shared" si="33"/>
        <v>Closed</v>
      </c>
      <c r="S1019" s="3"/>
      <c r="T1019">
        <f>IF(ISBLANK('Master Submitted DPDs'!G350),"",'Master Submitted DPDs'!G350)</f>
        <v>3</v>
      </c>
    </row>
    <row r="1020" spans="1:20" ht="15" x14ac:dyDescent="0.2">
      <c r="A1020" s="3" t="str">
        <f>IF(ISBLANK('Master Submitted DPDs'!$B351),"","Local Plans")</f>
        <v>Local Plans</v>
      </c>
      <c r="B1020" t="str">
        <f>IF(ISBLANK('Master Submitted DPDs'!F351),"",'Master Submitted DPDs'!F351)</f>
        <v>LP</v>
      </c>
      <c r="C1020" s="3" t="str">
        <f>IF(ISBLANK('Master Submitted DPDs'!$B351),"","IH")</f>
        <v>IH</v>
      </c>
      <c r="D1020" s="3" t="str">
        <f>LOOKUP($F1020,'fuzzy LPA lookup'!$E:$E,'fuzzy LPA lookup'!$A:$A)</f>
        <v>E1855</v>
      </c>
      <c r="E1020" s="3" t="str">
        <f>LOOKUP($F1020,'fuzzy LPA lookup'!$E:$E,'fuzzy LPA lookup'!$D:$D)</f>
        <v>Worcestershire County Council</v>
      </c>
      <c r="F1020" s="8">
        <f>IF(ISBLANK('Master Submitted DPDs'!B351),"",'Master Submitted DPDs'!B351)</f>
        <v>2153</v>
      </c>
      <c r="G1020" t="str">
        <f>IF(ISBLANK('Master Submitted DPDs'!AS351),"","Withdrawn")</f>
        <v/>
      </c>
      <c r="H1020" s="2" t="str">
        <f>IF(ISBLANK('Master Submitted DPDs'!AS351),"",'Master Submitted DPDs'!AS351)</f>
        <v/>
      </c>
      <c r="I1020" s="3"/>
      <c r="J1020" s="3"/>
      <c r="K1020" s="3"/>
      <c r="L1020" s="2">
        <f>IF(ISBLANK('Master Submitted DPDs'!J351),"",'Master Submitted DPDs'!J351)</f>
        <v>44606</v>
      </c>
      <c r="M1020" s="2">
        <f t="shared" si="32"/>
        <v>44606</v>
      </c>
      <c r="N1020" s="2">
        <f>IF(ISBLANK('Master Submitted DPDs'!M351),IF(ISBLANK('Master Submitted DPDs'!O351),"",'Master Submitted DPDs'!O351),'Master Submitted DPDs'!M351)</f>
        <v>44623</v>
      </c>
      <c r="O1020" s="2">
        <f>IF(ISBLANK('Master Submitted DPDs'!Q351),"",'Master Submitted DPDs'!Q351)</f>
        <v>44862</v>
      </c>
      <c r="P1020" s="2">
        <f>IF(ISBLANK('Master Submitted DPDs'!AO351),"",'Master Submitted DPDs'!AO351)</f>
        <v>45553</v>
      </c>
      <c r="Q1020" t="str">
        <f>IF(ISBLANK('Master Submitted DPDs'!AU351),"",'Master Submitted DPDs'!AU351)</f>
        <v>SOU</v>
      </c>
      <c r="R1020" t="str">
        <f t="shared" si="33"/>
        <v>Closed</v>
      </c>
      <c r="S1020" s="3"/>
      <c r="T1020">
        <f>IF(ISBLANK('Master Submitted DPDs'!G351),"",'Master Submitted DPDs'!G351)</f>
        <v>3</v>
      </c>
    </row>
    <row r="1021" spans="1:20" ht="15" x14ac:dyDescent="0.2">
      <c r="A1021" s="3" t="str">
        <f>IF(ISBLANK('Master Submitted DPDs'!$B352),"","Local Plans")</f>
        <v>Local Plans</v>
      </c>
      <c r="B1021" t="str">
        <f>IF(ISBLANK('Master Submitted DPDs'!F352),"",'Master Submitted DPDs'!F352)</f>
        <v>M&amp;W</v>
      </c>
      <c r="C1021" s="3" t="str">
        <f>IF(ISBLANK('Master Submitted DPDs'!$B352),"","IH")</f>
        <v>IH</v>
      </c>
      <c r="D1021" s="3" t="str">
        <f>LOOKUP($F1021,'fuzzy LPA lookup'!$E:$E,'fuzzy LPA lookup'!$A:$A)</f>
        <v>Z0835</v>
      </c>
      <c r="E1021" s="3" t="str">
        <f>LOOKUP($F1021,'fuzzy LPA lookup'!$E:$E,'fuzzy LPA lookup'!$D:$D)</f>
        <v>The Isles of Scilly Council</v>
      </c>
      <c r="F1021" s="8">
        <f>IF(ISBLANK('Master Submitted DPDs'!B352),"",'Master Submitted DPDs'!B352)</f>
        <v>2000</v>
      </c>
      <c r="G1021" t="str">
        <f>IF(ISBLANK('Master Submitted DPDs'!AS352),"","Withdrawn")</f>
        <v/>
      </c>
      <c r="H1021" s="2" t="str">
        <f>IF(ISBLANK('Master Submitted DPDs'!AS352),"",'Master Submitted DPDs'!AS352)</f>
        <v/>
      </c>
      <c r="I1021" s="3"/>
      <c r="J1021" s="3"/>
      <c r="K1021" s="3"/>
      <c r="L1021" s="2">
        <f>IF(ISBLANK('Master Submitted DPDs'!J352),"",'Master Submitted DPDs'!J352)</f>
        <v>44642</v>
      </c>
      <c r="M1021" s="2">
        <f t="shared" si="32"/>
        <v>44642</v>
      </c>
      <c r="N1021" s="2">
        <f>IF(ISBLANK('Master Submitted DPDs'!M352),IF(ISBLANK('Master Submitted DPDs'!O352),"",'Master Submitted DPDs'!O352),'Master Submitted DPDs'!M352)</f>
        <v>44662</v>
      </c>
      <c r="O1021" s="2">
        <f>IF(ISBLANK('Master Submitted DPDs'!Q352),"",'Master Submitted DPDs'!Q352)</f>
        <v>44880</v>
      </c>
      <c r="P1021" s="2">
        <f>IF(ISBLANK('Master Submitted DPDs'!AO352),"",'Master Submitted DPDs'!AO352)</f>
        <v>45230</v>
      </c>
      <c r="Q1021" t="str">
        <f>IF(ISBLANK('Master Submitted DPDs'!AU352),"",'Master Submitted DPDs'!AU352)</f>
        <v>SOU</v>
      </c>
      <c r="R1021" t="str">
        <f t="shared" si="33"/>
        <v>Closed</v>
      </c>
      <c r="S1021" s="3"/>
      <c r="T1021">
        <f>IF(ISBLANK('Master Submitted DPDs'!G352),"",'Master Submitted DPDs'!G352)</f>
        <v>2</v>
      </c>
    </row>
    <row r="1022" spans="1:20" ht="15" x14ac:dyDescent="0.2">
      <c r="A1022" s="3" t="str">
        <f>IF(ISBLANK('Master Submitted DPDs'!$B353),"","Local Plans")</f>
        <v>Local Plans</v>
      </c>
      <c r="B1022" t="str">
        <f>IF(ISBLANK('Master Submitted DPDs'!F353),"",'Master Submitted DPDs'!F353)</f>
        <v>LP</v>
      </c>
      <c r="C1022" s="3" t="str">
        <f>IF(ISBLANK('Master Submitted DPDs'!$B353),"","IH")</f>
        <v>IH</v>
      </c>
      <c r="D1022" s="3" t="str">
        <f>LOOKUP($F1022,'fuzzy LPA lookup'!$E:$E,'fuzzy LPA lookup'!$A:$A)</f>
        <v>E1855</v>
      </c>
      <c r="E1022" s="3" t="str">
        <f>LOOKUP($F1022,'fuzzy LPA lookup'!$E:$E,'fuzzy LPA lookup'!$D:$D)</f>
        <v>Worcestershire County Council</v>
      </c>
      <c r="F1022" s="8">
        <f>IF(ISBLANK('Master Submitted DPDs'!B353),"",'Master Submitted DPDs'!B353)</f>
        <v>2105</v>
      </c>
      <c r="G1022" t="str">
        <f>IF(ISBLANK('Master Submitted DPDs'!AS353),"","Withdrawn")</f>
        <v/>
      </c>
      <c r="H1022" s="2" t="str">
        <f>IF(ISBLANK('Master Submitted DPDs'!AS353),"",'Master Submitted DPDs'!AS353)</f>
        <v/>
      </c>
      <c r="I1022" s="3"/>
      <c r="J1022" s="3"/>
      <c r="K1022" s="3"/>
      <c r="L1022" s="2">
        <f>IF(ISBLANK('Master Submitted DPDs'!J353),"",'Master Submitted DPDs'!J353)</f>
        <v>44649</v>
      </c>
      <c r="M1022" s="2">
        <f t="shared" si="32"/>
        <v>44649</v>
      </c>
      <c r="N1022" s="2">
        <f>IF(ISBLANK('Master Submitted DPDs'!M353),IF(ISBLANK('Master Submitted DPDs'!O353),"",'Master Submitted DPDs'!O353),'Master Submitted DPDs'!M353)</f>
        <v>44657</v>
      </c>
      <c r="O1022" s="2">
        <f>IF(ISBLANK('Master Submitted DPDs'!Q353),"",'Master Submitted DPDs'!Q353)</f>
        <v>45538</v>
      </c>
      <c r="P1022" s="2">
        <f>IF(ISBLANK('Master Submitted DPDs'!AO353),"",'Master Submitted DPDs'!AO353)</f>
        <v>45709</v>
      </c>
      <c r="Q1022" t="str">
        <f>IF(ISBLANK('Master Submitted DPDs'!AU353),"",'Master Submitted DPDs'!AU353)</f>
        <v>SOU</v>
      </c>
      <c r="R1022" t="str">
        <f t="shared" si="33"/>
        <v>Closed</v>
      </c>
      <c r="S1022" s="3"/>
      <c r="T1022">
        <f>IF(ISBLANK('Master Submitted DPDs'!G353),"",'Master Submitted DPDs'!G353)</f>
        <v>3</v>
      </c>
    </row>
    <row r="1023" spans="1:20" ht="15" x14ac:dyDescent="0.2">
      <c r="A1023" s="3" t="str">
        <f>IF(ISBLANK('Master Submitted DPDs'!$B354),"","Local Plans")</f>
        <v>Local Plans</v>
      </c>
      <c r="B1023" t="str">
        <f>IF(ISBLANK('Master Submitted DPDs'!F354),"",'Master Submitted DPDs'!F354)</f>
        <v>LP</v>
      </c>
      <c r="C1023" s="3" t="str">
        <f>IF(ISBLANK('Master Submitted DPDs'!$B354),"","IH")</f>
        <v>IH</v>
      </c>
      <c r="D1023" s="3" t="str">
        <f>LOOKUP($F1023,'fuzzy LPA lookup'!$E:$E,'fuzzy LPA lookup'!$A:$A)</f>
        <v>E1855</v>
      </c>
      <c r="E1023" s="3" t="str">
        <f>LOOKUP($F1023,'fuzzy LPA lookup'!$E:$E,'fuzzy LPA lookup'!$D:$D)</f>
        <v>Worcestershire County Council</v>
      </c>
      <c r="F1023" s="8">
        <f>IF(ISBLANK('Master Submitted DPDs'!B354),"",'Master Submitted DPDs'!B354)</f>
        <v>2125</v>
      </c>
      <c r="G1023" t="str">
        <f>IF(ISBLANK('Master Submitted DPDs'!AS354),"","Withdrawn")</f>
        <v/>
      </c>
      <c r="H1023" s="2" t="str">
        <f>IF(ISBLANK('Master Submitted DPDs'!AS354),"",'Master Submitted DPDs'!AS354)</f>
        <v/>
      </c>
      <c r="I1023" s="3"/>
      <c r="J1023" s="3"/>
      <c r="K1023" s="3"/>
      <c r="L1023" s="2">
        <f>IF(ISBLANK('Master Submitted DPDs'!J354),"",'Master Submitted DPDs'!J354)</f>
        <v>44651</v>
      </c>
      <c r="M1023" s="2">
        <f t="shared" si="32"/>
        <v>44651</v>
      </c>
      <c r="N1023" s="2">
        <f>IF(ISBLANK('Master Submitted DPDs'!M354),IF(ISBLANK('Master Submitted DPDs'!O354),"",'Master Submitted DPDs'!O354),'Master Submitted DPDs'!M354)</f>
        <v>44663</v>
      </c>
      <c r="O1023" s="2">
        <f>IF(ISBLANK('Master Submitted DPDs'!Q354),"",'Master Submitted DPDs'!Q354)</f>
        <v>45086</v>
      </c>
      <c r="P1023" s="2">
        <f>IF(ISBLANK('Master Submitted DPDs'!AO354),"",'Master Submitted DPDs'!AO354)</f>
        <v>45359</v>
      </c>
      <c r="Q1023" t="str">
        <f>IF(ISBLANK('Master Submitted DPDs'!AU354),"",'Master Submitted DPDs'!AU354)</f>
        <v>SOU</v>
      </c>
      <c r="R1023" t="str">
        <f t="shared" si="33"/>
        <v>Closed</v>
      </c>
      <c r="S1023" s="3"/>
      <c r="T1023">
        <f>IF(ISBLANK('Master Submitted DPDs'!G354),"",'Master Submitted DPDs'!G354)</f>
        <v>3</v>
      </c>
    </row>
    <row r="1024" spans="1:20" ht="15" x14ac:dyDescent="0.2">
      <c r="A1024" s="3" t="str">
        <f>IF(ISBLANK('Master Submitted DPDs'!$B355),"","Local Plans")</f>
        <v>Local Plans</v>
      </c>
      <c r="B1024" t="str">
        <f>IF(ISBLANK('Master Submitted DPDs'!F355),"",'Master Submitted DPDs'!F355)</f>
        <v>Other</v>
      </c>
      <c r="C1024" s="3" t="str">
        <f>IF(ISBLANK('Master Submitted DPDs'!$B355),"","IH")</f>
        <v>IH</v>
      </c>
      <c r="D1024" s="3" t="str">
        <f>LOOKUP($F1024,'fuzzy LPA lookup'!$E:$E,'fuzzy LPA lookup'!$A:$A)</f>
        <v>U3935</v>
      </c>
      <c r="E1024" s="3" t="str">
        <f>LOOKUP($F1024,'fuzzy LPA lookup'!$E:$E,'fuzzy LPA lookup'!$D:$D)</f>
        <v>Swindon Borough Council</v>
      </c>
      <c r="F1024" s="8">
        <f>IF(ISBLANK('Master Submitted DPDs'!B355),"",'Master Submitted DPDs'!B355)</f>
        <v>2268</v>
      </c>
      <c r="G1024" t="str">
        <f>IF(ISBLANK('Master Submitted DPDs'!AS355),"","Withdrawn")</f>
        <v/>
      </c>
      <c r="H1024" s="2" t="str">
        <f>IF(ISBLANK('Master Submitted DPDs'!AS355),"",'Master Submitted DPDs'!AS355)</f>
        <v/>
      </c>
      <c r="I1024" s="3"/>
      <c r="J1024" s="3"/>
      <c r="K1024" s="3"/>
      <c r="L1024" s="2">
        <f>IF(ISBLANK('Master Submitted DPDs'!J355),"",'Master Submitted DPDs'!J355)</f>
        <v>44651</v>
      </c>
      <c r="M1024" s="2">
        <f t="shared" si="32"/>
        <v>44651</v>
      </c>
      <c r="N1024" s="2">
        <f>IF(ISBLANK('Master Submitted DPDs'!M355),IF(ISBLANK('Master Submitted DPDs'!O355),"",'Master Submitted DPDs'!O355),'Master Submitted DPDs'!M355)</f>
        <v>44672</v>
      </c>
      <c r="O1024" s="2">
        <f>IF(ISBLANK('Master Submitted DPDs'!Q355),"",'Master Submitted DPDs'!Q355)</f>
        <v>44841</v>
      </c>
      <c r="P1024" s="2">
        <f>IF(ISBLANK('Master Submitted DPDs'!AO355),"",'Master Submitted DPDs'!AO355)</f>
        <v>45628</v>
      </c>
      <c r="Q1024" t="str">
        <f>IF(ISBLANK('Master Submitted DPDs'!AU355),"",'Master Submitted DPDs'!AU355)</f>
        <v>SOU</v>
      </c>
      <c r="R1024" t="str">
        <f t="shared" si="33"/>
        <v>Closed</v>
      </c>
      <c r="S1024" s="3"/>
      <c r="T1024">
        <f>IF(ISBLANK('Master Submitted DPDs'!G355),"",'Master Submitted DPDs'!G355)</f>
        <v>3</v>
      </c>
    </row>
    <row r="1025" spans="1:20" ht="15" x14ac:dyDescent="0.2">
      <c r="A1025" s="3" t="str">
        <f>IF(ISBLANK('Master Submitted DPDs'!$B357),"","Local Plans")</f>
        <v>Local Plans</v>
      </c>
      <c r="B1025" t="str">
        <f>IF(ISBLANK('Master Submitted DPDs'!F357),"",'Master Submitted DPDs'!F357)</f>
        <v>LP</v>
      </c>
      <c r="C1025" s="3" t="str">
        <f>IF(ISBLANK('Master Submitted DPDs'!$B357),"","IH")</f>
        <v>IH</v>
      </c>
      <c r="D1025" s="3" t="str">
        <f>LOOKUP($F1025,'fuzzy LPA lookup'!$E:$E,'fuzzy LPA lookup'!$A:$A)</f>
        <v>B3600</v>
      </c>
      <c r="E1025" s="3" t="str">
        <f>LOOKUP($F1025,'fuzzy LPA lookup'!$E:$E,'fuzzy LPA lookup'!$D:$D)</f>
        <v>Surrey County Council</v>
      </c>
      <c r="F1025" s="8">
        <f>IF(ISBLANK('Master Submitted DPDs'!B357),"",'Master Submitted DPDs'!B357)</f>
        <v>2092</v>
      </c>
      <c r="G1025" t="str">
        <f>IF(ISBLANK('Master Submitted DPDs'!AS357),"","Withdrawn")</f>
        <v/>
      </c>
      <c r="H1025" s="2" t="str">
        <f>IF(ISBLANK('Master Submitted DPDs'!AS357),"",'Master Submitted DPDs'!AS357)</f>
        <v/>
      </c>
      <c r="I1025" s="3"/>
      <c r="J1025" s="3"/>
      <c r="K1025" s="3"/>
      <c r="L1025" s="2">
        <f>IF(ISBLANK('Master Submitted DPDs'!J357),"",'Master Submitted DPDs'!J357)</f>
        <v>44673</v>
      </c>
      <c r="M1025" s="2">
        <f t="shared" si="32"/>
        <v>44673</v>
      </c>
      <c r="N1025" s="2">
        <f>IF(ISBLANK('Master Submitted DPDs'!M357),IF(ISBLANK('Master Submitted DPDs'!O357),"",'Master Submitted DPDs'!O357),'Master Submitted DPDs'!M357)</f>
        <v>44687</v>
      </c>
      <c r="O1025" s="2">
        <f>IF(ISBLANK('Master Submitted DPDs'!Q357),"",'Master Submitted DPDs'!Q357)</f>
        <v>45120</v>
      </c>
      <c r="P1025" s="2">
        <f>IF(ISBLANK('Master Submitted DPDs'!AO357),"",'Master Submitted DPDs'!AO357)</f>
        <v>45222</v>
      </c>
      <c r="Q1025" t="str">
        <f>IF(ISBLANK('Master Submitted DPDs'!AU357),"",'Master Submitted DPDs'!AU357)</f>
        <v>SOU</v>
      </c>
      <c r="R1025" t="str">
        <f t="shared" si="33"/>
        <v>Closed</v>
      </c>
      <c r="S1025" s="3"/>
      <c r="T1025">
        <f>IF(ISBLANK('Master Submitted DPDs'!G357),"",'Master Submitted DPDs'!G357)</f>
        <v>3</v>
      </c>
    </row>
    <row r="1026" spans="1:20" ht="15" x14ac:dyDescent="0.2">
      <c r="A1026" s="3" t="str">
        <f>IF(ISBLANK('Master Submitted DPDs'!$B359),"","Local Plans")</f>
        <v>Local Plans</v>
      </c>
      <c r="B1026" t="str">
        <f>IF(ISBLANK('Master Submitted DPDs'!F359),"",'Master Submitted DPDs'!F359)</f>
        <v>LP</v>
      </c>
      <c r="C1026" s="3" t="str">
        <f>IF(ISBLANK('Master Submitted DPDs'!$B359),"","IH")</f>
        <v>IH</v>
      </c>
      <c r="D1026" s="3" t="str">
        <f>LOOKUP($F1026,'fuzzy LPA lookup'!$E:$E,'fuzzy LPA lookup'!$A:$A)</f>
        <v>U3935</v>
      </c>
      <c r="E1026" s="3" t="str">
        <f>LOOKUP($F1026,'fuzzy LPA lookup'!$E:$E,'fuzzy LPA lookup'!$D:$D)</f>
        <v>Swindon Borough Council</v>
      </c>
      <c r="F1026" s="8">
        <f>IF(ISBLANK('Master Submitted DPDs'!B359),"",'Master Submitted DPDs'!B359)</f>
        <v>2266</v>
      </c>
      <c r="G1026" t="str">
        <f>IF(ISBLANK('Master Submitted DPDs'!AS359),"","Withdrawn")</f>
        <v/>
      </c>
      <c r="H1026" s="2" t="str">
        <f>IF(ISBLANK('Master Submitted DPDs'!AS359),"",'Master Submitted DPDs'!AS359)</f>
        <v/>
      </c>
      <c r="I1026" s="3"/>
      <c r="J1026" s="3"/>
      <c r="K1026" s="3"/>
      <c r="L1026" s="2">
        <f>IF(ISBLANK('Master Submitted DPDs'!J359),"",'Master Submitted DPDs'!J359)</f>
        <v>44680</v>
      </c>
      <c r="M1026" s="2">
        <f t="shared" ref="M1026:M1078" si="36">L1026</f>
        <v>44680</v>
      </c>
      <c r="N1026" s="2">
        <f>IF(ISBLANK('Master Submitted DPDs'!M359),IF(ISBLANK('Master Submitted DPDs'!O359),"",'Master Submitted DPDs'!O359),'Master Submitted DPDs'!M359)</f>
        <v>44699</v>
      </c>
      <c r="O1026" s="2">
        <f>IF(ISBLANK('Master Submitted DPDs'!Q359),"",'Master Submitted DPDs'!Q359)</f>
        <v>44894</v>
      </c>
      <c r="P1026" s="2">
        <f>IF(ISBLANK('Master Submitted DPDs'!AO359),"",'Master Submitted DPDs'!AO359)</f>
        <v>45100</v>
      </c>
      <c r="Q1026" t="str">
        <f>IF(ISBLANK('Master Submitted DPDs'!AU359),"",'Master Submitted DPDs'!AU359)</f>
        <v>SOU</v>
      </c>
      <c r="R1026" t="str">
        <f t="shared" ref="R1026:R1078" si="37">IF(F1026="","",IF(AND(H1026="",Q1026&lt;&gt;"UNS",P1026=""),"Open","Closed"))</f>
        <v>Closed</v>
      </c>
      <c r="S1026" s="3"/>
      <c r="T1026">
        <f>IF(ISBLANK('Master Submitted DPDs'!G359),"",'Master Submitted DPDs'!G359)</f>
        <v>3</v>
      </c>
    </row>
    <row r="1027" spans="1:20" ht="15" x14ac:dyDescent="0.2">
      <c r="A1027" s="3" t="str">
        <f>IF(ISBLANK('Master Submitted DPDs'!$B361),"","Local Plans")</f>
        <v>Local Plans</v>
      </c>
      <c r="B1027" t="str">
        <f>IF(ISBLANK('Master Submitted DPDs'!F361),"",'Master Submitted DPDs'!F361)</f>
        <v>DM</v>
      </c>
      <c r="C1027" s="3" t="str">
        <f>IF(ISBLANK('Master Submitted DPDs'!$B361),"","IH")</f>
        <v>IH</v>
      </c>
      <c r="D1027" s="3" t="str">
        <f>LOOKUP($F1027,'fuzzy LPA lookup'!$E:$E,'fuzzy LPA lookup'!$A:$A)</f>
        <v>U3935</v>
      </c>
      <c r="E1027" s="3" t="str">
        <f>LOOKUP($F1027,'fuzzy LPA lookup'!$E:$E,'fuzzy LPA lookup'!$D:$D)</f>
        <v>Swindon Borough Council</v>
      </c>
      <c r="F1027" s="8">
        <f>IF(ISBLANK('Master Submitted DPDs'!B361),"",'Master Submitted DPDs'!B361)</f>
        <v>2265</v>
      </c>
      <c r="G1027" t="str">
        <f>IF(ISBLANK('Master Submitted DPDs'!AS361),"","Withdrawn")</f>
        <v/>
      </c>
      <c r="H1027" s="2" t="str">
        <f>IF(ISBLANK('Master Submitted DPDs'!AS361),"",'Master Submitted DPDs'!AS361)</f>
        <v/>
      </c>
      <c r="I1027" s="3"/>
      <c r="J1027" s="3"/>
      <c r="K1027" s="3"/>
      <c r="L1027" s="2">
        <f>IF(ISBLANK('Master Submitted DPDs'!J361),"",'Master Submitted DPDs'!J361)</f>
        <v>44729</v>
      </c>
      <c r="M1027" s="2">
        <f t="shared" si="36"/>
        <v>44729</v>
      </c>
      <c r="N1027" s="2">
        <f>IF(ISBLANK('Master Submitted DPDs'!M361),IF(ISBLANK('Master Submitted DPDs'!O361),"",'Master Submitted DPDs'!O361),'Master Submitted DPDs'!M361)</f>
        <v>44732</v>
      </c>
      <c r="O1027" s="2">
        <f>IF(ISBLANK('Master Submitted DPDs'!Q361),"",'Master Submitted DPDs'!Q361)</f>
        <v>44882</v>
      </c>
      <c r="P1027" s="2">
        <f>IF(ISBLANK('Master Submitted DPDs'!AO361),"",'Master Submitted DPDs'!AO361)</f>
        <v>44984</v>
      </c>
      <c r="Q1027" t="str">
        <f>IF(ISBLANK('Master Submitted DPDs'!AU361),"",'Master Submitted DPDs'!AU361)</f>
        <v>SOU</v>
      </c>
      <c r="R1027" t="str">
        <f t="shared" si="37"/>
        <v>Closed</v>
      </c>
      <c r="S1027" s="3"/>
      <c r="T1027">
        <f>IF(ISBLANK('Master Submitted DPDs'!G361),"",'Master Submitted DPDs'!G361)</f>
        <v>2</v>
      </c>
    </row>
    <row r="1028" spans="1:20" ht="15" x14ac:dyDescent="0.2">
      <c r="A1028" s="3" t="str">
        <f>IF(ISBLANK('Master Submitted DPDs'!#REF!),"","Local Plans")</f>
        <v>Local Plans</v>
      </c>
      <c r="B1028" t="str">
        <f>IF(ISBLANK('Master Submitted DPDs'!F362),"",'Master Submitted DPDs'!F362)</f>
        <v>Other</v>
      </c>
      <c r="C1028" s="3" t="str">
        <f>IF(ISBLANK('Master Submitted DPDs'!$B362),"","IH")</f>
        <v>IH</v>
      </c>
      <c r="D1028" s="3" t="str">
        <f>LOOKUP($F1028,'fuzzy LPA lookup'!$E:$E,'fuzzy LPA lookup'!$A:$A)</f>
        <v>U3935</v>
      </c>
      <c r="E1028" s="3" t="str">
        <f>LOOKUP($F1028,'fuzzy LPA lookup'!$E:$E,'fuzzy LPA lookup'!$D:$D)</f>
        <v>Swindon Borough Council</v>
      </c>
      <c r="F1028" s="8">
        <f>IF(ISBLANK('Master Submitted DPDs'!B362),"",'Master Submitted DPDs'!B362)</f>
        <v>2278</v>
      </c>
      <c r="G1028" t="str">
        <f>IF(ISBLANK('Master Submitted DPDs'!AS362),"","Withdrawn")</f>
        <v/>
      </c>
      <c r="H1028" s="2" t="str">
        <f>IF(ISBLANK('Master Submitted DPDs'!AS362),"",'Master Submitted DPDs'!AS362)</f>
        <v/>
      </c>
      <c r="I1028" s="3"/>
      <c r="J1028" s="3"/>
      <c r="K1028" s="3"/>
      <c r="L1028" s="2">
        <f>IF(ISBLANK('Master Submitted DPDs'!J362),"",'Master Submitted DPDs'!J362)</f>
        <v>44742</v>
      </c>
      <c r="M1028" s="2">
        <f t="shared" ref="M1028" si="38">L1028</f>
        <v>44742</v>
      </c>
      <c r="N1028" s="2">
        <f>IF(ISBLANK('Master Submitted DPDs'!M362),IF(ISBLANK('Master Submitted DPDs'!O362),"",'Master Submitted DPDs'!O362),'Master Submitted DPDs'!M362)</f>
        <v>44742</v>
      </c>
      <c r="O1028" s="2">
        <f>IF(ISBLANK('Master Submitted DPDs'!Q362),"",'Master Submitted DPDs'!Q362)</f>
        <v>44861</v>
      </c>
      <c r="P1028" s="2">
        <f>IF(ISBLANK('Master Submitted DPDs'!AO362),"",'Master Submitted DPDs'!AO362)</f>
        <v>45278</v>
      </c>
      <c r="Q1028" t="str">
        <f>IF(ISBLANK('Master Submitted DPDs'!AU362),"",'Master Submitted DPDs'!AU362)</f>
        <v>SOU</v>
      </c>
      <c r="R1028" t="str">
        <f t="shared" ref="R1028" si="39">IF(F1028="","",IF(AND(H1028="",Q1028&lt;&gt;"UNS",P1028=""),"Open","Closed"))</f>
        <v>Closed</v>
      </c>
      <c r="S1028" s="3"/>
      <c r="T1028">
        <f>IF(ISBLANK('Master Submitted DPDs'!G362),"",'Master Submitted DPDs'!G362)</f>
        <v>2</v>
      </c>
    </row>
    <row r="1029" spans="1:20" ht="15" x14ac:dyDescent="0.2">
      <c r="A1029" s="3" t="str">
        <f>IF(ISBLANK('Master Submitted DPDs'!$B363),"","Local Plans")</f>
        <v>Local Plans</v>
      </c>
      <c r="B1029" t="str">
        <f>IF(ISBLANK('Master Submitted DPDs'!F363),"",'Master Submitted DPDs'!F363)</f>
        <v>LP</v>
      </c>
      <c r="C1029" s="3" t="str">
        <f>IF(ISBLANK('Master Submitted DPDs'!$B363),"","IH")</f>
        <v>IH</v>
      </c>
      <c r="D1029" s="3" t="str">
        <f>LOOKUP($F1029,'fuzzy LPA lookup'!$E:$E,'fuzzy LPA lookup'!$A:$A)</f>
        <v>E1855</v>
      </c>
      <c r="E1029" s="3" t="str">
        <f>LOOKUP($F1029,'fuzzy LPA lookup'!$E:$E,'fuzzy LPA lookup'!$D:$D)</f>
        <v>Worcestershire County Council</v>
      </c>
      <c r="F1029" s="8">
        <f>IF(ISBLANK('Master Submitted DPDs'!B363),"",'Master Submitted DPDs'!B363)</f>
        <v>2152</v>
      </c>
      <c r="G1029" t="str">
        <f>IF(ISBLANK('Master Submitted DPDs'!AS363),"","Withdrawn")</f>
        <v>Withdrawn</v>
      </c>
      <c r="H1029" s="2">
        <f>IF(ISBLANK('Master Submitted DPDs'!AS363),"",'Master Submitted DPDs'!AS363)</f>
        <v>45216</v>
      </c>
      <c r="I1029" s="3"/>
      <c r="J1029" s="3"/>
      <c r="K1029" s="3"/>
      <c r="L1029" s="2">
        <f>IF(ISBLANK('Master Submitted DPDs'!J363),"",'Master Submitted DPDs'!J363)</f>
        <v>44742</v>
      </c>
      <c r="M1029" s="2">
        <f t="shared" si="36"/>
        <v>44742</v>
      </c>
      <c r="N1029" s="2">
        <f>IF(ISBLANK('Master Submitted DPDs'!M363),IF(ISBLANK('Master Submitted DPDs'!O363),"",'Master Submitted DPDs'!O363),'Master Submitted DPDs'!M363)</f>
        <v>44750</v>
      </c>
      <c r="O1029" s="2" t="str">
        <f>IF(ISBLANK('Master Submitted DPDs'!Q363),"",'Master Submitted DPDs'!Q363)</f>
        <v/>
      </c>
      <c r="P1029" s="2" t="str">
        <f>IF(ISBLANK('Master Submitted DPDs'!AO363),"",'Master Submitted DPDs'!AO363)</f>
        <v/>
      </c>
      <c r="Q1029" t="str">
        <f>IF(ISBLANK('Master Submitted DPDs'!AU363),"",'Master Submitted DPDs'!AU363)</f>
        <v>DPDW</v>
      </c>
      <c r="R1029" t="str">
        <f t="shared" si="37"/>
        <v>Closed</v>
      </c>
      <c r="S1029" s="3"/>
      <c r="T1029">
        <f>IF(ISBLANK('Master Submitted DPDs'!G363),"",'Master Submitted DPDs'!G363)</f>
        <v>3</v>
      </c>
    </row>
    <row r="1030" spans="1:20" ht="15" x14ac:dyDescent="0.2">
      <c r="A1030" s="3" t="str">
        <f>IF(ISBLANK('Master Submitted DPDs'!$B364),"","Local Plans")</f>
        <v>Local Plans</v>
      </c>
      <c r="B1030" t="str">
        <f>IF(ISBLANK('Master Submitted DPDs'!F364),"",'Master Submitted DPDs'!F364)</f>
        <v>LP</v>
      </c>
      <c r="C1030" s="3" t="str">
        <f>IF(ISBLANK('Master Submitted DPDs'!$B364),"","IH")</f>
        <v>IH</v>
      </c>
      <c r="D1030" s="3" t="str">
        <f>LOOKUP($F1030,'fuzzy LPA lookup'!$E:$E,'fuzzy LPA lookup'!$A:$A)</f>
        <v>E1855</v>
      </c>
      <c r="E1030" s="3" t="str">
        <f>LOOKUP($F1030,'fuzzy LPA lookup'!$E:$E,'fuzzy LPA lookup'!$D:$D)</f>
        <v>Worcestershire County Council</v>
      </c>
      <c r="F1030" s="8">
        <f>IF(ISBLANK('Master Submitted DPDs'!B364),"",'Master Submitted DPDs'!B364)</f>
        <v>2110</v>
      </c>
      <c r="G1030" t="str">
        <f>IF(ISBLANK('Master Submitted DPDs'!AS364),"","Withdrawn")</f>
        <v/>
      </c>
      <c r="H1030" s="2" t="str">
        <f>IF(ISBLANK('Master Submitted DPDs'!AS364),"",'Master Submitted DPDs'!AS364)</f>
        <v/>
      </c>
      <c r="I1030" s="3"/>
      <c r="J1030" s="3"/>
      <c r="K1030" s="3"/>
      <c r="L1030" s="2">
        <f>IF(ISBLANK('Master Submitted DPDs'!J364),"",'Master Submitted DPDs'!J364)</f>
        <v>44750</v>
      </c>
      <c r="M1030" s="2">
        <f t="shared" si="36"/>
        <v>44750</v>
      </c>
      <c r="N1030" s="2">
        <f>IF(ISBLANK('Master Submitted DPDs'!M364),IF(ISBLANK('Master Submitted DPDs'!O364),"",'Master Submitted DPDs'!O364),'Master Submitted DPDs'!M364)</f>
        <v>44764</v>
      </c>
      <c r="O1030" s="2">
        <f>IF(ISBLANK('Master Submitted DPDs'!Q364),"",'Master Submitted DPDs'!Q364)</f>
        <v>44911</v>
      </c>
      <c r="P1030" s="2">
        <f>IF(ISBLANK('Master Submitted DPDs'!AO364),"",'Master Submitted DPDs'!AO364)</f>
        <v>45013</v>
      </c>
      <c r="Q1030" t="str">
        <f>IF(ISBLANK('Master Submitted DPDs'!AU364),"",'Master Submitted DPDs'!AU364)</f>
        <v>SOU</v>
      </c>
      <c r="R1030" t="str">
        <f t="shared" si="37"/>
        <v>Closed</v>
      </c>
      <c r="S1030" s="3"/>
      <c r="T1030">
        <f>IF(ISBLANK('Master Submitted DPDs'!G364),"",'Master Submitted DPDs'!G364)</f>
        <v>3</v>
      </c>
    </row>
    <row r="1031" spans="1:20" ht="15" x14ac:dyDescent="0.2">
      <c r="A1031" s="3" t="str">
        <f>IF(ISBLANK('Master Submitted DPDs'!$B365),"","Local Plans")</f>
        <v>Local Plans</v>
      </c>
      <c r="B1031" t="str">
        <f>IF(ISBLANK('Master Submitted DPDs'!F365),"",'Master Submitted DPDs'!F365)</f>
        <v>LP</v>
      </c>
      <c r="C1031" s="3" t="str">
        <f>IF(ISBLANK('Master Submitted DPDs'!$B365),"","IH")</f>
        <v>IH</v>
      </c>
      <c r="D1031" s="3" t="str">
        <f>LOOKUP($F1031,'fuzzy LPA lookup'!$E:$E,'fuzzy LPA lookup'!$A:$A)</f>
        <v>E1855</v>
      </c>
      <c r="E1031" s="3" t="str">
        <f>LOOKUP($F1031,'fuzzy LPA lookup'!$E:$E,'fuzzy LPA lookup'!$D:$D)</f>
        <v>Worcestershire County Council</v>
      </c>
      <c r="F1031" s="8">
        <f>IF(ISBLANK('Master Submitted DPDs'!B365),"",'Master Submitted DPDs'!B365)</f>
        <v>2102</v>
      </c>
      <c r="G1031" t="str">
        <f>IF(ISBLANK('Master Submitted DPDs'!AS365),"","Withdrawn")</f>
        <v/>
      </c>
      <c r="H1031" s="2" t="str">
        <f>IF(ISBLANK('Master Submitted DPDs'!AS365),"",'Master Submitted DPDs'!AS365)</f>
        <v/>
      </c>
      <c r="I1031" s="3"/>
      <c r="J1031" s="3"/>
      <c r="K1031" s="3"/>
      <c r="L1031" s="2">
        <f>IF(ISBLANK('Master Submitted DPDs'!J365),"",'Master Submitted DPDs'!J365)</f>
        <v>44760</v>
      </c>
      <c r="M1031" s="2">
        <f t="shared" si="36"/>
        <v>44760</v>
      </c>
      <c r="N1031" s="2">
        <f>IF(ISBLANK('Master Submitted DPDs'!M365),IF(ISBLANK('Master Submitted DPDs'!O365),"",'Master Submitted DPDs'!O365),'Master Submitted DPDs'!M365)</f>
        <v>44767</v>
      </c>
      <c r="O1031" s="2">
        <f>IF(ISBLANK('Master Submitted DPDs'!Q365),"",'Master Submitted DPDs'!Q365)</f>
        <v>44950</v>
      </c>
      <c r="P1031" s="2">
        <f>IF(ISBLANK('Master Submitted DPDs'!AO365),"",'Master Submitted DPDs'!AO365)</f>
        <v>45343</v>
      </c>
      <c r="Q1031" t="str">
        <f>IF(ISBLANK('Master Submitted DPDs'!AU365),"",'Master Submitted DPDs'!AU365)</f>
        <v>SOU</v>
      </c>
      <c r="R1031" t="str">
        <f t="shared" si="37"/>
        <v>Closed</v>
      </c>
      <c r="S1031" s="3"/>
      <c r="T1031">
        <f>IF(ISBLANK('Master Submitted DPDs'!G365),"",'Master Submitted DPDs'!G365)</f>
        <v>3</v>
      </c>
    </row>
    <row r="1032" spans="1:20" ht="15" x14ac:dyDescent="0.2">
      <c r="A1032" s="3" t="str">
        <f>IF(ISBLANK('Master Submitted DPDs'!$B366),"","Local Plans")</f>
        <v>Local Plans</v>
      </c>
      <c r="B1032" t="str">
        <f>IF(ISBLANK('Master Submitted DPDs'!F366),"",'Master Submitted DPDs'!F366)</f>
        <v>LP</v>
      </c>
      <c r="C1032" s="3" t="str">
        <f>IF(ISBLANK('Master Submitted DPDs'!$B366),"","IH")</f>
        <v>IH</v>
      </c>
      <c r="D1032" s="3" t="str">
        <f>LOOKUP($F1032,'fuzzy LPA lookup'!$E:$E,'fuzzy LPA lookup'!$A:$A)</f>
        <v>E1855</v>
      </c>
      <c r="E1032" s="3" t="str">
        <f>LOOKUP($F1032,'fuzzy LPA lookup'!$E:$E,'fuzzy LPA lookup'!$D:$D)</f>
        <v>Worcestershire County Council</v>
      </c>
      <c r="F1032" s="8">
        <f>IF(ISBLANK('Master Submitted DPDs'!B366),"",'Master Submitted DPDs'!B366)</f>
        <v>2181</v>
      </c>
      <c r="G1032" t="str">
        <f>IF(ISBLANK('Master Submitted DPDs'!AS366),"","Withdrawn")</f>
        <v/>
      </c>
      <c r="H1032" s="2" t="str">
        <f>IF(ISBLANK('Master Submitted DPDs'!AS366),"",'Master Submitted DPDs'!AS366)</f>
        <v/>
      </c>
      <c r="I1032" s="3"/>
      <c r="J1032" s="3"/>
      <c r="K1032" s="3"/>
      <c r="L1032" s="2">
        <f>IF(ISBLANK('Master Submitted DPDs'!J366),"",'Master Submitted DPDs'!J366)</f>
        <v>44761</v>
      </c>
      <c r="M1032" s="2">
        <f t="shared" si="36"/>
        <v>44761</v>
      </c>
      <c r="N1032" s="2">
        <f>IF(ISBLANK('Master Submitted DPDs'!M366),IF(ISBLANK('Master Submitted DPDs'!O366),"",'Master Submitted DPDs'!O366),'Master Submitted DPDs'!M366)</f>
        <v>44767</v>
      </c>
      <c r="O1032" s="2">
        <f>IF(ISBLANK('Master Submitted DPDs'!Q366),"",'Master Submitted DPDs'!Q366)</f>
        <v>45013</v>
      </c>
      <c r="P1032" s="2">
        <f>IF(ISBLANK('Master Submitted DPDs'!AO366),"",'Master Submitted DPDs'!AO366)</f>
        <v>45204</v>
      </c>
      <c r="Q1032" t="str">
        <f>IF(ISBLANK('Master Submitted DPDs'!AU366),"",'Master Submitted DPDs'!AU366)</f>
        <v>SOU</v>
      </c>
      <c r="R1032" t="str">
        <f t="shared" si="37"/>
        <v>Closed</v>
      </c>
      <c r="S1032" s="3"/>
      <c r="T1032">
        <f>IF(ISBLANK('Master Submitted DPDs'!G366),"",'Master Submitted DPDs'!G366)</f>
        <v>3</v>
      </c>
    </row>
    <row r="1033" spans="1:20" ht="15" x14ac:dyDescent="0.2">
      <c r="A1033" s="3" t="str">
        <f>IF(ISBLANK('Master Submitted DPDs'!#REF!),"","Local Plans")</f>
        <v>Local Plans</v>
      </c>
      <c r="B1033" t="e">
        <f>IF(ISBLANK('Master Submitted DPDs'!#REF!),"",'Master Submitted DPDs'!#REF!)</f>
        <v>#REF!</v>
      </c>
      <c r="C1033" s="3" t="str">
        <f>IF(ISBLANK('Master Submitted DPDs'!#REF!),"","IH")</f>
        <v>IH</v>
      </c>
      <c r="D1033" s="3" t="e">
        <f>LOOKUP($F1033,'fuzzy LPA lookup'!$E:$E,'fuzzy LPA lookup'!$A:$A)</f>
        <v>#REF!</v>
      </c>
      <c r="E1033" s="3" t="e">
        <f>LOOKUP($F1033,'fuzzy LPA lookup'!$E:$E,'fuzzy LPA lookup'!$D:$D)</f>
        <v>#REF!</v>
      </c>
      <c r="F1033" s="8" t="e">
        <f>IF(ISBLANK('Master Submitted DPDs'!#REF!),"",'Master Submitted DPDs'!#REF!)</f>
        <v>#REF!</v>
      </c>
      <c r="G1033" t="str">
        <f>IF(ISBLANK('Master Submitted DPDs'!#REF!),"","Withdrawn")</f>
        <v>Withdrawn</v>
      </c>
      <c r="H1033" s="2" t="e">
        <f>IF(ISBLANK('Master Submitted DPDs'!#REF!),"",'Master Submitted DPDs'!#REF!)</f>
        <v>#REF!</v>
      </c>
      <c r="I1033" s="3"/>
      <c r="J1033" s="3"/>
      <c r="K1033" s="3"/>
      <c r="L1033" s="2" t="e">
        <f>IF(ISBLANK('Master Submitted DPDs'!#REF!),"",'Master Submitted DPDs'!#REF!)</f>
        <v>#REF!</v>
      </c>
      <c r="M1033" s="2" t="e">
        <f t="shared" si="36"/>
        <v>#REF!</v>
      </c>
      <c r="N1033" s="2" t="e">
        <f>IF(ISBLANK('Master Submitted DPDs'!#REF!),IF(ISBLANK('Master Submitted DPDs'!#REF!),"",'Master Submitted DPDs'!#REF!),'Master Submitted DPDs'!#REF!)</f>
        <v>#REF!</v>
      </c>
      <c r="O1033" s="2" t="e">
        <f>IF(ISBLANK('Master Submitted DPDs'!#REF!),"",'Master Submitted DPDs'!#REF!)</f>
        <v>#REF!</v>
      </c>
      <c r="P1033" s="2" t="e">
        <f>IF(ISBLANK('Master Submitted DPDs'!#REF!),"",'Master Submitted DPDs'!#REF!)</f>
        <v>#REF!</v>
      </c>
      <c r="Q1033" t="e">
        <f>IF(ISBLANK('Master Submitted DPDs'!#REF!),"",'Master Submitted DPDs'!#REF!)</f>
        <v>#REF!</v>
      </c>
      <c r="R1033" t="e">
        <f t="shared" si="37"/>
        <v>#REF!</v>
      </c>
      <c r="S1033" s="3"/>
      <c r="T1033" t="e">
        <f>IF(ISBLANK('Master Submitted DPDs'!#REF!),"",'Master Submitted DPDs'!#REF!)</f>
        <v>#REF!</v>
      </c>
    </row>
    <row r="1034" spans="1:20" ht="15" x14ac:dyDescent="0.2">
      <c r="A1034" s="3" t="str">
        <f>IF(ISBLANK('Master Submitted DPDs'!$B367),"","Local Plans")</f>
        <v>Local Plans</v>
      </c>
      <c r="B1034" t="str">
        <f>IF(ISBLANK('Master Submitted DPDs'!F367),"",'Master Submitted DPDs'!F367)</f>
        <v>LP</v>
      </c>
      <c r="C1034" s="3" t="str">
        <f>IF(ISBLANK('Master Submitted DPDs'!$B367),"","IH")</f>
        <v>IH</v>
      </c>
      <c r="D1034" s="3" t="str">
        <f>LOOKUP($F1034,'fuzzy LPA lookup'!$E:$E,'fuzzy LPA lookup'!$A:$A)</f>
        <v>E1855</v>
      </c>
      <c r="E1034" s="3" t="str">
        <f>LOOKUP($F1034,'fuzzy LPA lookup'!$E:$E,'fuzzy LPA lookup'!$D:$D)</f>
        <v>Worcestershire County Council</v>
      </c>
      <c r="F1034" s="8">
        <f>IF(ISBLANK('Master Submitted DPDs'!B367),"",'Master Submitted DPDs'!B367)</f>
        <v>2104</v>
      </c>
      <c r="G1034" t="str">
        <f>IF(ISBLANK('Master Submitted DPDs'!AS367),"","Withdrawn")</f>
        <v/>
      </c>
      <c r="H1034" s="2" t="str">
        <f>IF(ISBLANK('Master Submitted DPDs'!AS367),"",'Master Submitted DPDs'!AS367)</f>
        <v/>
      </c>
      <c r="I1034" s="3"/>
      <c r="J1034" s="3"/>
      <c r="K1034" s="3"/>
      <c r="L1034" s="2">
        <f>IF(ISBLANK('Master Submitted DPDs'!J367),"",'Master Submitted DPDs'!J367)</f>
        <v>44778</v>
      </c>
      <c r="M1034" s="2">
        <f t="shared" si="36"/>
        <v>44778</v>
      </c>
      <c r="N1034" s="2">
        <f>IF(ISBLANK('Master Submitted DPDs'!M367),IF(ISBLANK('Master Submitted DPDs'!O367),"",'Master Submitted DPDs'!O367),'Master Submitted DPDs'!M367)</f>
        <v>44783</v>
      </c>
      <c r="O1034" s="2">
        <f>IF(ISBLANK('Master Submitted DPDs'!Q367),"",'Master Submitted DPDs'!Q367)</f>
        <v>44987</v>
      </c>
      <c r="P1034" s="2">
        <f>IF(ISBLANK('Master Submitted DPDs'!AO367),"",'Master Submitted DPDs'!AO367)</f>
        <v>45271</v>
      </c>
      <c r="Q1034" t="str">
        <f>IF(ISBLANK('Master Submitted DPDs'!AU367),"",'Master Submitted DPDs'!AU367)</f>
        <v>SOU</v>
      </c>
      <c r="R1034" t="str">
        <f t="shared" si="37"/>
        <v>Closed</v>
      </c>
      <c r="S1034" s="3"/>
      <c r="T1034">
        <f>IF(ISBLANK('Master Submitted DPDs'!G367),"",'Master Submitted DPDs'!G367)</f>
        <v>3</v>
      </c>
    </row>
    <row r="1035" spans="1:20" ht="15" x14ac:dyDescent="0.2">
      <c r="A1035" s="3" t="str">
        <f>IF(ISBLANK('Master Submitted DPDs'!$B368),"","Local Plans")</f>
        <v>Local Plans</v>
      </c>
      <c r="B1035" t="str">
        <f>IF(ISBLANK('Master Submitted DPDs'!F368),"",'Master Submitted DPDs'!F368)</f>
        <v>LP</v>
      </c>
      <c r="C1035" s="3" t="str">
        <f>IF(ISBLANK('Master Submitted DPDs'!$B368),"","IH")</f>
        <v>IH</v>
      </c>
      <c r="D1035" s="3" t="str">
        <f>LOOKUP($F1035,'fuzzy LPA lookup'!$E:$E,'fuzzy LPA lookup'!$A:$A)</f>
        <v>A4710</v>
      </c>
      <c r="E1035" s="3" t="str">
        <f>LOOKUP($F1035,'fuzzy LPA lookup'!$E:$E,'fuzzy LPA lookup'!$D:$D)</f>
        <v>Calderdale Metropolitan Borough Council</v>
      </c>
      <c r="F1035" s="8">
        <f>IF(ISBLANK('Master Submitted DPDs'!B368),"",'Master Submitted DPDs'!B368)</f>
        <v>2008</v>
      </c>
      <c r="G1035" t="str">
        <f>IF(ISBLANK('Master Submitted DPDs'!AS368),"","Withdrawn")</f>
        <v/>
      </c>
      <c r="H1035" s="2" t="str">
        <f>IF(ISBLANK('Master Submitted DPDs'!AS368),"",'Master Submitted DPDs'!AS368)</f>
        <v/>
      </c>
      <c r="I1035" s="3"/>
      <c r="J1035" s="3"/>
      <c r="K1035" s="3"/>
      <c r="L1035" s="2">
        <f>IF(ISBLANK('Master Submitted DPDs'!J368),"",'Master Submitted DPDs'!J368)</f>
        <v>44820</v>
      </c>
      <c r="M1035" s="2">
        <f t="shared" si="36"/>
        <v>44820</v>
      </c>
      <c r="N1035" s="2">
        <f>IF(ISBLANK('Master Submitted DPDs'!M368),IF(ISBLANK('Master Submitted DPDs'!O368),"",'Master Submitted DPDs'!O368),'Master Submitted DPDs'!M368)</f>
        <v>44824</v>
      </c>
      <c r="O1035" s="2">
        <f>IF(ISBLANK('Master Submitted DPDs'!Q368),"",'Master Submitted DPDs'!Q368)</f>
        <v>45146</v>
      </c>
      <c r="P1035" s="2">
        <f>IF(ISBLANK('Master Submitted DPDs'!AO368),"",'Master Submitted DPDs'!AO368)</f>
        <v>45558</v>
      </c>
      <c r="Q1035" t="str">
        <f>IF(ISBLANK('Master Submitted DPDs'!AU368),"",'Master Submitted DPDs'!AU368)</f>
        <v>SOU</v>
      </c>
      <c r="R1035" t="str">
        <f t="shared" si="37"/>
        <v>Closed</v>
      </c>
      <c r="S1035" s="3"/>
      <c r="T1035">
        <f>IF(ISBLANK('Master Submitted DPDs'!G368),"",'Master Submitted DPDs'!G368)</f>
        <v>3</v>
      </c>
    </row>
    <row r="1036" spans="1:20" ht="15" x14ac:dyDescent="0.2">
      <c r="A1036" s="3" t="str">
        <f>IF(ISBLANK('Master Submitted DPDs'!$B369),"","Local Plans")</f>
        <v>Local Plans</v>
      </c>
      <c r="B1036" t="str">
        <f>IF(ISBLANK('Master Submitted DPDs'!F369),"",'Master Submitted DPDs'!F369)</f>
        <v>Other</v>
      </c>
      <c r="C1036" s="3" t="str">
        <f>IF(ISBLANK('Master Submitted DPDs'!$B369),"","IH")</f>
        <v>IH</v>
      </c>
      <c r="D1036" s="3" t="str">
        <f>LOOKUP($F1036,'fuzzy LPA lookup'!$E:$E,'fuzzy LPA lookup'!$A:$A)</f>
        <v>U3935</v>
      </c>
      <c r="E1036" s="3" t="str">
        <f>LOOKUP($F1036,'fuzzy LPA lookup'!$E:$E,'fuzzy LPA lookup'!$D:$D)</f>
        <v>Swindon Borough Council</v>
      </c>
      <c r="F1036" s="8">
        <f>IF(ISBLANK('Master Submitted DPDs'!B369),"",'Master Submitted DPDs'!B369)</f>
        <v>2231</v>
      </c>
      <c r="G1036" t="str">
        <f>IF(ISBLANK('Master Submitted DPDs'!AS369),"","Withdrawn")</f>
        <v/>
      </c>
      <c r="H1036" s="2" t="str">
        <f>IF(ISBLANK('Master Submitted DPDs'!AS369),"",'Master Submitted DPDs'!AS369)</f>
        <v/>
      </c>
      <c r="I1036" s="3"/>
      <c r="J1036" s="3"/>
      <c r="K1036" s="3"/>
      <c r="L1036" s="2">
        <f>IF(ISBLANK('Master Submitted DPDs'!J369),"",'Master Submitted DPDs'!J369)</f>
        <v>44851</v>
      </c>
      <c r="M1036" s="2">
        <f t="shared" si="36"/>
        <v>44851</v>
      </c>
      <c r="N1036" s="2">
        <f>IF(ISBLANK('Master Submitted DPDs'!M369),IF(ISBLANK('Master Submitted DPDs'!O369),"",'Master Submitted DPDs'!O369),'Master Submitted DPDs'!M369)</f>
        <v>44872</v>
      </c>
      <c r="O1036" s="2">
        <f>IF(ISBLANK('Master Submitted DPDs'!Q369),"",'Master Submitted DPDs'!Q369)</f>
        <v>44994</v>
      </c>
      <c r="P1036" s="2">
        <f>IF(ISBLANK('Master Submitted DPDs'!AO369),"",'Master Submitted DPDs'!AO369)</f>
        <v>45391</v>
      </c>
      <c r="Q1036" t="str">
        <f>IF(ISBLANK('Master Submitted DPDs'!AU369),"",'Master Submitted DPDs'!AU369)</f>
        <v>SOU</v>
      </c>
      <c r="R1036" t="str">
        <f t="shared" si="37"/>
        <v>Closed</v>
      </c>
      <c r="S1036" s="3"/>
      <c r="T1036">
        <f>IF(ISBLANK('Master Submitted DPDs'!G369),"",'Master Submitted DPDs'!G369)</f>
        <v>2</v>
      </c>
    </row>
    <row r="1037" spans="1:20" ht="15" x14ac:dyDescent="0.2">
      <c r="A1037" s="3" t="str">
        <f>IF(ISBLANK('Master Submitted DPDs'!$B370),"","Local Plans")</f>
        <v>Local Plans</v>
      </c>
      <c r="B1037" t="str">
        <f>IF(ISBLANK('Master Submitted DPDs'!F370),"",'Master Submitted DPDs'!F370)</f>
        <v>LP</v>
      </c>
      <c r="C1037" s="3" t="str">
        <f>IF(ISBLANK('Master Submitted DPDs'!$B370),"","IH")</f>
        <v>IH</v>
      </c>
      <c r="D1037" s="3" t="str">
        <f>LOOKUP($F1037,'fuzzy LPA lookup'!$E:$E,'fuzzy LPA lookup'!$A:$A)</f>
        <v>U1105</v>
      </c>
      <c r="E1037" s="3" t="str">
        <f>LOOKUP($F1037,'fuzzy LPA lookup'!$E:$E,'fuzzy LPA lookup'!$D:$D)</f>
        <v>East Devon District Council</v>
      </c>
      <c r="F1037" s="8">
        <f>IF(ISBLANK('Master Submitted DPDs'!B370),"",'Master Submitted DPDs'!B370)</f>
        <v>2025</v>
      </c>
      <c r="G1037" t="str">
        <f>IF(ISBLANK('Master Submitted DPDs'!AS370),"","Withdrawn")</f>
        <v/>
      </c>
      <c r="H1037" s="2" t="str">
        <f>IF(ISBLANK('Master Submitted DPDs'!AS370),"",'Master Submitted DPDs'!AS370)</f>
        <v/>
      </c>
      <c r="I1037" s="3"/>
      <c r="J1037" s="3"/>
      <c r="K1037" s="3"/>
      <c r="L1037" s="2">
        <f>IF(ISBLANK('Master Submitted DPDs'!J370),"",'Master Submitted DPDs'!J370)</f>
        <v>44860</v>
      </c>
      <c r="M1037" s="2">
        <f t="shared" si="36"/>
        <v>44860</v>
      </c>
      <c r="N1037" s="2">
        <f>IF(ISBLANK('Master Submitted DPDs'!M370),IF(ISBLANK('Master Submitted DPDs'!O370),"",'Master Submitted DPDs'!O370),'Master Submitted DPDs'!M370)</f>
        <v>44881</v>
      </c>
      <c r="O1037" s="2">
        <f>IF(ISBLANK('Master Submitted DPDs'!Q370),"",'Master Submitted DPDs'!Q370)</f>
        <v>45239</v>
      </c>
      <c r="P1037" s="2">
        <f>IF(ISBLANK('Master Submitted DPDs'!AO370),"",'Master Submitted DPDs'!AO370)</f>
        <v>45729</v>
      </c>
      <c r="Q1037" t="str">
        <f>IF(ISBLANK('Master Submitted DPDs'!AU370),"",'Master Submitted DPDs'!AU370)</f>
        <v>SOU</v>
      </c>
      <c r="R1037" t="str">
        <f t="shared" si="37"/>
        <v>Closed</v>
      </c>
      <c r="S1037" s="3"/>
      <c r="T1037">
        <f>IF(ISBLANK('Master Submitted DPDs'!G370),"",'Master Submitted DPDs'!G370)</f>
        <v>3</v>
      </c>
    </row>
    <row r="1038" spans="1:20" ht="15" x14ac:dyDescent="0.2">
      <c r="A1038" s="3" t="str">
        <f>IF(ISBLANK('Master Submitted DPDs'!$B371),"","Local Plans")</f>
        <v>Local Plans</v>
      </c>
      <c r="B1038" t="str">
        <f>IF(ISBLANK('Master Submitted DPDs'!F371),"",'Master Submitted DPDs'!F371)</f>
        <v>LP</v>
      </c>
      <c r="C1038" s="3" t="str">
        <f>IF(ISBLANK('Master Submitted DPDs'!$B371),"","IH")</f>
        <v>IH</v>
      </c>
      <c r="D1038" s="3" t="str">
        <f>LOOKUP($F1038,'fuzzy LPA lookup'!$E:$E,'fuzzy LPA lookup'!$A:$A)</f>
        <v>E1855</v>
      </c>
      <c r="E1038" s="3" t="str">
        <f>LOOKUP($F1038,'fuzzy LPA lookup'!$E:$E,'fuzzy LPA lookup'!$D:$D)</f>
        <v>Worcestershire County Council</v>
      </c>
      <c r="F1038" s="8">
        <f>IF(ISBLANK('Master Submitted DPDs'!B371),"",'Master Submitted DPDs'!B371)</f>
        <v>2154</v>
      </c>
      <c r="G1038" t="str">
        <f>IF(ISBLANK('Master Submitted DPDs'!AS371),"","Withdrawn")</f>
        <v>Withdrawn</v>
      </c>
      <c r="H1038" s="2">
        <f>IF(ISBLANK('Master Submitted DPDs'!AS371),"",'Master Submitted DPDs'!AS371)</f>
        <v>45569</v>
      </c>
      <c r="I1038" s="3"/>
      <c r="J1038" s="3"/>
      <c r="K1038" s="3"/>
      <c r="L1038" s="2">
        <f>IF(ISBLANK('Master Submitted DPDs'!J371),"",'Master Submitted DPDs'!J371)</f>
        <v>44876</v>
      </c>
      <c r="M1038" s="2">
        <f t="shared" si="36"/>
        <v>44876</v>
      </c>
      <c r="N1038" s="2">
        <f>IF(ISBLANK('Master Submitted DPDs'!M371),IF(ISBLANK('Master Submitted DPDs'!O371),"",'Master Submitted DPDs'!O371),'Master Submitted DPDs'!M371)</f>
        <v>44886</v>
      </c>
      <c r="O1038" s="2" t="str">
        <f>IF(ISBLANK('Master Submitted DPDs'!Q371),"",'Master Submitted DPDs'!Q371)</f>
        <v/>
      </c>
      <c r="P1038" s="2" t="str">
        <f>IF(ISBLANK('Master Submitted DPDs'!AO371),"",'Master Submitted DPDs'!AO371)</f>
        <v/>
      </c>
      <c r="Q1038" t="str">
        <f>IF(ISBLANK('Master Submitted DPDs'!AU371),"",'Master Submitted DPDs'!AU371)</f>
        <v>DPDW</v>
      </c>
      <c r="R1038" t="str">
        <f t="shared" si="37"/>
        <v>Closed</v>
      </c>
      <c r="S1038" s="3"/>
      <c r="T1038">
        <f>IF(ISBLANK('Master Submitted DPDs'!G371),"",'Master Submitted DPDs'!G371)</f>
        <v>3</v>
      </c>
    </row>
    <row r="1039" spans="1:20" ht="15" x14ac:dyDescent="0.2">
      <c r="A1039" s="3" t="str">
        <f>IF(ISBLANK('Master Submitted DPDs'!$B372),"","Local Plans")</f>
        <v>Local Plans</v>
      </c>
      <c r="B1039" t="str">
        <f>IF(ISBLANK('Master Submitted DPDs'!F372),"",'Master Submitted DPDs'!F372)</f>
        <v>LP</v>
      </c>
      <c r="C1039" s="3" t="str">
        <f>IF(ISBLANK('Master Submitted DPDs'!$B372),"","IH")</f>
        <v>IH</v>
      </c>
      <c r="D1039" s="3" t="str">
        <f>LOOKUP($F1039,'fuzzy LPA lookup'!$E:$E,'fuzzy LPA lookup'!$A:$A)</f>
        <v>E1855</v>
      </c>
      <c r="E1039" s="3" t="str">
        <f>LOOKUP($F1039,'fuzzy LPA lookup'!$E:$E,'fuzzy LPA lookup'!$D:$D)</f>
        <v>Worcestershire County Council</v>
      </c>
      <c r="F1039" s="8">
        <f>IF(ISBLANK('Master Submitted DPDs'!B372),"",'Master Submitted DPDs'!B372)</f>
        <v>2141</v>
      </c>
      <c r="G1039" t="str">
        <f>IF(ISBLANK('Master Submitted DPDs'!AS372),"","Withdrawn")</f>
        <v/>
      </c>
      <c r="H1039" s="2" t="str">
        <f>IF(ISBLANK('Master Submitted DPDs'!AS372),"",'Master Submitted DPDs'!AS372)</f>
        <v/>
      </c>
      <c r="I1039" s="3"/>
      <c r="J1039" s="3"/>
      <c r="K1039" s="3"/>
      <c r="L1039" s="2">
        <f>IF(ISBLANK('Master Submitted DPDs'!J372),"",'Master Submitted DPDs'!J372)</f>
        <v>44890</v>
      </c>
      <c r="M1039" s="2">
        <f t="shared" si="36"/>
        <v>44890</v>
      </c>
      <c r="N1039" s="2">
        <f>IF(ISBLANK('Master Submitted DPDs'!M372),IF(ISBLANK('Master Submitted DPDs'!O372),"",'Master Submitted DPDs'!O372),'Master Submitted DPDs'!M372)</f>
        <v>44911</v>
      </c>
      <c r="O1039" s="2" t="str">
        <f>IF(ISBLANK('Master Submitted DPDs'!Q372),"",'Master Submitted DPDs'!Q372)</f>
        <v/>
      </c>
      <c r="P1039" s="2" t="str">
        <f>IF(ISBLANK('Master Submitted DPDs'!AO372),"",'Master Submitted DPDs'!AO372)</f>
        <v/>
      </c>
      <c r="Q1039" t="str">
        <f>IF(ISBLANK('Master Submitted DPDs'!AU372),"",'Master Submitted DPDs'!AU372)</f>
        <v/>
      </c>
      <c r="R1039" t="str">
        <f t="shared" si="37"/>
        <v>Open</v>
      </c>
      <c r="S1039" s="3"/>
      <c r="T1039">
        <f>IF(ISBLANK('Master Submitted DPDs'!G372),"",'Master Submitted DPDs'!G372)</f>
        <v>3</v>
      </c>
    </row>
    <row r="1040" spans="1:20" ht="15" x14ac:dyDescent="0.2">
      <c r="A1040" s="3" t="str">
        <f>IF(ISBLANK('Master Submitted DPDs'!$B373),"","Local Plans")</f>
        <v>Local Plans</v>
      </c>
      <c r="B1040" t="str">
        <f>IF(ISBLANK('Master Submitted DPDs'!F373),"",'Master Submitted DPDs'!F373)</f>
        <v>Other</v>
      </c>
      <c r="C1040" s="3" t="str">
        <f>IF(ISBLANK('Master Submitted DPDs'!$B373),"","IH")</f>
        <v>IH</v>
      </c>
      <c r="D1040" s="3" t="str">
        <f>LOOKUP($F1040,'fuzzy LPA lookup'!$E:$E,'fuzzy LPA lookup'!$A:$A)</f>
        <v>E1855</v>
      </c>
      <c r="E1040" s="3" t="str">
        <f>LOOKUP($F1040,'fuzzy LPA lookup'!$E:$E,'fuzzy LPA lookup'!$D:$D)</f>
        <v>Worcestershire County Council</v>
      </c>
      <c r="F1040" s="8">
        <f>IF(ISBLANK('Master Submitted DPDs'!B373),"",'Master Submitted DPDs'!B373)</f>
        <v>2184</v>
      </c>
      <c r="G1040" t="str">
        <f>IF(ISBLANK('Master Submitted DPDs'!AS373),"","Withdrawn")</f>
        <v/>
      </c>
      <c r="H1040" s="2" t="str">
        <f>IF(ISBLANK('Master Submitted DPDs'!AS373),"",'Master Submitted DPDs'!AS373)</f>
        <v/>
      </c>
      <c r="I1040" s="3"/>
      <c r="J1040" s="3"/>
      <c r="K1040" s="3"/>
      <c r="L1040" s="2">
        <f>IF(ISBLANK('Master Submitted DPDs'!J373),"",'Master Submitted DPDs'!J373)</f>
        <v>44894</v>
      </c>
      <c r="M1040" s="2">
        <f t="shared" si="36"/>
        <v>44894</v>
      </c>
      <c r="N1040" s="2">
        <f>IF(ISBLANK('Master Submitted DPDs'!M373),IF(ISBLANK('Master Submitted DPDs'!O373),"",'Master Submitted DPDs'!O373),'Master Submitted DPDs'!M373)</f>
        <v>44910</v>
      </c>
      <c r="O1040" s="2">
        <f>IF(ISBLANK('Master Submitted DPDs'!Q373),"",'Master Submitted DPDs'!Q373)</f>
        <v>45034</v>
      </c>
      <c r="P1040" s="2">
        <f>IF(ISBLANK('Master Submitted DPDs'!AO373),"",'Master Submitted DPDs'!AO373)</f>
        <v>45167</v>
      </c>
      <c r="Q1040" t="str">
        <f>IF(ISBLANK('Master Submitted DPDs'!AU373),"",'Master Submitted DPDs'!AU373)</f>
        <v>SOU</v>
      </c>
      <c r="R1040" t="str">
        <f t="shared" si="37"/>
        <v>Closed</v>
      </c>
      <c r="S1040" s="3"/>
      <c r="T1040">
        <f>IF(ISBLANK('Master Submitted DPDs'!G373),"",'Master Submitted DPDs'!G373)</f>
        <v>2</v>
      </c>
    </row>
    <row r="1041" spans="1:20" ht="15" x14ac:dyDescent="0.2">
      <c r="A1041" s="3" t="str">
        <f>IF(ISBLANK('Master Submitted DPDs'!$B374),"","Local Plans")</f>
        <v>Local Plans</v>
      </c>
      <c r="B1041" t="str">
        <f>IF(ISBLANK('Master Submitted DPDs'!F374),"",'Master Submitted DPDs'!F374)</f>
        <v>LP</v>
      </c>
      <c r="C1041" s="3" t="str">
        <f>IF(ISBLANK('Master Submitted DPDs'!$B374),"","IH")</f>
        <v>IH</v>
      </c>
      <c r="D1041" s="3" t="str">
        <f>LOOKUP($F1041,'fuzzy LPA lookup'!$E:$E,'fuzzy LPA lookup'!$A:$A)</f>
        <v>E1855</v>
      </c>
      <c r="E1041" s="3" t="str">
        <f>LOOKUP($F1041,'fuzzy LPA lookup'!$E:$E,'fuzzy LPA lookup'!$D:$D)</f>
        <v>Worcestershire County Council</v>
      </c>
      <c r="F1041" s="8">
        <f>IF(ISBLANK('Master Submitted DPDs'!B374),"",'Master Submitted DPDs'!B374)</f>
        <v>2113</v>
      </c>
      <c r="G1041" t="str">
        <f>IF(ISBLANK('Master Submitted DPDs'!AS374),"","Withdrawn")</f>
        <v/>
      </c>
      <c r="H1041" s="2" t="str">
        <f>IF(ISBLANK('Master Submitted DPDs'!AS374),"",'Master Submitted DPDs'!AS374)</f>
        <v/>
      </c>
      <c r="I1041" s="3"/>
      <c r="J1041" s="3"/>
      <c r="K1041" s="3"/>
      <c r="L1041" s="2">
        <f>IF(ISBLANK('Master Submitted DPDs'!J374),"",'Master Submitted DPDs'!J374)</f>
        <v>44895</v>
      </c>
      <c r="M1041" s="2">
        <f t="shared" si="36"/>
        <v>44895</v>
      </c>
      <c r="N1041" s="2">
        <f>IF(ISBLANK('Master Submitted DPDs'!M374),IF(ISBLANK('Master Submitted DPDs'!O374),"",'Master Submitted DPDs'!O374),'Master Submitted DPDs'!M374)</f>
        <v>44909</v>
      </c>
      <c r="O1041" s="2" t="str">
        <f>IF(ISBLANK('Master Submitted DPDs'!Q374),"",'Master Submitted DPDs'!Q374)</f>
        <v/>
      </c>
      <c r="P1041" s="2" t="str">
        <f>IF(ISBLANK('Master Submitted DPDs'!AO374),"",'Master Submitted DPDs'!AO374)</f>
        <v/>
      </c>
      <c r="Q1041" t="str">
        <f>IF(ISBLANK('Master Submitted DPDs'!AU374),"",'Master Submitted DPDs'!AU374)</f>
        <v/>
      </c>
      <c r="R1041" t="str">
        <f t="shared" si="37"/>
        <v>Open</v>
      </c>
      <c r="S1041" s="3"/>
      <c r="T1041">
        <f>IF(ISBLANK('Master Submitted DPDs'!G374),"",'Master Submitted DPDs'!G374)</f>
        <v>3</v>
      </c>
    </row>
    <row r="1042" spans="1:20" ht="15" x14ac:dyDescent="0.2">
      <c r="A1042" s="3" t="str">
        <f>IF(ISBLANK('Master Submitted DPDs'!$B375),"","Local Plans")</f>
        <v>Local Plans</v>
      </c>
      <c r="B1042" t="str">
        <f>IF(ISBLANK('Master Submitted DPDs'!F375),"",'Master Submitted DPDs'!F375)</f>
        <v>LP</v>
      </c>
      <c r="C1042" s="3" t="str">
        <f>IF(ISBLANK('Master Submitted DPDs'!$B375),"","IH")</f>
        <v>IH</v>
      </c>
      <c r="D1042" s="3" t="str">
        <f>LOOKUP($F1042,'fuzzy LPA lookup'!$E:$E,'fuzzy LPA lookup'!$A:$A)</f>
        <v>E1855</v>
      </c>
      <c r="E1042" s="3" t="str">
        <f>LOOKUP($F1042,'fuzzy LPA lookup'!$E:$E,'fuzzy LPA lookup'!$D:$D)</f>
        <v>Worcestershire County Council</v>
      </c>
      <c r="F1042" s="8">
        <f>IF(ISBLANK('Master Submitted DPDs'!B375),"",'Master Submitted DPDs'!B375)</f>
        <v>2183</v>
      </c>
      <c r="G1042" t="str">
        <f>IF(ISBLANK('Master Submitted DPDs'!AS375),"","Withdrawn")</f>
        <v>Withdrawn</v>
      </c>
      <c r="H1042" s="2">
        <f>IF(ISBLANK('Master Submitted DPDs'!AS375),"",'Master Submitted DPDs'!AS375)</f>
        <v>45946</v>
      </c>
      <c r="I1042" s="3"/>
      <c r="J1042" s="3"/>
      <c r="K1042" s="3"/>
      <c r="L1042" s="2">
        <f>IF(ISBLANK('Master Submitted DPDs'!J375),"",'Master Submitted DPDs'!J375)</f>
        <v>44938</v>
      </c>
      <c r="M1042" s="2">
        <f t="shared" si="36"/>
        <v>44938</v>
      </c>
      <c r="N1042" s="2">
        <f>IF(ISBLANK('Master Submitted DPDs'!M375),IF(ISBLANK('Master Submitted DPDs'!O375),"",'Master Submitted DPDs'!O375),'Master Submitted DPDs'!M375)</f>
        <v>44956</v>
      </c>
      <c r="O1042" s="2" t="str">
        <f>IF(ISBLANK('Master Submitted DPDs'!Q375),"",'Master Submitted DPDs'!Q375)</f>
        <v/>
      </c>
      <c r="P1042" s="2" t="str">
        <f>IF(ISBLANK('Master Submitted DPDs'!AO375),"",'Master Submitted DPDs'!AO375)</f>
        <v/>
      </c>
      <c r="Q1042" t="str">
        <f>IF(ISBLANK('Master Submitted DPDs'!AU375),"",'Master Submitted DPDs'!AU375)</f>
        <v>DPDW</v>
      </c>
      <c r="R1042" t="str">
        <f t="shared" si="37"/>
        <v>Closed</v>
      </c>
      <c r="S1042" s="3"/>
      <c r="T1042">
        <f>IF(ISBLANK('Master Submitted DPDs'!G375),"",'Master Submitted DPDs'!G375)</f>
        <v>3</v>
      </c>
    </row>
    <row r="1043" spans="1:20" ht="15" x14ac:dyDescent="0.2">
      <c r="A1043" s="3" t="str">
        <f>IF(ISBLANK('Master Submitted DPDs'!#REF!),"","Local Plans")</f>
        <v>Local Plans</v>
      </c>
      <c r="B1043" t="e">
        <f>IF(ISBLANK('Master Submitted DPDs'!#REF!),"",'Master Submitted DPDs'!#REF!)</f>
        <v>#REF!</v>
      </c>
      <c r="C1043" s="3" t="str">
        <f>IF(ISBLANK('Master Submitted DPDs'!#REF!),"","IH")</f>
        <v>IH</v>
      </c>
      <c r="D1043" s="3" t="e">
        <f>LOOKUP($F1043,'fuzzy LPA lookup'!$E:$E,'fuzzy LPA lookup'!$A:$A)</f>
        <v>#REF!</v>
      </c>
      <c r="E1043" s="3" t="e">
        <f>LOOKUP($F1043,'fuzzy LPA lookup'!$E:$E,'fuzzy LPA lookup'!$D:$D)</f>
        <v>#REF!</v>
      </c>
      <c r="F1043" s="8" t="e">
        <f>IF(ISBLANK('Master Submitted DPDs'!#REF!),"",'Master Submitted DPDs'!#REF!)</f>
        <v>#REF!</v>
      </c>
      <c r="G1043" t="str">
        <f>IF(ISBLANK('Master Submitted DPDs'!#REF!),"","Withdrawn")</f>
        <v>Withdrawn</v>
      </c>
      <c r="H1043" s="2" t="e">
        <f>IF(ISBLANK('Master Submitted DPDs'!#REF!),"",'Master Submitted DPDs'!#REF!)</f>
        <v>#REF!</v>
      </c>
      <c r="I1043" s="3"/>
      <c r="J1043" s="3"/>
      <c r="K1043" s="3"/>
      <c r="L1043" s="2" t="e">
        <f>IF(ISBLANK('Master Submitted DPDs'!#REF!),"",'Master Submitted DPDs'!#REF!)</f>
        <v>#REF!</v>
      </c>
      <c r="M1043" s="2" t="e">
        <f t="shared" si="36"/>
        <v>#REF!</v>
      </c>
      <c r="N1043" s="2" t="e">
        <f>IF(ISBLANK('Master Submitted DPDs'!#REF!),IF(ISBLANK('Master Submitted DPDs'!#REF!),"",'Master Submitted DPDs'!#REF!),'Master Submitted DPDs'!#REF!)</f>
        <v>#REF!</v>
      </c>
      <c r="O1043" s="2" t="e">
        <f>IF(ISBLANK('Master Submitted DPDs'!#REF!),"",'Master Submitted DPDs'!#REF!)</f>
        <v>#REF!</v>
      </c>
      <c r="P1043" s="2" t="e">
        <f>IF(ISBLANK('Master Submitted DPDs'!#REF!),"",'Master Submitted DPDs'!#REF!)</f>
        <v>#REF!</v>
      </c>
      <c r="Q1043" t="e">
        <f>IF(ISBLANK('Master Submitted DPDs'!#REF!),"",'Master Submitted DPDs'!#REF!)</f>
        <v>#REF!</v>
      </c>
      <c r="R1043" t="e">
        <f t="shared" si="37"/>
        <v>#REF!</v>
      </c>
      <c r="S1043" s="3"/>
      <c r="T1043" t="e">
        <f>IF(ISBLANK('Master Submitted DPDs'!#REF!),"",'Master Submitted DPDs'!#REF!)</f>
        <v>#REF!</v>
      </c>
    </row>
    <row r="1044" spans="1:20" ht="15" x14ac:dyDescent="0.2">
      <c r="A1044" s="3" t="str">
        <f>IF(ISBLANK('Master Submitted DPDs'!$B376),"","Local Plans")</f>
        <v>Local Plans</v>
      </c>
      <c r="B1044" t="str">
        <f>IF(ISBLANK('Master Submitted DPDs'!F376),"",'Master Submitted DPDs'!F376)</f>
        <v>LP</v>
      </c>
      <c r="C1044" s="3" t="str">
        <f>IF(ISBLANK('Master Submitted DPDs'!$B376),"","IH")</f>
        <v>IH</v>
      </c>
      <c r="D1044" s="3" t="str">
        <f>LOOKUP($F1044,'fuzzy LPA lookup'!$E:$E,'fuzzy LPA lookup'!$A:$A)</f>
        <v>N2535</v>
      </c>
      <c r="E1044" s="3" t="str">
        <f>LOOKUP($F1044,'fuzzy LPA lookup'!$E:$E,'fuzzy LPA lookup'!$D:$D)</f>
        <v>West Lindsey District Council</v>
      </c>
      <c r="F1044" s="8">
        <f>IF(ISBLANK('Master Submitted DPDs'!B376),"",'Master Submitted DPDs'!B376)</f>
        <v>1813</v>
      </c>
      <c r="G1044" t="str">
        <f>IF(ISBLANK('Master Submitted DPDs'!AS376),"","Withdrawn")</f>
        <v/>
      </c>
      <c r="H1044" s="2" t="str">
        <f>IF(ISBLANK('Master Submitted DPDs'!AS376),"",'Master Submitted DPDs'!AS376)</f>
        <v/>
      </c>
      <c r="I1044" s="3"/>
      <c r="J1044" s="3"/>
      <c r="K1044" s="3"/>
      <c r="L1044" s="2">
        <f>IF(ISBLANK('Master Submitted DPDs'!J376),"",'Master Submitted DPDs'!J376)</f>
        <v>44965</v>
      </c>
      <c r="M1044" s="2">
        <f t="shared" si="36"/>
        <v>44965</v>
      </c>
      <c r="N1044" s="2">
        <f>IF(ISBLANK('Master Submitted DPDs'!M376),IF(ISBLANK('Master Submitted DPDs'!O376),"",'Master Submitted DPDs'!O376),'Master Submitted DPDs'!M376)</f>
        <v>44977</v>
      </c>
      <c r="O1044" s="2">
        <f>IF(ISBLANK('Master Submitted DPDs'!Q376),"",'Master Submitted DPDs'!Q376)</f>
        <v>45127</v>
      </c>
      <c r="P1044" s="2">
        <f>IF(ISBLANK('Master Submitted DPDs'!AO376),"",'Master Submitted DPDs'!AO376)</f>
        <v>45478</v>
      </c>
      <c r="Q1044" t="str">
        <f>IF(ISBLANK('Master Submitted DPDs'!AU376),"",'Master Submitted DPDs'!AU376)</f>
        <v>SOU</v>
      </c>
      <c r="R1044" t="str">
        <f t="shared" si="37"/>
        <v>Closed</v>
      </c>
      <c r="S1044" s="3"/>
      <c r="T1044">
        <f>IF(ISBLANK('Master Submitted DPDs'!G376),"",'Master Submitted DPDs'!G376)</f>
        <v>3</v>
      </c>
    </row>
    <row r="1045" spans="1:20" ht="15" x14ac:dyDescent="0.2">
      <c r="A1045" s="3" t="str">
        <f>IF(ISBLANK('Master Submitted DPDs'!$B377),"","Local Plans")</f>
        <v>Local Plans</v>
      </c>
      <c r="B1045" t="str">
        <f>IF(ISBLANK('Master Submitted DPDs'!F377),"",'Master Submitted DPDs'!F377)</f>
        <v>LP</v>
      </c>
      <c r="C1045" s="3" t="str">
        <f>IF(ISBLANK('Master Submitted DPDs'!$B377),"","IH")</f>
        <v>IH</v>
      </c>
      <c r="D1045" s="3" t="str">
        <f>LOOKUP($F1045,'fuzzy LPA lookup'!$E:$E,'fuzzy LPA lookup'!$A:$A)</f>
        <v>E1855</v>
      </c>
      <c r="E1045" s="3" t="str">
        <f>LOOKUP($F1045,'fuzzy LPA lookup'!$E:$E,'fuzzy LPA lookup'!$D:$D)</f>
        <v>Worcestershire County Council</v>
      </c>
      <c r="F1045" s="8">
        <f>IF(ISBLANK('Master Submitted DPDs'!B377),"",'Master Submitted DPDs'!B377)</f>
        <v>2117</v>
      </c>
      <c r="G1045" t="str">
        <f>IF(ISBLANK('Master Submitted DPDs'!AS377),"","Withdrawn")</f>
        <v/>
      </c>
      <c r="H1045" s="2" t="str">
        <f>IF(ISBLANK('Master Submitted DPDs'!AS377),"",'Master Submitted DPDs'!AS377)</f>
        <v/>
      </c>
      <c r="I1045" s="3"/>
      <c r="J1045" s="3"/>
      <c r="K1045" s="3"/>
      <c r="L1045" s="2">
        <f>IF(ISBLANK('Master Submitted DPDs'!J377),"",'Master Submitted DPDs'!J377)</f>
        <v>45016</v>
      </c>
      <c r="M1045" s="2">
        <f t="shared" si="36"/>
        <v>45016</v>
      </c>
      <c r="N1045" s="2">
        <f>IF(ISBLANK('Master Submitted DPDs'!M377),IF(ISBLANK('Master Submitted DPDs'!O377),"",'Master Submitted DPDs'!O377),'Master Submitted DPDs'!M377)</f>
        <v>45034</v>
      </c>
      <c r="O1045" s="2">
        <f>IF(ISBLANK('Master Submitted DPDs'!Q377),"",'Master Submitted DPDs'!Q377)</f>
        <v>45276</v>
      </c>
      <c r="P1045" s="2">
        <f>IF(ISBLANK('Master Submitted DPDs'!AO377),"",'Master Submitted DPDs'!AO377)</f>
        <v>45555</v>
      </c>
      <c r="Q1045" t="str">
        <f>IF(ISBLANK('Master Submitted DPDs'!AU377),"",'Master Submitted DPDs'!AU377)</f>
        <v>SOU</v>
      </c>
      <c r="R1045" t="str">
        <f t="shared" si="37"/>
        <v>Closed</v>
      </c>
      <c r="S1045" s="3"/>
      <c r="T1045">
        <f>IF(ISBLANK('Master Submitted DPDs'!G377),"",'Master Submitted DPDs'!G377)</f>
        <v>3</v>
      </c>
    </row>
    <row r="1046" spans="1:20" ht="15" x14ac:dyDescent="0.2">
      <c r="A1046" s="3" t="str">
        <f>IF(ISBLANK('Master Submitted DPDs'!$B378),"","Local Plans")</f>
        <v>Local Plans</v>
      </c>
      <c r="B1046" t="str">
        <f>IF(ISBLANK('Master Submitted DPDs'!F378),"",'Master Submitted DPDs'!F378)</f>
        <v>LP</v>
      </c>
      <c r="C1046" s="3" t="str">
        <f>IF(ISBLANK('Master Submitted DPDs'!$B378),"","IH")</f>
        <v>IH</v>
      </c>
      <c r="D1046" s="3" t="str">
        <f>LOOKUP($F1046,'fuzzy LPA lookup'!$E:$E,'fuzzy LPA lookup'!$A:$A)</f>
        <v>T1600</v>
      </c>
      <c r="E1046" s="3" t="str">
        <f>LOOKUP($F1046,'fuzzy LPA lookup'!$E:$E,'fuzzy LPA lookup'!$D:$D)</f>
        <v>Gloucestershire County Council</v>
      </c>
      <c r="F1046" s="8">
        <f>IF(ISBLANK('Master Submitted DPDs'!B378),"",'Master Submitted DPDs'!B378)</f>
        <v>2036</v>
      </c>
      <c r="G1046" t="str">
        <f>IF(ISBLANK('Master Submitted DPDs'!AS378),"","Withdrawn")</f>
        <v/>
      </c>
      <c r="H1046" s="2" t="str">
        <f>IF(ISBLANK('Master Submitted DPDs'!AS378),"",'Master Submitted DPDs'!AS378)</f>
        <v/>
      </c>
      <c r="I1046" s="3"/>
      <c r="J1046" s="3"/>
      <c r="K1046" s="3"/>
      <c r="L1046" s="2">
        <f>IF(ISBLANK('Master Submitted DPDs'!J378),"",'Master Submitted DPDs'!J378)</f>
        <v>45016</v>
      </c>
      <c r="M1046" s="2">
        <f t="shared" si="36"/>
        <v>45016</v>
      </c>
      <c r="N1046" s="2">
        <f>IF(ISBLANK('Master Submitted DPDs'!M378),IF(ISBLANK('Master Submitted DPDs'!O378),"",'Master Submitted DPDs'!O378),'Master Submitted DPDs'!M378)</f>
        <v>45033</v>
      </c>
      <c r="O1046" s="2">
        <f>IF(ISBLANK('Master Submitted DPDs'!Q378),"",'Master Submitted DPDs'!Q378)</f>
        <v>45489</v>
      </c>
      <c r="P1046" s="2">
        <f>IF(ISBLANK('Master Submitted DPDs'!AO378),"",'Master Submitted DPDs'!AO378)</f>
        <v>45656</v>
      </c>
      <c r="Q1046" t="str">
        <f>IF(ISBLANK('Master Submitted DPDs'!AU378),"",'Master Submitted DPDs'!AU378)</f>
        <v>SOU</v>
      </c>
      <c r="R1046" t="str">
        <f t="shared" si="37"/>
        <v>Closed</v>
      </c>
      <c r="S1046" s="3"/>
      <c r="T1046">
        <f>IF(ISBLANK('Master Submitted DPDs'!G378),"",'Master Submitted DPDs'!G378)</f>
        <v>3</v>
      </c>
    </row>
    <row r="1047" spans="1:20" ht="15" x14ac:dyDescent="0.2">
      <c r="A1047" s="3" t="str">
        <f>IF(ISBLANK('Master Submitted DPDs'!$B379),"","Local Plans")</f>
        <v>Local Plans</v>
      </c>
      <c r="B1047" t="str">
        <f>IF(ISBLANK('Master Submitted DPDs'!F379),"",'Master Submitted DPDs'!F379)</f>
        <v>LP</v>
      </c>
      <c r="C1047" s="3" t="str">
        <f>IF(ISBLANK('Master Submitted DPDs'!$B379),"","IH")</f>
        <v>IH</v>
      </c>
      <c r="D1047" s="3" t="str">
        <f>LOOKUP($F1047,'fuzzy LPA lookup'!$E:$E,'fuzzy LPA lookup'!$A:$A)</f>
        <v>E1855</v>
      </c>
      <c r="E1047" s="3" t="str">
        <f>LOOKUP($F1047,'fuzzy LPA lookup'!$E:$E,'fuzzy LPA lookup'!$D:$D)</f>
        <v>Worcestershire County Council</v>
      </c>
      <c r="F1047" s="8">
        <f>IF(ISBLANK('Master Submitted DPDs'!B379),"",'Master Submitted DPDs'!B379)</f>
        <v>2162</v>
      </c>
      <c r="G1047" t="str">
        <f>IF(ISBLANK('Master Submitted DPDs'!AS379),"","Withdrawn")</f>
        <v/>
      </c>
      <c r="H1047" s="2" t="str">
        <f>IF(ISBLANK('Master Submitted DPDs'!AS379),"",'Master Submitted DPDs'!AS379)</f>
        <v/>
      </c>
      <c r="I1047" s="3"/>
      <c r="J1047" s="3"/>
      <c r="K1047" s="3"/>
      <c r="L1047" s="2">
        <f>IF(ISBLANK('Master Submitted DPDs'!J379),"",'Master Submitted DPDs'!J379)</f>
        <v>45016</v>
      </c>
      <c r="M1047" s="2">
        <f t="shared" si="36"/>
        <v>45016</v>
      </c>
      <c r="N1047" s="2">
        <f>IF(ISBLANK('Master Submitted DPDs'!M379),IF(ISBLANK('Master Submitted DPDs'!O379),"",'Master Submitted DPDs'!O379),'Master Submitted DPDs'!M379)</f>
        <v>45037</v>
      </c>
      <c r="O1047" s="2">
        <f>IF(ISBLANK('Master Submitted DPDs'!Q379),"",'Master Submitted DPDs'!Q379)</f>
        <v>45568</v>
      </c>
      <c r="P1047" s="2">
        <f>IF(ISBLANK('Master Submitted DPDs'!AO379),"",'Master Submitted DPDs'!AO379)</f>
        <v>45755</v>
      </c>
      <c r="Q1047" t="str">
        <f>IF(ISBLANK('Master Submitted DPDs'!AU379),"",'Master Submitted DPDs'!AU379)</f>
        <v>SOU</v>
      </c>
      <c r="R1047" t="str">
        <f t="shared" si="37"/>
        <v>Closed</v>
      </c>
      <c r="S1047" s="3"/>
      <c r="T1047">
        <f>IF(ISBLANK('Master Submitted DPDs'!G379),"",'Master Submitted DPDs'!G379)</f>
        <v>3</v>
      </c>
    </row>
    <row r="1048" spans="1:20" ht="15" x14ac:dyDescent="0.2">
      <c r="A1048" s="3" t="str">
        <f>IF(ISBLANK('Master Submitted DPDs'!$B380),"","Local Plans")</f>
        <v>Local Plans</v>
      </c>
      <c r="B1048" t="str">
        <f>IF(ISBLANK('Master Submitted DPDs'!F380),"",'Master Submitted DPDs'!F380)</f>
        <v>LP</v>
      </c>
      <c r="C1048" s="3" t="str">
        <f>IF(ISBLANK('Master Submitted DPDs'!$B380),"","IH")</f>
        <v>IH</v>
      </c>
      <c r="D1048" s="3" t="str">
        <f>LOOKUP($F1048,'fuzzy LPA lookup'!$E:$E,'fuzzy LPA lookup'!$A:$A)</f>
        <v>E1855</v>
      </c>
      <c r="E1048" s="3" t="str">
        <f>LOOKUP($F1048,'fuzzy LPA lookup'!$E:$E,'fuzzy LPA lookup'!$D:$D)</f>
        <v>Worcestershire County Council</v>
      </c>
      <c r="F1048" s="8">
        <f>IF(ISBLANK('Master Submitted DPDs'!B380),"",'Master Submitted DPDs'!B380)</f>
        <v>2122</v>
      </c>
      <c r="G1048" t="str">
        <f>IF(ISBLANK('Master Submitted DPDs'!AS380),"","Withdrawn")</f>
        <v/>
      </c>
      <c r="H1048" s="2" t="str">
        <f>IF(ISBLANK('Master Submitted DPDs'!AS380),"",'Master Submitted DPDs'!AS380)</f>
        <v/>
      </c>
      <c r="I1048" s="3"/>
      <c r="J1048" s="3"/>
      <c r="K1048" s="3"/>
      <c r="L1048" s="2">
        <f>IF(ISBLANK('Master Submitted DPDs'!J380),"",'Master Submitted DPDs'!J380)</f>
        <v>45057</v>
      </c>
      <c r="M1048" s="2">
        <f t="shared" si="36"/>
        <v>45057</v>
      </c>
      <c r="N1048" s="2">
        <f>IF(ISBLANK('Master Submitted DPDs'!M380),IF(ISBLANK('Master Submitted DPDs'!O380),"",'Master Submitted DPDs'!O380),'Master Submitted DPDs'!M380)</f>
        <v>45076</v>
      </c>
      <c r="O1048" s="2">
        <f>IF(ISBLANK('Master Submitted DPDs'!Q380),"",'Master Submitted DPDs'!Q380)</f>
        <v>45757</v>
      </c>
      <c r="P1048" s="2">
        <f>IF(ISBLANK('Master Submitted DPDs'!AO380),"",'Master Submitted DPDs'!AO380)</f>
        <v>45961</v>
      </c>
      <c r="Q1048" t="str">
        <f>IF(ISBLANK('Master Submitted DPDs'!AU380),"",'Master Submitted DPDs'!AU380)</f>
        <v>SOU</v>
      </c>
      <c r="R1048" t="str">
        <f t="shared" si="37"/>
        <v>Closed</v>
      </c>
      <c r="S1048" s="3"/>
      <c r="T1048">
        <f>IF(ISBLANK('Master Submitted DPDs'!G380),"",'Master Submitted DPDs'!G380)</f>
        <v>3</v>
      </c>
    </row>
    <row r="1049" spans="1:20" ht="15" x14ac:dyDescent="0.2">
      <c r="A1049" s="3" t="str">
        <f>IF(ISBLANK('Master Submitted DPDs'!$B358),"","Local Plans")</f>
        <v>Local Plans</v>
      </c>
      <c r="B1049" t="str">
        <f>IF(ISBLANK('Master Submitted DPDs'!F358),"",'Master Submitted DPDs'!F358)</f>
        <v>LP</v>
      </c>
      <c r="C1049" s="3" t="str">
        <f>IF(ISBLANK('Master Submitted DPDs'!$B358),"","IH")</f>
        <v>IH</v>
      </c>
      <c r="D1049" s="3" t="str">
        <f>LOOKUP($F1049,'fuzzy LPA lookup'!$E:$E,'fuzzy LPA lookup'!$A:$A)</f>
        <v>U3935</v>
      </c>
      <c r="E1049" s="3" t="str">
        <f>LOOKUP($F1049,'fuzzy LPA lookup'!$E:$E,'fuzzy LPA lookup'!$D:$D)</f>
        <v>Swindon Borough Council</v>
      </c>
      <c r="F1049" s="8">
        <f>IF(ISBLANK('Master Submitted DPDs'!B358),"",'Master Submitted DPDs'!B358)</f>
        <v>2248</v>
      </c>
      <c r="G1049" t="str">
        <f>IF(ISBLANK('Master Submitted DPDs'!AS358),"","Withdrawn")</f>
        <v/>
      </c>
      <c r="H1049" s="2" t="str">
        <f>IF(ISBLANK('Master Submitted DPDs'!AS358),"",'Master Submitted DPDs'!AS358)</f>
        <v/>
      </c>
      <c r="I1049" s="3"/>
      <c r="J1049" s="3"/>
      <c r="K1049" s="3"/>
      <c r="L1049" s="2">
        <f>IF(ISBLANK('Master Submitted DPDs'!J358),"",'Master Submitted DPDs'!J358)</f>
        <v>44676</v>
      </c>
      <c r="M1049" s="2">
        <f t="shared" si="36"/>
        <v>44676</v>
      </c>
      <c r="N1049" s="2">
        <f>IF(ISBLANK('Master Submitted DPDs'!M358),IF(ISBLANK('Master Submitted DPDs'!O358),"",'Master Submitted DPDs'!O358),'Master Submitted DPDs'!M358)</f>
        <v>44690</v>
      </c>
      <c r="O1049" s="2">
        <f>IF(ISBLANK('Master Submitted DPDs'!Q358),"",'Master Submitted DPDs'!Q358)</f>
        <v>44832</v>
      </c>
      <c r="P1049" s="2">
        <f>IF(ISBLANK('Master Submitted DPDs'!AO358),"",'Master Submitted DPDs'!AO358)</f>
        <v>44915</v>
      </c>
      <c r="Q1049" t="str">
        <f>IF(ISBLANK('Master Submitted DPDs'!AU358),"",'Master Submitted DPDs'!AU358)</f>
        <v>SOU</v>
      </c>
      <c r="R1049" t="str">
        <f t="shared" si="37"/>
        <v>Closed</v>
      </c>
      <c r="S1049" s="3"/>
      <c r="T1049">
        <f>IF(ISBLANK('Master Submitted DPDs'!G358),"",'Master Submitted DPDs'!G358)</f>
        <v>3</v>
      </c>
    </row>
    <row r="1050" spans="1:20" ht="15" x14ac:dyDescent="0.2">
      <c r="A1050" s="3" t="str">
        <f>IF(ISBLANK('Master Submitted DPDs'!#REF!),"","Local Plans")</f>
        <v>Local Plans</v>
      </c>
      <c r="B1050" t="e">
        <f>IF(ISBLANK('Master Submitted DPDs'!#REF!),"",'Master Submitted DPDs'!#REF!)</f>
        <v>#REF!</v>
      </c>
      <c r="C1050" s="3" t="str">
        <f>IF(ISBLANK('Master Submitted DPDs'!#REF!),"","IH")</f>
        <v>IH</v>
      </c>
      <c r="D1050" s="3" t="e">
        <f>LOOKUP($F1050,'fuzzy LPA lookup'!$E:$E,'fuzzy LPA lookup'!$A:$A)</f>
        <v>#REF!</v>
      </c>
      <c r="E1050" s="3" t="e">
        <f>LOOKUP($F1050,'fuzzy LPA lookup'!$E:$E,'fuzzy LPA lookup'!$D:$D)</f>
        <v>#REF!</v>
      </c>
      <c r="F1050" s="8" t="e">
        <f>IF(ISBLANK('Master Submitted DPDs'!#REF!),"",'Master Submitted DPDs'!#REF!)</f>
        <v>#REF!</v>
      </c>
      <c r="G1050" t="str">
        <f>IF(ISBLANK('Master Submitted DPDs'!#REF!),"","Withdrawn")</f>
        <v>Withdrawn</v>
      </c>
      <c r="H1050" s="2" t="e">
        <f>IF(ISBLANK('Master Submitted DPDs'!#REF!),"",'Master Submitted DPDs'!#REF!)</f>
        <v>#REF!</v>
      </c>
      <c r="I1050" s="3"/>
      <c r="J1050" s="3"/>
      <c r="K1050" s="3"/>
      <c r="L1050" s="2" t="e">
        <f>IF(ISBLANK('Master Submitted DPDs'!#REF!),"",'Master Submitted DPDs'!#REF!)</f>
        <v>#REF!</v>
      </c>
      <c r="M1050" s="2" t="e">
        <f t="shared" si="36"/>
        <v>#REF!</v>
      </c>
      <c r="N1050" s="2" t="e">
        <f>IF(ISBLANK('Master Submitted DPDs'!#REF!),IF(ISBLANK('Master Submitted DPDs'!#REF!),"",'Master Submitted DPDs'!#REF!),'Master Submitted DPDs'!#REF!)</f>
        <v>#REF!</v>
      </c>
      <c r="O1050" s="2" t="e">
        <f>IF(ISBLANK('Master Submitted DPDs'!#REF!),"",'Master Submitted DPDs'!#REF!)</f>
        <v>#REF!</v>
      </c>
      <c r="P1050" s="2" t="e">
        <f>IF(ISBLANK('Master Submitted DPDs'!#REF!),"",'Master Submitted DPDs'!#REF!)</f>
        <v>#REF!</v>
      </c>
      <c r="Q1050" t="e">
        <f>IF(ISBLANK('Master Submitted DPDs'!#REF!),"",'Master Submitted DPDs'!#REF!)</f>
        <v>#REF!</v>
      </c>
      <c r="R1050" t="e">
        <f t="shared" si="37"/>
        <v>#REF!</v>
      </c>
      <c r="S1050" s="3"/>
      <c r="T1050" t="e">
        <f>IF(ISBLANK('Master Submitted DPDs'!#REF!),"",'Master Submitted DPDs'!#REF!)</f>
        <v>#REF!</v>
      </c>
    </row>
    <row r="1051" spans="1:20" ht="15" x14ac:dyDescent="0.2">
      <c r="A1051" s="3" t="str">
        <f>IF(ISBLANK('Master Submitted DPDs'!$B360),"","Local Plans")</f>
        <v>Local Plans</v>
      </c>
      <c r="B1051" t="str">
        <f>IF(ISBLANK('Master Submitted DPDs'!F360),"",'Master Submitted DPDs'!F360)</f>
        <v>M&amp;W</v>
      </c>
      <c r="C1051" s="3" t="str">
        <f>IF(ISBLANK('Master Submitted DPDs'!$B360),"","IH")</f>
        <v>IH</v>
      </c>
      <c r="D1051" s="3" t="str">
        <f>LOOKUP($F1051,'fuzzy LPA lookup'!$E:$E,'fuzzy LPA lookup'!$A:$A)</f>
        <v>U3935</v>
      </c>
      <c r="E1051" s="3" t="str">
        <f>LOOKUP($F1051,'fuzzy LPA lookup'!$E:$E,'fuzzy LPA lookup'!$D:$D)</f>
        <v>Swindon Borough Council</v>
      </c>
      <c r="F1051" s="8">
        <f>IF(ISBLANK('Master Submitted DPDs'!B360),"",'Master Submitted DPDs'!B360)</f>
        <v>2264</v>
      </c>
      <c r="G1051" t="str">
        <f>IF(ISBLANK('Master Submitted DPDs'!AS360),"","Withdrawn")</f>
        <v/>
      </c>
      <c r="H1051" s="2" t="str">
        <f>IF(ISBLANK('Master Submitted DPDs'!AS360),"",'Master Submitted DPDs'!AS360)</f>
        <v/>
      </c>
      <c r="I1051" s="3"/>
      <c r="J1051" s="3"/>
      <c r="K1051" s="3"/>
      <c r="L1051" s="2">
        <f>IF(ISBLANK('Master Submitted DPDs'!J360),"",'Master Submitted DPDs'!J360)</f>
        <v>44694</v>
      </c>
      <c r="M1051" s="2">
        <f t="shared" si="36"/>
        <v>44694</v>
      </c>
      <c r="N1051" s="2">
        <f>IF(ISBLANK('Master Submitted DPDs'!M360),IF(ISBLANK('Master Submitted DPDs'!O360),"",'Master Submitted DPDs'!O360),'Master Submitted DPDs'!M360)</f>
        <v>44732</v>
      </c>
      <c r="O1051" s="2">
        <f>IF(ISBLANK('Master Submitted DPDs'!Q360),"",'Master Submitted DPDs'!Q360)</f>
        <v>44874</v>
      </c>
      <c r="P1051" s="2">
        <f>IF(ISBLANK('Master Submitted DPDs'!AO360),"",'Master Submitted DPDs'!AO360)</f>
        <v>45385</v>
      </c>
      <c r="Q1051" t="str">
        <f>IF(ISBLANK('Master Submitted DPDs'!AU360),"",'Master Submitted DPDs'!AU360)</f>
        <v>SOU</v>
      </c>
      <c r="R1051" t="str">
        <f t="shared" si="37"/>
        <v>Closed</v>
      </c>
      <c r="S1051" s="3"/>
      <c r="T1051">
        <f>IF(ISBLANK('Master Submitted DPDs'!G360),"",'Master Submitted DPDs'!G360)</f>
        <v>2</v>
      </c>
    </row>
    <row r="1052" spans="1:20" ht="15" x14ac:dyDescent="0.2">
      <c r="A1052" s="3" t="str">
        <f>IF(ISBLANK('Master Submitted DPDs'!$B381),"","Local Plans")</f>
        <v>Local Plans</v>
      </c>
      <c r="B1052" t="str">
        <f>IF(ISBLANK('Master Submitted DPDs'!F381),"",'Master Submitted DPDs'!F381)</f>
        <v>M&amp;W</v>
      </c>
      <c r="C1052" s="3" t="str">
        <f>IF(ISBLANK('Master Submitted DPDs'!$B381),"","IH")</f>
        <v>IH</v>
      </c>
      <c r="D1052" s="3" t="str">
        <f>LOOKUP($F1052,'fuzzy LPA lookup'!$E:$E,'fuzzy LPA lookup'!$A:$A)</f>
        <v>U3935</v>
      </c>
      <c r="E1052" s="3" t="str">
        <f>LOOKUP($F1052,'fuzzy LPA lookup'!$E:$E,'fuzzy LPA lookup'!$D:$D)</f>
        <v>Swindon Borough Council</v>
      </c>
      <c r="F1052" s="8">
        <f>IF(ISBLANK('Master Submitted DPDs'!B381),"",'Master Submitted DPDs'!B381)</f>
        <v>2392</v>
      </c>
      <c r="G1052" t="str">
        <f>IF(ISBLANK('Master Submitted DPDs'!AS381),"","Withdrawn")</f>
        <v/>
      </c>
      <c r="H1052" s="2" t="str">
        <f>IF(ISBLANK('Master Submitted DPDs'!AS381),"",'Master Submitted DPDs'!AS381)</f>
        <v/>
      </c>
      <c r="I1052" s="3"/>
      <c r="J1052" s="3"/>
      <c r="K1052" s="3"/>
      <c r="L1052" s="2">
        <f>IF(ISBLANK('Master Submitted DPDs'!J381),"",'Master Submitted DPDs'!J381)</f>
        <v>45110</v>
      </c>
      <c r="M1052" s="2">
        <f t="shared" si="36"/>
        <v>45110</v>
      </c>
      <c r="N1052" s="2">
        <f>IF(ISBLANK('Master Submitted DPDs'!M381),IF(ISBLANK('Master Submitted DPDs'!O381),"",'Master Submitted DPDs'!O381),'Master Submitted DPDs'!M381)</f>
        <v>45113</v>
      </c>
      <c r="O1052" s="2">
        <f>IF(ISBLANK('Master Submitted DPDs'!Q381),"",'Master Submitted DPDs'!Q381)</f>
        <v>45204</v>
      </c>
      <c r="P1052" s="2">
        <f>IF(ISBLANK('Master Submitted DPDs'!AO381),"",'Master Submitted DPDs'!AO381)</f>
        <v>45432</v>
      </c>
      <c r="Q1052" t="str">
        <f>IF(ISBLANK('Master Submitted DPDs'!AU381),"",'Master Submitted DPDs'!AU381)</f>
        <v>SOU</v>
      </c>
      <c r="R1052" t="str">
        <f t="shared" si="37"/>
        <v>Closed</v>
      </c>
      <c r="S1052" s="3"/>
      <c r="T1052">
        <f>IF(ISBLANK('Master Submitted DPDs'!G381),"",'Master Submitted DPDs'!G381)</f>
        <v>2</v>
      </c>
    </row>
    <row r="1053" spans="1:20" ht="15" x14ac:dyDescent="0.2">
      <c r="A1053" s="3" t="str">
        <f>IF(ISBLANK('Master Submitted DPDs'!$B382),"","Local Plans")</f>
        <v>Local Plans</v>
      </c>
      <c r="B1053" t="str">
        <f>IF(ISBLANK('Master Submitted DPDs'!F382),"",'Master Submitted DPDs'!F382)</f>
        <v>LP</v>
      </c>
      <c r="C1053" s="3" t="str">
        <f>IF(ISBLANK('Master Submitted DPDs'!$B382),"","IH")</f>
        <v>IH</v>
      </c>
      <c r="D1053" s="3" t="str">
        <f>LOOKUP($F1053,'fuzzy LPA lookup'!$E:$E,'fuzzy LPA lookup'!$A:$A)</f>
        <v>U1620</v>
      </c>
      <c r="E1053" s="3" t="str">
        <f>LOOKUP($F1053,'fuzzy LPA lookup'!$E:$E,'fuzzy LPA lookup'!$D:$D)</f>
        <v>Gloucester City Council</v>
      </c>
      <c r="F1053" s="8">
        <f>IF(ISBLANK('Master Submitted DPDs'!B382),"",'Master Submitted DPDs'!B382)</f>
        <v>2211</v>
      </c>
      <c r="G1053" t="str">
        <f>IF(ISBLANK('Master Submitted DPDs'!AS382),"","Withdrawn")</f>
        <v/>
      </c>
      <c r="H1053" s="2" t="str">
        <f>IF(ISBLANK('Master Submitted DPDs'!AS382),"",'Master Submitted DPDs'!AS382)</f>
        <v/>
      </c>
      <c r="I1053" s="3"/>
      <c r="J1053" s="3"/>
      <c r="K1053" s="3"/>
      <c r="L1053" s="2">
        <f>IF(ISBLANK('Master Submitted DPDs'!J382),"",'Master Submitted DPDs'!J382)</f>
        <v>45138</v>
      </c>
      <c r="M1053" s="2">
        <f t="shared" si="36"/>
        <v>45138</v>
      </c>
      <c r="N1053" s="2">
        <f>IF(ISBLANK('Master Submitted DPDs'!M382),IF(ISBLANK('Master Submitted DPDs'!O382),"",'Master Submitted DPDs'!O382),'Master Submitted DPDs'!M382)</f>
        <v>45147</v>
      </c>
      <c r="O1053" s="2">
        <f>IF(ISBLANK('Master Submitted DPDs'!Q382),"",'Master Submitted DPDs'!Q382)</f>
        <v>45307</v>
      </c>
      <c r="P1053" s="2">
        <f>IF(ISBLANK('Master Submitted DPDs'!AO382),"",'Master Submitted DPDs'!AO382)</f>
        <v>45541</v>
      </c>
      <c r="Q1053" t="str">
        <f>IF(ISBLANK('Master Submitted DPDs'!AU382),"",'Master Submitted DPDs'!AU382)</f>
        <v>SOU</v>
      </c>
      <c r="R1053" t="str">
        <f t="shared" si="37"/>
        <v>Closed</v>
      </c>
      <c r="S1053" s="3"/>
      <c r="T1053">
        <f>IF(ISBLANK('Master Submitted DPDs'!G382),"",'Master Submitted DPDs'!G382)</f>
        <v>3</v>
      </c>
    </row>
    <row r="1054" spans="1:20" ht="15" x14ac:dyDescent="0.2">
      <c r="A1054" s="3" t="str">
        <f>IF(ISBLANK('Master Submitted DPDs'!$B383),"","Local Plans")</f>
        <v>Local Plans</v>
      </c>
      <c r="B1054" t="str">
        <f>IF(ISBLANK('Master Submitted DPDs'!F383),"",'Master Submitted DPDs'!F383)</f>
        <v>LP</v>
      </c>
      <c r="C1054" s="3" t="str">
        <f>IF(ISBLANK('Master Submitted DPDs'!$B383),"","IH")</f>
        <v>IH</v>
      </c>
      <c r="D1054" s="3" t="str">
        <f>LOOKUP($F1054,'fuzzy LPA lookup'!$E:$E,'fuzzy LPA lookup'!$A:$A)</f>
        <v>E1855</v>
      </c>
      <c r="E1054" s="3" t="str">
        <f>LOOKUP($F1054,'fuzzy LPA lookup'!$E:$E,'fuzzy LPA lookup'!$D:$D)</f>
        <v>Worcestershire County Council</v>
      </c>
      <c r="F1054" s="8">
        <f>IF(ISBLANK('Master Submitted DPDs'!B383),"",'Master Submitted DPDs'!B383)</f>
        <v>2147</v>
      </c>
      <c r="G1054" t="str">
        <f>IF(ISBLANK('Master Submitted DPDs'!AS383),"","Withdrawn")</f>
        <v>Withdrawn</v>
      </c>
      <c r="H1054" s="2">
        <f>IF(ISBLANK('Master Submitted DPDs'!AS383),"",'Master Submitted DPDs'!AS383)</f>
        <v>45715</v>
      </c>
      <c r="I1054" s="3"/>
      <c r="J1054" s="3"/>
      <c r="K1054" s="3"/>
      <c r="L1054" s="2">
        <f>IF(ISBLANK('Master Submitted DPDs'!J383),"",'Master Submitted DPDs'!J383)</f>
        <v>45148</v>
      </c>
      <c r="M1054" s="2">
        <f t="shared" si="36"/>
        <v>45148</v>
      </c>
      <c r="N1054" s="2">
        <f>IF(ISBLANK('Master Submitted DPDs'!M383),IF(ISBLANK('Master Submitted DPDs'!O383),"",'Master Submitted DPDs'!O383),'Master Submitted DPDs'!M383)</f>
        <v>45152</v>
      </c>
      <c r="O1054" s="2" t="str">
        <f>IF(ISBLANK('Master Submitted DPDs'!Q383),"",'Master Submitted DPDs'!Q383)</f>
        <v/>
      </c>
      <c r="P1054" s="2" t="str">
        <f>IF(ISBLANK('Master Submitted DPDs'!AO383),"",'Master Submitted DPDs'!AO383)</f>
        <v/>
      </c>
      <c r="Q1054" t="str">
        <f>IF(ISBLANK('Master Submitted DPDs'!AU383),"",'Master Submitted DPDs'!AU383)</f>
        <v>DPDW</v>
      </c>
      <c r="R1054" t="str">
        <f t="shared" si="37"/>
        <v>Closed</v>
      </c>
      <c r="S1054" s="3"/>
      <c r="T1054">
        <f>IF(ISBLANK('Master Submitted DPDs'!G383),"",'Master Submitted DPDs'!G383)</f>
        <v>3</v>
      </c>
    </row>
    <row r="1055" spans="1:20" ht="15" x14ac:dyDescent="0.2">
      <c r="A1055" s="3" t="str">
        <f>IF(ISBLANK('Master Submitted DPDs'!$B385),"","Local Plans")</f>
        <v>Local Plans</v>
      </c>
      <c r="B1055" t="str">
        <f>IF(ISBLANK('Master Submitted DPDs'!F385),"",'Master Submitted DPDs'!F385)</f>
        <v>AAP</v>
      </c>
      <c r="C1055" s="3" t="str">
        <f>IF(ISBLANK('Master Submitted DPDs'!$B385),"","IH")</f>
        <v>IH</v>
      </c>
      <c r="D1055" s="3" t="str">
        <f>LOOKUP($F1055,'fuzzy LPA lookup'!$E:$E,'fuzzy LPA lookup'!$A:$A)</f>
        <v>U3935</v>
      </c>
      <c r="E1055" s="3" t="str">
        <f>LOOKUP($F1055,'fuzzy LPA lookup'!$E:$E,'fuzzy LPA lookup'!$D:$D)</f>
        <v>Swindon Borough Council</v>
      </c>
      <c r="F1055" s="8">
        <f>IF(ISBLANK('Master Submitted DPDs'!B385),"",'Master Submitted DPDs'!B385)</f>
        <v>2395</v>
      </c>
      <c r="G1055" t="str">
        <f>IF(ISBLANK('Master Submitted DPDs'!AS385),"","Withdrawn")</f>
        <v/>
      </c>
      <c r="H1055" s="2" t="str">
        <f>IF(ISBLANK('Master Submitted DPDs'!AS385),"",'Master Submitted DPDs'!AS385)</f>
        <v/>
      </c>
      <c r="I1055" s="3"/>
      <c r="J1055" s="3"/>
      <c r="K1055" s="3"/>
      <c r="L1055" s="2">
        <f>IF(ISBLANK('Master Submitted DPDs'!J385),"",'Master Submitted DPDs'!J385)</f>
        <v>45190</v>
      </c>
      <c r="M1055" s="2">
        <f t="shared" si="36"/>
        <v>45190</v>
      </c>
      <c r="N1055" s="2">
        <f>IF(ISBLANK('Master Submitted DPDs'!M385),IF(ISBLANK('Master Submitted DPDs'!O385),"",'Master Submitted DPDs'!O385),'Master Submitted DPDs'!M385)</f>
        <v>45212</v>
      </c>
      <c r="O1055" s="2">
        <f>IF(ISBLANK('Master Submitted DPDs'!Q385),"",'Master Submitted DPDs'!Q385)</f>
        <v>45422</v>
      </c>
      <c r="P1055" s="2">
        <f>IF(ISBLANK('Master Submitted DPDs'!AO385),"",'Master Submitted DPDs'!AO385)</f>
        <v>45747</v>
      </c>
      <c r="Q1055" t="str">
        <f>IF(ISBLANK('Master Submitted DPDs'!AU385),"",'Master Submitted DPDs'!AU385)</f>
        <v>SOU</v>
      </c>
      <c r="R1055" t="str">
        <f t="shared" si="37"/>
        <v>Closed</v>
      </c>
      <c r="S1055" s="3"/>
      <c r="T1055">
        <f>IF(ISBLANK('Master Submitted DPDs'!G385),"",'Master Submitted DPDs'!G385)</f>
        <v>2</v>
      </c>
    </row>
    <row r="1056" spans="1:20" ht="15" x14ac:dyDescent="0.2">
      <c r="A1056" s="3" t="str">
        <f>IF(ISBLANK('Master Submitted DPDs'!$B386),"","Local Plans")</f>
        <v>Local Plans</v>
      </c>
      <c r="B1056" t="str">
        <f>IF(ISBLANK('Master Submitted DPDs'!F386),"",'Master Submitted DPDs'!F386)</f>
        <v xml:space="preserve">LP </v>
      </c>
      <c r="C1056" s="3" t="str">
        <f>IF(ISBLANK('Master Submitted DPDs'!$B386),"","IH")</f>
        <v>IH</v>
      </c>
      <c r="D1056" s="3" t="str">
        <f>LOOKUP($F1056,'fuzzy LPA lookup'!$E:$E,'fuzzy LPA lookup'!$A:$A)</f>
        <v>Z0923</v>
      </c>
      <c r="E1056" s="3" t="str">
        <f>LOOKUP($F1056,'fuzzy LPA lookup'!$E:$E,'fuzzy LPA lookup'!$D:$D)</f>
        <v>Copeland Borough Council</v>
      </c>
      <c r="F1056" s="8">
        <f>IF(ISBLANK('Master Submitted DPDs'!B386),"",'Master Submitted DPDs'!B386)</f>
        <v>1378</v>
      </c>
      <c r="G1056" t="str">
        <f>IF(ISBLANK('Master Submitted DPDs'!AS386),"","Withdrawn")</f>
        <v/>
      </c>
      <c r="H1056" s="2" t="str">
        <f>IF(ISBLANK('Master Submitted DPDs'!AS386),"",'Master Submitted DPDs'!AS386)</f>
        <v/>
      </c>
      <c r="I1056" s="3"/>
      <c r="J1056" s="3"/>
      <c r="K1056" s="3"/>
      <c r="L1056" s="2">
        <f>IF(ISBLANK('Master Submitted DPDs'!J386),"",'Master Submitted DPDs'!J386)</f>
        <v>45195</v>
      </c>
      <c r="M1056" s="2">
        <f t="shared" si="36"/>
        <v>45195</v>
      </c>
      <c r="N1056" s="2">
        <f>IF(ISBLANK('Master Submitted DPDs'!M386),IF(ISBLANK('Master Submitted DPDs'!O386),"",'Master Submitted DPDs'!O386),'Master Submitted DPDs'!M386)</f>
        <v>45208</v>
      </c>
      <c r="O1056" s="2" t="str">
        <f>IF(ISBLANK('Master Submitted DPDs'!Q386),"",'Master Submitted DPDs'!Q386)</f>
        <v/>
      </c>
      <c r="P1056" s="2" t="str">
        <f>IF(ISBLANK('Master Submitted DPDs'!AO386),"",'Master Submitted DPDs'!AO386)</f>
        <v/>
      </c>
      <c r="Q1056" t="str">
        <f>IF(ISBLANK('Master Submitted DPDs'!AU386),"",'Master Submitted DPDs'!AU386)</f>
        <v/>
      </c>
      <c r="R1056" t="str">
        <f t="shared" si="37"/>
        <v>Open</v>
      </c>
      <c r="S1056" s="3"/>
      <c r="T1056">
        <f>IF(ISBLANK('Master Submitted DPDs'!G386),"",'Master Submitted DPDs'!G386)</f>
        <v>3</v>
      </c>
    </row>
    <row r="1057" spans="1:20" ht="15" x14ac:dyDescent="0.2">
      <c r="A1057" s="3" t="str">
        <f>IF(ISBLANK('Master Submitted DPDs'!$B387),"","Local Plans")</f>
        <v>Local Plans</v>
      </c>
      <c r="B1057" t="str">
        <f>IF(ISBLANK('Master Submitted DPDs'!F387),"",'Master Submitted DPDs'!F387)</f>
        <v>LP</v>
      </c>
      <c r="C1057" s="3" t="str">
        <f>IF(ISBLANK('Master Submitted DPDs'!$B387),"","IH")</f>
        <v>IH</v>
      </c>
      <c r="D1057" s="3" t="str">
        <f>LOOKUP($F1057,'fuzzy LPA lookup'!$E:$E,'fuzzy LPA lookup'!$A:$A)</f>
        <v>E1855</v>
      </c>
      <c r="E1057" s="3" t="str">
        <f>LOOKUP($F1057,'fuzzy LPA lookup'!$E:$E,'fuzzy LPA lookup'!$D:$D)</f>
        <v>Worcestershire County Council</v>
      </c>
      <c r="F1057" s="8">
        <f>IF(ISBLANK('Master Submitted DPDs'!B387),"",'Master Submitted DPDs'!B387)</f>
        <v>2137</v>
      </c>
      <c r="G1057" t="str">
        <f>IF(ISBLANK('Master Submitted DPDs'!AS387),"","Withdrawn")</f>
        <v/>
      </c>
      <c r="H1057" s="2" t="str">
        <f>IF(ISBLANK('Master Submitted DPDs'!AS387),"",'Master Submitted DPDs'!AS387)</f>
        <v/>
      </c>
      <c r="I1057" s="3"/>
      <c r="J1057" s="3"/>
      <c r="K1057" s="3"/>
      <c r="L1057" s="2">
        <f>IF(ISBLANK('Master Submitted DPDs'!J387),"",'Master Submitted DPDs'!J387)</f>
        <v>45196</v>
      </c>
      <c r="M1057" s="2">
        <f t="shared" si="36"/>
        <v>45196</v>
      </c>
      <c r="N1057" s="2">
        <f>IF(ISBLANK('Master Submitted DPDs'!M387),IF(ISBLANK('Master Submitted DPDs'!O387),"",'Master Submitted DPDs'!O387),'Master Submitted DPDs'!M387)</f>
        <v>45209</v>
      </c>
      <c r="O1057" s="2" t="str">
        <f>IF(ISBLANK('Master Submitted DPDs'!Q387),"",'Master Submitted DPDs'!Q387)</f>
        <v/>
      </c>
      <c r="P1057" s="2" t="str">
        <f>IF(ISBLANK('Master Submitted DPDs'!AO387),"",'Master Submitted DPDs'!AO387)</f>
        <v/>
      </c>
      <c r="Q1057" t="str">
        <f>IF(ISBLANK('Master Submitted DPDs'!AU387),"",'Master Submitted DPDs'!AU387)</f>
        <v/>
      </c>
      <c r="R1057" t="str">
        <f t="shared" si="37"/>
        <v>Open</v>
      </c>
      <c r="S1057" s="3"/>
      <c r="T1057">
        <f>IF(ISBLANK('Master Submitted DPDs'!G387),"",'Master Submitted DPDs'!G387)</f>
        <v>3</v>
      </c>
    </row>
    <row r="1058" spans="1:20" ht="15" x14ac:dyDescent="0.2">
      <c r="A1058" s="3" t="str">
        <f>IF(ISBLANK('Master Submitted DPDs'!#REF!),"","Local Plans")</f>
        <v>Local Plans</v>
      </c>
      <c r="B1058" t="e">
        <f>IF(ISBLANK('Master Submitted DPDs'!#REF!),"",'Master Submitted DPDs'!#REF!)</f>
        <v>#REF!</v>
      </c>
      <c r="C1058" s="3" t="str">
        <f>IF(ISBLANK('Master Submitted DPDs'!#REF!),"","IH")</f>
        <v>IH</v>
      </c>
      <c r="D1058" s="3" t="e">
        <f>LOOKUP($F1058,'fuzzy LPA lookup'!$E:$E,'fuzzy LPA lookup'!$A:$A)</f>
        <v>#REF!</v>
      </c>
      <c r="E1058" s="3" t="e">
        <f>LOOKUP($F1058,'fuzzy LPA lookup'!$E:$E,'fuzzy LPA lookup'!$D:$D)</f>
        <v>#REF!</v>
      </c>
      <c r="F1058" s="8" t="e">
        <f>IF(ISBLANK('Master Submitted DPDs'!#REF!),"",'Master Submitted DPDs'!#REF!)</f>
        <v>#REF!</v>
      </c>
      <c r="G1058" t="str">
        <f>IF(ISBLANK('Master Submitted DPDs'!#REF!),"","Withdrawn")</f>
        <v>Withdrawn</v>
      </c>
      <c r="H1058" s="2" t="e">
        <f>IF(ISBLANK('Master Submitted DPDs'!#REF!),"",'Master Submitted DPDs'!#REF!)</f>
        <v>#REF!</v>
      </c>
      <c r="I1058" s="3"/>
      <c r="J1058" s="3"/>
      <c r="K1058" s="3"/>
      <c r="L1058" s="2" t="e">
        <f>IF(ISBLANK('Master Submitted DPDs'!#REF!),"",'Master Submitted DPDs'!#REF!)</f>
        <v>#REF!</v>
      </c>
      <c r="M1058" s="2" t="e">
        <f t="shared" si="36"/>
        <v>#REF!</v>
      </c>
      <c r="N1058" s="2" t="e">
        <f>IF(ISBLANK('Master Submitted DPDs'!#REF!),IF(ISBLANK('Master Submitted DPDs'!#REF!),"",'Master Submitted DPDs'!#REF!),'Master Submitted DPDs'!#REF!)</f>
        <v>#REF!</v>
      </c>
      <c r="O1058" s="2" t="e">
        <f>IF(ISBLANK('Master Submitted DPDs'!#REF!),"",'Master Submitted DPDs'!#REF!)</f>
        <v>#REF!</v>
      </c>
      <c r="P1058" s="2" t="e">
        <f>IF(ISBLANK('Master Submitted DPDs'!#REF!),"",'Master Submitted DPDs'!#REF!)</f>
        <v>#REF!</v>
      </c>
      <c r="Q1058" t="e">
        <f>IF(ISBLANK('Master Submitted DPDs'!#REF!),"",'Master Submitted DPDs'!#REF!)</f>
        <v>#REF!</v>
      </c>
      <c r="R1058" t="e">
        <f t="shared" si="37"/>
        <v>#REF!</v>
      </c>
      <c r="S1058" s="3"/>
      <c r="T1058" t="e">
        <f>IF(ISBLANK('Master Submitted DPDs'!#REF!),"",'Master Submitted DPDs'!#REF!)</f>
        <v>#REF!</v>
      </c>
    </row>
    <row r="1059" spans="1:20" ht="15" x14ac:dyDescent="0.2">
      <c r="A1059" s="3" t="str">
        <f>IF(ISBLANK('Master Submitted DPDs'!$B388),"","Local Plans")</f>
        <v>Local Plans</v>
      </c>
      <c r="B1059" t="str">
        <f>IF(ISBLANK('Master Submitted DPDs'!F388),"",'Master Submitted DPDs'!F388)</f>
        <v>LP</v>
      </c>
      <c r="C1059" s="3" t="str">
        <f>IF(ISBLANK('Master Submitted DPDs'!$B388),"","IH")</f>
        <v>IH</v>
      </c>
      <c r="D1059" s="3" t="str">
        <f>LOOKUP($F1059,'fuzzy LPA lookup'!$E:$E,'fuzzy LPA lookup'!$A:$A)</f>
        <v>E1855</v>
      </c>
      <c r="E1059" s="3" t="str">
        <f>LOOKUP($F1059,'fuzzy LPA lookup'!$E:$E,'fuzzy LPA lookup'!$D:$D)</f>
        <v>Worcestershire County Council</v>
      </c>
      <c r="F1059" s="8">
        <f>IF(ISBLANK('Master Submitted DPDs'!B388),"",'Master Submitted DPDs'!B388)</f>
        <v>2155</v>
      </c>
      <c r="G1059" t="str">
        <f>IF(ISBLANK('Master Submitted DPDs'!AS388),"","Withdrawn")</f>
        <v/>
      </c>
      <c r="H1059" s="2" t="str">
        <f>IF(ISBLANK('Master Submitted DPDs'!AS388),"",'Master Submitted DPDs'!AS388)</f>
        <v/>
      </c>
      <c r="I1059" s="3"/>
      <c r="J1059" s="3"/>
      <c r="K1059" s="3"/>
      <c r="L1059" s="2">
        <f>IF(ISBLANK('Master Submitted DPDs'!J388),"",'Master Submitted DPDs'!J388)</f>
        <v>45205</v>
      </c>
      <c r="M1059" s="2">
        <f t="shared" si="36"/>
        <v>45205</v>
      </c>
      <c r="N1059" s="2">
        <f>IF(ISBLANK('Master Submitted DPDs'!M388),IF(ISBLANK('Master Submitted DPDs'!O388),"",'Master Submitted DPDs'!O388),'Master Submitted DPDs'!M388)</f>
        <v>45209</v>
      </c>
      <c r="O1059" s="2" t="str">
        <f>IF(ISBLANK('Master Submitted DPDs'!Q388),"",'Master Submitted DPDs'!Q388)</f>
        <v/>
      </c>
      <c r="P1059" s="2" t="str">
        <f>IF(ISBLANK('Master Submitted DPDs'!AO388),"",'Master Submitted DPDs'!AO388)</f>
        <v/>
      </c>
      <c r="Q1059" t="str">
        <f>IF(ISBLANK('Master Submitted DPDs'!AU388),"",'Master Submitted DPDs'!AU388)</f>
        <v/>
      </c>
      <c r="R1059" t="str">
        <f t="shared" si="37"/>
        <v>Open</v>
      </c>
      <c r="S1059" s="3"/>
      <c r="T1059">
        <f>IF(ISBLANK('Master Submitted DPDs'!G388),"",'Master Submitted DPDs'!G388)</f>
        <v>3</v>
      </c>
    </row>
    <row r="1060" spans="1:20" ht="15" x14ac:dyDescent="0.2">
      <c r="A1060" s="3" t="str">
        <f>IF(ISBLANK('Master Submitted DPDs'!$B389),"","Local Plans")</f>
        <v>Local Plans</v>
      </c>
      <c r="B1060" t="str">
        <f>IF(ISBLANK('Master Submitted DPDs'!F389),"",'Master Submitted DPDs'!F389)</f>
        <v>LP</v>
      </c>
      <c r="C1060" s="3" t="str">
        <f>IF(ISBLANK('Master Submitted DPDs'!$B389),"","IH")</f>
        <v>IH</v>
      </c>
      <c r="D1060" s="3" t="str">
        <f>LOOKUP($F1060,'fuzzy LPA lookup'!$E:$E,'fuzzy LPA lookup'!$A:$A)</f>
        <v>E1855</v>
      </c>
      <c r="E1060" s="3" t="str">
        <f>LOOKUP($F1060,'fuzzy LPA lookup'!$E:$E,'fuzzy LPA lookup'!$D:$D)</f>
        <v>Worcestershire County Council</v>
      </c>
      <c r="F1060" s="8">
        <f>IF(ISBLANK('Master Submitted DPDs'!B389),"",'Master Submitted DPDs'!B389)</f>
        <v>2114</v>
      </c>
      <c r="G1060" t="str">
        <f>IF(ISBLANK('Master Submitted DPDs'!AS389),"","Withdrawn")</f>
        <v/>
      </c>
      <c r="H1060" s="2" t="str">
        <f>IF(ISBLANK('Master Submitted DPDs'!AS389),"",'Master Submitted DPDs'!AS389)</f>
        <v/>
      </c>
      <c r="I1060" s="3"/>
      <c r="J1060" s="3"/>
      <c r="K1060" s="3"/>
      <c r="L1060" s="2">
        <f>IF(ISBLANK('Master Submitted DPDs'!J389),"",'Master Submitted DPDs'!J389)</f>
        <v>45233</v>
      </c>
      <c r="M1060" s="2">
        <f t="shared" si="36"/>
        <v>45233</v>
      </c>
      <c r="N1060" s="2">
        <f>IF(ISBLANK('Master Submitted DPDs'!M389),IF(ISBLANK('Master Submitted DPDs'!O389),"",'Master Submitted DPDs'!O389),'Master Submitted DPDs'!M389)</f>
        <v>45254</v>
      </c>
      <c r="O1060" s="2">
        <f>IF(ISBLANK('Master Submitted DPDs'!Q389),"",'Master Submitted DPDs'!Q389)</f>
        <v>45491</v>
      </c>
      <c r="P1060" s="2">
        <f>IF(ISBLANK('Master Submitted DPDs'!AO389),"",'Master Submitted DPDs'!AO389)</f>
        <v>45833</v>
      </c>
      <c r="Q1060" t="str">
        <f>IF(ISBLANK('Master Submitted DPDs'!AU389),"",'Master Submitted DPDs'!AU389)</f>
        <v>SOU</v>
      </c>
      <c r="R1060" t="str">
        <f t="shared" si="37"/>
        <v>Closed</v>
      </c>
      <c r="S1060" s="3"/>
      <c r="T1060">
        <f>IF(ISBLANK('Master Submitted DPDs'!G389),"",'Master Submitted DPDs'!G389)</f>
        <v>3</v>
      </c>
    </row>
    <row r="1061" spans="1:20" ht="15" x14ac:dyDescent="0.2">
      <c r="A1061" s="3" t="str">
        <f>IF(ISBLANK('Master Submitted DPDs'!$B390),"","Local Plans")</f>
        <v>Local Plans</v>
      </c>
      <c r="B1061" t="str">
        <f>IF(ISBLANK('Master Submitted DPDs'!F390),"",'Master Submitted DPDs'!F390)</f>
        <v>M&amp;W</v>
      </c>
      <c r="C1061" s="3" t="str">
        <f>IF(ISBLANK('Master Submitted DPDs'!$B390),"","IH")</f>
        <v>IH</v>
      </c>
      <c r="D1061" s="3" t="str">
        <f>LOOKUP($F1061,'fuzzy LPA lookup'!$E:$E,'fuzzy LPA lookup'!$A:$A)</f>
        <v>U3935</v>
      </c>
      <c r="E1061" s="3" t="str">
        <f>LOOKUP($F1061,'fuzzy LPA lookup'!$E:$E,'fuzzy LPA lookup'!$D:$D)</f>
        <v>Swindon Borough Council</v>
      </c>
      <c r="F1061" s="8">
        <f>IF(ISBLANK('Master Submitted DPDs'!B390),"",'Master Submitted DPDs'!B390)</f>
        <v>2228</v>
      </c>
      <c r="G1061" t="str">
        <f>IF(ISBLANK('Master Submitted DPDs'!AS390),"","Withdrawn")</f>
        <v/>
      </c>
      <c r="H1061" s="2" t="str">
        <f>IF(ISBLANK('Master Submitted DPDs'!AS390),"",'Master Submitted DPDs'!AS390)</f>
        <v/>
      </c>
      <c r="I1061" s="3"/>
      <c r="J1061" s="3"/>
      <c r="K1061" s="3"/>
      <c r="L1061" s="2">
        <f>IF(ISBLANK('Master Submitted DPDs'!J390),"",'Master Submitted DPDs'!J390)</f>
        <v>45280</v>
      </c>
      <c r="M1061" s="2">
        <f t="shared" si="36"/>
        <v>45280</v>
      </c>
      <c r="N1061" s="2">
        <f>IF(ISBLANK('Master Submitted DPDs'!M390),IF(ISBLANK('Master Submitted DPDs'!O390),"",'Master Submitted DPDs'!O390),'Master Submitted DPDs'!M390)</f>
        <v>45300</v>
      </c>
      <c r="O1061" s="2">
        <f>IF(ISBLANK('Master Submitted DPDs'!Q390),"",'Master Submitted DPDs'!Q390)</f>
        <v>45476</v>
      </c>
      <c r="P1061" s="2">
        <f>IF(ISBLANK('Master Submitted DPDs'!AO390),"",'Master Submitted DPDs'!AO390)</f>
        <v>45740</v>
      </c>
      <c r="Q1061" t="str">
        <f>IF(ISBLANK('Master Submitted DPDs'!AU390),"",'Master Submitted DPDs'!AU390)</f>
        <v>SOU</v>
      </c>
      <c r="R1061" t="str">
        <f t="shared" si="37"/>
        <v>Closed</v>
      </c>
      <c r="S1061" s="3"/>
      <c r="T1061">
        <f>IF(ISBLANK('Master Submitted DPDs'!G390),"",'Master Submitted DPDs'!G390)</f>
        <v>2</v>
      </c>
    </row>
    <row r="1062" spans="1:20" ht="15" x14ac:dyDescent="0.2">
      <c r="A1062" s="3" t="str">
        <f>IF(ISBLANK('Master Submitted DPDs'!$B394),"","Local Plans")</f>
        <v>Local Plans</v>
      </c>
      <c r="B1062" t="str">
        <f>IF(ISBLANK('Master Submitted DPDs'!F394),"",'Master Submitted DPDs'!F394)</f>
        <v>M&amp;W</v>
      </c>
      <c r="C1062" s="3" t="str">
        <f>IF(ISBLANK('Master Submitted DPDs'!$B394),"","IH")</f>
        <v>IH</v>
      </c>
      <c r="D1062" s="3" t="str">
        <f>LOOKUP($F1062,'fuzzy LPA lookup'!$E:$E,'fuzzy LPA lookup'!$A:$A)</f>
        <v>B3600</v>
      </c>
      <c r="E1062" s="3" t="str">
        <f>LOOKUP($F1062,'fuzzy LPA lookup'!$E:$E,'fuzzy LPA lookup'!$D:$D)</f>
        <v>Surrey County Council</v>
      </c>
      <c r="F1062" s="8">
        <f>IF(ISBLANK('Master Submitted DPDs'!B394),"",'Master Submitted DPDs'!B394)</f>
        <v>2087</v>
      </c>
      <c r="G1062" t="str">
        <f>IF(ISBLANK('Master Submitted DPDs'!AS394),"","Withdrawn")</f>
        <v/>
      </c>
      <c r="H1062" s="2" t="str">
        <f>IF(ISBLANK('Master Submitted DPDs'!AS394),"",'Master Submitted DPDs'!AS394)</f>
        <v/>
      </c>
      <c r="I1062" s="3"/>
      <c r="J1062" s="3"/>
      <c r="K1062" s="3"/>
      <c r="L1062" s="2">
        <f>IF(ISBLANK('Master Submitted DPDs'!J394),"",'Master Submitted DPDs'!J394)</f>
        <v>45356</v>
      </c>
      <c r="M1062" s="2">
        <f t="shared" si="36"/>
        <v>45356</v>
      </c>
      <c r="N1062" s="2">
        <f>IF(ISBLANK('Master Submitted DPDs'!M394),IF(ISBLANK('Master Submitted DPDs'!O394),"",'Master Submitted DPDs'!O394),'Master Submitted DPDs'!M394)</f>
        <v>45377</v>
      </c>
      <c r="O1062" s="2">
        <f>IF(ISBLANK('Master Submitted DPDs'!Q394),"",'Master Submitted DPDs'!Q394)</f>
        <v>45581</v>
      </c>
      <c r="P1062" s="2">
        <f>IF(ISBLANK('Master Submitted DPDs'!AO394),"",'Master Submitted DPDs'!AO394)</f>
        <v>45817</v>
      </c>
      <c r="Q1062" t="str">
        <f>IF(ISBLANK('Master Submitted DPDs'!AU394),"",'Master Submitted DPDs'!AU394)</f>
        <v>SOU</v>
      </c>
      <c r="R1062" t="str">
        <f t="shared" si="37"/>
        <v>Closed</v>
      </c>
      <c r="S1062" s="3"/>
      <c r="T1062">
        <f>IF(ISBLANK('Master Submitted DPDs'!G394),"",'Master Submitted DPDs'!G394)</f>
        <v>2</v>
      </c>
    </row>
    <row r="1063" spans="1:20" ht="15" x14ac:dyDescent="0.2">
      <c r="A1063" s="3" t="str">
        <f>IF(ISBLANK('Master Submitted DPDs'!$B396),"","Local Plans")</f>
        <v>Local Plans</v>
      </c>
      <c r="B1063" t="str">
        <f>IF(ISBLANK('Master Submitted DPDs'!F396),"",'Master Submitted DPDs'!F396)</f>
        <v>SA</v>
      </c>
      <c r="C1063" s="3" t="str">
        <f>IF(ISBLANK('Master Submitted DPDs'!$B396),"","IH")</f>
        <v>IH</v>
      </c>
      <c r="D1063" s="3" t="str">
        <f>LOOKUP($F1063,'fuzzy LPA lookup'!$E:$E,'fuzzy LPA lookup'!$A:$A)</f>
        <v>E1855</v>
      </c>
      <c r="E1063" s="3" t="str">
        <f>LOOKUP($F1063,'fuzzy LPA lookup'!$E:$E,'fuzzy LPA lookup'!$D:$D)</f>
        <v>Worcestershire County Council</v>
      </c>
      <c r="F1063" s="8">
        <f>IF(ISBLANK('Master Submitted DPDs'!B396),"",'Master Submitted DPDs'!B396)</f>
        <v>2203</v>
      </c>
      <c r="G1063" t="str">
        <f>IF(ISBLANK('Master Submitted DPDs'!AS396),"","Withdrawn")</f>
        <v/>
      </c>
      <c r="H1063" s="2" t="str">
        <f>IF(ISBLANK('Master Submitted DPDs'!AS396),"",'Master Submitted DPDs'!AS396)</f>
        <v/>
      </c>
      <c r="I1063" s="3"/>
      <c r="J1063" s="3"/>
      <c r="K1063" s="3"/>
      <c r="L1063" s="2">
        <f>IF(ISBLANK('Master Submitted DPDs'!J396),"",'Master Submitted DPDs'!J396)</f>
        <v>45378</v>
      </c>
      <c r="M1063" s="2">
        <f t="shared" si="36"/>
        <v>45378</v>
      </c>
      <c r="N1063" s="2">
        <f>IF(ISBLANK('Master Submitted DPDs'!M396),IF(ISBLANK('Master Submitted DPDs'!O396),"",'Master Submitted DPDs'!O396),'Master Submitted DPDs'!M396)</f>
        <v>45397</v>
      </c>
      <c r="O1063" s="2">
        <f>IF(ISBLANK('Master Submitted DPDs'!Q396),"",'Master Submitted DPDs'!Q396)</f>
        <v>45555</v>
      </c>
      <c r="P1063" s="2">
        <f>IF(ISBLANK('Master Submitted DPDs'!AO396),"",'Master Submitted DPDs'!AO396)</f>
        <v>45876</v>
      </c>
      <c r="Q1063" t="str">
        <f>IF(ISBLANK('Master Submitted DPDs'!AU396),"",'Master Submitted DPDs'!AU396)</f>
        <v>SOU</v>
      </c>
      <c r="R1063" t="str">
        <f t="shared" si="37"/>
        <v>Closed</v>
      </c>
      <c r="S1063" s="3"/>
      <c r="T1063">
        <f>IF(ISBLANK('Master Submitted DPDs'!G396),"",'Master Submitted DPDs'!G396)</f>
        <v>2</v>
      </c>
    </row>
    <row r="1064" spans="1:20" ht="15" x14ac:dyDescent="0.2">
      <c r="A1064" s="3" t="str">
        <f>IF(ISBLANK('Master Submitted DPDs'!#REF!),"","Local Plans")</f>
        <v>Local Plans</v>
      </c>
      <c r="B1064" t="e">
        <f>IF(ISBLANK('Master Submitted DPDs'!#REF!),"",'Master Submitted DPDs'!#REF!)</f>
        <v>#REF!</v>
      </c>
      <c r="C1064" s="3" t="str">
        <f>IF(ISBLANK('Master Submitted DPDs'!#REF!),"","IH")</f>
        <v>IH</v>
      </c>
      <c r="D1064" s="3" t="e">
        <f>LOOKUP($F1064,'fuzzy LPA lookup'!$E:$E,'fuzzy LPA lookup'!$A:$A)</f>
        <v>#REF!</v>
      </c>
      <c r="E1064" s="3" t="e">
        <f>LOOKUP($F1064,'fuzzy LPA lookup'!$E:$E,'fuzzy LPA lookup'!$D:$D)</f>
        <v>#REF!</v>
      </c>
      <c r="F1064" s="8" t="e">
        <f>IF(ISBLANK('Master Submitted DPDs'!#REF!),"",'Master Submitted DPDs'!#REF!)</f>
        <v>#REF!</v>
      </c>
      <c r="G1064" t="str">
        <f>IF(ISBLANK('Master Submitted DPDs'!#REF!),"","Withdrawn")</f>
        <v>Withdrawn</v>
      </c>
      <c r="H1064" s="2" t="e">
        <f>IF(ISBLANK('Master Submitted DPDs'!#REF!),"",'Master Submitted DPDs'!#REF!)</f>
        <v>#REF!</v>
      </c>
      <c r="I1064" s="3"/>
      <c r="J1064" s="3"/>
      <c r="K1064" s="3"/>
      <c r="L1064" s="2" t="e">
        <f>IF(ISBLANK('Master Submitted DPDs'!#REF!),"",'Master Submitted DPDs'!#REF!)</f>
        <v>#REF!</v>
      </c>
      <c r="M1064" s="2" t="e">
        <f t="shared" si="36"/>
        <v>#REF!</v>
      </c>
      <c r="N1064" s="2" t="e">
        <f>IF(ISBLANK('Master Submitted DPDs'!#REF!),IF(ISBLANK('Master Submitted DPDs'!#REF!),"",'Master Submitted DPDs'!#REF!),'Master Submitted DPDs'!#REF!)</f>
        <v>#REF!</v>
      </c>
      <c r="O1064" s="2" t="e">
        <f>IF(ISBLANK('Master Submitted DPDs'!#REF!),"",'Master Submitted DPDs'!#REF!)</f>
        <v>#REF!</v>
      </c>
      <c r="P1064" s="2" t="e">
        <f>IF(ISBLANK('Master Submitted DPDs'!#REF!),"",'Master Submitted DPDs'!#REF!)</f>
        <v>#REF!</v>
      </c>
      <c r="Q1064" t="e">
        <f>IF(ISBLANK('Master Submitted DPDs'!#REF!),"",'Master Submitted DPDs'!#REF!)</f>
        <v>#REF!</v>
      </c>
      <c r="R1064" t="e">
        <f t="shared" si="37"/>
        <v>#REF!</v>
      </c>
      <c r="S1064" s="3"/>
      <c r="T1064" t="e">
        <f>IF(ISBLANK('Master Submitted DPDs'!#REF!),"",'Master Submitted DPDs'!#REF!)</f>
        <v>#REF!</v>
      </c>
    </row>
    <row r="1065" spans="1:20" ht="15" x14ac:dyDescent="0.2">
      <c r="A1065" s="3" t="str">
        <f>IF(ISBLANK('Master Submitted DPDs'!$B397),"","Local Plans")</f>
        <v>Local Plans</v>
      </c>
      <c r="B1065" t="str">
        <f>IF(ISBLANK('Master Submitted DPDs'!F397),"",'Master Submitted DPDs'!F397)</f>
        <v>LP</v>
      </c>
      <c r="C1065" s="3" t="str">
        <f>IF(ISBLANK('Master Submitted DPDs'!$B397),"","IH")</f>
        <v>IH</v>
      </c>
      <c r="D1065" s="3" t="str">
        <f>LOOKUP($F1065,'fuzzy LPA lookup'!$E:$E,'fuzzy LPA lookup'!$A:$A)</f>
        <v>U3935</v>
      </c>
      <c r="E1065" s="3" t="str">
        <f>LOOKUP($F1065,'fuzzy LPA lookup'!$E:$E,'fuzzy LPA lookup'!$D:$D)</f>
        <v>Swindon Borough Council</v>
      </c>
      <c r="F1065" s="8">
        <f>IF(ISBLANK('Master Submitted DPDs'!B397),"",'Master Submitted DPDs'!B397)</f>
        <v>2398</v>
      </c>
      <c r="G1065" t="str">
        <f>IF(ISBLANK('Master Submitted DPDs'!AS397),"","Withdrawn")</f>
        <v>Withdrawn</v>
      </c>
      <c r="H1065" s="2">
        <f>IF(ISBLANK('Master Submitted DPDs'!AS397),"",'Master Submitted DPDs'!AS397)</f>
        <v>45684</v>
      </c>
      <c r="I1065" s="3"/>
      <c r="J1065" s="3"/>
      <c r="K1065" s="3"/>
      <c r="L1065" s="2">
        <f>IF(ISBLANK('Master Submitted DPDs'!J397),"",'Master Submitted DPDs'!J397)</f>
        <v>45379</v>
      </c>
      <c r="M1065" s="2">
        <f t="shared" si="36"/>
        <v>45379</v>
      </c>
      <c r="N1065" s="2">
        <f>IF(ISBLANK('Master Submitted DPDs'!M397),IF(ISBLANK('Master Submitted DPDs'!O397),"",'Master Submitted DPDs'!O397),'Master Submitted DPDs'!M397)</f>
        <v>45390</v>
      </c>
      <c r="O1065" s="2" t="str">
        <f>IF(ISBLANK('Master Submitted DPDs'!Q397),"",'Master Submitted DPDs'!Q397)</f>
        <v/>
      </c>
      <c r="P1065" s="2" t="str">
        <f>IF(ISBLANK('Master Submitted DPDs'!AO397),"",'Master Submitted DPDs'!AO397)</f>
        <v/>
      </c>
      <c r="Q1065" t="str">
        <f>IF(ISBLANK('Master Submitted DPDs'!AU397),"",'Master Submitted DPDs'!AU397)</f>
        <v>DPDW</v>
      </c>
      <c r="R1065" t="str">
        <f t="shared" si="37"/>
        <v>Closed</v>
      </c>
      <c r="S1065" s="3"/>
      <c r="T1065">
        <f>IF(ISBLANK('Master Submitted DPDs'!G397),"",'Master Submitted DPDs'!G397)</f>
        <v>3</v>
      </c>
    </row>
    <row r="1066" spans="1:20" ht="15" x14ac:dyDescent="0.2">
      <c r="A1066" s="3" t="str">
        <f>IF(ISBLANK('Master Submitted DPDs'!$B399),"","Local Plans")</f>
        <v>Local Plans</v>
      </c>
      <c r="B1066" t="str">
        <f>IF(ISBLANK('Master Submitted DPDs'!F399),"",'Master Submitted DPDs'!F399)</f>
        <v>LP</v>
      </c>
      <c r="C1066" s="3" t="str">
        <f>IF(ISBLANK('Master Submitted DPDs'!$B399),"","IH")</f>
        <v>IH</v>
      </c>
      <c r="D1066" s="3" t="str">
        <f>LOOKUP($F1066,'fuzzy LPA lookup'!$E:$E,'fuzzy LPA lookup'!$A:$A)</f>
        <v>A4710</v>
      </c>
      <c r="E1066" s="3" t="str">
        <f>LOOKUP($F1066,'fuzzy LPA lookup'!$E:$E,'fuzzy LPA lookup'!$D:$D)</f>
        <v>Calderdale Metropolitan Borough Council</v>
      </c>
      <c r="F1066" s="8">
        <f>IF(ISBLANK('Master Submitted DPDs'!B399),"",'Master Submitted DPDs'!B399)</f>
        <v>2007</v>
      </c>
      <c r="G1066" t="str">
        <f>IF(ISBLANK('Master Submitted DPDs'!AS399),"","Withdrawn")</f>
        <v/>
      </c>
      <c r="H1066" s="2" t="str">
        <f>IF(ISBLANK('Master Submitted DPDs'!AS399),"",'Master Submitted DPDs'!AS399)</f>
        <v/>
      </c>
      <c r="I1066" s="3"/>
      <c r="J1066" s="3"/>
      <c r="K1066" s="3"/>
      <c r="L1066" s="2">
        <f>IF(ISBLANK('Master Submitted DPDs'!J399),"",'Master Submitted DPDs'!J399)</f>
        <v>45407</v>
      </c>
      <c r="M1066" s="2">
        <f t="shared" si="36"/>
        <v>45407</v>
      </c>
      <c r="N1066" s="2">
        <f>IF(ISBLANK('Master Submitted DPDs'!M399),IF(ISBLANK('Master Submitted DPDs'!O399),"",'Master Submitted DPDs'!O399),'Master Submitted DPDs'!M399)</f>
        <v>45425</v>
      </c>
      <c r="O1066" s="2" t="str">
        <f>IF(ISBLANK('Master Submitted DPDs'!Q399),"",'Master Submitted DPDs'!Q399)</f>
        <v/>
      </c>
      <c r="P1066" s="2" t="str">
        <f>IF(ISBLANK('Master Submitted DPDs'!AO399),"",'Master Submitted DPDs'!AO399)</f>
        <v/>
      </c>
      <c r="Q1066" t="str">
        <f>IF(ISBLANK('Master Submitted DPDs'!AU399),"",'Master Submitted DPDs'!AU399)</f>
        <v/>
      </c>
      <c r="R1066" t="str">
        <f t="shared" si="37"/>
        <v>Open</v>
      </c>
      <c r="S1066" s="3"/>
      <c r="T1066">
        <f>IF(ISBLANK('Master Submitted DPDs'!G399),"",'Master Submitted DPDs'!G399)</f>
        <v>3</v>
      </c>
    </row>
    <row r="1067" spans="1:20" ht="15" x14ac:dyDescent="0.2">
      <c r="A1067" s="3" t="str">
        <f>IF(ISBLANK('Master Submitted DPDs'!$B400),"","Local Plans")</f>
        <v>Local Plans</v>
      </c>
      <c r="B1067" t="str">
        <f>IF(ISBLANK('Master Submitted DPDs'!F400),"",'Master Submitted DPDs'!F400)</f>
        <v>LP</v>
      </c>
      <c r="C1067" s="3" t="str">
        <f>IF(ISBLANK('Master Submitted DPDs'!$B400),"","IH")</f>
        <v>IH</v>
      </c>
      <c r="D1067" s="3" t="str">
        <f>LOOKUP($F1067,'fuzzy LPA lookup'!$E:$E,'fuzzy LPA lookup'!$A:$A)</f>
        <v>E1855</v>
      </c>
      <c r="E1067" s="3" t="str">
        <f>LOOKUP($F1067,'fuzzy LPA lookup'!$E:$E,'fuzzy LPA lookup'!$D:$D)</f>
        <v>Worcestershire County Council</v>
      </c>
      <c r="F1067" s="8">
        <f>IF(ISBLANK('Master Submitted DPDs'!B400),"",'Master Submitted DPDs'!B400)</f>
        <v>2131</v>
      </c>
      <c r="G1067" t="str">
        <f>IF(ISBLANK('Master Submitted DPDs'!AS400),"","Withdrawn")</f>
        <v/>
      </c>
      <c r="H1067" s="2" t="str">
        <f>IF(ISBLANK('Master Submitted DPDs'!AS400),"",'Master Submitted DPDs'!AS400)</f>
        <v/>
      </c>
      <c r="I1067" s="3"/>
      <c r="J1067" s="3"/>
      <c r="K1067" s="3"/>
      <c r="L1067" s="2">
        <f>IF(ISBLANK('Master Submitted DPDs'!J400),"",'Master Submitted DPDs'!J400)</f>
        <v>45411</v>
      </c>
      <c r="M1067" s="2">
        <f t="shared" si="36"/>
        <v>45411</v>
      </c>
      <c r="N1067" s="2">
        <f>IF(ISBLANK('Master Submitted DPDs'!M400),IF(ISBLANK('Master Submitted DPDs'!O400),"",'Master Submitted DPDs'!O400),'Master Submitted DPDs'!M400)</f>
        <v>45432</v>
      </c>
      <c r="O1067" s="2" t="str">
        <f>IF(ISBLANK('Master Submitted DPDs'!Q400),"",'Master Submitted DPDs'!Q400)</f>
        <v/>
      </c>
      <c r="P1067" s="2" t="str">
        <f>IF(ISBLANK('Master Submitted DPDs'!AO400),"",'Master Submitted DPDs'!AO400)</f>
        <v/>
      </c>
      <c r="Q1067" t="str">
        <f>IF(ISBLANK('Master Submitted DPDs'!AU400),"",'Master Submitted DPDs'!AU400)</f>
        <v/>
      </c>
      <c r="R1067" t="str">
        <f t="shared" si="37"/>
        <v>Open</v>
      </c>
      <c r="S1067" s="3"/>
      <c r="T1067">
        <f>IF(ISBLANK('Master Submitted DPDs'!G400),"",'Master Submitted DPDs'!G400)</f>
        <v>3</v>
      </c>
    </row>
    <row r="1068" spans="1:20" ht="15" x14ac:dyDescent="0.2">
      <c r="A1068" s="3" t="str">
        <f>IF(ISBLANK('Master Submitted DPDs'!$B401),"","Local Plans")</f>
        <v>Local Plans</v>
      </c>
      <c r="B1068" t="str">
        <f>IF(ISBLANK('Master Submitted DPDs'!F401),"",'Master Submitted DPDs'!F401)</f>
        <v>LP</v>
      </c>
      <c r="C1068" s="3" t="str">
        <f>IF(ISBLANK('Master Submitted DPDs'!$B401),"","IH")</f>
        <v>IH</v>
      </c>
      <c r="D1068" s="3" t="str">
        <f>LOOKUP($F1068,'fuzzy LPA lookup'!$E:$E,'fuzzy LPA lookup'!$A:$A)</f>
        <v>U1620</v>
      </c>
      <c r="E1068" s="3" t="str">
        <f>LOOKUP($F1068,'fuzzy LPA lookup'!$E:$E,'fuzzy LPA lookup'!$D:$D)</f>
        <v>Gloucester City Council</v>
      </c>
      <c r="F1068" s="8">
        <f>IF(ISBLANK('Master Submitted DPDs'!B401),"",'Master Submitted DPDs'!B401)</f>
        <v>2213</v>
      </c>
      <c r="G1068" t="str">
        <f>IF(ISBLANK('Master Submitted DPDs'!AS401),"","Withdrawn")</f>
        <v/>
      </c>
      <c r="H1068" s="2" t="str">
        <f>IF(ISBLANK('Master Submitted DPDs'!AS401),"",'Master Submitted DPDs'!AS401)</f>
        <v/>
      </c>
      <c r="I1068" s="3"/>
      <c r="J1068" s="3"/>
      <c r="K1068" s="3"/>
      <c r="L1068" s="2">
        <f>IF(ISBLANK('Master Submitted DPDs'!J401),"",'Master Submitted DPDs'!J401)</f>
        <v>45415</v>
      </c>
      <c r="M1068" s="2">
        <f t="shared" si="36"/>
        <v>45415</v>
      </c>
      <c r="N1068" s="2">
        <f>IF(ISBLANK('Master Submitted DPDs'!M401),IF(ISBLANK('Master Submitted DPDs'!O401),"",'Master Submitted DPDs'!O401),'Master Submitted DPDs'!M401)</f>
        <v>45436</v>
      </c>
      <c r="O1068" s="2">
        <f>IF(ISBLANK('Master Submitted DPDs'!Q401),"",'Master Submitted DPDs'!Q401)</f>
        <v>45609</v>
      </c>
      <c r="P1068" s="2">
        <f>IF(ISBLANK('Master Submitted DPDs'!AO401),"",'Master Submitted DPDs'!AO401)</f>
        <v>45859</v>
      </c>
      <c r="Q1068" t="str">
        <f>IF(ISBLANK('Master Submitted DPDs'!AU401),"",'Master Submitted DPDs'!AU401)</f>
        <v>SOU</v>
      </c>
      <c r="R1068" t="str">
        <f t="shared" si="37"/>
        <v>Closed</v>
      </c>
      <c r="S1068" s="3"/>
      <c r="T1068">
        <f>IF(ISBLANK('Master Submitted DPDs'!G401),"",'Master Submitted DPDs'!G401)</f>
        <v>3</v>
      </c>
    </row>
    <row r="1069" spans="1:20" ht="15" x14ac:dyDescent="0.2">
      <c r="A1069" s="3" t="str">
        <f>IF(ISBLANK('Master Submitted DPDs'!$B402),"","Local Plans")</f>
        <v>Local Plans</v>
      </c>
      <c r="B1069" t="str">
        <f>IF(ISBLANK('Master Submitted DPDs'!F402),"",'Master Submitted DPDs'!F402)</f>
        <v>M&amp;W</v>
      </c>
      <c r="C1069" s="3" t="str">
        <f>IF(ISBLANK('Master Submitted DPDs'!$B402),"","IH")</f>
        <v>IH</v>
      </c>
      <c r="D1069" s="3" t="str">
        <f>LOOKUP($F1069,'fuzzy LPA lookup'!$E:$E,'fuzzy LPA lookup'!$A:$A)</f>
        <v>U3935</v>
      </c>
      <c r="E1069" s="3" t="str">
        <f>LOOKUP($F1069,'fuzzy LPA lookup'!$E:$E,'fuzzy LPA lookup'!$D:$D)</f>
        <v>Swindon Borough Council</v>
      </c>
      <c r="F1069" s="8">
        <f>IF(ISBLANK('Master Submitted DPDs'!B402),"",'Master Submitted DPDs'!B402)</f>
        <v>2401</v>
      </c>
      <c r="G1069" t="str">
        <f>IF(ISBLANK('Master Submitted DPDs'!AS402),"","Withdrawn")</f>
        <v/>
      </c>
      <c r="H1069" s="2" t="str">
        <f>IF(ISBLANK('Master Submitted DPDs'!AS402),"",'Master Submitted DPDs'!AS402)</f>
        <v/>
      </c>
      <c r="I1069" s="3"/>
      <c r="J1069" s="3"/>
      <c r="K1069" s="3"/>
      <c r="L1069" s="2">
        <f>IF(ISBLANK('Master Submitted DPDs'!J402),"",'Master Submitted DPDs'!J402)</f>
        <v>45429</v>
      </c>
      <c r="M1069" s="2">
        <f t="shared" si="36"/>
        <v>45429</v>
      </c>
      <c r="N1069" s="2">
        <f>IF(ISBLANK('Master Submitted DPDs'!M402),IF(ISBLANK('Master Submitted DPDs'!O402),"",'Master Submitted DPDs'!O402),'Master Submitted DPDs'!M402)</f>
        <v>45446</v>
      </c>
      <c r="O1069" s="2">
        <f>IF(ISBLANK('Master Submitted DPDs'!Q402),"",'Master Submitted DPDs'!Q402)</f>
        <v>45552</v>
      </c>
      <c r="P1069" s="2">
        <f>IF(ISBLANK('Master Submitted DPDs'!AO402),"",'Master Submitted DPDs'!AO402)</f>
        <v>45694</v>
      </c>
      <c r="Q1069" t="str">
        <f>IF(ISBLANK('Master Submitted DPDs'!AU402),"",'Master Submitted DPDs'!AU402)</f>
        <v>SOU</v>
      </c>
      <c r="R1069" t="str">
        <f t="shared" si="37"/>
        <v>Closed</v>
      </c>
      <c r="S1069" s="3"/>
      <c r="T1069">
        <f>IF(ISBLANK('Master Submitted DPDs'!G402),"",'Master Submitted DPDs'!G402)</f>
        <v>2</v>
      </c>
    </row>
    <row r="1070" spans="1:20" ht="15" x14ac:dyDescent="0.2">
      <c r="A1070" s="3" t="str">
        <f>IF(ISBLANK('Master Submitted DPDs'!$B406),"","Local Plans")</f>
        <v>Local Plans</v>
      </c>
      <c r="B1070" t="str">
        <f>IF(ISBLANK('Master Submitted DPDs'!F406),"",'Master Submitted DPDs'!F406)</f>
        <v>LP</v>
      </c>
      <c r="C1070" s="3" t="str">
        <f>IF(ISBLANK('Master Submitted DPDs'!$B406),"","IH")</f>
        <v>IH</v>
      </c>
      <c r="D1070" s="3" t="str">
        <f>LOOKUP($F1070,'fuzzy LPA lookup'!$E:$E,'fuzzy LPA lookup'!$A:$A)</f>
        <v>E1855</v>
      </c>
      <c r="E1070" s="3" t="str">
        <f>LOOKUP($F1070,'fuzzy LPA lookup'!$E:$E,'fuzzy LPA lookup'!$D:$D)</f>
        <v>Worcestershire County Council</v>
      </c>
      <c r="F1070" s="8">
        <f>IF(ISBLANK('Master Submitted DPDs'!B406),"",'Master Submitted DPDs'!B406)</f>
        <v>2116</v>
      </c>
      <c r="G1070" t="str">
        <f>IF(ISBLANK('Master Submitted DPDs'!AS406),"","Withdrawn")</f>
        <v/>
      </c>
      <c r="H1070" s="2" t="str">
        <f>IF(ISBLANK('Master Submitted DPDs'!AS406),"",'Master Submitted DPDs'!AS406)</f>
        <v/>
      </c>
      <c r="I1070" s="3"/>
      <c r="J1070" s="3"/>
      <c r="K1070" s="3"/>
      <c r="L1070" s="2">
        <f>IF(ISBLANK('Master Submitted DPDs'!J406),"",'Master Submitted DPDs'!J406)</f>
        <v>45499</v>
      </c>
      <c r="M1070" s="2">
        <f t="shared" si="36"/>
        <v>45499</v>
      </c>
      <c r="N1070" s="2">
        <f>IF(ISBLANK('Master Submitted DPDs'!M406),IF(ISBLANK('Master Submitted DPDs'!O406),"",'Master Submitted DPDs'!O406),'Master Submitted DPDs'!M406)</f>
        <v>45503</v>
      </c>
      <c r="O1070" s="2" t="str">
        <f>IF(ISBLANK('Master Submitted DPDs'!Q406),"",'Master Submitted DPDs'!Q406)</f>
        <v/>
      </c>
      <c r="P1070" s="2" t="str">
        <f>IF(ISBLANK('Master Submitted DPDs'!AO406),"",'Master Submitted DPDs'!AO406)</f>
        <v/>
      </c>
      <c r="Q1070" t="str">
        <f>IF(ISBLANK('Master Submitted DPDs'!AU406),"",'Master Submitted DPDs'!AU406)</f>
        <v/>
      </c>
      <c r="R1070" t="str">
        <f t="shared" si="37"/>
        <v>Open</v>
      </c>
      <c r="S1070" s="3"/>
      <c r="T1070">
        <f>IF(ISBLANK('Master Submitted DPDs'!G406),"",'Master Submitted DPDs'!G406)</f>
        <v>3</v>
      </c>
    </row>
    <row r="1071" spans="1:20" ht="15" x14ac:dyDescent="0.2">
      <c r="A1071" s="3" t="str">
        <f>IF(ISBLANK('Master Submitted DPDs'!$B407),"","Local Plans")</f>
        <v>Local Plans</v>
      </c>
      <c r="B1071" t="str">
        <f>IF(ISBLANK('Master Submitted DPDs'!F407),"",'Master Submitted DPDs'!F407)</f>
        <v>LP</v>
      </c>
      <c r="C1071" s="3" t="str">
        <f>IF(ISBLANK('Master Submitted DPDs'!$B407),"","IH")</f>
        <v>IH</v>
      </c>
      <c r="D1071" s="3" t="str">
        <f>LOOKUP($F1071,'fuzzy LPA lookup'!$E:$E,'fuzzy LPA lookup'!$A:$A)</f>
        <v>E1855</v>
      </c>
      <c r="E1071" s="3" t="str">
        <f>LOOKUP($F1071,'fuzzy LPA lookup'!$E:$E,'fuzzy LPA lookup'!$D:$D)</f>
        <v>Worcestershire County Council</v>
      </c>
      <c r="F1071" s="8">
        <f>IF(ISBLANK('Master Submitted DPDs'!B407),"",'Master Submitted DPDs'!B407)</f>
        <v>2191</v>
      </c>
      <c r="G1071" t="str">
        <f>IF(ISBLANK('Master Submitted DPDs'!AS407),"","Withdrawn")</f>
        <v/>
      </c>
      <c r="H1071" s="2" t="str">
        <f>IF(ISBLANK('Master Submitted DPDs'!AS407),"",'Master Submitted DPDs'!AS407)</f>
        <v/>
      </c>
      <c r="I1071" s="3"/>
      <c r="J1071" s="3"/>
      <c r="K1071" s="3"/>
      <c r="L1071" s="2">
        <f>IF(ISBLANK('Master Submitted DPDs'!J407),"",'Master Submitted DPDs'!J407)</f>
        <v>45502</v>
      </c>
      <c r="M1071" s="2">
        <f t="shared" si="36"/>
        <v>45502</v>
      </c>
      <c r="N1071" s="2">
        <f>IF(ISBLANK('Master Submitted DPDs'!M407),IF(ISBLANK('Master Submitted DPDs'!O407),"",'Master Submitted DPDs'!O407),'Master Submitted DPDs'!M407)</f>
        <v>45509</v>
      </c>
      <c r="O1071" s="2" t="str">
        <f>IF(ISBLANK('Master Submitted DPDs'!Q407),"",'Master Submitted DPDs'!Q407)</f>
        <v/>
      </c>
      <c r="P1071" s="2" t="str">
        <f>IF(ISBLANK('Master Submitted DPDs'!AO407),"",'Master Submitted DPDs'!AO407)</f>
        <v/>
      </c>
      <c r="Q1071" t="str">
        <f>IF(ISBLANK('Master Submitted DPDs'!AU407),"",'Master Submitted DPDs'!AU407)</f>
        <v/>
      </c>
      <c r="R1071" t="str">
        <f t="shared" si="37"/>
        <v>Open</v>
      </c>
      <c r="S1071" s="3"/>
      <c r="T1071">
        <f>IF(ISBLANK('Master Submitted DPDs'!G407),"",'Master Submitted DPDs'!G407)</f>
        <v>3</v>
      </c>
    </row>
    <row r="1072" spans="1:20" ht="15" x14ac:dyDescent="0.2">
      <c r="A1072" s="3" t="str">
        <f>IF(ISBLANK('Master Submitted DPDs'!#REF!),"","Local Plans")</f>
        <v>Local Plans</v>
      </c>
      <c r="B1072" t="e">
        <f>IF(ISBLANK('Master Submitted DPDs'!#REF!),"",'Master Submitted DPDs'!#REF!)</f>
        <v>#REF!</v>
      </c>
      <c r="C1072" s="3" t="str">
        <f>IF(ISBLANK('Master Submitted DPDs'!#REF!),"","IH")</f>
        <v>IH</v>
      </c>
      <c r="D1072" s="3" t="e">
        <f>LOOKUP($F1072,'fuzzy LPA lookup'!$E:$E,'fuzzy LPA lookup'!$A:$A)</f>
        <v>#REF!</v>
      </c>
      <c r="E1072" s="3" t="e">
        <f>LOOKUP($F1072,'fuzzy LPA lookup'!$E:$E,'fuzzy LPA lookup'!$D:$D)</f>
        <v>#REF!</v>
      </c>
      <c r="F1072" s="8" t="e">
        <f>IF(ISBLANK('Master Submitted DPDs'!#REF!),"",'Master Submitted DPDs'!#REF!)</f>
        <v>#REF!</v>
      </c>
      <c r="G1072" t="str">
        <f>IF(ISBLANK('Master Submitted DPDs'!#REF!),"","Withdrawn")</f>
        <v>Withdrawn</v>
      </c>
      <c r="H1072" s="2" t="e">
        <f>IF(ISBLANK('Master Submitted DPDs'!#REF!),"",'Master Submitted DPDs'!#REF!)</f>
        <v>#REF!</v>
      </c>
      <c r="I1072" s="3"/>
      <c r="J1072" s="3"/>
      <c r="K1072" s="3"/>
      <c r="L1072" s="2" t="e">
        <f>IF(ISBLANK('Master Submitted DPDs'!#REF!),"",'Master Submitted DPDs'!#REF!)</f>
        <v>#REF!</v>
      </c>
      <c r="M1072" s="2" t="e">
        <f t="shared" si="36"/>
        <v>#REF!</v>
      </c>
      <c r="N1072" s="2" t="e">
        <f>IF(ISBLANK('Master Submitted DPDs'!#REF!),IF(ISBLANK('Master Submitted DPDs'!#REF!),"",'Master Submitted DPDs'!#REF!),'Master Submitted DPDs'!#REF!)</f>
        <v>#REF!</v>
      </c>
      <c r="O1072" s="2" t="e">
        <f>IF(ISBLANK('Master Submitted DPDs'!#REF!),"",'Master Submitted DPDs'!#REF!)</f>
        <v>#REF!</v>
      </c>
      <c r="P1072" s="2" t="e">
        <f>IF(ISBLANK('Master Submitted DPDs'!#REF!),"",'Master Submitted DPDs'!#REF!)</f>
        <v>#REF!</v>
      </c>
      <c r="Q1072" t="e">
        <f>IF(ISBLANK('Master Submitted DPDs'!#REF!),"",'Master Submitted DPDs'!#REF!)</f>
        <v>#REF!</v>
      </c>
      <c r="R1072" t="e">
        <f t="shared" si="37"/>
        <v>#REF!</v>
      </c>
      <c r="S1072" s="3"/>
      <c r="T1072" t="e">
        <f>IF(ISBLANK('Master Submitted DPDs'!#REF!),"",'Master Submitted DPDs'!#REF!)</f>
        <v>#REF!</v>
      </c>
    </row>
    <row r="1073" spans="1:20" ht="15" x14ac:dyDescent="0.2">
      <c r="A1073" s="3" t="str">
        <f>IF(ISBLANK('Master Submitted DPDs'!#REF!),"","Local Plans")</f>
        <v>Local Plans</v>
      </c>
      <c r="B1073" t="e">
        <f>IF(ISBLANK('Master Submitted DPDs'!#REF!),"",'Master Submitted DPDs'!#REF!)</f>
        <v>#REF!</v>
      </c>
      <c r="C1073" s="3" t="str">
        <f>IF(ISBLANK('Master Submitted DPDs'!#REF!),"","IH")</f>
        <v>IH</v>
      </c>
      <c r="D1073" s="3" t="e">
        <f>LOOKUP($F1073,'fuzzy LPA lookup'!$E:$E,'fuzzy LPA lookup'!$A:$A)</f>
        <v>#REF!</v>
      </c>
      <c r="E1073" s="3" t="e">
        <f>LOOKUP($F1073,'fuzzy LPA lookup'!$E:$E,'fuzzy LPA lookup'!$D:$D)</f>
        <v>#REF!</v>
      </c>
      <c r="F1073" s="8" t="e">
        <f>IF(ISBLANK('Master Submitted DPDs'!#REF!),"",'Master Submitted DPDs'!#REF!)</f>
        <v>#REF!</v>
      </c>
      <c r="G1073" t="str">
        <f>IF(ISBLANK('Master Submitted DPDs'!#REF!),"","Withdrawn")</f>
        <v>Withdrawn</v>
      </c>
      <c r="H1073" s="2" t="e">
        <f>IF(ISBLANK('Master Submitted DPDs'!#REF!),"",'Master Submitted DPDs'!#REF!)</f>
        <v>#REF!</v>
      </c>
      <c r="I1073" s="3"/>
      <c r="J1073" s="3"/>
      <c r="K1073" s="3"/>
      <c r="L1073" s="2" t="e">
        <f>IF(ISBLANK('Master Submitted DPDs'!#REF!),"",'Master Submitted DPDs'!#REF!)</f>
        <v>#REF!</v>
      </c>
      <c r="M1073" s="2" t="e">
        <f t="shared" si="36"/>
        <v>#REF!</v>
      </c>
      <c r="N1073" s="2" t="e">
        <f>IF(ISBLANK('Master Submitted DPDs'!#REF!),IF(ISBLANK('Master Submitted DPDs'!#REF!),"",'Master Submitted DPDs'!#REF!),'Master Submitted DPDs'!#REF!)</f>
        <v>#REF!</v>
      </c>
      <c r="O1073" s="2" t="e">
        <f>IF(ISBLANK('Master Submitted DPDs'!#REF!),"",'Master Submitted DPDs'!#REF!)</f>
        <v>#REF!</v>
      </c>
      <c r="P1073" s="2" t="e">
        <f>IF(ISBLANK('Master Submitted DPDs'!#REF!),"",'Master Submitted DPDs'!#REF!)</f>
        <v>#REF!</v>
      </c>
      <c r="Q1073" t="e">
        <f>IF(ISBLANK('Master Submitted DPDs'!#REF!),"",'Master Submitted DPDs'!#REF!)</f>
        <v>#REF!</v>
      </c>
      <c r="R1073" t="e">
        <f t="shared" si="37"/>
        <v>#REF!</v>
      </c>
      <c r="S1073" s="3"/>
      <c r="T1073" t="e">
        <f>IF(ISBLANK('Master Submitted DPDs'!#REF!),"",'Master Submitted DPDs'!#REF!)</f>
        <v>#REF!</v>
      </c>
    </row>
    <row r="1074" spans="1:20" ht="15" x14ac:dyDescent="0.2">
      <c r="A1074" s="3" t="str">
        <f>IF(ISBLANK('Master Submitted DPDs'!#REF!),"","Local Plans")</f>
        <v>Local Plans</v>
      </c>
      <c r="B1074" t="e">
        <f>IF(ISBLANK('Master Submitted DPDs'!#REF!),"",'Master Submitted DPDs'!#REF!)</f>
        <v>#REF!</v>
      </c>
      <c r="C1074" s="3" t="str">
        <f>IF(ISBLANK('Master Submitted DPDs'!#REF!),"","IH")</f>
        <v>IH</v>
      </c>
      <c r="D1074" s="3" t="e">
        <f>LOOKUP($F1074,'fuzzy LPA lookup'!$E:$E,'fuzzy LPA lookup'!$A:$A)</f>
        <v>#REF!</v>
      </c>
      <c r="E1074" s="3" t="e">
        <f>LOOKUP($F1074,'fuzzy LPA lookup'!$E:$E,'fuzzy LPA lookup'!$D:$D)</f>
        <v>#REF!</v>
      </c>
      <c r="F1074" s="8" t="e">
        <f>IF(ISBLANK('Master Submitted DPDs'!#REF!),"",'Master Submitted DPDs'!#REF!)</f>
        <v>#REF!</v>
      </c>
      <c r="G1074" t="str">
        <f>IF(ISBLANK('Master Submitted DPDs'!#REF!),"","Withdrawn")</f>
        <v>Withdrawn</v>
      </c>
      <c r="H1074" s="2" t="e">
        <f>IF(ISBLANK('Master Submitted DPDs'!#REF!),"",'Master Submitted DPDs'!#REF!)</f>
        <v>#REF!</v>
      </c>
      <c r="I1074" s="3"/>
      <c r="J1074" s="3"/>
      <c r="K1074" s="3"/>
      <c r="L1074" s="2" t="e">
        <f>IF(ISBLANK('Master Submitted DPDs'!#REF!),"",'Master Submitted DPDs'!#REF!)</f>
        <v>#REF!</v>
      </c>
      <c r="M1074" s="2" t="e">
        <f t="shared" si="36"/>
        <v>#REF!</v>
      </c>
      <c r="N1074" s="2" t="e">
        <f>IF(ISBLANK('Master Submitted DPDs'!#REF!),IF(ISBLANK('Master Submitted DPDs'!#REF!),"",'Master Submitted DPDs'!#REF!),'Master Submitted DPDs'!#REF!)</f>
        <v>#REF!</v>
      </c>
      <c r="O1074" s="2" t="e">
        <f>IF(ISBLANK('Master Submitted DPDs'!#REF!),"",'Master Submitted DPDs'!#REF!)</f>
        <v>#REF!</v>
      </c>
      <c r="P1074" s="2" t="e">
        <f>IF(ISBLANK('Master Submitted DPDs'!#REF!),"",'Master Submitted DPDs'!#REF!)</f>
        <v>#REF!</v>
      </c>
      <c r="Q1074" t="e">
        <f>IF(ISBLANK('Master Submitted DPDs'!#REF!),"",'Master Submitted DPDs'!#REF!)</f>
        <v>#REF!</v>
      </c>
      <c r="R1074" t="e">
        <f t="shared" si="37"/>
        <v>#REF!</v>
      </c>
      <c r="S1074" s="3"/>
      <c r="T1074" t="e">
        <f>IF(ISBLANK('Master Submitted DPDs'!#REF!),"",'Master Submitted DPDs'!#REF!)</f>
        <v>#REF!</v>
      </c>
    </row>
    <row r="1075" spans="1:20" ht="15" x14ac:dyDescent="0.2">
      <c r="A1075" s="3" t="str">
        <f>IF(ISBLANK('Master Submitted DPDs'!#REF!),"","Local Plans")</f>
        <v>Local Plans</v>
      </c>
      <c r="B1075" t="e">
        <f>IF(ISBLANK('Master Submitted DPDs'!#REF!),"",'Master Submitted DPDs'!#REF!)</f>
        <v>#REF!</v>
      </c>
      <c r="C1075" s="3" t="str">
        <f>IF(ISBLANK('Master Submitted DPDs'!#REF!),"","IH")</f>
        <v>IH</v>
      </c>
      <c r="D1075" s="3" t="e">
        <f>LOOKUP($F1075,'fuzzy LPA lookup'!$E:$E,'fuzzy LPA lookup'!$A:$A)</f>
        <v>#REF!</v>
      </c>
      <c r="E1075" s="3" t="e">
        <f>LOOKUP($F1075,'fuzzy LPA lookup'!$E:$E,'fuzzy LPA lookup'!$D:$D)</f>
        <v>#REF!</v>
      </c>
      <c r="F1075" s="8" t="e">
        <f>IF(ISBLANK('Master Submitted DPDs'!#REF!),"",'Master Submitted DPDs'!#REF!)</f>
        <v>#REF!</v>
      </c>
      <c r="G1075" t="str">
        <f>IF(ISBLANK('Master Submitted DPDs'!#REF!),"","Withdrawn")</f>
        <v>Withdrawn</v>
      </c>
      <c r="H1075" s="2" t="e">
        <f>IF(ISBLANK('Master Submitted DPDs'!#REF!),"",'Master Submitted DPDs'!#REF!)</f>
        <v>#REF!</v>
      </c>
      <c r="I1075" s="3"/>
      <c r="J1075" s="3"/>
      <c r="K1075" s="3"/>
      <c r="L1075" s="2" t="e">
        <f>IF(ISBLANK('Master Submitted DPDs'!#REF!),"",'Master Submitted DPDs'!#REF!)</f>
        <v>#REF!</v>
      </c>
      <c r="M1075" s="2" t="e">
        <f t="shared" si="36"/>
        <v>#REF!</v>
      </c>
      <c r="N1075" s="2" t="e">
        <f>IF(ISBLANK('Master Submitted DPDs'!#REF!),IF(ISBLANK('Master Submitted DPDs'!#REF!),"",'Master Submitted DPDs'!#REF!),'Master Submitted DPDs'!#REF!)</f>
        <v>#REF!</v>
      </c>
      <c r="O1075" s="2" t="e">
        <f>IF(ISBLANK('Master Submitted DPDs'!#REF!),"",'Master Submitted DPDs'!#REF!)</f>
        <v>#REF!</v>
      </c>
      <c r="P1075" s="2" t="e">
        <f>IF(ISBLANK('Master Submitted DPDs'!#REF!),"",'Master Submitted DPDs'!#REF!)</f>
        <v>#REF!</v>
      </c>
      <c r="Q1075" t="e">
        <f>IF(ISBLANK('Master Submitted DPDs'!#REF!),"",'Master Submitted DPDs'!#REF!)</f>
        <v>#REF!</v>
      </c>
      <c r="R1075" t="e">
        <f t="shared" si="37"/>
        <v>#REF!</v>
      </c>
      <c r="S1075" s="3"/>
      <c r="T1075" t="e">
        <f>IF(ISBLANK('Master Submitted DPDs'!#REF!),"",'Master Submitted DPDs'!#REF!)</f>
        <v>#REF!</v>
      </c>
    </row>
    <row r="1076" spans="1:20" ht="15" x14ac:dyDescent="0.2">
      <c r="A1076" s="3" t="str">
        <f>IF(ISBLANK('Master Submitted DPDs'!$B384),"","Local Plans")</f>
        <v>Local Plans</v>
      </c>
      <c r="B1076" t="str">
        <f>IF(ISBLANK('Master Submitted DPDs'!F384),"",'Master Submitted DPDs'!F384)</f>
        <v>Other</v>
      </c>
      <c r="C1076" s="3" t="str">
        <f>IF(ISBLANK('Master Submitted DPDs'!$B384),"","IH")</f>
        <v>IH</v>
      </c>
      <c r="D1076" s="3" t="str">
        <f>LOOKUP($F1076,'fuzzy LPA lookup'!$E:$E,'fuzzy LPA lookup'!$A:$A)</f>
        <v>U3935</v>
      </c>
      <c r="E1076" s="3" t="str">
        <f>LOOKUP($F1076,'fuzzy LPA lookup'!$E:$E,'fuzzy LPA lookup'!$D:$D)</f>
        <v>Swindon Borough Council</v>
      </c>
      <c r="F1076" s="8">
        <f>IF(ISBLANK('Master Submitted DPDs'!B384),"",'Master Submitted DPDs'!B384)</f>
        <v>2390</v>
      </c>
      <c r="G1076" t="str">
        <f>IF(ISBLANK('Master Submitted DPDs'!AS384),"","Withdrawn")</f>
        <v/>
      </c>
      <c r="H1076" s="2" t="str">
        <f>IF(ISBLANK('Master Submitted DPDs'!AS384),"",'Master Submitted DPDs'!AS384)</f>
        <v/>
      </c>
      <c r="I1076" s="3"/>
      <c r="J1076" s="3"/>
      <c r="K1076" s="3"/>
      <c r="L1076" s="2">
        <f>IF(ISBLANK('Master Submitted DPDs'!J384),"",'Master Submitted DPDs'!J384)</f>
        <v>45163</v>
      </c>
      <c r="M1076" s="2">
        <f t="shared" si="36"/>
        <v>45163</v>
      </c>
      <c r="N1076" s="2">
        <f>IF(ISBLANK('Master Submitted DPDs'!M384),IF(ISBLANK('Master Submitted DPDs'!O384),"",'Master Submitted DPDs'!O384),'Master Submitted DPDs'!M384)</f>
        <v>45175</v>
      </c>
      <c r="O1076" s="2">
        <f>IF(ISBLANK('Master Submitted DPDs'!Q384),"",'Master Submitted DPDs'!Q384)</f>
        <v>45314</v>
      </c>
      <c r="P1076" s="2">
        <f>IF(ISBLANK('Master Submitted DPDs'!AO384),"",'Master Submitted DPDs'!AO384)</f>
        <v>45600</v>
      </c>
      <c r="Q1076" t="str">
        <f>IF(ISBLANK('Master Submitted DPDs'!AU384),"",'Master Submitted DPDs'!AU384)</f>
        <v>SOU</v>
      </c>
      <c r="R1076" t="str">
        <f t="shared" si="37"/>
        <v>Closed</v>
      </c>
      <c r="S1076" s="3"/>
      <c r="T1076">
        <f>IF(ISBLANK('Master Submitted DPDs'!G384),"",'Master Submitted DPDs'!G384)</f>
        <v>2</v>
      </c>
    </row>
    <row r="1077" spans="1:20" ht="15" x14ac:dyDescent="0.2">
      <c r="A1077" s="3" t="str">
        <f>IF(ISBLANK('Master Submitted DPDs'!$B393),"","Local Plans")</f>
        <v>Local Plans</v>
      </c>
      <c r="B1077" t="str">
        <f>IF(ISBLANK('Master Submitted DPDs'!F393),"",'Master Submitted DPDs'!F393)</f>
        <v>LP</v>
      </c>
      <c r="C1077" s="3" t="str">
        <f>IF(ISBLANK('Master Submitted DPDs'!$B393),"","IH")</f>
        <v>IH</v>
      </c>
      <c r="D1077" s="3" t="str">
        <f>LOOKUP($F1077,'fuzzy LPA lookup'!$E:$E,'fuzzy LPA lookup'!$A:$A)</f>
        <v>U3935</v>
      </c>
      <c r="E1077" s="3" t="str">
        <f>LOOKUP($F1077,'fuzzy LPA lookup'!$E:$E,'fuzzy LPA lookup'!$D:$D)</f>
        <v>Swindon Borough Council</v>
      </c>
      <c r="F1077" s="8">
        <f>IF(ISBLANK('Master Submitted DPDs'!B393),"",'Master Submitted DPDs'!B393)</f>
        <v>2261</v>
      </c>
      <c r="G1077" t="str">
        <f>IF(ISBLANK('Master Submitted DPDs'!AS393),"","Withdrawn")</f>
        <v/>
      </c>
      <c r="H1077" s="2" t="str">
        <f>IF(ISBLANK('Master Submitted DPDs'!AS393),"",'Master Submitted DPDs'!AS393)</f>
        <v/>
      </c>
      <c r="I1077" s="3"/>
      <c r="J1077" s="3"/>
      <c r="K1077" s="3"/>
      <c r="L1077" s="2">
        <f>IF(ISBLANK('Master Submitted DPDs'!J393),"",'Master Submitted DPDs'!J393)</f>
        <v>45334</v>
      </c>
      <c r="M1077" s="2">
        <f t="shared" si="36"/>
        <v>45334</v>
      </c>
      <c r="N1077" s="2">
        <f>IF(ISBLANK('Master Submitted DPDs'!M393),IF(ISBLANK('Master Submitted DPDs'!O393),"",'Master Submitted DPDs'!O393),'Master Submitted DPDs'!M393)</f>
        <v>45348</v>
      </c>
      <c r="O1077" s="2">
        <f>IF(ISBLANK('Master Submitted DPDs'!Q393),"",'Master Submitted DPDs'!Q393)</f>
        <v>45573</v>
      </c>
      <c r="P1077" s="2">
        <f>IF(ISBLANK('Master Submitted DPDs'!AO393),"",'Master Submitted DPDs'!AO393)</f>
        <v>45938</v>
      </c>
      <c r="Q1077" t="str">
        <f>IF(ISBLANK('Master Submitted DPDs'!AU393),"",'Master Submitted DPDs'!AU393)</f>
        <v>SOU</v>
      </c>
      <c r="R1077" t="str">
        <f t="shared" si="37"/>
        <v>Closed</v>
      </c>
      <c r="S1077" s="3"/>
      <c r="T1077">
        <f>IF(ISBLANK('Master Submitted DPDs'!G393),"",'Master Submitted DPDs'!G393)</f>
        <v>3</v>
      </c>
    </row>
    <row r="1078" spans="1:20" ht="15" x14ac:dyDescent="0.2">
      <c r="A1078" s="3" t="str">
        <f>IF(ISBLANK('Master Submitted DPDs'!$B392),"","Local Plans")</f>
        <v>Local Plans</v>
      </c>
      <c r="B1078" t="str">
        <f>IF(ISBLANK('Master Submitted DPDs'!F392),"",'Master Submitted DPDs'!F392)</f>
        <v>LP</v>
      </c>
      <c r="C1078" s="3" t="str">
        <f>IF(ISBLANK('Master Submitted DPDs'!$B392),"","IH")</f>
        <v>IH</v>
      </c>
      <c r="D1078" s="3" t="str">
        <f>LOOKUP($F1078,'fuzzy LPA lookup'!$E:$E,'fuzzy LPA lookup'!$A:$A)</f>
        <v>U3935</v>
      </c>
      <c r="E1078" s="3" t="str">
        <f>LOOKUP($F1078,'fuzzy LPA lookup'!$E:$E,'fuzzy LPA lookup'!$D:$D)</f>
        <v>Swindon Borough Council</v>
      </c>
      <c r="F1078" s="8">
        <f>IF(ISBLANK('Master Submitted DPDs'!B392),"",'Master Submitted DPDs'!B392)</f>
        <v>2284</v>
      </c>
      <c r="G1078" t="str">
        <f>IF(ISBLANK('Master Submitted DPDs'!AS392),"","Withdrawn")</f>
        <v/>
      </c>
      <c r="H1078" s="2" t="str">
        <f>IF(ISBLANK('Master Submitted DPDs'!AS392),"",'Master Submitted DPDs'!AS392)</f>
        <v/>
      </c>
      <c r="I1078" s="3"/>
      <c r="J1078" s="3"/>
      <c r="K1078" s="3"/>
      <c r="L1078" s="2">
        <f>IF(ISBLANK('Master Submitted DPDs'!J392),"",'Master Submitted DPDs'!J392)</f>
        <v>45310</v>
      </c>
      <c r="M1078" s="2">
        <f t="shared" si="36"/>
        <v>45310</v>
      </c>
      <c r="N1078" s="2">
        <f>IF(ISBLANK('Master Submitted DPDs'!M392),IF(ISBLANK('Master Submitted DPDs'!O392),"",'Master Submitted DPDs'!O392),'Master Submitted DPDs'!M392)</f>
        <v>45323</v>
      </c>
      <c r="O1078" s="2">
        <f>IF(ISBLANK('Master Submitted DPDs'!Q392),"",'Master Submitted DPDs'!Q392)</f>
        <v>45483</v>
      </c>
      <c r="P1078" s="2">
        <f>IF(ISBLANK('Master Submitted DPDs'!AO392),"",'Master Submitted DPDs'!AO392)</f>
        <v>45888</v>
      </c>
      <c r="Q1078" t="str">
        <f>IF(ISBLANK('Master Submitted DPDs'!AU392),"",'Master Submitted DPDs'!AU392)</f>
        <v>SOU</v>
      </c>
      <c r="R1078" t="str">
        <f t="shared" si="37"/>
        <v>Closed</v>
      </c>
      <c r="S1078" s="3"/>
      <c r="T1078">
        <f>IF(ISBLANK('Master Submitted DPDs'!G392),"",'Master Submitted DPDs'!G392)</f>
        <v>3</v>
      </c>
    </row>
    <row r="1079" spans="1:20" x14ac:dyDescent="0.15">
      <c r="C1079" s="2"/>
    </row>
    <row r="1080" spans="1:20" x14ac:dyDescent="0.15">
      <c r="C1080" s="2"/>
    </row>
    <row r="1081" spans="1:20" x14ac:dyDescent="0.15">
      <c r="C1081" s="2"/>
    </row>
    <row r="1082" spans="1:20" x14ac:dyDescent="0.15">
      <c r="C1082" s="2"/>
    </row>
    <row r="1083" spans="1:20" x14ac:dyDescent="0.15">
      <c r="C1083" s="2"/>
    </row>
    <row r="1084" spans="1:20" x14ac:dyDescent="0.15">
      <c r="C1084" s="2"/>
    </row>
    <row r="1085" spans="1:20" x14ac:dyDescent="0.15">
      <c r="C1085" s="2"/>
    </row>
    <row r="1086" spans="1:20" x14ac:dyDescent="0.15">
      <c r="C1086" s="2"/>
    </row>
    <row r="1087" spans="1:20" x14ac:dyDescent="0.15">
      <c r="C1087" s="2"/>
    </row>
    <row r="1088" spans="1:20" x14ac:dyDescent="0.15">
      <c r="C1088" s="2"/>
    </row>
    <row r="1089" spans="3:3" x14ac:dyDescent="0.15">
      <c r="C1089" s="2"/>
    </row>
    <row r="1090" spans="3:3" x14ac:dyDescent="0.15">
      <c r="C1090" s="2"/>
    </row>
    <row r="1091" spans="3:3" x14ac:dyDescent="0.15">
      <c r="C1091" s="2"/>
    </row>
    <row r="1092" spans="3:3" x14ac:dyDescent="0.15">
      <c r="C1092" s="2"/>
    </row>
    <row r="1093" spans="3:3" x14ac:dyDescent="0.15">
      <c r="C1093" s="2"/>
    </row>
    <row r="1094" spans="3:3" x14ac:dyDescent="0.15">
      <c r="C1094" s="2"/>
    </row>
    <row r="1095" spans="3:3" x14ac:dyDescent="0.15">
      <c r="C1095" s="2"/>
    </row>
    <row r="1096" spans="3:3" x14ac:dyDescent="0.15">
      <c r="C1096" s="2"/>
    </row>
    <row r="1097" spans="3:3" x14ac:dyDescent="0.15">
      <c r="C1097" s="2"/>
    </row>
    <row r="1098" spans="3:3" x14ac:dyDescent="0.15">
      <c r="C1098" s="2"/>
    </row>
    <row r="1099" spans="3:3" x14ac:dyDescent="0.15">
      <c r="C1099" s="2"/>
    </row>
    <row r="1100" spans="3:3" x14ac:dyDescent="0.15">
      <c r="C1100" s="2"/>
    </row>
    <row r="1101" spans="3:3" x14ac:dyDescent="0.15">
      <c r="C1101" s="2"/>
    </row>
    <row r="1102" spans="3:3" x14ac:dyDescent="0.15">
      <c r="C1102" s="2"/>
    </row>
    <row r="1103" spans="3:3" x14ac:dyDescent="0.15">
      <c r="C1103" s="2"/>
    </row>
    <row r="1104" spans="3:3" x14ac:dyDescent="0.15">
      <c r="C1104" s="2"/>
    </row>
    <row r="1105" spans="3:3" x14ac:dyDescent="0.15">
      <c r="C1105" s="2"/>
    </row>
    <row r="1106" spans="3:3" x14ac:dyDescent="0.15">
      <c r="C1106" s="2"/>
    </row>
    <row r="1107" spans="3:3" x14ac:dyDescent="0.15">
      <c r="C1107" s="2"/>
    </row>
    <row r="1108" spans="3:3" x14ac:dyDescent="0.15">
      <c r="C1108" s="2"/>
    </row>
    <row r="1109" spans="3:3" x14ac:dyDescent="0.15">
      <c r="C1109" s="2"/>
    </row>
    <row r="1110" spans="3:3" x14ac:dyDescent="0.15">
      <c r="C1110" s="2"/>
    </row>
    <row r="1111" spans="3:3" x14ac:dyDescent="0.15">
      <c r="C1111" s="2"/>
    </row>
    <row r="1112" spans="3:3" x14ac:dyDescent="0.15">
      <c r="C1112" s="2"/>
    </row>
    <row r="1113" spans="3:3" x14ac:dyDescent="0.15">
      <c r="C1113" s="2"/>
    </row>
    <row r="1114" spans="3:3" x14ac:dyDescent="0.15">
      <c r="C1114" s="2"/>
    </row>
    <row r="1115" spans="3:3" x14ac:dyDescent="0.15">
      <c r="C1115" s="2"/>
    </row>
    <row r="1116" spans="3:3" x14ac:dyDescent="0.15">
      <c r="C1116" s="2"/>
    </row>
    <row r="1117" spans="3:3" x14ac:dyDescent="0.15">
      <c r="C1117" s="2"/>
    </row>
    <row r="1118" spans="3:3" x14ac:dyDescent="0.15">
      <c r="C1118" s="2"/>
    </row>
    <row r="1119" spans="3:3" x14ac:dyDescent="0.15">
      <c r="C1119" s="2"/>
    </row>
    <row r="1120" spans="3:3" x14ac:dyDescent="0.15">
      <c r="C1120" s="2"/>
    </row>
    <row r="1121" spans="3:3" x14ac:dyDescent="0.15">
      <c r="C1121" s="2"/>
    </row>
    <row r="1122" spans="3:3" x14ac:dyDescent="0.15">
      <c r="C1122" s="2"/>
    </row>
    <row r="1123" spans="3:3" x14ac:dyDescent="0.15">
      <c r="C1123" s="2"/>
    </row>
    <row r="1124" spans="3:3" x14ac:dyDescent="0.15">
      <c r="C1124" s="2"/>
    </row>
    <row r="1125" spans="3:3" x14ac:dyDescent="0.15">
      <c r="C1125" s="2"/>
    </row>
    <row r="1126" spans="3:3" x14ac:dyDescent="0.15">
      <c r="C1126" s="2"/>
    </row>
    <row r="1127" spans="3:3" x14ac:dyDescent="0.15">
      <c r="C1127" s="2"/>
    </row>
    <row r="1128" spans="3:3" x14ac:dyDescent="0.15">
      <c r="C1128" s="2"/>
    </row>
    <row r="1129" spans="3:3" x14ac:dyDescent="0.15">
      <c r="C1129" s="2"/>
    </row>
    <row r="1130" spans="3:3" x14ac:dyDescent="0.15">
      <c r="C1130" s="2"/>
    </row>
    <row r="1131" spans="3:3" x14ac:dyDescent="0.15">
      <c r="C1131" s="2"/>
    </row>
    <row r="1132" spans="3:3" x14ac:dyDescent="0.15">
      <c r="C1132" s="2"/>
    </row>
    <row r="1133" spans="3:3" x14ac:dyDescent="0.15">
      <c r="C1133" s="2"/>
    </row>
    <row r="1134" spans="3:3" x14ac:dyDescent="0.15">
      <c r="C1134" s="2"/>
    </row>
    <row r="1135" spans="3:3" x14ac:dyDescent="0.15">
      <c r="C1135" s="2"/>
    </row>
    <row r="1136" spans="3:3" x14ac:dyDescent="0.15">
      <c r="C1136" s="2"/>
    </row>
    <row r="1137" spans="3:3" x14ac:dyDescent="0.15">
      <c r="C1137" s="2"/>
    </row>
    <row r="1138" spans="3:3" x14ac:dyDescent="0.15">
      <c r="C1138" s="2"/>
    </row>
    <row r="1139" spans="3:3" x14ac:dyDescent="0.15">
      <c r="C1139" s="2"/>
    </row>
    <row r="1140" spans="3:3" x14ac:dyDescent="0.15">
      <c r="C1140" s="2"/>
    </row>
    <row r="1141" spans="3:3" x14ac:dyDescent="0.15">
      <c r="C1141" s="2"/>
    </row>
    <row r="1142" spans="3:3" x14ac:dyDescent="0.15">
      <c r="C1142" s="2"/>
    </row>
    <row r="1143" spans="3:3" x14ac:dyDescent="0.15">
      <c r="C1143" s="2"/>
    </row>
    <row r="1144" spans="3:3" x14ac:dyDescent="0.15">
      <c r="C1144" s="2"/>
    </row>
    <row r="1145" spans="3:3" x14ac:dyDescent="0.15">
      <c r="C1145" s="2"/>
    </row>
    <row r="1146" spans="3:3" x14ac:dyDescent="0.15">
      <c r="C1146" s="2"/>
    </row>
    <row r="1147" spans="3:3" x14ac:dyDescent="0.15">
      <c r="C1147" s="2"/>
    </row>
    <row r="1148" spans="3:3" x14ac:dyDescent="0.15">
      <c r="C1148" s="2"/>
    </row>
    <row r="1149" spans="3:3" x14ac:dyDescent="0.15">
      <c r="C1149" s="2"/>
    </row>
    <row r="1150" spans="3:3" x14ac:dyDescent="0.15">
      <c r="C1150" s="2"/>
    </row>
    <row r="1151" spans="3:3" x14ac:dyDescent="0.15">
      <c r="C1151" s="2"/>
    </row>
    <row r="1152" spans="3:3" x14ac:dyDescent="0.15">
      <c r="C1152" s="2"/>
    </row>
    <row r="1153" spans="1:10" x14ac:dyDescent="0.15">
      <c r="C1153" s="2"/>
    </row>
    <row r="1154" spans="1:10" x14ac:dyDescent="0.15">
      <c r="C1154" s="2"/>
    </row>
    <row r="1155" spans="1:10" x14ac:dyDescent="0.15">
      <c r="C1155" s="2"/>
    </row>
    <row r="1156" spans="1:10" x14ac:dyDescent="0.15">
      <c r="C1156" s="2"/>
    </row>
    <row r="1157" spans="1:10" x14ac:dyDescent="0.15">
      <c r="C1157" s="2"/>
    </row>
    <row r="1158" spans="1:10" x14ac:dyDescent="0.15">
      <c r="C1158" s="2"/>
    </row>
    <row r="1159" spans="1:10" x14ac:dyDescent="0.15">
      <c r="C1159" s="2"/>
    </row>
    <row r="1160" spans="1:10" x14ac:dyDescent="0.15">
      <c r="C1160" s="2"/>
    </row>
    <row r="1161" spans="1:10" x14ac:dyDescent="0.15">
      <c r="C1161" s="2"/>
    </row>
    <row r="1162" spans="1:10" x14ac:dyDescent="0.15">
      <c r="C1162" s="2"/>
    </row>
    <row r="1163" spans="1:10" x14ac:dyDescent="0.15">
      <c r="A1163" t="s">
        <v>2257</v>
      </c>
      <c r="B1163" t="s">
        <v>2257</v>
      </c>
      <c r="C1163" s="2" t="s">
        <v>2257</v>
      </c>
      <c r="D1163" t="s">
        <v>2257</v>
      </c>
      <c r="E1163" s="2" t="s">
        <v>2257</v>
      </c>
      <c r="F1163" s="8" t="s">
        <v>2257</v>
      </c>
      <c r="G1163" s="2" t="s">
        <v>2257</v>
      </c>
      <c r="H1163" s="2" t="s">
        <v>2257</v>
      </c>
      <c r="I1163" s="2" t="s">
        <v>2257</v>
      </c>
      <c r="J1163" t="str">
        <f t="shared" ref="J1163:J1226" si="40">IF(A1163="","",IF(AND(C1163="",D1163&lt;&gt;"UNS",I1163=""),"Open","Closed"))</f>
        <v/>
      </c>
    </row>
    <row r="1164" spans="1:10" x14ac:dyDescent="0.15">
      <c r="A1164" t="s">
        <v>2257</v>
      </c>
      <c r="B1164" t="s">
        <v>2257</v>
      </c>
      <c r="C1164" s="2" t="s">
        <v>2257</v>
      </c>
      <c r="D1164" t="s">
        <v>2257</v>
      </c>
      <c r="E1164" s="2" t="s">
        <v>2257</v>
      </c>
      <c r="F1164" s="8" t="s">
        <v>2257</v>
      </c>
      <c r="G1164" s="2" t="s">
        <v>2257</v>
      </c>
      <c r="H1164" s="2" t="s">
        <v>2257</v>
      </c>
      <c r="I1164" s="2" t="s">
        <v>2257</v>
      </c>
      <c r="J1164" t="str">
        <f t="shared" si="40"/>
        <v/>
      </c>
    </row>
    <row r="1165" spans="1:10" x14ac:dyDescent="0.15">
      <c r="A1165" t="s">
        <v>2257</v>
      </c>
      <c r="B1165" t="s">
        <v>2257</v>
      </c>
      <c r="C1165" s="2" t="s">
        <v>2257</v>
      </c>
      <c r="D1165" t="s">
        <v>2257</v>
      </c>
      <c r="E1165" s="2" t="s">
        <v>2257</v>
      </c>
      <c r="F1165" s="8" t="s">
        <v>2257</v>
      </c>
      <c r="G1165" s="2" t="s">
        <v>2257</v>
      </c>
      <c r="H1165" s="2" t="s">
        <v>2257</v>
      </c>
      <c r="I1165" s="2" t="s">
        <v>2257</v>
      </c>
      <c r="J1165" t="str">
        <f t="shared" si="40"/>
        <v/>
      </c>
    </row>
    <row r="1166" spans="1:10" x14ac:dyDescent="0.15">
      <c r="A1166" t="s">
        <v>2257</v>
      </c>
      <c r="B1166" t="s">
        <v>2257</v>
      </c>
      <c r="C1166" s="2" t="s">
        <v>2257</v>
      </c>
      <c r="D1166" t="s">
        <v>2257</v>
      </c>
      <c r="E1166" s="2" t="s">
        <v>2257</v>
      </c>
      <c r="F1166" s="8" t="s">
        <v>2257</v>
      </c>
      <c r="G1166" s="2" t="s">
        <v>2257</v>
      </c>
      <c r="H1166" s="2" t="s">
        <v>2257</v>
      </c>
      <c r="I1166" s="2" t="s">
        <v>2257</v>
      </c>
      <c r="J1166" t="str">
        <f t="shared" si="40"/>
        <v/>
      </c>
    </row>
    <row r="1167" spans="1:10" x14ac:dyDescent="0.15">
      <c r="A1167" t="s">
        <v>2257</v>
      </c>
      <c r="B1167" t="s">
        <v>2257</v>
      </c>
      <c r="C1167" s="2" t="s">
        <v>2257</v>
      </c>
      <c r="D1167" t="s">
        <v>2257</v>
      </c>
      <c r="E1167" s="2" t="s">
        <v>2257</v>
      </c>
      <c r="F1167" s="8" t="s">
        <v>2257</v>
      </c>
      <c r="G1167" s="2" t="s">
        <v>2257</v>
      </c>
      <c r="H1167" s="2" t="s">
        <v>2257</v>
      </c>
      <c r="I1167" s="2" t="s">
        <v>2257</v>
      </c>
      <c r="J1167" t="str">
        <f t="shared" si="40"/>
        <v/>
      </c>
    </row>
    <row r="1168" spans="1:10" x14ac:dyDescent="0.15">
      <c r="A1168" t="s">
        <v>2257</v>
      </c>
      <c r="B1168" t="s">
        <v>2257</v>
      </c>
      <c r="C1168" s="2" t="s">
        <v>2257</v>
      </c>
      <c r="D1168" t="s">
        <v>2257</v>
      </c>
      <c r="E1168" s="2" t="s">
        <v>2257</v>
      </c>
      <c r="F1168" s="8" t="s">
        <v>2257</v>
      </c>
      <c r="G1168" s="2" t="s">
        <v>2257</v>
      </c>
      <c r="H1168" s="2" t="s">
        <v>2257</v>
      </c>
      <c r="I1168" s="2" t="s">
        <v>2257</v>
      </c>
      <c r="J1168" t="str">
        <f t="shared" si="40"/>
        <v/>
      </c>
    </row>
    <row r="1169" spans="1:10" x14ac:dyDescent="0.15">
      <c r="A1169" t="s">
        <v>2257</v>
      </c>
      <c r="B1169" t="s">
        <v>2257</v>
      </c>
      <c r="C1169" s="2" t="s">
        <v>2257</v>
      </c>
      <c r="D1169" t="s">
        <v>2257</v>
      </c>
      <c r="E1169" s="2" t="s">
        <v>2257</v>
      </c>
      <c r="F1169" s="8" t="s">
        <v>2257</v>
      </c>
      <c r="G1169" s="2" t="s">
        <v>2257</v>
      </c>
      <c r="H1169" s="2" t="s">
        <v>2257</v>
      </c>
      <c r="I1169" s="2" t="s">
        <v>2257</v>
      </c>
      <c r="J1169" t="str">
        <f t="shared" si="40"/>
        <v/>
      </c>
    </row>
    <row r="1170" spans="1:10" x14ac:dyDescent="0.15">
      <c r="A1170" t="s">
        <v>2257</v>
      </c>
      <c r="B1170" t="s">
        <v>2257</v>
      </c>
      <c r="C1170" s="2" t="s">
        <v>2257</v>
      </c>
      <c r="D1170" t="s">
        <v>2257</v>
      </c>
      <c r="E1170" s="2" t="s">
        <v>2257</v>
      </c>
      <c r="F1170" s="8" t="s">
        <v>2257</v>
      </c>
      <c r="G1170" s="2" t="s">
        <v>2257</v>
      </c>
      <c r="H1170" s="2" t="s">
        <v>2257</v>
      </c>
      <c r="I1170" s="2" t="s">
        <v>2257</v>
      </c>
      <c r="J1170" t="str">
        <f t="shared" si="40"/>
        <v/>
      </c>
    </row>
    <row r="1171" spans="1:10" x14ac:dyDescent="0.15">
      <c r="A1171" t="s">
        <v>2257</v>
      </c>
      <c r="B1171" t="s">
        <v>2257</v>
      </c>
      <c r="C1171" s="2" t="s">
        <v>2257</v>
      </c>
      <c r="D1171" t="s">
        <v>2257</v>
      </c>
      <c r="E1171" s="2" t="s">
        <v>2257</v>
      </c>
      <c r="F1171" s="8" t="s">
        <v>2257</v>
      </c>
      <c r="G1171" s="2" t="s">
        <v>2257</v>
      </c>
      <c r="H1171" s="2" t="s">
        <v>2257</v>
      </c>
      <c r="I1171" s="2" t="s">
        <v>2257</v>
      </c>
      <c r="J1171" t="str">
        <f t="shared" si="40"/>
        <v/>
      </c>
    </row>
    <row r="1172" spans="1:10" x14ac:dyDescent="0.15">
      <c r="A1172" t="s">
        <v>2257</v>
      </c>
      <c r="B1172" t="s">
        <v>2257</v>
      </c>
      <c r="C1172" s="2" t="s">
        <v>2257</v>
      </c>
      <c r="D1172" t="s">
        <v>2257</v>
      </c>
      <c r="E1172" s="2" t="s">
        <v>2257</v>
      </c>
      <c r="F1172" s="8" t="s">
        <v>2257</v>
      </c>
      <c r="G1172" s="2" t="s">
        <v>2257</v>
      </c>
      <c r="H1172" s="2" t="s">
        <v>2257</v>
      </c>
      <c r="I1172" s="2" t="s">
        <v>2257</v>
      </c>
      <c r="J1172" t="str">
        <f t="shared" si="40"/>
        <v/>
      </c>
    </row>
    <row r="1173" spans="1:10" x14ac:dyDescent="0.15">
      <c r="A1173" t="s">
        <v>2257</v>
      </c>
      <c r="B1173" t="s">
        <v>2257</v>
      </c>
      <c r="C1173" s="2" t="s">
        <v>2257</v>
      </c>
      <c r="D1173" t="s">
        <v>2257</v>
      </c>
      <c r="E1173" s="2" t="s">
        <v>2257</v>
      </c>
      <c r="F1173" s="8" t="s">
        <v>2257</v>
      </c>
      <c r="G1173" s="2" t="s">
        <v>2257</v>
      </c>
      <c r="H1173" s="2" t="s">
        <v>2257</v>
      </c>
      <c r="I1173" s="2" t="s">
        <v>2257</v>
      </c>
      <c r="J1173" t="str">
        <f t="shared" si="40"/>
        <v/>
      </c>
    </row>
    <row r="1174" spans="1:10" x14ac:dyDescent="0.15">
      <c r="A1174" t="s">
        <v>2257</v>
      </c>
      <c r="B1174" t="s">
        <v>2257</v>
      </c>
      <c r="C1174" s="2" t="s">
        <v>2257</v>
      </c>
      <c r="D1174" t="s">
        <v>2257</v>
      </c>
      <c r="E1174" s="2" t="s">
        <v>2257</v>
      </c>
      <c r="F1174" s="8" t="s">
        <v>2257</v>
      </c>
      <c r="G1174" s="2" t="s">
        <v>2257</v>
      </c>
      <c r="H1174" s="2" t="s">
        <v>2257</v>
      </c>
      <c r="I1174" s="2" t="s">
        <v>2257</v>
      </c>
      <c r="J1174" t="str">
        <f t="shared" si="40"/>
        <v/>
      </c>
    </row>
    <row r="1175" spans="1:10" x14ac:dyDescent="0.15">
      <c r="A1175" t="s">
        <v>2257</v>
      </c>
      <c r="B1175" t="s">
        <v>2257</v>
      </c>
      <c r="C1175" s="2" t="s">
        <v>2257</v>
      </c>
      <c r="D1175" t="s">
        <v>2257</v>
      </c>
      <c r="E1175" s="2" t="s">
        <v>2257</v>
      </c>
      <c r="F1175" s="8" t="s">
        <v>2257</v>
      </c>
      <c r="G1175" s="2" t="s">
        <v>2257</v>
      </c>
      <c r="H1175" s="2" t="s">
        <v>2257</v>
      </c>
      <c r="I1175" s="2" t="s">
        <v>2257</v>
      </c>
      <c r="J1175" t="str">
        <f t="shared" si="40"/>
        <v/>
      </c>
    </row>
    <row r="1176" spans="1:10" x14ac:dyDescent="0.15">
      <c r="A1176" t="s">
        <v>2257</v>
      </c>
      <c r="B1176" t="s">
        <v>2257</v>
      </c>
      <c r="C1176" s="2" t="s">
        <v>2257</v>
      </c>
      <c r="D1176" t="s">
        <v>2257</v>
      </c>
      <c r="E1176" s="2" t="s">
        <v>2257</v>
      </c>
      <c r="F1176" s="8" t="s">
        <v>2257</v>
      </c>
      <c r="G1176" s="2" t="s">
        <v>2257</v>
      </c>
      <c r="H1176" s="2" t="s">
        <v>2257</v>
      </c>
      <c r="I1176" s="2" t="s">
        <v>2257</v>
      </c>
      <c r="J1176" t="str">
        <f t="shared" si="40"/>
        <v/>
      </c>
    </row>
    <row r="1177" spans="1:10" x14ac:dyDescent="0.15">
      <c r="A1177" t="s">
        <v>2257</v>
      </c>
      <c r="B1177" t="s">
        <v>2257</v>
      </c>
      <c r="C1177" s="2" t="s">
        <v>2257</v>
      </c>
      <c r="D1177" t="s">
        <v>2257</v>
      </c>
      <c r="E1177" s="2" t="s">
        <v>2257</v>
      </c>
      <c r="F1177" s="8" t="s">
        <v>2257</v>
      </c>
      <c r="G1177" s="2" t="s">
        <v>2257</v>
      </c>
      <c r="H1177" s="2" t="s">
        <v>2257</v>
      </c>
      <c r="I1177" s="2" t="s">
        <v>2257</v>
      </c>
      <c r="J1177" t="str">
        <f t="shared" si="40"/>
        <v/>
      </c>
    </row>
    <row r="1178" spans="1:10" x14ac:dyDescent="0.15">
      <c r="A1178" t="s">
        <v>2257</v>
      </c>
      <c r="B1178" t="s">
        <v>2257</v>
      </c>
      <c r="C1178" s="2" t="s">
        <v>2257</v>
      </c>
      <c r="D1178" t="s">
        <v>2257</v>
      </c>
      <c r="E1178" s="2" t="s">
        <v>2257</v>
      </c>
      <c r="F1178" s="8" t="s">
        <v>2257</v>
      </c>
      <c r="G1178" s="2" t="s">
        <v>2257</v>
      </c>
      <c r="H1178" s="2" t="s">
        <v>2257</v>
      </c>
      <c r="I1178" s="2" t="s">
        <v>2257</v>
      </c>
      <c r="J1178" t="str">
        <f t="shared" si="40"/>
        <v/>
      </c>
    </row>
    <row r="1179" spans="1:10" x14ac:dyDescent="0.15">
      <c r="A1179" t="s">
        <v>2257</v>
      </c>
      <c r="B1179" t="s">
        <v>2257</v>
      </c>
      <c r="C1179" s="2" t="s">
        <v>2257</v>
      </c>
      <c r="D1179" t="s">
        <v>2257</v>
      </c>
      <c r="E1179" s="2" t="s">
        <v>2257</v>
      </c>
      <c r="F1179" s="8" t="s">
        <v>2257</v>
      </c>
      <c r="G1179" s="2" t="s">
        <v>2257</v>
      </c>
      <c r="H1179" s="2" t="s">
        <v>2257</v>
      </c>
      <c r="I1179" s="2" t="s">
        <v>2257</v>
      </c>
      <c r="J1179" t="str">
        <f t="shared" si="40"/>
        <v/>
      </c>
    </row>
    <row r="1180" spans="1:10" x14ac:dyDescent="0.15">
      <c r="A1180" t="s">
        <v>2257</v>
      </c>
      <c r="B1180" t="s">
        <v>2257</v>
      </c>
      <c r="C1180" s="2" t="s">
        <v>2257</v>
      </c>
      <c r="D1180" t="s">
        <v>2257</v>
      </c>
      <c r="E1180" s="2" t="s">
        <v>2257</v>
      </c>
      <c r="F1180" s="8" t="s">
        <v>2257</v>
      </c>
      <c r="G1180" s="2" t="s">
        <v>2257</v>
      </c>
      <c r="H1180" s="2" t="s">
        <v>2257</v>
      </c>
      <c r="I1180" s="2" t="s">
        <v>2257</v>
      </c>
      <c r="J1180" t="str">
        <f t="shared" si="40"/>
        <v/>
      </c>
    </row>
    <row r="1181" spans="1:10" x14ac:dyDescent="0.15">
      <c r="A1181" t="s">
        <v>2257</v>
      </c>
      <c r="B1181" t="s">
        <v>2257</v>
      </c>
      <c r="C1181" s="2" t="s">
        <v>2257</v>
      </c>
      <c r="D1181" t="s">
        <v>2257</v>
      </c>
      <c r="E1181" s="2" t="s">
        <v>2257</v>
      </c>
      <c r="F1181" s="8" t="s">
        <v>2257</v>
      </c>
      <c r="G1181" s="2" t="s">
        <v>2257</v>
      </c>
      <c r="H1181" s="2" t="s">
        <v>2257</v>
      </c>
      <c r="I1181" s="2" t="s">
        <v>2257</v>
      </c>
      <c r="J1181" t="str">
        <f t="shared" si="40"/>
        <v/>
      </c>
    </row>
    <row r="1182" spans="1:10" x14ac:dyDescent="0.15">
      <c r="A1182" t="s">
        <v>2257</v>
      </c>
      <c r="B1182" t="s">
        <v>2257</v>
      </c>
      <c r="C1182" s="2" t="s">
        <v>2257</v>
      </c>
      <c r="D1182" t="s">
        <v>2257</v>
      </c>
      <c r="E1182" s="2" t="s">
        <v>2257</v>
      </c>
      <c r="F1182" s="8" t="s">
        <v>2257</v>
      </c>
      <c r="G1182" s="2" t="s">
        <v>2257</v>
      </c>
      <c r="H1182" s="2" t="s">
        <v>2257</v>
      </c>
      <c r="I1182" s="2" t="s">
        <v>2257</v>
      </c>
      <c r="J1182" t="str">
        <f t="shared" si="40"/>
        <v/>
      </c>
    </row>
    <row r="1183" spans="1:10" x14ac:dyDescent="0.15">
      <c r="A1183" t="s">
        <v>2257</v>
      </c>
      <c r="B1183" t="s">
        <v>2257</v>
      </c>
      <c r="C1183" s="2" t="s">
        <v>2257</v>
      </c>
      <c r="D1183" t="s">
        <v>2257</v>
      </c>
      <c r="E1183" s="2" t="s">
        <v>2257</v>
      </c>
      <c r="F1183" s="8" t="s">
        <v>2257</v>
      </c>
      <c r="G1183" s="2" t="s">
        <v>2257</v>
      </c>
      <c r="H1183" s="2" t="s">
        <v>2257</v>
      </c>
      <c r="I1183" s="2" t="s">
        <v>2257</v>
      </c>
      <c r="J1183" t="str">
        <f t="shared" si="40"/>
        <v/>
      </c>
    </row>
    <row r="1184" spans="1:10" x14ac:dyDescent="0.15">
      <c r="A1184" t="s">
        <v>2257</v>
      </c>
      <c r="B1184" t="s">
        <v>2257</v>
      </c>
      <c r="C1184" s="2" t="s">
        <v>2257</v>
      </c>
      <c r="D1184" t="s">
        <v>2257</v>
      </c>
      <c r="E1184" s="2" t="s">
        <v>2257</v>
      </c>
      <c r="F1184" s="8" t="s">
        <v>2257</v>
      </c>
      <c r="G1184" s="2" t="s">
        <v>2257</v>
      </c>
      <c r="H1184" s="2" t="s">
        <v>2257</v>
      </c>
      <c r="I1184" s="2" t="s">
        <v>2257</v>
      </c>
      <c r="J1184" t="str">
        <f t="shared" si="40"/>
        <v/>
      </c>
    </row>
    <row r="1185" spans="1:10" x14ac:dyDescent="0.15">
      <c r="A1185" t="s">
        <v>2257</v>
      </c>
      <c r="B1185" t="s">
        <v>2257</v>
      </c>
      <c r="C1185" s="2" t="s">
        <v>2257</v>
      </c>
      <c r="D1185" t="s">
        <v>2257</v>
      </c>
      <c r="E1185" s="2" t="s">
        <v>2257</v>
      </c>
      <c r="F1185" s="8" t="s">
        <v>2257</v>
      </c>
      <c r="G1185" s="2" t="s">
        <v>2257</v>
      </c>
      <c r="H1185" s="2" t="s">
        <v>2257</v>
      </c>
      <c r="I1185" s="2" t="s">
        <v>2257</v>
      </c>
      <c r="J1185" t="str">
        <f t="shared" si="40"/>
        <v/>
      </c>
    </row>
    <row r="1186" spans="1:10" x14ac:dyDescent="0.15">
      <c r="A1186" t="s">
        <v>2257</v>
      </c>
      <c r="B1186" t="s">
        <v>2257</v>
      </c>
      <c r="C1186" s="2" t="s">
        <v>2257</v>
      </c>
      <c r="D1186" t="s">
        <v>2257</v>
      </c>
      <c r="E1186" s="2" t="s">
        <v>2257</v>
      </c>
      <c r="F1186" s="8" t="s">
        <v>2257</v>
      </c>
      <c r="G1186" s="2" t="s">
        <v>2257</v>
      </c>
      <c r="H1186" s="2" t="s">
        <v>2257</v>
      </c>
      <c r="I1186" s="2" t="s">
        <v>2257</v>
      </c>
      <c r="J1186" t="str">
        <f t="shared" si="40"/>
        <v/>
      </c>
    </row>
    <row r="1187" spans="1:10" x14ac:dyDescent="0.15">
      <c r="A1187" t="s">
        <v>2257</v>
      </c>
      <c r="B1187" t="s">
        <v>2257</v>
      </c>
      <c r="C1187" s="2" t="s">
        <v>2257</v>
      </c>
      <c r="D1187" t="s">
        <v>2257</v>
      </c>
      <c r="E1187" s="2" t="s">
        <v>2257</v>
      </c>
      <c r="F1187" s="8" t="s">
        <v>2257</v>
      </c>
      <c r="G1187" s="2" t="s">
        <v>2257</v>
      </c>
      <c r="H1187" s="2" t="s">
        <v>2257</v>
      </c>
      <c r="I1187" s="2" t="s">
        <v>2257</v>
      </c>
      <c r="J1187" t="str">
        <f t="shared" si="40"/>
        <v/>
      </c>
    </row>
    <row r="1188" spans="1:10" x14ac:dyDescent="0.15">
      <c r="A1188" t="s">
        <v>2257</v>
      </c>
      <c r="B1188" t="s">
        <v>2257</v>
      </c>
      <c r="C1188" s="2" t="s">
        <v>2257</v>
      </c>
      <c r="D1188" t="s">
        <v>2257</v>
      </c>
      <c r="E1188" s="2" t="s">
        <v>2257</v>
      </c>
      <c r="F1188" s="8" t="s">
        <v>2257</v>
      </c>
      <c r="G1188" s="2" t="s">
        <v>2257</v>
      </c>
      <c r="H1188" s="2" t="s">
        <v>2257</v>
      </c>
      <c r="I1188" s="2" t="s">
        <v>2257</v>
      </c>
      <c r="J1188" t="str">
        <f t="shared" si="40"/>
        <v/>
      </c>
    </row>
    <row r="1189" spans="1:10" x14ac:dyDescent="0.15">
      <c r="A1189" t="s">
        <v>2257</v>
      </c>
      <c r="B1189" t="s">
        <v>2257</v>
      </c>
      <c r="C1189" s="2" t="s">
        <v>2257</v>
      </c>
      <c r="D1189" t="s">
        <v>2257</v>
      </c>
      <c r="E1189" s="2" t="s">
        <v>2257</v>
      </c>
      <c r="F1189" s="8" t="s">
        <v>2257</v>
      </c>
      <c r="G1189" s="2" t="s">
        <v>2257</v>
      </c>
      <c r="H1189" s="2" t="s">
        <v>2257</v>
      </c>
      <c r="I1189" s="2" t="s">
        <v>2257</v>
      </c>
      <c r="J1189" t="str">
        <f t="shared" si="40"/>
        <v/>
      </c>
    </row>
    <row r="1190" spans="1:10" x14ac:dyDescent="0.15">
      <c r="A1190" t="s">
        <v>2257</v>
      </c>
      <c r="B1190" t="s">
        <v>2257</v>
      </c>
      <c r="C1190" s="2" t="s">
        <v>2257</v>
      </c>
      <c r="D1190" t="s">
        <v>2257</v>
      </c>
      <c r="E1190" s="2" t="s">
        <v>2257</v>
      </c>
      <c r="F1190" s="8" t="s">
        <v>2257</v>
      </c>
      <c r="G1190" s="2" t="s">
        <v>2257</v>
      </c>
      <c r="H1190" s="2" t="s">
        <v>2257</v>
      </c>
      <c r="I1190" s="2" t="s">
        <v>2257</v>
      </c>
      <c r="J1190" t="str">
        <f t="shared" si="40"/>
        <v/>
      </c>
    </row>
    <row r="1191" spans="1:10" x14ac:dyDescent="0.15">
      <c r="A1191" t="s">
        <v>2257</v>
      </c>
      <c r="B1191" t="s">
        <v>2257</v>
      </c>
      <c r="C1191" s="2" t="s">
        <v>2257</v>
      </c>
      <c r="D1191" t="s">
        <v>2257</v>
      </c>
      <c r="E1191" s="2" t="s">
        <v>2257</v>
      </c>
      <c r="F1191" s="8" t="s">
        <v>2257</v>
      </c>
      <c r="G1191" s="2" t="s">
        <v>2257</v>
      </c>
      <c r="H1191" s="2" t="s">
        <v>2257</v>
      </c>
      <c r="I1191" s="2" t="s">
        <v>2257</v>
      </c>
      <c r="J1191" t="str">
        <f t="shared" si="40"/>
        <v/>
      </c>
    </row>
    <row r="1192" spans="1:10" x14ac:dyDescent="0.15">
      <c r="A1192" t="s">
        <v>2257</v>
      </c>
      <c r="B1192" t="s">
        <v>2257</v>
      </c>
      <c r="C1192" s="2" t="s">
        <v>2257</v>
      </c>
      <c r="D1192" t="s">
        <v>2257</v>
      </c>
      <c r="E1192" s="2" t="s">
        <v>2257</v>
      </c>
      <c r="F1192" s="8" t="s">
        <v>2257</v>
      </c>
      <c r="G1192" s="2" t="s">
        <v>2257</v>
      </c>
      <c r="H1192" s="2" t="s">
        <v>2257</v>
      </c>
      <c r="I1192" s="2" t="s">
        <v>2257</v>
      </c>
      <c r="J1192" t="str">
        <f t="shared" si="40"/>
        <v/>
      </c>
    </row>
    <row r="1193" spans="1:10" x14ac:dyDescent="0.15">
      <c r="A1193" t="s">
        <v>2257</v>
      </c>
      <c r="B1193" t="s">
        <v>2257</v>
      </c>
      <c r="C1193" s="2" t="s">
        <v>2257</v>
      </c>
      <c r="D1193" t="s">
        <v>2257</v>
      </c>
      <c r="E1193" s="2" t="s">
        <v>2257</v>
      </c>
      <c r="F1193" s="8" t="s">
        <v>2257</v>
      </c>
      <c r="G1193" s="2" t="s">
        <v>2257</v>
      </c>
      <c r="H1193" s="2" t="s">
        <v>2257</v>
      </c>
      <c r="I1193" s="2" t="s">
        <v>2257</v>
      </c>
      <c r="J1193" t="str">
        <f t="shared" si="40"/>
        <v/>
      </c>
    </row>
    <row r="1194" spans="1:10" x14ac:dyDescent="0.15">
      <c r="A1194" t="s">
        <v>2257</v>
      </c>
      <c r="B1194" t="s">
        <v>2257</v>
      </c>
      <c r="C1194" s="2" t="s">
        <v>2257</v>
      </c>
      <c r="D1194" t="s">
        <v>2257</v>
      </c>
      <c r="E1194" s="2" t="s">
        <v>2257</v>
      </c>
      <c r="F1194" s="8" t="s">
        <v>2257</v>
      </c>
      <c r="G1194" s="2" t="s">
        <v>2257</v>
      </c>
      <c r="H1194" s="2" t="s">
        <v>2257</v>
      </c>
      <c r="I1194" s="2" t="s">
        <v>2257</v>
      </c>
      <c r="J1194" t="str">
        <f t="shared" si="40"/>
        <v/>
      </c>
    </row>
    <row r="1195" spans="1:10" x14ac:dyDescent="0.15">
      <c r="A1195" t="s">
        <v>2257</v>
      </c>
      <c r="B1195" t="s">
        <v>2257</v>
      </c>
      <c r="C1195" s="2" t="s">
        <v>2257</v>
      </c>
      <c r="D1195" t="s">
        <v>2257</v>
      </c>
      <c r="E1195" s="2" t="s">
        <v>2257</v>
      </c>
      <c r="F1195" s="8" t="s">
        <v>2257</v>
      </c>
      <c r="G1195" s="2" t="s">
        <v>2257</v>
      </c>
      <c r="H1195" s="2" t="s">
        <v>2257</v>
      </c>
      <c r="I1195" s="2" t="s">
        <v>2257</v>
      </c>
      <c r="J1195" t="str">
        <f t="shared" si="40"/>
        <v/>
      </c>
    </row>
    <row r="1196" spans="1:10" x14ac:dyDescent="0.15">
      <c r="A1196" t="s">
        <v>2257</v>
      </c>
      <c r="B1196" t="s">
        <v>2257</v>
      </c>
      <c r="C1196" s="2" t="s">
        <v>2257</v>
      </c>
      <c r="D1196" t="s">
        <v>2257</v>
      </c>
      <c r="E1196" s="2" t="s">
        <v>2257</v>
      </c>
      <c r="F1196" s="8" t="s">
        <v>2257</v>
      </c>
      <c r="G1196" s="2" t="s">
        <v>2257</v>
      </c>
      <c r="H1196" s="2" t="s">
        <v>2257</v>
      </c>
      <c r="I1196" s="2" t="s">
        <v>2257</v>
      </c>
      <c r="J1196" t="str">
        <f t="shared" si="40"/>
        <v/>
      </c>
    </row>
    <row r="1197" spans="1:10" x14ac:dyDescent="0.15">
      <c r="A1197" t="s">
        <v>2257</v>
      </c>
      <c r="B1197" t="s">
        <v>2257</v>
      </c>
      <c r="C1197" s="2" t="s">
        <v>2257</v>
      </c>
      <c r="D1197" t="s">
        <v>2257</v>
      </c>
      <c r="E1197" s="2" t="s">
        <v>2257</v>
      </c>
      <c r="F1197" s="8" t="s">
        <v>2257</v>
      </c>
      <c r="G1197" s="2" t="s">
        <v>2257</v>
      </c>
      <c r="H1197" s="2" t="s">
        <v>2257</v>
      </c>
      <c r="I1197" s="2" t="s">
        <v>2257</v>
      </c>
      <c r="J1197" t="str">
        <f t="shared" si="40"/>
        <v/>
      </c>
    </row>
    <row r="1198" spans="1:10" x14ac:dyDescent="0.15">
      <c r="A1198" t="s">
        <v>2257</v>
      </c>
      <c r="B1198" t="s">
        <v>2257</v>
      </c>
      <c r="C1198" s="2" t="s">
        <v>2257</v>
      </c>
      <c r="D1198" t="s">
        <v>2257</v>
      </c>
      <c r="E1198" s="2" t="s">
        <v>2257</v>
      </c>
      <c r="F1198" s="8" t="s">
        <v>2257</v>
      </c>
      <c r="G1198" s="2" t="s">
        <v>2257</v>
      </c>
      <c r="H1198" s="2" t="s">
        <v>2257</v>
      </c>
      <c r="I1198" s="2" t="s">
        <v>2257</v>
      </c>
      <c r="J1198" t="str">
        <f t="shared" si="40"/>
        <v/>
      </c>
    </row>
    <row r="1199" spans="1:10" x14ac:dyDescent="0.15">
      <c r="A1199" t="s">
        <v>2257</v>
      </c>
      <c r="B1199" t="s">
        <v>2257</v>
      </c>
      <c r="C1199" s="2" t="s">
        <v>2257</v>
      </c>
      <c r="D1199" t="s">
        <v>2257</v>
      </c>
      <c r="E1199" s="2" t="s">
        <v>2257</v>
      </c>
      <c r="F1199" s="8" t="s">
        <v>2257</v>
      </c>
      <c r="G1199" s="2" t="s">
        <v>2257</v>
      </c>
      <c r="H1199" s="2" t="s">
        <v>2257</v>
      </c>
      <c r="I1199" s="2" t="s">
        <v>2257</v>
      </c>
      <c r="J1199" t="str">
        <f t="shared" si="40"/>
        <v/>
      </c>
    </row>
    <row r="1200" spans="1:10" x14ac:dyDescent="0.15">
      <c r="A1200" t="s">
        <v>2257</v>
      </c>
      <c r="B1200" t="s">
        <v>2257</v>
      </c>
      <c r="C1200" s="2" t="s">
        <v>2257</v>
      </c>
      <c r="D1200" t="s">
        <v>2257</v>
      </c>
      <c r="E1200" s="2" t="s">
        <v>2257</v>
      </c>
      <c r="F1200" s="8" t="s">
        <v>2257</v>
      </c>
      <c r="G1200" s="2" t="s">
        <v>2257</v>
      </c>
      <c r="H1200" s="2" t="s">
        <v>2257</v>
      </c>
      <c r="I1200" s="2" t="s">
        <v>2257</v>
      </c>
      <c r="J1200" t="str">
        <f t="shared" si="40"/>
        <v/>
      </c>
    </row>
    <row r="1201" spans="1:10" x14ac:dyDescent="0.15">
      <c r="A1201" t="s">
        <v>2257</v>
      </c>
      <c r="B1201" t="s">
        <v>2257</v>
      </c>
      <c r="C1201" s="2" t="s">
        <v>2257</v>
      </c>
      <c r="D1201" t="s">
        <v>2257</v>
      </c>
      <c r="E1201" s="2" t="s">
        <v>2257</v>
      </c>
      <c r="F1201" s="8" t="s">
        <v>2257</v>
      </c>
      <c r="G1201" s="2" t="s">
        <v>2257</v>
      </c>
      <c r="H1201" s="2" t="s">
        <v>2257</v>
      </c>
      <c r="I1201" s="2" t="s">
        <v>2257</v>
      </c>
      <c r="J1201" t="str">
        <f t="shared" si="40"/>
        <v/>
      </c>
    </row>
    <row r="1202" spans="1:10" x14ac:dyDescent="0.15">
      <c r="A1202" t="s">
        <v>2257</v>
      </c>
      <c r="B1202" t="s">
        <v>2257</v>
      </c>
      <c r="C1202" s="2" t="s">
        <v>2257</v>
      </c>
      <c r="D1202" t="s">
        <v>2257</v>
      </c>
      <c r="E1202" s="2" t="s">
        <v>2257</v>
      </c>
      <c r="F1202" s="8" t="s">
        <v>2257</v>
      </c>
      <c r="G1202" s="2" t="s">
        <v>2257</v>
      </c>
      <c r="H1202" s="2" t="s">
        <v>2257</v>
      </c>
      <c r="I1202" s="2" t="s">
        <v>2257</v>
      </c>
      <c r="J1202" t="str">
        <f t="shared" si="40"/>
        <v/>
      </c>
    </row>
    <row r="1203" spans="1:10" x14ac:dyDescent="0.15">
      <c r="A1203" t="s">
        <v>2257</v>
      </c>
      <c r="B1203" t="s">
        <v>2257</v>
      </c>
      <c r="C1203" s="2" t="s">
        <v>2257</v>
      </c>
      <c r="D1203" t="s">
        <v>2257</v>
      </c>
      <c r="E1203" s="2" t="s">
        <v>2257</v>
      </c>
      <c r="F1203" s="8" t="s">
        <v>2257</v>
      </c>
      <c r="G1203" s="2" t="s">
        <v>2257</v>
      </c>
      <c r="H1203" s="2" t="s">
        <v>2257</v>
      </c>
      <c r="I1203" s="2" t="s">
        <v>2257</v>
      </c>
      <c r="J1203" t="str">
        <f t="shared" si="40"/>
        <v/>
      </c>
    </row>
    <row r="1204" spans="1:10" x14ac:dyDescent="0.15">
      <c r="A1204" t="s">
        <v>2257</v>
      </c>
      <c r="B1204" t="s">
        <v>2257</v>
      </c>
      <c r="C1204" s="2" t="s">
        <v>2257</v>
      </c>
      <c r="D1204" t="s">
        <v>2257</v>
      </c>
      <c r="E1204" s="2" t="s">
        <v>2257</v>
      </c>
      <c r="F1204" s="8" t="s">
        <v>2257</v>
      </c>
      <c r="G1204" s="2" t="s">
        <v>2257</v>
      </c>
      <c r="H1204" s="2" t="s">
        <v>2257</v>
      </c>
      <c r="I1204" s="2" t="s">
        <v>2257</v>
      </c>
      <c r="J1204" t="str">
        <f t="shared" si="40"/>
        <v/>
      </c>
    </row>
    <row r="1205" spans="1:10" x14ac:dyDescent="0.15">
      <c r="A1205" t="s">
        <v>2257</v>
      </c>
      <c r="B1205" t="s">
        <v>2257</v>
      </c>
      <c r="C1205" s="2" t="s">
        <v>2257</v>
      </c>
      <c r="D1205" t="s">
        <v>2257</v>
      </c>
      <c r="E1205" s="2" t="s">
        <v>2257</v>
      </c>
      <c r="F1205" s="8" t="s">
        <v>2257</v>
      </c>
      <c r="G1205" s="2" t="s">
        <v>2257</v>
      </c>
      <c r="H1205" s="2" t="s">
        <v>2257</v>
      </c>
      <c r="I1205" s="2" t="s">
        <v>2257</v>
      </c>
      <c r="J1205" t="str">
        <f t="shared" si="40"/>
        <v/>
      </c>
    </row>
    <row r="1206" spans="1:10" x14ac:dyDescent="0.15">
      <c r="A1206" t="s">
        <v>2257</v>
      </c>
      <c r="B1206" t="s">
        <v>2257</v>
      </c>
      <c r="C1206" s="2" t="s">
        <v>2257</v>
      </c>
      <c r="D1206" t="s">
        <v>2257</v>
      </c>
      <c r="E1206" s="2" t="s">
        <v>2257</v>
      </c>
      <c r="F1206" s="8" t="s">
        <v>2257</v>
      </c>
      <c r="G1206" s="2" t="s">
        <v>2257</v>
      </c>
      <c r="H1206" s="2" t="s">
        <v>2257</v>
      </c>
      <c r="I1206" s="2" t="s">
        <v>2257</v>
      </c>
      <c r="J1206" t="str">
        <f t="shared" si="40"/>
        <v/>
      </c>
    </row>
    <row r="1207" spans="1:10" x14ac:dyDescent="0.15">
      <c r="A1207" t="s">
        <v>2257</v>
      </c>
      <c r="B1207" t="s">
        <v>2257</v>
      </c>
      <c r="C1207" s="2" t="s">
        <v>2257</v>
      </c>
      <c r="D1207" t="s">
        <v>2257</v>
      </c>
      <c r="E1207" s="2" t="s">
        <v>2257</v>
      </c>
      <c r="F1207" s="8" t="s">
        <v>2257</v>
      </c>
      <c r="G1207" s="2" t="s">
        <v>2257</v>
      </c>
      <c r="H1207" s="2" t="s">
        <v>2257</v>
      </c>
      <c r="I1207" s="2" t="s">
        <v>2257</v>
      </c>
      <c r="J1207" t="str">
        <f t="shared" si="40"/>
        <v/>
      </c>
    </row>
    <row r="1208" spans="1:10" x14ac:dyDescent="0.15">
      <c r="A1208" t="s">
        <v>2257</v>
      </c>
      <c r="B1208" t="s">
        <v>2257</v>
      </c>
      <c r="C1208" s="2" t="s">
        <v>2257</v>
      </c>
      <c r="D1208" t="s">
        <v>2257</v>
      </c>
      <c r="E1208" s="2" t="s">
        <v>2257</v>
      </c>
      <c r="F1208" s="8" t="s">
        <v>2257</v>
      </c>
      <c r="G1208" s="2" t="s">
        <v>2257</v>
      </c>
      <c r="H1208" s="2" t="s">
        <v>2257</v>
      </c>
      <c r="I1208" s="2" t="s">
        <v>2257</v>
      </c>
      <c r="J1208" t="str">
        <f t="shared" si="40"/>
        <v/>
      </c>
    </row>
    <row r="1209" spans="1:10" x14ac:dyDescent="0.15">
      <c r="A1209" t="s">
        <v>2257</v>
      </c>
      <c r="B1209" t="s">
        <v>2257</v>
      </c>
      <c r="C1209" s="2" t="s">
        <v>2257</v>
      </c>
      <c r="D1209" t="s">
        <v>2257</v>
      </c>
      <c r="E1209" s="2" t="s">
        <v>2257</v>
      </c>
      <c r="F1209" s="8" t="s">
        <v>2257</v>
      </c>
      <c r="G1209" s="2" t="s">
        <v>2257</v>
      </c>
      <c r="H1209" s="2" t="s">
        <v>2257</v>
      </c>
      <c r="I1209" s="2" t="s">
        <v>2257</v>
      </c>
      <c r="J1209" t="str">
        <f t="shared" si="40"/>
        <v/>
      </c>
    </row>
    <row r="1210" spans="1:10" x14ac:dyDescent="0.15">
      <c r="A1210" t="s">
        <v>2257</v>
      </c>
      <c r="B1210" t="s">
        <v>2257</v>
      </c>
      <c r="C1210" s="2" t="s">
        <v>2257</v>
      </c>
      <c r="D1210" t="s">
        <v>2257</v>
      </c>
      <c r="E1210" s="2" t="s">
        <v>2257</v>
      </c>
      <c r="F1210" s="8" t="s">
        <v>2257</v>
      </c>
      <c r="G1210" s="2" t="s">
        <v>2257</v>
      </c>
      <c r="H1210" s="2" t="s">
        <v>2257</v>
      </c>
      <c r="I1210" s="2" t="s">
        <v>2257</v>
      </c>
      <c r="J1210" t="str">
        <f t="shared" si="40"/>
        <v/>
      </c>
    </row>
    <row r="1211" spans="1:10" x14ac:dyDescent="0.15">
      <c r="A1211" t="s">
        <v>2257</v>
      </c>
      <c r="B1211" t="s">
        <v>2257</v>
      </c>
      <c r="C1211" s="2" t="s">
        <v>2257</v>
      </c>
      <c r="D1211" t="s">
        <v>2257</v>
      </c>
      <c r="E1211" s="2" t="s">
        <v>2257</v>
      </c>
      <c r="F1211" s="8" t="s">
        <v>2257</v>
      </c>
      <c r="G1211" s="2" t="s">
        <v>2257</v>
      </c>
      <c r="H1211" s="2" t="s">
        <v>2257</v>
      </c>
      <c r="I1211" s="2" t="s">
        <v>2257</v>
      </c>
      <c r="J1211" t="str">
        <f t="shared" si="40"/>
        <v/>
      </c>
    </row>
    <row r="1212" spans="1:10" x14ac:dyDescent="0.15">
      <c r="A1212" t="s">
        <v>2257</v>
      </c>
      <c r="B1212" t="s">
        <v>2257</v>
      </c>
      <c r="C1212" s="2" t="s">
        <v>2257</v>
      </c>
      <c r="D1212" t="s">
        <v>2257</v>
      </c>
      <c r="E1212" s="2" t="s">
        <v>2257</v>
      </c>
      <c r="F1212" s="8" t="s">
        <v>2257</v>
      </c>
      <c r="G1212" s="2" t="s">
        <v>2257</v>
      </c>
      <c r="H1212" s="2" t="s">
        <v>2257</v>
      </c>
      <c r="I1212" s="2" t="s">
        <v>2257</v>
      </c>
      <c r="J1212" t="str">
        <f t="shared" si="40"/>
        <v/>
      </c>
    </row>
    <row r="1213" spans="1:10" x14ac:dyDescent="0.15">
      <c r="A1213" t="s">
        <v>2257</v>
      </c>
      <c r="B1213" t="s">
        <v>2257</v>
      </c>
      <c r="C1213" s="2" t="s">
        <v>2257</v>
      </c>
      <c r="D1213" t="s">
        <v>2257</v>
      </c>
      <c r="E1213" s="2" t="s">
        <v>2257</v>
      </c>
      <c r="F1213" s="8" t="s">
        <v>2257</v>
      </c>
      <c r="G1213" s="2" t="s">
        <v>2257</v>
      </c>
      <c r="H1213" s="2" t="s">
        <v>2257</v>
      </c>
      <c r="I1213" s="2" t="s">
        <v>2257</v>
      </c>
      <c r="J1213" t="str">
        <f t="shared" si="40"/>
        <v/>
      </c>
    </row>
    <row r="1214" spans="1:10" x14ac:dyDescent="0.15">
      <c r="A1214" t="s">
        <v>2257</v>
      </c>
      <c r="B1214" t="s">
        <v>2257</v>
      </c>
      <c r="C1214" s="2" t="s">
        <v>2257</v>
      </c>
      <c r="D1214" t="s">
        <v>2257</v>
      </c>
      <c r="E1214" s="2" t="s">
        <v>2257</v>
      </c>
      <c r="F1214" s="8" t="s">
        <v>2257</v>
      </c>
      <c r="G1214" s="2" t="s">
        <v>2257</v>
      </c>
      <c r="H1214" s="2" t="s">
        <v>2257</v>
      </c>
      <c r="I1214" s="2" t="s">
        <v>2257</v>
      </c>
      <c r="J1214" t="str">
        <f t="shared" si="40"/>
        <v/>
      </c>
    </row>
    <row r="1215" spans="1:10" x14ac:dyDescent="0.15">
      <c r="A1215" t="s">
        <v>2257</v>
      </c>
      <c r="B1215" t="s">
        <v>2257</v>
      </c>
      <c r="C1215" s="2" t="s">
        <v>2257</v>
      </c>
      <c r="D1215" t="s">
        <v>2257</v>
      </c>
      <c r="E1215" s="2" t="s">
        <v>2257</v>
      </c>
      <c r="F1215" s="8" t="s">
        <v>2257</v>
      </c>
      <c r="G1215" s="2" t="s">
        <v>2257</v>
      </c>
      <c r="H1215" s="2" t="s">
        <v>2257</v>
      </c>
      <c r="I1215" s="2" t="s">
        <v>2257</v>
      </c>
      <c r="J1215" t="str">
        <f t="shared" si="40"/>
        <v/>
      </c>
    </row>
    <row r="1216" spans="1:10" x14ac:dyDescent="0.15">
      <c r="A1216" t="s">
        <v>2257</v>
      </c>
      <c r="B1216" t="s">
        <v>2257</v>
      </c>
      <c r="C1216" s="2" t="s">
        <v>2257</v>
      </c>
      <c r="D1216" t="s">
        <v>2257</v>
      </c>
      <c r="E1216" s="2" t="s">
        <v>2257</v>
      </c>
      <c r="F1216" s="8" t="s">
        <v>2257</v>
      </c>
      <c r="G1216" s="2" t="s">
        <v>2257</v>
      </c>
      <c r="H1216" s="2" t="s">
        <v>2257</v>
      </c>
      <c r="I1216" s="2" t="s">
        <v>2257</v>
      </c>
      <c r="J1216" t="str">
        <f t="shared" si="40"/>
        <v/>
      </c>
    </row>
    <row r="1217" spans="1:10" x14ac:dyDescent="0.15">
      <c r="A1217" t="s">
        <v>2257</v>
      </c>
      <c r="B1217" t="s">
        <v>2257</v>
      </c>
      <c r="C1217" s="2" t="s">
        <v>2257</v>
      </c>
      <c r="D1217" t="s">
        <v>2257</v>
      </c>
      <c r="E1217" s="2" t="s">
        <v>2257</v>
      </c>
      <c r="F1217" s="8" t="s">
        <v>2257</v>
      </c>
      <c r="G1217" s="2" t="s">
        <v>2257</v>
      </c>
      <c r="H1217" s="2" t="s">
        <v>2257</v>
      </c>
      <c r="I1217" s="2" t="s">
        <v>2257</v>
      </c>
      <c r="J1217" t="str">
        <f t="shared" si="40"/>
        <v/>
      </c>
    </row>
    <row r="1218" spans="1:10" x14ac:dyDescent="0.15">
      <c r="A1218" t="s">
        <v>2257</v>
      </c>
      <c r="B1218" t="s">
        <v>2257</v>
      </c>
      <c r="C1218" s="2" t="s">
        <v>2257</v>
      </c>
      <c r="D1218" t="s">
        <v>2257</v>
      </c>
      <c r="E1218" s="2" t="s">
        <v>2257</v>
      </c>
      <c r="F1218" s="8" t="s">
        <v>2257</v>
      </c>
      <c r="G1218" s="2" t="s">
        <v>2257</v>
      </c>
      <c r="H1218" s="2" t="s">
        <v>2257</v>
      </c>
      <c r="I1218" s="2" t="s">
        <v>2257</v>
      </c>
      <c r="J1218" t="str">
        <f t="shared" si="40"/>
        <v/>
      </c>
    </row>
    <row r="1219" spans="1:10" x14ac:dyDescent="0.15">
      <c r="A1219" t="s">
        <v>2257</v>
      </c>
      <c r="B1219" t="s">
        <v>2257</v>
      </c>
      <c r="C1219" s="2" t="s">
        <v>2257</v>
      </c>
      <c r="D1219" t="s">
        <v>2257</v>
      </c>
      <c r="E1219" s="2" t="s">
        <v>2257</v>
      </c>
      <c r="F1219" s="8" t="s">
        <v>2257</v>
      </c>
      <c r="G1219" s="2" t="s">
        <v>2257</v>
      </c>
      <c r="H1219" s="2" t="s">
        <v>2257</v>
      </c>
      <c r="I1219" s="2" t="s">
        <v>2257</v>
      </c>
      <c r="J1219" t="str">
        <f t="shared" si="40"/>
        <v/>
      </c>
    </row>
    <row r="1220" spans="1:10" x14ac:dyDescent="0.15">
      <c r="A1220" t="s">
        <v>2257</v>
      </c>
      <c r="B1220" t="s">
        <v>2257</v>
      </c>
      <c r="C1220" s="2" t="s">
        <v>2257</v>
      </c>
      <c r="D1220" t="s">
        <v>2257</v>
      </c>
      <c r="E1220" s="2" t="s">
        <v>2257</v>
      </c>
      <c r="F1220" s="8" t="s">
        <v>2257</v>
      </c>
      <c r="G1220" s="2" t="s">
        <v>2257</v>
      </c>
      <c r="H1220" s="2" t="s">
        <v>2257</v>
      </c>
      <c r="I1220" s="2" t="s">
        <v>2257</v>
      </c>
      <c r="J1220" t="str">
        <f t="shared" si="40"/>
        <v/>
      </c>
    </row>
    <row r="1221" spans="1:10" x14ac:dyDescent="0.15">
      <c r="A1221" t="s">
        <v>2257</v>
      </c>
      <c r="B1221" t="s">
        <v>2257</v>
      </c>
      <c r="C1221" s="2" t="s">
        <v>2257</v>
      </c>
      <c r="D1221" t="s">
        <v>2257</v>
      </c>
      <c r="E1221" s="2" t="s">
        <v>2257</v>
      </c>
      <c r="F1221" s="8" t="s">
        <v>2257</v>
      </c>
      <c r="G1221" s="2" t="s">
        <v>2257</v>
      </c>
      <c r="H1221" s="2" t="s">
        <v>2257</v>
      </c>
      <c r="I1221" s="2" t="s">
        <v>2257</v>
      </c>
      <c r="J1221" t="str">
        <f t="shared" si="40"/>
        <v/>
      </c>
    </row>
    <row r="1222" spans="1:10" x14ac:dyDescent="0.15">
      <c r="A1222" t="s">
        <v>2257</v>
      </c>
      <c r="B1222" t="s">
        <v>2257</v>
      </c>
      <c r="C1222" s="2" t="s">
        <v>2257</v>
      </c>
      <c r="D1222" t="s">
        <v>2257</v>
      </c>
      <c r="E1222" s="2" t="s">
        <v>2257</v>
      </c>
      <c r="F1222" s="8" t="s">
        <v>2257</v>
      </c>
      <c r="G1222" s="2" t="s">
        <v>2257</v>
      </c>
      <c r="H1222" s="2" t="s">
        <v>2257</v>
      </c>
      <c r="I1222" s="2" t="s">
        <v>2257</v>
      </c>
      <c r="J1222" t="str">
        <f t="shared" si="40"/>
        <v/>
      </c>
    </row>
    <row r="1223" spans="1:10" x14ac:dyDescent="0.15">
      <c r="A1223" t="s">
        <v>2257</v>
      </c>
      <c r="B1223" t="s">
        <v>2257</v>
      </c>
      <c r="C1223" s="2" t="s">
        <v>2257</v>
      </c>
      <c r="D1223" t="s">
        <v>2257</v>
      </c>
      <c r="E1223" s="2" t="s">
        <v>2257</v>
      </c>
      <c r="F1223" s="8" t="s">
        <v>2257</v>
      </c>
      <c r="G1223" s="2" t="s">
        <v>2257</v>
      </c>
      <c r="H1223" s="2" t="s">
        <v>2257</v>
      </c>
      <c r="I1223" s="2" t="s">
        <v>2257</v>
      </c>
      <c r="J1223" t="str">
        <f t="shared" si="40"/>
        <v/>
      </c>
    </row>
    <row r="1224" spans="1:10" x14ac:dyDescent="0.15">
      <c r="A1224" t="s">
        <v>2257</v>
      </c>
      <c r="B1224" t="s">
        <v>2257</v>
      </c>
      <c r="C1224" s="2" t="s">
        <v>2257</v>
      </c>
      <c r="D1224" t="s">
        <v>2257</v>
      </c>
      <c r="E1224" s="2" t="s">
        <v>2257</v>
      </c>
      <c r="F1224" s="8" t="s">
        <v>2257</v>
      </c>
      <c r="G1224" s="2" t="s">
        <v>2257</v>
      </c>
      <c r="H1224" s="2" t="s">
        <v>2257</v>
      </c>
      <c r="I1224" s="2" t="s">
        <v>2257</v>
      </c>
      <c r="J1224" t="str">
        <f t="shared" si="40"/>
        <v/>
      </c>
    </row>
    <row r="1225" spans="1:10" x14ac:dyDescent="0.15">
      <c r="A1225" t="s">
        <v>2257</v>
      </c>
      <c r="B1225" t="s">
        <v>2257</v>
      </c>
      <c r="C1225" s="2" t="s">
        <v>2257</v>
      </c>
      <c r="D1225" t="s">
        <v>2257</v>
      </c>
      <c r="E1225" s="2" t="s">
        <v>2257</v>
      </c>
      <c r="F1225" s="8" t="s">
        <v>2257</v>
      </c>
      <c r="G1225" s="2" t="s">
        <v>2257</v>
      </c>
      <c r="H1225" s="2" t="s">
        <v>2257</v>
      </c>
      <c r="I1225" s="2" t="s">
        <v>2257</v>
      </c>
      <c r="J1225" t="str">
        <f t="shared" si="40"/>
        <v/>
      </c>
    </row>
    <row r="1226" spans="1:10" x14ac:dyDescent="0.15">
      <c r="A1226" t="s">
        <v>2257</v>
      </c>
      <c r="B1226" t="s">
        <v>2257</v>
      </c>
      <c r="C1226" s="2" t="s">
        <v>2257</v>
      </c>
      <c r="D1226" t="s">
        <v>2257</v>
      </c>
      <c r="E1226" s="2" t="s">
        <v>2257</v>
      </c>
      <c r="F1226" s="8" t="s">
        <v>2257</v>
      </c>
      <c r="G1226" s="2" t="s">
        <v>2257</v>
      </c>
      <c r="H1226" s="2" t="s">
        <v>2257</v>
      </c>
      <c r="I1226" s="2" t="s">
        <v>2257</v>
      </c>
      <c r="J1226" t="str">
        <f t="shared" si="40"/>
        <v/>
      </c>
    </row>
    <row r="1227" spans="1:10" x14ac:dyDescent="0.15">
      <c r="A1227" t="s">
        <v>2257</v>
      </c>
      <c r="B1227" t="s">
        <v>2257</v>
      </c>
      <c r="C1227" s="2" t="s">
        <v>2257</v>
      </c>
      <c r="D1227" t="s">
        <v>2257</v>
      </c>
      <c r="E1227" s="2" t="s">
        <v>2257</v>
      </c>
      <c r="F1227" s="8" t="s">
        <v>2257</v>
      </c>
      <c r="G1227" s="2" t="s">
        <v>2257</v>
      </c>
      <c r="H1227" s="2" t="s">
        <v>2257</v>
      </c>
      <c r="I1227" s="2" t="s">
        <v>2257</v>
      </c>
      <c r="J1227" t="str">
        <f t="shared" ref="J1227:J1290" si="41">IF(A1227="","",IF(AND(C1227="",D1227&lt;&gt;"UNS",I1227=""),"Open","Closed"))</f>
        <v/>
      </c>
    </row>
    <row r="1228" spans="1:10" x14ac:dyDescent="0.15">
      <c r="A1228" t="s">
        <v>2257</v>
      </c>
      <c r="B1228" t="s">
        <v>2257</v>
      </c>
      <c r="C1228" s="2" t="s">
        <v>2257</v>
      </c>
      <c r="D1228" t="s">
        <v>2257</v>
      </c>
      <c r="E1228" s="2" t="s">
        <v>2257</v>
      </c>
      <c r="F1228" s="8" t="s">
        <v>2257</v>
      </c>
      <c r="G1228" s="2" t="s">
        <v>2257</v>
      </c>
      <c r="H1228" s="2" t="s">
        <v>2257</v>
      </c>
      <c r="I1228" s="2" t="s">
        <v>2257</v>
      </c>
      <c r="J1228" t="str">
        <f t="shared" si="41"/>
        <v/>
      </c>
    </row>
    <row r="1229" spans="1:10" x14ac:dyDescent="0.15">
      <c r="A1229" t="s">
        <v>2257</v>
      </c>
      <c r="B1229" t="s">
        <v>2257</v>
      </c>
      <c r="C1229" s="2" t="s">
        <v>2257</v>
      </c>
      <c r="D1229" t="s">
        <v>2257</v>
      </c>
      <c r="E1229" s="2" t="s">
        <v>2257</v>
      </c>
      <c r="F1229" s="8" t="s">
        <v>2257</v>
      </c>
      <c r="G1229" s="2" t="s">
        <v>2257</v>
      </c>
      <c r="H1229" s="2" t="s">
        <v>2257</v>
      </c>
      <c r="I1229" s="2" t="s">
        <v>2257</v>
      </c>
      <c r="J1229" t="str">
        <f t="shared" si="41"/>
        <v/>
      </c>
    </row>
    <row r="1230" spans="1:10" x14ac:dyDescent="0.15">
      <c r="A1230" t="s">
        <v>2257</v>
      </c>
      <c r="B1230" t="s">
        <v>2257</v>
      </c>
      <c r="C1230" s="2" t="s">
        <v>2257</v>
      </c>
      <c r="D1230" t="s">
        <v>2257</v>
      </c>
      <c r="E1230" s="2" t="s">
        <v>2257</v>
      </c>
      <c r="F1230" s="8" t="s">
        <v>2257</v>
      </c>
      <c r="G1230" s="2" t="s">
        <v>2257</v>
      </c>
      <c r="H1230" s="2" t="s">
        <v>2257</v>
      </c>
      <c r="I1230" s="2" t="s">
        <v>2257</v>
      </c>
      <c r="J1230" t="str">
        <f t="shared" si="41"/>
        <v/>
      </c>
    </row>
    <row r="1231" spans="1:10" x14ac:dyDescent="0.15">
      <c r="A1231" t="s">
        <v>2257</v>
      </c>
      <c r="B1231" t="s">
        <v>2257</v>
      </c>
      <c r="C1231" s="2" t="s">
        <v>2257</v>
      </c>
      <c r="D1231" t="s">
        <v>2257</v>
      </c>
      <c r="E1231" s="2" t="s">
        <v>2257</v>
      </c>
      <c r="F1231" s="8" t="s">
        <v>2257</v>
      </c>
      <c r="G1231" s="2" t="s">
        <v>2257</v>
      </c>
      <c r="H1231" s="2" t="s">
        <v>2257</v>
      </c>
      <c r="I1231" s="2" t="s">
        <v>2257</v>
      </c>
      <c r="J1231" t="str">
        <f t="shared" si="41"/>
        <v/>
      </c>
    </row>
    <row r="1232" spans="1:10" x14ac:dyDescent="0.15">
      <c r="A1232" t="s">
        <v>2257</v>
      </c>
      <c r="B1232" t="s">
        <v>2257</v>
      </c>
      <c r="C1232" s="2" t="s">
        <v>2257</v>
      </c>
      <c r="D1232" t="s">
        <v>2257</v>
      </c>
      <c r="E1232" s="2" t="s">
        <v>2257</v>
      </c>
      <c r="F1232" s="8" t="s">
        <v>2257</v>
      </c>
      <c r="G1232" s="2" t="s">
        <v>2257</v>
      </c>
      <c r="H1232" s="2" t="s">
        <v>2257</v>
      </c>
      <c r="I1232" s="2" t="s">
        <v>2257</v>
      </c>
      <c r="J1232" t="str">
        <f t="shared" si="41"/>
        <v/>
      </c>
    </row>
    <row r="1233" spans="1:10" x14ac:dyDescent="0.15">
      <c r="A1233" t="s">
        <v>2257</v>
      </c>
      <c r="B1233" t="s">
        <v>2257</v>
      </c>
      <c r="C1233" s="2" t="s">
        <v>2257</v>
      </c>
      <c r="D1233" t="s">
        <v>2257</v>
      </c>
      <c r="E1233" s="2" t="s">
        <v>2257</v>
      </c>
      <c r="F1233" s="8" t="s">
        <v>2257</v>
      </c>
      <c r="G1233" s="2" t="s">
        <v>2257</v>
      </c>
      <c r="H1233" s="2" t="s">
        <v>2257</v>
      </c>
      <c r="I1233" s="2" t="s">
        <v>2257</v>
      </c>
      <c r="J1233" t="str">
        <f t="shared" si="41"/>
        <v/>
      </c>
    </row>
    <row r="1234" spans="1:10" x14ac:dyDescent="0.15">
      <c r="A1234" t="s">
        <v>2257</v>
      </c>
      <c r="B1234" t="s">
        <v>2257</v>
      </c>
      <c r="C1234" s="2" t="s">
        <v>2257</v>
      </c>
      <c r="D1234" t="s">
        <v>2257</v>
      </c>
      <c r="E1234" s="2" t="s">
        <v>2257</v>
      </c>
      <c r="F1234" s="8" t="s">
        <v>2257</v>
      </c>
      <c r="G1234" s="2" t="s">
        <v>2257</v>
      </c>
      <c r="H1234" s="2" t="s">
        <v>2257</v>
      </c>
      <c r="I1234" s="2" t="s">
        <v>2257</v>
      </c>
      <c r="J1234" t="str">
        <f t="shared" si="41"/>
        <v/>
      </c>
    </row>
    <row r="1235" spans="1:10" x14ac:dyDescent="0.15">
      <c r="A1235" t="s">
        <v>2257</v>
      </c>
      <c r="B1235" t="s">
        <v>2257</v>
      </c>
      <c r="C1235" s="2" t="s">
        <v>2257</v>
      </c>
      <c r="D1235" t="s">
        <v>2257</v>
      </c>
      <c r="E1235" s="2" t="s">
        <v>2257</v>
      </c>
      <c r="F1235" s="8" t="s">
        <v>2257</v>
      </c>
      <c r="G1235" s="2" t="s">
        <v>2257</v>
      </c>
      <c r="H1235" s="2" t="s">
        <v>2257</v>
      </c>
      <c r="I1235" s="2" t="s">
        <v>2257</v>
      </c>
      <c r="J1235" t="str">
        <f t="shared" si="41"/>
        <v/>
      </c>
    </row>
    <row r="1236" spans="1:10" x14ac:dyDescent="0.15">
      <c r="A1236" t="s">
        <v>2257</v>
      </c>
      <c r="B1236" t="s">
        <v>2257</v>
      </c>
      <c r="C1236" s="2" t="s">
        <v>2257</v>
      </c>
      <c r="D1236" t="s">
        <v>2257</v>
      </c>
      <c r="E1236" s="2" t="s">
        <v>2257</v>
      </c>
      <c r="F1236" s="8" t="s">
        <v>2257</v>
      </c>
      <c r="G1236" s="2" t="s">
        <v>2257</v>
      </c>
      <c r="H1236" s="2" t="s">
        <v>2257</v>
      </c>
      <c r="I1236" s="2" t="s">
        <v>2257</v>
      </c>
      <c r="J1236" t="str">
        <f t="shared" si="41"/>
        <v/>
      </c>
    </row>
    <row r="1237" spans="1:10" x14ac:dyDescent="0.15">
      <c r="A1237" t="s">
        <v>2257</v>
      </c>
      <c r="B1237" t="s">
        <v>2257</v>
      </c>
      <c r="C1237" s="2" t="s">
        <v>2257</v>
      </c>
      <c r="D1237" t="s">
        <v>2257</v>
      </c>
      <c r="E1237" s="2" t="s">
        <v>2257</v>
      </c>
      <c r="F1237" s="8" t="s">
        <v>2257</v>
      </c>
      <c r="G1237" s="2" t="s">
        <v>2257</v>
      </c>
      <c r="H1237" s="2" t="s">
        <v>2257</v>
      </c>
      <c r="I1237" s="2" t="s">
        <v>2257</v>
      </c>
      <c r="J1237" t="str">
        <f t="shared" si="41"/>
        <v/>
      </c>
    </row>
    <row r="1238" spans="1:10" x14ac:dyDescent="0.15">
      <c r="A1238" t="s">
        <v>2257</v>
      </c>
      <c r="B1238" t="s">
        <v>2257</v>
      </c>
      <c r="C1238" s="2" t="s">
        <v>2257</v>
      </c>
      <c r="D1238" t="s">
        <v>2257</v>
      </c>
      <c r="E1238" s="2" t="s">
        <v>2257</v>
      </c>
      <c r="F1238" s="8" t="s">
        <v>2257</v>
      </c>
      <c r="G1238" s="2" t="s">
        <v>2257</v>
      </c>
      <c r="H1238" s="2" t="s">
        <v>2257</v>
      </c>
      <c r="I1238" s="2" t="s">
        <v>2257</v>
      </c>
      <c r="J1238" t="str">
        <f t="shared" si="41"/>
        <v/>
      </c>
    </row>
    <row r="1239" spans="1:10" x14ac:dyDescent="0.15">
      <c r="A1239" t="s">
        <v>2257</v>
      </c>
      <c r="B1239" t="s">
        <v>2257</v>
      </c>
      <c r="C1239" s="2" t="s">
        <v>2257</v>
      </c>
      <c r="D1239" t="s">
        <v>2257</v>
      </c>
      <c r="E1239" s="2" t="s">
        <v>2257</v>
      </c>
      <c r="F1239" s="8" t="s">
        <v>2257</v>
      </c>
      <c r="G1239" s="2" t="s">
        <v>2257</v>
      </c>
      <c r="H1239" s="2" t="s">
        <v>2257</v>
      </c>
      <c r="I1239" s="2" t="s">
        <v>2257</v>
      </c>
      <c r="J1239" t="str">
        <f t="shared" si="41"/>
        <v/>
      </c>
    </row>
    <row r="1240" spans="1:10" x14ac:dyDescent="0.15">
      <c r="A1240" t="s">
        <v>2257</v>
      </c>
      <c r="B1240" t="s">
        <v>2257</v>
      </c>
      <c r="C1240" s="2" t="s">
        <v>2257</v>
      </c>
      <c r="D1240" t="s">
        <v>2257</v>
      </c>
      <c r="E1240" s="2" t="s">
        <v>2257</v>
      </c>
      <c r="F1240" s="8" t="s">
        <v>2257</v>
      </c>
      <c r="G1240" s="2" t="s">
        <v>2257</v>
      </c>
      <c r="H1240" s="2" t="s">
        <v>2257</v>
      </c>
      <c r="I1240" s="2" t="s">
        <v>2257</v>
      </c>
      <c r="J1240" t="str">
        <f t="shared" si="41"/>
        <v/>
      </c>
    </row>
    <row r="1241" spans="1:10" x14ac:dyDescent="0.15">
      <c r="A1241" t="s">
        <v>2257</v>
      </c>
      <c r="B1241" t="s">
        <v>2257</v>
      </c>
      <c r="C1241" s="2" t="s">
        <v>2257</v>
      </c>
      <c r="D1241" t="s">
        <v>2257</v>
      </c>
      <c r="E1241" s="2" t="s">
        <v>2257</v>
      </c>
      <c r="F1241" s="8" t="s">
        <v>2257</v>
      </c>
      <c r="G1241" s="2" t="s">
        <v>2257</v>
      </c>
      <c r="H1241" s="2" t="s">
        <v>2257</v>
      </c>
      <c r="I1241" s="2" t="s">
        <v>2257</v>
      </c>
      <c r="J1241" t="str">
        <f t="shared" si="41"/>
        <v/>
      </c>
    </row>
    <row r="1242" spans="1:10" x14ac:dyDescent="0.15">
      <c r="A1242" t="s">
        <v>2257</v>
      </c>
      <c r="B1242" t="s">
        <v>2257</v>
      </c>
      <c r="C1242" s="2" t="s">
        <v>2257</v>
      </c>
      <c r="D1242" t="s">
        <v>2257</v>
      </c>
      <c r="E1242" s="2" t="s">
        <v>2257</v>
      </c>
      <c r="F1242" s="8" t="s">
        <v>2257</v>
      </c>
      <c r="G1242" s="2" t="s">
        <v>2257</v>
      </c>
      <c r="H1242" s="2" t="s">
        <v>2257</v>
      </c>
      <c r="I1242" s="2" t="s">
        <v>2257</v>
      </c>
      <c r="J1242" t="str">
        <f t="shared" si="41"/>
        <v/>
      </c>
    </row>
    <row r="1243" spans="1:10" x14ac:dyDescent="0.15">
      <c r="A1243" t="s">
        <v>2257</v>
      </c>
      <c r="B1243" t="s">
        <v>2257</v>
      </c>
      <c r="C1243" s="2" t="s">
        <v>2257</v>
      </c>
      <c r="D1243" t="s">
        <v>2257</v>
      </c>
      <c r="E1243" s="2" t="s">
        <v>2257</v>
      </c>
      <c r="F1243" s="8" t="s">
        <v>2257</v>
      </c>
      <c r="G1243" s="2" t="s">
        <v>2257</v>
      </c>
      <c r="H1243" s="2" t="s">
        <v>2257</v>
      </c>
      <c r="I1243" s="2" t="s">
        <v>2257</v>
      </c>
      <c r="J1243" t="str">
        <f t="shared" si="41"/>
        <v/>
      </c>
    </row>
    <row r="1244" spans="1:10" x14ac:dyDescent="0.15">
      <c r="A1244" t="s">
        <v>2257</v>
      </c>
      <c r="B1244" t="s">
        <v>2257</v>
      </c>
      <c r="C1244" s="2" t="s">
        <v>2257</v>
      </c>
      <c r="D1244" t="s">
        <v>2257</v>
      </c>
      <c r="E1244" s="2" t="s">
        <v>2257</v>
      </c>
      <c r="F1244" s="8" t="s">
        <v>2257</v>
      </c>
      <c r="G1244" s="2" t="s">
        <v>2257</v>
      </c>
      <c r="H1244" s="2" t="s">
        <v>2257</v>
      </c>
      <c r="I1244" s="2" t="s">
        <v>2257</v>
      </c>
      <c r="J1244" t="str">
        <f t="shared" si="41"/>
        <v/>
      </c>
    </row>
    <row r="1245" spans="1:10" x14ac:dyDescent="0.15">
      <c r="A1245" t="s">
        <v>2257</v>
      </c>
      <c r="B1245" t="s">
        <v>2257</v>
      </c>
      <c r="C1245" s="2" t="s">
        <v>2257</v>
      </c>
      <c r="D1245" t="s">
        <v>2257</v>
      </c>
      <c r="E1245" s="2" t="s">
        <v>2257</v>
      </c>
      <c r="F1245" s="8" t="s">
        <v>2257</v>
      </c>
      <c r="G1245" s="2" t="s">
        <v>2257</v>
      </c>
      <c r="H1245" s="2" t="s">
        <v>2257</v>
      </c>
      <c r="I1245" s="2" t="s">
        <v>2257</v>
      </c>
      <c r="J1245" t="str">
        <f t="shared" si="41"/>
        <v/>
      </c>
    </row>
    <row r="1246" spans="1:10" x14ac:dyDescent="0.15">
      <c r="A1246" t="s">
        <v>2257</v>
      </c>
      <c r="B1246" t="s">
        <v>2257</v>
      </c>
      <c r="C1246" s="2" t="s">
        <v>2257</v>
      </c>
      <c r="D1246" t="s">
        <v>2257</v>
      </c>
      <c r="E1246" s="2" t="s">
        <v>2257</v>
      </c>
      <c r="F1246" s="8" t="s">
        <v>2257</v>
      </c>
      <c r="G1246" s="2" t="s">
        <v>2257</v>
      </c>
      <c r="H1246" s="2" t="s">
        <v>2257</v>
      </c>
      <c r="I1246" s="2" t="s">
        <v>2257</v>
      </c>
      <c r="J1246" t="str">
        <f t="shared" si="41"/>
        <v/>
      </c>
    </row>
    <row r="1247" spans="1:10" x14ac:dyDescent="0.15">
      <c r="A1247" t="s">
        <v>2257</v>
      </c>
      <c r="B1247" t="s">
        <v>2257</v>
      </c>
      <c r="C1247" s="2" t="s">
        <v>2257</v>
      </c>
      <c r="D1247" t="s">
        <v>2257</v>
      </c>
      <c r="E1247" s="2" t="s">
        <v>2257</v>
      </c>
      <c r="F1247" s="8" t="s">
        <v>2257</v>
      </c>
      <c r="G1247" s="2" t="s">
        <v>2257</v>
      </c>
      <c r="H1247" s="2" t="s">
        <v>2257</v>
      </c>
      <c r="I1247" s="2" t="s">
        <v>2257</v>
      </c>
      <c r="J1247" t="str">
        <f t="shared" si="41"/>
        <v/>
      </c>
    </row>
    <row r="1248" spans="1:10" x14ac:dyDescent="0.15">
      <c r="A1248" t="s">
        <v>2257</v>
      </c>
      <c r="B1248" t="s">
        <v>2257</v>
      </c>
      <c r="C1248" s="2" t="s">
        <v>2257</v>
      </c>
      <c r="D1248" t="s">
        <v>2257</v>
      </c>
      <c r="E1248" s="2" t="s">
        <v>2257</v>
      </c>
      <c r="F1248" s="8" t="s">
        <v>2257</v>
      </c>
      <c r="G1248" s="2" t="s">
        <v>2257</v>
      </c>
      <c r="H1248" s="2" t="s">
        <v>2257</v>
      </c>
      <c r="I1248" s="2" t="s">
        <v>2257</v>
      </c>
      <c r="J1248" t="str">
        <f t="shared" si="41"/>
        <v/>
      </c>
    </row>
    <row r="1249" spans="1:10" x14ac:dyDescent="0.15">
      <c r="A1249" t="s">
        <v>2257</v>
      </c>
      <c r="B1249" t="s">
        <v>2257</v>
      </c>
      <c r="C1249" s="2" t="s">
        <v>2257</v>
      </c>
      <c r="D1249" t="s">
        <v>2257</v>
      </c>
      <c r="E1249" s="2" t="s">
        <v>2257</v>
      </c>
      <c r="F1249" s="8" t="s">
        <v>2257</v>
      </c>
      <c r="G1249" s="2" t="s">
        <v>2257</v>
      </c>
      <c r="H1249" s="2" t="s">
        <v>2257</v>
      </c>
      <c r="I1249" s="2" t="s">
        <v>2257</v>
      </c>
      <c r="J1249" t="str">
        <f t="shared" si="41"/>
        <v/>
      </c>
    </row>
    <row r="1250" spans="1:10" x14ac:dyDescent="0.15">
      <c r="A1250" t="s">
        <v>2257</v>
      </c>
      <c r="B1250" t="s">
        <v>2257</v>
      </c>
      <c r="C1250" s="2" t="s">
        <v>2257</v>
      </c>
      <c r="D1250" t="s">
        <v>2257</v>
      </c>
      <c r="E1250" s="2" t="s">
        <v>2257</v>
      </c>
      <c r="F1250" s="8" t="s">
        <v>2257</v>
      </c>
      <c r="G1250" s="2" t="s">
        <v>2257</v>
      </c>
      <c r="H1250" s="2" t="s">
        <v>2257</v>
      </c>
      <c r="I1250" s="2" t="s">
        <v>2257</v>
      </c>
      <c r="J1250" t="str">
        <f t="shared" si="41"/>
        <v/>
      </c>
    </row>
    <row r="1251" spans="1:10" x14ac:dyDescent="0.15">
      <c r="A1251" t="s">
        <v>2257</v>
      </c>
      <c r="B1251" t="s">
        <v>2257</v>
      </c>
      <c r="C1251" s="2" t="s">
        <v>2257</v>
      </c>
      <c r="D1251" t="s">
        <v>2257</v>
      </c>
      <c r="E1251" s="2" t="s">
        <v>2257</v>
      </c>
      <c r="F1251" s="8" t="s">
        <v>2257</v>
      </c>
      <c r="G1251" s="2" t="s">
        <v>2257</v>
      </c>
      <c r="H1251" s="2" t="s">
        <v>2257</v>
      </c>
      <c r="I1251" s="2" t="s">
        <v>2257</v>
      </c>
      <c r="J1251" t="str">
        <f t="shared" si="41"/>
        <v/>
      </c>
    </row>
    <row r="1252" spans="1:10" x14ac:dyDescent="0.15">
      <c r="A1252" t="s">
        <v>2257</v>
      </c>
      <c r="B1252" t="s">
        <v>2257</v>
      </c>
      <c r="C1252" s="2" t="s">
        <v>2257</v>
      </c>
      <c r="D1252" t="s">
        <v>2257</v>
      </c>
      <c r="E1252" s="2" t="s">
        <v>2257</v>
      </c>
      <c r="F1252" s="8" t="s">
        <v>2257</v>
      </c>
      <c r="G1252" s="2" t="s">
        <v>2257</v>
      </c>
      <c r="H1252" s="2" t="s">
        <v>2257</v>
      </c>
      <c r="I1252" s="2" t="s">
        <v>2257</v>
      </c>
      <c r="J1252" t="str">
        <f t="shared" si="41"/>
        <v/>
      </c>
    </row>
    <row r="1253" spans="1:10" x14ac:dyDescent="0.15">
      <c r="A1253" t="s">
        <v>2257</v>
      </c>
      <c r="B1253" t="s">
        <v>2257</v>
      </c>
      <c r="C1253" s="2" t="s">
        <v>2257</v>
      </c>
      <c r="D1253" t="s">
        <v>2257</v>
      </c>
      <c r="E1253" s="2" t="s">
        <v>2257</v>
      </c>
      <c r="F1253" s="8" t="s">
        <v>2257</v>
      </c>
      <c r="G1253" s="2" t="s">
        <v>2257</v>
      </c>
      <c r="H1253" s="2" t="s">
        <v>2257</v>
      </c>
      <c r="I1253" s="2" t="s">
        <v>2257</v>
      </c>
      <c r="J1253" t="str">
        <f t="shared" si="41"/>
        <v/>
      </c>
    </row>
    <row r="1254" spans="1:10" x14ac:dyDescent="0.15">
      <c r="A1254" t="s">
        <v>2257</v>
      </c>
      <c r="B1254" t="s">
        <v>2257</v>
      </c>
      <c r="C1254" s="2" t="s">
        <v>2257</v>
      </c>
      <c r="D1254" t="s">
        <v>2257</v>
      </c>
      <c r="E1254" s="2" t="s">
        <v>2257</v>
      </c>
      <c r="F1254" s="8" t="s">
        <v>2257</v>
      </c>
      <c r="G1254" s="2" t="s">
        <v>2257</v>
      </c>
      <c r="H1254" s="2" t="s">
        <v>2257</v>
      </c>
      <c r="I1254" s="2" t="s">
        <v>2257</v>
      </c>
      <c r="J1254" t="str">
        <f t="shared" si="41"/>
        <v/>
      </c>
    </row>
    <row r="1255" spans="1:10" x14ac:dyDescent="0.15">
      <c r="A1255" t="s">
        <v>2257</v>
      </c>
      <c r="B1255" t="s">
        <v>2257</v>
      </c>
      <c r="C1255" s="2" t="s">
        <v>2257</v>
      </c>
      <c r="D1255" t="s">
        <v>2257</v>
      </c>
      <c r="E1255" s="2" t="s">
        <v>2257</v>
      </c>
      <c r="F1255" s="8" t="s">
        <v>2257</v>
      </c>
      <c r="G1255" s="2" t="s">
        <v>2257</v>
      </c>
      <c r="H1255" s="2" t="s">
        <v>2257</v>
      </c>
      <c r="I1255" s="2" t="s">
        <v>2257</v>
      </c>
      <c r="J1255" t="str">
        <f t="shared" si="41"/>
        <v/>
      </c>
    </row>
    <row r="1256" spans="1:10" x14ac:dyDescent="0.15">
      <c r="A1256" t="s">
        <v>2257</v>
      </c>
      <c r="B1256" t="s">
        <v>2257</v>
      </c>
      <c r="C1256" s="2" t="s">
        <v>2257</v>
      </c>
      <c r="D1256" t="s">
        <v>2257</v>
      </c>
      <c r="E1256" s="2" t="s">
        <v>2257</v>
      </c>
      <c r="F1256" s="8" t="s">
        <v>2257</v>
      </c>
      <c r="G1256" s="2" t="s">
        <v>2257</v>
      </c>
      <c r="H1256" s="2" t="s">
        <v>2257</v>
      </c>
      <c r="I1256" s="2" t="s">
        <v>2257</v>
      </c>
      <c r="J1256" t="str">
        <f t="shared" si="41"/>
        <v/>
      </c>
    </row>
    <row r="1257" spans="1:10" x14ac:dyDescent="0.15">
      <c r="A1257" t="s">
        <v>2257</v>
      </c>
      <c r="B1257" t="s">
        <v>2257</v>
      </c>
      <c r="C1257" s="2" t="s">
        <v>2257</v>
      </c>
      <c r="D1257" t="s">
        <v>2257</v>
      </c>
      <c r="E1257" s="2" t="s">
        <v>2257</v>
      </c>
      <c r="F1257" s="8" t="s">
        <v>2257</v>
      </c>
      <c r="G1257" s="2" t="s">
        <v>2257</v>
      </c>
      <c r="H1257" s="2" t="s">
        <v>2257</v>
      </c>
      <c r="I1257" s="2" t="s">
        <v>2257</v>
      </c>
      <c r="J1257" t="str">
        <f t="shared" si="41"/>
        <v/>
      </c>
    </row>
    <row r="1258" spans="1:10" x14ac:dyDescent="0.15">
      <c r="A1258" t="s">
        <v>2257</v>
      </c>
      <c r="B1258" t="s">
        <v>2257</v>
      </c>
      <c r="C1258" s="2" t="s">
        <v>2257</v>
      </c>
      <c r="D1258" t="s">
        <v>2257</v>
      </c>
      <c r="E1258" s="2" t="s">
        <v>2257</v>
      </c>
      <c r="F1258" s="8" t="s">
        <v>2257</v>
      </c>
      <c r="G1258" s="2" t="s">
        <v>2257</v>
      </c>
      <c r="H1258" s="2" t="s">
        <v>2257</v>
      </c>
      <c r="I1258" s="2" t="s">
        <v>2257</v>
      </c>
      <c r="J1258" t="str">
        <f t="shared" si="41"/>
        <v/>
      </c>
    </row>
    <row r="1259" spans="1:10" x14ac:dyDescent="0.15">
      <c r="A1259" t="s">
        <v>2257</v>
      </c>
      <c r="B1259" t="s">
        <v>2257</v>
      </c>
      <c r="C1259" s="2" t="s">
        <v>2257</v>
      </c>
      <c r="D1259" t="s">
        <v>2257</v>
      </c>
      <c r="E1259" s="2" t="s">
        <v>2257</v>
      </c>
      <c r="F1259" s="8" t="s">
        <v>2257</v>
      </c>
      <c r="G1259" s="2" t="s">
        <v>2257</v>
      </c>
      <c r="H1259" s="2" t="s">
        <v>2257</v>
      </c>
      <c r="I1259" s="2" t="s">
        <v>2257</v>
      </c>
      <c r="J1259" t="str">
        <f t="shared" si="41"/>
        <v/>
      </c>
    </row>
    <row r="1260" spans="1:10" x14ac:dyDescent="0.15">
      <c r="A1260" t="s">
        <v>2257</v>
      </c>
      <c r="B1260" t="s">
        <v>2257</v>
      </c>
      <c r="C1260" s="2" t="s">
        <v>2257</v>
      </c>
      <c r="D1260" t="s">
        <v>2257</v>
      </c>
      <c r="E1260" s="2" t="s">
        <v>2257</v>
      </c>
      <c r="F1260" s="8" t="s">
        <v>2257</v>
      </c>
      <c r="G1260" s="2" t="s">
        <v>2257</v>
      </c>
      <c r="H1260" s="2" t="s">
        <v>2257</v>
      </c>
      <c r="I1260" s="2" t="s">
        <v>2257</v>
      </c>
      <c r="J1260" t="str">
        <f t="shared" si="41"/>
        <v/>
      </c>
    </row>
    <row r="1261" spans="1:10" x14ac:dyDescent="0.15">
      <c r="A1261" t="s">
        <v>2257</v>
      </c>
      <c r="B1261" t="s">
        <v>2257</v>
      </c>
      <c r="C1261" s="2" t="s">
        <v>2257</v>
      </c>
      <c r="D1261" t="s">
        <v>2257</v>
      </c>
      <c r="E1261" s="2" t="s">
        <v>2257</v>
      </c>
      <c r="F1261" s="8" t="s">
        <v>2257</v>
      </c>
      <c r="G1261" s="2" t="s">
        <v>2257</v>
      </c>
      <c r="H1261" s="2" t="s">
        <v>2257</v>
      </c>
      <c r="I1261" s="2" t="s">
        <v>2257</v>
      </c>
      <c r="J1261" t="str">
        <f t="shared" si="41"/>
        <v/>
      </c>
    </row>
    <row r="1262" spans="1:10" x14ac:dyDescent="0.15">
      <c r="A1262" t="s">
        <v>2257</v>
      </c>
      <c r="B1262" t="s">
        <v>2257</v>
      </c>
      <c r="C1262" s="2" t="s">
        <v>2257</v>
      </c>
      <c r="D1262" t="s">
        <v>2257</v>
      </c>
      <c r="E1262" s="2" t="s">
        <v>2257</v>
      </c>
      <c r="F1262" s="8" t="s">
        <v>2257</v>
      </c>
      <c r="G1262" s="2" t="s">
        <v>2257</v>
      </c>
      <c r="H1262" s="2" t="s">
        <v>2257</v>
      </c>
      <c r="I1262" s="2" t="s">
        <v>2257</v>
      </c>
      <c r="J1262" t="str">
        <f t="shared" si="41"/>
        <v/>
      </c>
    </row>
    <row r="1263" spans="1:10" x14ac:dyDescent="0.15">
      <c r="A1263" t="s">
        <v>2257</v>
      </c>
      <c r="B1263" t="s">
        <v>2257</v>
      </c>
      <c r="C1263" s="2" t="s">
        <v>2257</v>
      </c>
      <c r="D1263" t="s">
        <v>2257</v>
      </c>
      <c r="E1263" s="2" t="s">
        <v>2257</v>
      </c>
      <c r="F1263" s="8" t="s">
        <v>2257</v>
      </c>
      <c r="G1263" s="2" t="s">
        <v>2257</v>
      </c>
      <c r="H1263" s="2" t="s">
        <v>2257</v>
      </c>
      <c r="I1263" s="2" t="s">
        <v>2257</v>
      </c>
      <c r="J1263" t="str">
        <f t="shared" si="41"/>
        <v/>
      </c>
    </row>
    <row r="1264" spans="1:10" x14ac:dyDescent="0.15">
      <c r="A1264" t="s">
        <v>2257</v>
      </c>
      <c r="B1264" t="s">
        <v>2257</v>
      </c>
      <c r="C1264" s="2" t="s">
        <v>2257</v>
      </c>
      <c r="D1264" t="s">
        <v>2257</v>
      </c>
      <c r="E1264" s="2" t="s">
        <v>2257</v>
      </c>
      <c r="F1264" s="8" t="s">
        <v>2257</v>
      </c>
      <c r="G1264" s="2" t="s">
        <v>2257</v>
      </c>
      <c r="H1264" s="2" t="s">
        <v>2257</v>
      </c>
      <c r="I1264" s="2" t="s">
        <v>2257</v>
      </c>
      <c r="J1264" t="str">
        <f t="shared" si="41"/>
        <v/>
      </c>
    </row>
    <row r="1265" spans="1:10" x14ac:dyDescent="0.15">
      <c r="A1265" t="s">
        <v>2257</v>
      </c>
      <c r="B1265" t="s">
        <v>2257</v>
      </c>
      <c r="C1265" s="2" t="s">
        <v>2257</v>
      </c>
      <c r="D1265" t="s">
        <v>2257</v>
      </c>
      <c r="E1265" s="2" t="s">
        <v>2257</v>
      </c>
      <c r="F1265" s="8" t="s">
        <v>2257</v>
      </c>
      <c r="G1265" s="2" t="s">
        <v>2257</v>
      </c>
      <c r="H1265" s="2" t="s">
        <v>2257</v>
      </c>
      <c r="I1265" s="2" t="s">
        <v>2257</v>
      </c>
      <c r="J1265" t="str">
        <f t="shared" si="41"/>
        <v/>
      </c>
    </row>
    <row r="1266" spans="1:10" x14ac:dyDescent="0.15">
      <c r="A1266" t="s">
        <v>2257</v>
      </c>
      <c r="B1266" t="s">
        <v>2257</v>
      </c>
      <c r="C1266" s="2" t="s">
        <v>2257</v>
      </c>
      <c r="D1266" t="s">
        <v>2257</v>
      </c>
      <c r="E1266" s="2" t="s">
        <v>2257</v>
      </c>
      <c r="F1266" s="8" t="s">
        <v>2257</v>
      </c>
      <c r="G1266" s="2" t="s">
        <v>2257</v>
      </c>
      <c r="H1266" s="2" t="s">
        <v>2257</v>
      </c>
      <c r="I1266" s="2" t="s">
        <v>2257</v>
      </c>
      <c r="J1266" t="str">
        <f t="shared" si="41"/>
        <v/>
      </c>
    </row>
    <row r="1267" spans="1:10" x14ac:dyDescent="0.15">
      <c r="A1267" t="s">
        <v>2257</v>
      </c>
      <c r="B1267" t="s">
        <v>2257</v>
      </c>
      <c r="C1267" s="2" t="s">
        <v>2257</v>
      </c>
      <c r="D1267" t="s">
        <v>2257</v>
      </c>
      <c r="E1267" s="2" t="s">
        <v>2257</v>
      </c>
      <c r="F1267" s="8" t="s">
        <v>2257</v>
      </c>
      <c r="G1267" s="2" t="s">
        <v>2257</v>
      </c>
      <c r="H1267" s="2" t="s">
        <v>2257</v>
      </c>
      <c r="I1267" s="2" t="s">
        <v>2257</v>
      </c>
      <c r="J1267" t="str">
        <f t="shared" si="41"/>
        <v/>
      </c>
    </row>
    <row r="1268" spans="1:10" x14ac:dyDescent="0.15">
      <c r="A1268" t="s">
        <v>2257</v>
      </c>
      <c r="B1268" t="s">
        <v>2257</v>
      </c>
      <c r="C1268" s="2" t="s">
        <v>2257</v>
      </c>
      <c r="D1268" t="s">
        <v>2257</v>
      </c>
      <c r="E1268" s="2" t="s">
        <v>2257</v>
      </c>
      <c r="F1268" s="8" t="s">
        <v>2257</v>
      </c>
      <c r="G1268" s="2" t="s">
        <v>2257</v>
      </c>
      <c r="H1268" s="2" t="s">
        <v>2257</v>
      </c>
      <c r="I1268" s="2" t="s">
        <v>2257</v>
      </c>
      <c r="J1268" t="str">
        <f t="shared" si="41"/>
        <v/>
      </c>
    </row>
    <row r="1269" spans="1:10" x14ac:dyDescent="0.15">
      <c r="A1269" t="s">
        <v>2257</v>
      </c>
      <c r="B1269" t="s">
        <v>2257</v>
      </c>
      <c r="C1269" s="2" t="s">
        <v>2257</v>
      </c>
      <c r="D1269" t="s">
        <v>2257</v>
      </c>
      <c r="E1269" s="2" t="s">
        <v>2257</v>
      </c>
      <c r="F1269" s="8" t="s">
        <v>2257</v>
      </c>
      <c r="G1269" s="2" t="s">
        <v>2257</v>
      </c>
      <c r="H1269" s="2" t="s">
        <v>2257</v>
      </c>
      <c r="I1269" s="2" t="s">
        <v>2257</v>
      </c>
      <c r="J1269" t="str">
        <f t="shared" si="41"/>
        <v/>
      </c>
    </row>
    <row r="1270" spans="1:10" x14ac:dyDescent="0.15">
      <c r="A1270" t="s">
        <v>2257</v>
      </c>
      <c r="B1270" t="s">
        <v>2257</v>
      </c>
      <c r="C1270" s="2" t="s">
        <v>2257</v>
      </c>
      <c r="D1270" t="s">
        <v>2257</v>
      </c>
      <c r="E1270" s="2" t="s">
        <v>2257</v>
      </c>
      <c r="F1270" s="8" t="s">
        <v>2257</v>
      </c>
      <c r="G1270" s="2" t="s">
        <v>2257</v>
      </c>
      <c r="H1270" s="2" t="s">
        <v>2257</v>
      </c>
      <c r="I1270" s="2" t="s">
        <v>2257</v>
      </c>
      <c r="J1270" t="str">
        <f t="shared" si="41"/>
        <v/>
      </c>
    </row>
    <row r="1271" spans="1:10" x14ac:dyDescent="0.15">
      <c r="A1271" t="s">
        <v>2257</v>
      </c>
      <c r="B1271" t="s">
        <v>2257</v>
      </c>
      <c r="C1271" s="2" t="s">
        <v>2257</v>
      </c>
      <c r="D1271" t="s">
        <v>2257</v>
      </c>
      <c r="E1271" s="2" t="s">
        <v>2257</v>
      </c>
      <c r="F1271" s="8" t="s">
        <v>2257</v>
      </c>
      <c r="G1271" s="2" t="s">
        <v>2257</v>
      </c>
      <c r="H1271" s="2" t="s">
        <v>2257</v>
      </c>
      <c r="I1271" s="2" t="s">
        <v>2257</v>
      </c>
      <c r="J1271" t="str">
        <f t="shared" si="41"/>
        <v/>
      </c>
    </row>
    <row r="1272" spans="1:10" x14ac:dyDescent="0.15">
      <c r="A1272" t="s">
        <v>2257</v>
      </c>
      <c r="B1272" t="s">
        <v>2257</v>
      </c>
      <c r="C1272" s="2" t="s">
        <v>2257</v>
      </c>
      <c r="D1272" t="s">
        <v>2257</v>
      </c>
      <c r="E1272" s="2" t="s">
        <v>2257</v>
      </c>
      <c r="F1272" s="8" t="s">
        <v>2257</v>
      </c>
      <c r="G1272" s="2" t="s">
        <v>2257</v>
      </c>
      <c r="H1272" s="2" t="s">
        <v>2257</v>
      </c>
      <c r="I1272" s="2" t="s">
        <v>2257</v>
      </c>
      <c r="J1272" t="str">
        <f t="shared" si="41"/>
        <v/>
      </c>
    </row>
    <row r="1273" spans="1:10" x14ac:dyDescent="0.15">
      <c r="A1273" t="s">
        <v>2257</v>
      </c>
      <c r="B1273" t="s">
        <v>2257</v>
      </c>
      <c r="C1273" s="2" t="s">
        <v>2257</v>
      </c>
      <c r="D1273" t="s">
        <v>2257</v>
      </c>
      <c r="E1273" s="2" t="s">
        <v>2257</v>
      </c>
      <c r="F1273" s="8" t="s">
        <v>2257</v>
      </c>
      <c r="G1273" s="2" t="s">
        <v>2257</v>
      </c>
      <c r="H1273" s="2" t="s">
        <v>2257</v>
      </c>
      <c r="I1273" s="2" t="s">
        <v>2257</v>
      </c>
      <c r="J1273" t="str">
        <f t="shared" si="41"/>
        <v/>
      </c>
    </row>
    <row r="1274" spans="1:10" x14ac:dyDescent="0.15">
      <c r="A1274" t="s">
        <v>2257</v>
      </c>
      <c r="B1274" t="s">
        <v>2257</v>
      </c>
      <c r="C1274" s="2" t="s">
        <v>2257</v>
      </c>
      <c r="D1274" t="s">
        <v>2257</v>
      </c>
      <c r="E1274" s="2" t="s">
        <v>2257</v>
      </c>
      <c r="F1274" s="8" t="s">
        <v>2257</v>
      </c>
      <c r="G1274" s="2" t="s">
        <v>2257</v>
      </c>
      <c r="H1274" s="2" t="s">
        <v>2257</v>
      </c>
      <c r="I1274" s="2" t="s">
        <v>2257</v>
      </c>
      <c r="J1274" t="str">
        <f t="shared" si="41"/>
        <v/>
      </c>
    </row>
    <row r="1275" spans="1:10" x14ac:dyDescent="0.15">
      <c r="A1275" t="s">
        <v>2257</v>
      </c>
      <c r="B1275" t="s">
        <v>2257</v>
      </c>
      <c r="C1275" s="2" t="s">
        <v>2257</v>
      </c>
      <c r="D1275" t="s">
        <v>2257</v>
      </c>
      <c r="E1275" s="2" t="s">
        <v>2257</v>
      </c>
      <c r="F1275" s="8" t="s">
        <v>2257</v>
      </c>
      <c r="G1275" s="2" t="s">
        <v>2257</v>
      </c>
      <c r="H1275" s="2" t="s">
        <v>2257</v>
      </c>
      <c r="I1275" s="2" t="s">
        <v>2257</v>
      </c>
      <c r="J1275" t="str">
        <f t="shared" si="41"/>
        <v/>
      </c>
    </row>
    <row r="1276" spans="1:10" x14ac:dyDescent="0.15">
      <c r="A1276" t="s">
        <v>2257</v>
      </c>
      <c r="B1276" t="s">
        <v>2257</v>
      </c>
      <c r="C1276" s="2" t="s">
        <v>2257</v>
      </c>
      <c r="D1276" t="s">
        <v>2257</v>
      </c>
      <c r="E1276" s="2" t="s">
        <v>2257</v>
      </c>
      <c r="F1276" s="8" t="s">
        <v>2257</v>
      </c>
      <c r="G1276" s="2" t="s">
        <v>2257</v>
      </c>
      <c r="H1276" s="2" t="s">
        <v>2257</v>
      </c>
      <c r="I1276" s="2" t="s">
        <v>2257</v>
      </c>
      <c r="J1276" t="str">
        <f t="shared" si="41"/>
        <v/>
      </c>
    </row>
    <row r="1277" spans="1:10" x14ac:dyDescent="0.15">
      <c r="A1277" t="s">
        <v>2257</v>
      </c>
      <c r="B1277" t="s">
        <v>2257</v>
      </c>
      <c r="C1277" s="2" t="s">
        <v>2257</v>
      </c>
      <c r="D1277" t="s">
        <v>2257</v>
      </c>
      <c r="E1277" s="2" t="s">
        <v>2257</v>
      </c>
      <c r="F1277" s="8" t="s">
        <v>2257</v>
      </c>
      <c r="G1277" s="2" t="s">
        <v>2257</v>
      </c>
      <c r="H1277" s="2" t="s">
        <v>2257</v>
      </c>
      <c r="I1277" s="2" t="s">
        <v>2257</v>
      </c>
      <c r="J1277" t="str">
        <f t="shared" si="41"/>
        <v/>
      </c>
    </row>
    <row r="1278" spans="1:10" x14ac:dyDescent="0.15">
      <c r="A1278" t="s">
        <v>2257</v>
      </c>
      <c r="B1278" t="s">
        <v>2257</v>
      </c>
      <c r="C1278" s="2" t="s">
        <v>2257</v>
      </c>
      <c r="D1278" t="s">
        <v>2257</v>
      </c>
      <c r="E1278" s="2" t="s">
        <v>2257</v>
      </c>
      <c r="F1278" s="8" t="s">
        <v>2257</v>
      </c>
      <c r="G1278" s="2" t="s">
        <v>2257</v>
      </c>
      <c r="H1278" s="2" t="s">
        <v>2257</v>
      </c>
      <c r="I1278" s="2" t="s">
        <v>2257</v>
      </c>
      <c r="J1278" t="str">
        <f t="shared" si="41"/>
        <v/>
      </c>
    </row>
    <row r="1279" spans="1:10" x14ac:dyDescent="0.15">
      <c r="A1279" t="s">
        <v>2257</v>
      </c>
      <c r="B1279" t="s">
        <v>2257</v>
      </c>
      <c r="C1279" s="2" t="s">
        <v>2257</v>
      </c>
      <c r="D1279" t="s">
        <v>2257</v>
      </c>
      <c r="E1279" s="2" t="s">
        <v>2257</v>
      </c>
      <c r="F1279" s="8" t="s">
        <v>2257</v>
      </c>
      <c r="G1279" s="2" t="s">
        <v>2257</v>
      </c>
      <c r="H1279" s="2" t="s">
        <v>2257</v>
      </c>
      <c r="I1279" s="2" t="s">
        <v>2257</v>
      </c>
      <c r="J1279" t="str">
        <f t="shared" si="41"/>
        <v/>
      </c>
    </row>
    <row r="1280" spans="1:10" x14ac:dyDescent="0.15">
      <c r="A1280" t="s">
        <v>2257</v>
      </c>
      <c r="B1280" t="s">
        <v>2257</v>
      </c>
      <c r="C1280" s="2" t="s">
        <v>2257</v>
      </c>
      <c r="D1280" t="s">
        <v>2257</v>
      </c>
      <c r="E1280" s="2" t="s">
        <v>2257</v>
      </c>
      <c r="F1280" s="8" t="s">
        <v>2257</v>
      </c>
      <c r="G1280" s="2" t="s">
        <v>2257</v>
      </c>
      <c r="H1280" s="2" t="s">
        <v>2257</v>
      </c>
      <c r="I1280" s="2" t="s">
        <v>2257</v>
      </c>
      <c r="J1280" t="str">
        <f t="shared" si="41"/>
        <v/>
      </c>
    </row>
    <row r="1281" spans="1:10" x14ac:dyDescent="0.15">
      <c r="A1281" t="s">
        <v>2257</v>
      </c>
      <c r="B1281" t="s">
        <v>2257</v>
      </c>
      <c r="C1281" s="2" t="s">
        <v>2257</v>
      </c>
      <c r="D1281" t="s">
        <v>2257</v>
      </c>
      <c r="E1281" s="2" t="s">
        <v>2257</v>
      </c>
      <c r="F1281" s="8" t="s">
        <v>2257</v>
      </c>
      <c r="G1281" s="2" t="s">
        <v>2257</v>
      </c>
      <c r="H1281" s="2" t="s">
        <v>2257</v>
      </c>
      <c r="I1281" s="2" t="s">
        <v>2257</v>
      </c>
      <c r="J1281" t="str">
        <f t="shared" si="41"/>
        <v/>
      </c>
    </row>
    <row r="1282" spans="1:10" x14ac:dyDescent="0.15">
      <c r="A1282" t="s">
        <v>2257</v>
      </c>
      <c r="B1282" t="s">
        <v>2257</v>
      </c>
      <c r="C1282" s="2" t="s">
        <v>2257</v>
      </c>
      <c r="D1282" t="s">
        <v>2257</v>
      </c>
      <c r="E1282" s="2" t="s">
        <v>2257</v>
      </c>
      <c r="F1282" s="8" t="s">
        <v>2257</v>
      </c>
      <c r="G1282" s="2" t="s">
        <v>2257</v>
      </c>
      <c r="H1282" s="2" t="s">
        <v>2257</v>
      </c>
      <c r="I1282" s="2" t="s">
        <v>2257</v>
      </c>
      <c r="J1282" t="str">
        <f t="shared" si="41"/>
        <v/>
      </c>
    </row>
    <row r="1283" spans="1:10" x14ac:dyDescent="0.15">
      <c r="A1283" t="s">
        <v>2257</v>
      </c>
      <c r="B1283" t="s">
        <v>2257</v>
      </c>
      <c r="C1283" s="2" t="s">
        <v>2257</v>
      </c>
      <c r="D1283" t="s">
        <v>2257</v>
      </c>
      <c r="E1283" s="2" t="s">
        <v>2257</v>
      </c>
      <c r="F1283" s="8" t="s">
        <v>2257</v>
      </c>
      <c r="G1283" s="2" t="s">
        <v>2257</v>
      </c>
      <c r="H1283" s="2" t="s">
        <v>2257</v>
      </c>
      <c r="I1283" s="2" t="s">
        <v>2257</v>
      </c>
      <c r="J1283" t="str">
        <f t="shared" si="41"/>
        <v/>
      </c>
    </row>
    <row r="1284" spans="1:10" x14ac:dyDescent="0.15">
      <c r="A1284" t="s">
        <v>2257</v>
      </c>
      <c r="B1284" t="s">
        <v>2257</v>
      </c>
      <c r="C1284" s="2" t="s">
        <v>2257</v>
      </c>
      <c r="D1284" t="s">
        <v>2257</v>
      </c>
      <c r="E1284" s="2" t="s">
        <v>2257</v>
      </c>
      <c r="F1284" s="8" t="s">
        <v>2257</v>
      </c>
      <c r="G1284" s="2" t="s">
        <v>2257</v>
      </c>
      <c r="H1284" s="2" t="s">
        <v>2257</v>
      </c>
      <c r="I1284" s="2" t="s">
        <v>2257</v>
      </c>
      <c r="J1284" t="str">
        <f t="shared" si="41"/>
        <v/>
      </c>
    </row>
    <row r="1285" spans="1:10" x14ac:dyDescent="0.15">
      <c r="A1285" t="s">
        <v>2257</v>
      </c>
      <c r="B1285" t="s">
        <v>2257</v>
      </c>
      <c r="C1285" s="2" t="s">
        <v>2257</v>
      </c>
      <c r="D1285" t="s">
        <v>2257</v>
      </c>
      <c r="E1285" s="2" t="s">
        <v>2257</v>
      </c>
      <c r="F1285" s="8" t="s">
        <v>2257</v>
      </c>
      <c r="G1285" s="2" t="s">
        <v>2257</v>
      </c>
      <c r="H1285" s="2" t="s">
        <v>2257</v>
      </c>
      <c r="I1285" s="2" t="s">
        <v>2257</v>
      </c>
      <c r="J1285" t="str">
        <f t="shared" si="41"/>
        <v/>
      </c>
    </row>
    <row r="1286" spans="1:10" x14ac:dyDescent="0.15">
      <c r="A1286" t="s">
        <v>2257</v>
      </c>
      <c r="B1286" t="s">
        <v>2257</v>
      </c>
      <c r="C1286" s="2" t="s">
        <v>2257</v>
      </c>
      <c r="D1286" t="s">
        <v>2257</v>
      </c>
      <c r="E1286" s="2" t="s">
        <v>2257</v>
      </c>
      <c r="F1286" s="8" t="s">
        <v>2257</v>
      </c>
      <c r="G1286" s="2" t="s">
        <v>2257</v>
      </c>
      <c r="H1286" s="2" t="s">
        <v>2257</v>
      </c>
      <c r="I1286" s="2" t="s">
        <v>2257</v>
      </c>
      <c r="J1286" t="str">
        <f t="shared" si="41"/>
        <v/>
      </c>
    </row>
    <row r="1287" spans="1:10" x14ac:dyDescent="0.15">
      <c r="A1287" t="s">
        <v>2257</v>
      </c>
      <c r="B1287" t="s">
        <v>2257</v>
      </c>
      <c r="C1287" s="2" t="s">
        <v>2257</v>
      </c>
      <c r="D1287" t="s">
        <v>2257</v>
      </c>
      <c r="E1287" s="2" t="s">
        <v>2257</v>
      </c>
      <c r="F1287" s="8" t="s">
        <v>2257</v>
      </c>
      <c r="G1287" s="2" t="s">
        <v>2257</v>
      </c>
      <c r="H1287" s="2" t="s">
        <v>2257</v>
      </c>
      <c r="I1287" s="2" t="s">
        <v>2257</v>
      </c>
      <c r="J1287" t="str">
        <f t="shared" si="41"/>
        <v/>
      </c>
    </row>
    <row r="1288" spans="1:10" x14ac:dyDescent="0.15">
      <c r="A1288" t="s">
        <v>2257</v>
      </c>
      <c r="B1288" t="s">
        <v>2257</v>
      </c>
      <c r="C1288" s="2" t="s">
        <v>2257</v>
      </c>
      <c r="D1288" t="s">
        <v>2257</v>
      </c>
      <c r="E1288" s="2" t="s">
        <v>2257</v>
      </c>
      <c r="F1288" s="8" t="s">
        <v>2257</v>
      </c>
      <c r="G1288" s="2" t="s">
        <v>2257</v>
      </c>
      <c r="H1288" s="2" t="s">
        <v>2257</v>
      </c>
      <c r="I1288" s="2" t="s">
        <v>2257</v>
      </c>
      <c r="J1288" t="str">
        <f t="shared" si="41"/>
        <v/>
      </c>
    </row>
    <row r="1289" spans="1:10" x14ac:dyDescent="0.15">
      <c r="A1289" t="s">
        <v>2257</v>
      </c>
      <c r="B1289" t="s">
        <v>2257</v>
      </c>
      <c r="C1289" s="2" t="s">
        <v>2257</v>
      </c>
      <c r="D1289" t="s">
        <v>2257</v>
      </c>
      <c r="E1289" s="2" t="s">
        <v>2257</v>
      </c>
      <c r="F1289" s="8" t="s">
        <v>2257</v>
      </c>
      <c r="G1289" s="2" t="s">
        <v>2257</v>
      </c>
      <c r="H1289" s="2" t="s">
        <v>2257</v>
      </c>
      <c r="I1289" s="2" t="s">
        <v>2257</v>
      </c>
      <c r="J1289" t="str">
        <f t="shared" si="41"/>
        <v/>
      </c>
    </row>
    <row r="1290" spans="1:10" x14ac:dyDescent="0.15">
      <c r="A1290" t="s">
        <v>2257</v>
      </c>
      <c r="B1290" t="s">
        <v>2257</v>
      </c>
      <c r="C1290" s="2" t="s">
        <v>2257</v>
      </c>
      <c r="D1290" t="s">
        <v>2257</v>
      </c>
      <c r="E1290" s="2" t="s">
        <v>2257</v>
      </c>
      <c r="F1290" s="8" t="s">
        <v>2257</v>
      </c>
      <c r="G1290" s="2" t="s">
        <v>2257</v>
      </c>
      <c r="H1290" s="2" t="s">
        <v>2257</v>
      </c>
      <c r="I1290" s="2" t="s">
        <v>2257</v>
      </c>
      <c r="J1290" t="str">
        <f t="shared" si="41"/>
        <v/>
      </c>
    </row>
    <row r="1291" spans="1:10" x14ac:dyDescent="0.15">
      <c r="A1291" t="s">
        <v>2257</v>
      </c>
      <c r="B1291" t="s">
        <v>2257</v>
      </c>
      <c r="C1291" s="2" t="s">
        <v>2257</v>
      </c>
      <c r="D1291" t="s">
        <v>2257</v>
      </c>
      <c r="E1291" s="2" t="s">
        <v>2257</v>
      </c>
      <c r="F1291" s="8" t="s">
        <v>2257</v>
      </c>
      <c r="G1291" s="2" t="s">
        <v>2257</v>
      </c>
      <c r="H1291" s="2" t="s">
        <v>2257</v>
      </c>
      <c r="I1291" s="2" t="s">
        <v>2257</v>
      </c>
      <c r="J1291" t="str">
        <f t="shared" ref="J1291:J1354" si="42">IF(A1291="","",IF(AND(C1291="",D1291&lt;&gt;"UNS",I1291=""),"Open","Closed"))</f>
        <v/>
      </c>
    </row>
    <row r="1292" spans="1:10" x14ac:dyDescent="0.15">
      <c r="A1292" t="s">
        <v>2257</v>
      </c>
      <c r="B1292" t="s">
        <v>2257</v>
      </c>
      <c r="C1292" s="2" t="s">
        <v>2257</v>
      </c>
      <c r="D1292" t="s">
        <v>2257</v>
      </c>
      <c r="E1292" s="2" t="s">
        <v>2257</v>
      </c>
      <c r="F1292" s="8" t="s">
        <v>2257</v>
      </c>
      <c r="G1292" s="2" t="s">
        <v>2257</v>
      </c>
      <c r="H1292" s="2" t="s">
        <v>2257</v>
      </c>
      <c r="I1292" s="2" t="s">
        <v>2257</v>
      </c>
      <c r="J1292" t="str">
        <f t="shared" si="42"/>
        <v/>
      </c>
    </row>
    <row r="1293" spans="1:10" x14ac:dyDescent="0.15">
      <c r="A1293" t="s">
        <v>2257</v>
      </c>
      <c r="B1293" t="s">
        <v>2257</v>
      </c>
      <c r="C1293" s="2" t="s">
        <v>2257</v>
      </c>
      <c r="D1293" t="s">
        <v>2257</v>
      </c>
      <c r="E1293" s="2" t="s">
        <v>2257</v>
      </c>
      <c r="F1293" s="8" t="s">
        <v>2257</v>
      </c>
      <c r="G1293" s="2" t="s">
        <v>2257</v>
      </c>
      <c r="H1293" s="2" t="s">
        <v>2257</v>
      </c>
      <c r="I1293" s="2" t="s">
        <v>2257</v>
      </c>
      <c r="J1293" t="str">
        <f t="shared" si="42"/>
        <v/>
      </c>
    </row>
    <row r="1294" spans="1:10" x14ac:dyDescent="0.15">
      <c r="A1294" t="s">
        <v>2257</v>
      </c>
      <c r="B1294" t="s">
        <v>2257</v>
      </c>
      <c r="C1294" s="2" t="s">
        <v>2257</v>
      </c>
      <c r="D1294" t="s">
        <v>2257</v>
      </c>
      <c r="E1294" s="2" t="s">
        <v>2257</v>
      </c>
      <c r="F1294" s="8" t="s">
        <v>2257</v>
      </c>
      <c r="G1294" s="2" t="s">
        <v>2257</v>
      </c>
      <c r="H1294" s="2" t="s">
        <v>2257</v>
      </c>
      <c r="I1294" s="2" t="s">
        <v>2257</v>
      </c>
      <c r="J1294" t="str">
        <f t="shared" si="42"/>
        <v/>
      </c>
    </row>
    <row r="1295" spans="1:10" x14ac:dyDescent="0.15">
      <c r="A1295" t="s">
        <v>2257</v>
      </c>
      <c r="B1295" t="s">
        <v>2257</v>
      </c>
      <c r="C1295" s="2" t="s">
        <v>2257</v>
      </c>
      <c r="D1295" t="s">
        <v>2257</v>
      </c>
      <c r="E1295" s="2" t="s">
        <v>2257</v>
      </c>
      <c r="F1295" s="8" t="s">
        <v>2257</v>
      </c>
      <c r="G1295" s="2" t="s">
        <v>2257</v>
      </c>
      <c r="H1295" s="2" t="s">
        <v>2257</v>
      </c>
      <c r="I1295" s="2" t="s">
        <v>2257</v>
      </c>
      <c r="J1295" t="str">
        <f t="shared" si="42"/>
        <v/>
      </c>
    </row>
    <row r="1296" spans="1:10" x14ac:dyDescent="0.15">
      <c r="A1296" t="s">
        <v>2257</v>
      </c>
      <c r="B1296" t="s">
        <v>2257</v>
      </c>
      <c r="C1296" s="2" t="s">
        <v>2257</v>
      </c>
      <c r="D1296" t="s">
        <v>2257</v>
      </c>
      <c r="E1296" s="2" t="s">
        <v>2257</v>
      </c>
      <c r="F1296" s="8" t="s">
        <v>2257</v>
      </c>
      <c r="G1296" s="2" t="s">
        <v>2257</v>
      </c>
      <c r="H1296" s="2" t="s">
        <v>2257</v>
      </c>
      <c r="I1296" s="2" t="s">
        <v>2257</v>
      </c>
      <c r="J1296" t="str">
        <f t="shared" si="42"/>
        <v/>
      </c>
    </row>
    <row r="1297" spans="1:10" x14ac:dyDescent="0.15">
      <c r="A1297" t="s">
        <v>2257</v>
      </c>
      <c r="B1297" t="s">
        <v>2257</v>
      </c>
      <c r="C1297" s="2" t="s">
        <v>2257</v>
      </c>
      <c r="D1297" t="s">
        <v>2257</v>
      </c>
      <c r="E1297" s="2" t="s">
        <v>2257</v>
      </c>
      <c r="F1297" s="8" t="s">
        <v>2257</v>
      </c>
      <c r="G1297" s="2" t="s">
        <v>2257</v>
      </c>
      <c r="H1297" s="2" t="s">
        <v>2257</v>
      </c>
      <c r="I1297" s="2" t="s">
        <v>2257</v>
      </c>
      <c r="J1297" t="str">
        <f t="shared" si="42"/>
        <v/>
      </c>
    </row>
    <row r="1298" spans="1:10" x14ac:dyDescent="0.15">
      <c r="A1298" t="s">
        <v>2257</v>
      </c>
      <c r="B1298" t="s">
        <v>2257</v>
      </c>
      <c r="C1298" s="2" t="s">
        <v>2257</v>
      </c>
      <c r="D1298" t="s">
        <v>2257</v>
      </c>
      <c r="E1298" s="2" t="s">
        <v>2257</v>
      </c>
      <c r="F1298" s="8" t="s">
        <v>2257</v>
      </c>
      <c r="G1298" s="2" t="s">
        <v>2257</v>
      </c>
      <c r="H1298" s="2" t="s">
        <v>2257</v>
      </c>
      <c r="I1298" s="2" t="s">
        <v>2257</v>
      </c>
      <c r="J1298" t="str">
        <f t="shared" si="42"/>
        <v/>
      </c>
    </row>
    <row r="1299" spans="1:10" x14ac:dyDescent="0.15">
      <c r="A1299" t="s">
        <v>2257</v>
      </c>
      <c r="B1299" t="s">
        <v>2257</v>
      </c>
      <c r="C1299" s="2" t="s">
        <v>2257</v>
      </c>
      <c r="D1299" t="s">
        <v>2257</v>
      </c>
      <c r="E1299" s="2" t="s">
        <v>2257</v>
      </c>
      <c r="F1299" s="8" t="s">
        <v>2257</v>
      </c>
      <c r="G1299" s="2" t="s">
        <v>2257</v>
      </c>
      <c r="H1299" s="2" t="s">
        <v>2257</v>
      </c>
      <c r="I1299" s="2" t="s">
        <v>2257</v>
      </c>
      <c r="J1299" t="str">
        <f t="shared" si="42"/>
        <v/>
      </c>
    </row>
    <row r="1300" spans="1:10" x14ac:dyDescent="0.15">
      <c r="A1300" t="s">
        <v>2257</v>
      </c>
      <c r="B1300" t="s">
        <v>2257</v>
      </c>
      <c r="C1300" s="2" t="s">
        <v>2257</v>
      </c>
      <c r="D1300" t="s">
        <v>2257</v>
      </c>
      <c r="E1300" s="2" t="s">
        <v>2257</v>
      </c>
      <c r="F1300" s="8" t="s">
        <v>2257</v>
      </c>
      <c r="G1300" s="2" t="s">
        <v>2257</v>
      </c>
      <c r="H1300" s="2" t="s">
        <v>2257</v>
      </c>
      <c r="I1300" s="2" t="s">
        <v>2257</v>
      </c>
      <c r="J1300" t="str">
        <f t="shared" si="42"/>
        <v/>
      </c>
    </row>
    <row r="1301" spans="1:10" x14ac:dyDescent="0.15">
      <c r="A1301" t="s">
        <v>2257</v>
      </c>
      <c r="B1301" t="s">
        <v>2257</v>
      </c>
      <c r="C1301" s="2" t="s">
        <v>2257</v>
      </c>
      <c r="D1301" t="s">
        <v>2257</v>
      </c>
      <c r="E1301" s="2" t="s">
        <v>2257</v>
      </c>
      <c r="F1301" s="8" t="s">
        <v>2257</v>
      </c>
      <c r="G1301" s="2" t="s">
        <v>2257</v>
      </c>
      <c r="H1301" s="2" t="s">
        <v>2257</v>
      </c>
      <c r="I1301" s="2" t="s">
        <v>2257</v>
      </c>
      <c r="J1301" t="str">
        <f t="shared" si="42"/>
        <v/>
      </c>
    </row>
    <row r="1302" spans="1:10" x14ac:dyDescent="0.15">
      <c r="A1302" t="s">
        <v>2257</v>
      </c>
      <c r="B1302" t="s">
        <v>2257</v>
      </c>
      <c r="C1302" s="2" t="s">
        <v>2257</v>
      </c>
      <c r="D1302" t="s">
        <v>2257</v>
      </c>
      <c r="E1302" s="2" t="s">
        <v>2257</v>
      </c>
      <c r="F1302" s="8" t="s">
        <v>2257</v>
      </c>
      <c r="G1302" s="2" t="s">
        <v>2257</v>
      </c>
      <c r="H1302" s="2" t="s">
        <v>2257</v>
      </c>
      <c r="I1302" s="2" t="s">
        <v>2257</v>
      </c>
      <c r="J1302" t="str">
        <f t="shared" si="42"/>
        <v/>
      </c>
    </row>
    <row r="1303" spans="1:10" x14ac:dyDescent="0.15">
      <c r="A1303" t="s">
        <v>2257</v>
      </c>
      <c r="B1303" t="s">
        <v>2257</v>
      </c>
      <c r="C1303" s="2" t="s">
        <v>2257</v>
      </c>
      <c r="D1303" t="s">
        <v>2257</v>
      </c>
      <c r="E1303" s="2" t="s">
        <v>2257</v>
      </c>
      <c r="F1303" s="8" t="s">
        <v>2257</v>
      </c>
      <c r="G1303" s="2" t="s">
        <v>2257</v>
      </c>
      <c r="H1303" s="2" t="s">
        <v>2257</v>
      </c>
      <c r="I1303" s="2" t="s">
        <v>2257</v>
      </c>
      <c r="J1303" t="str">
        <f t="shared" si="42"/>
        <v/>
      </c>
    </row>
    <row r="1304" spans="1:10" x14ac:dyDescent="0.15">
      <c r="A1304" t="s">
        <v>2257</v>
      </c>
      <c r="B1304" t="s">
        <v>2257</v>
      </c>
      <c r="C1304" s="2" t="s">
        <v>2257</v>
      </c>
      <c r="D1304" t="s">
        <v>2257</v>
      </c>
      <c r="E1304" s="2" t="s">
        <v>2257</v>
      </c>
      <c r="F1304" s="8" t="s">
        <v>2257</v>
      </c>
      <c r="G1304" s="2" t="s">
        <v>2257</v>
      </c>
      <c r="H1304" s="2" t="s">
        <v>2257</v>
      </c>
      <c r="I1304" s="2" t="s">
        <v>2257</v>
      </c>
      <c r="J1304" t="str">
        <f t="shared" si="42"/>
        <v/>
      </c>
    </row>
    <row r="1305" spans="1:10" x14ac:dyDescent="0.15">
      <c r="A1305" t="s">
        <v>2257</v>
      </c>
      <c r="B1305" t="s">
        <v>2257</v>
      </c>
      <c r="C1305" s="2" t="s">
        <v>2257</v>
      </c>
      <c r="D1305" t="s">
        <v>2257</v>
      </c>
      <c r="E1305" s="2" t="s">
        <v>2257</v>
      </c>
      <c r="F1305" s="8" t="s">
        <v>2257</v>
      </c>
      <c r="G1305" s="2" t="s">
        <v>2257</v>
      </c>
      <c r="H1305" s="2" t="s">
        <v>2257</v>
      </c>
      <c r="I1305" s="2" t="s">
        <v>2257</v>
      </c>
      <c r="J1305" t="str">
        <f t="shared" si="42"/>
        <v/>
      </c>
    </row>
    <row r="1306" spans="1:10" x14ac:dyDescent="0.15">
      <c r="A1306" t="s">
        <v>2257</v>
      </c>
      <c r="B1306" t="s">
        <v>2257</v>
      </c>
      <c r="C1306" s="2" t="s">
        <v>2257</v>
      </c>
      <c r="D1306" t="s">
        <v>2257</v>
      </c>
      <c r="E1306" s="2" t="s">
        <v>2257</v>
      </c>
      <c r="F1306" s="8" t="s">
        <v>2257</v>
      </c>
      <c r="G1306" s="2" t="s">
        <v>2257</v>
      </c>
      <c r="H1306" s="2" t="s">
        <v>2257</v>
      </c>
      <c r="I1306" s="2" t="s">
        <v>2257</v>
      </c>
      <c r="J1306" t="str">
        <f t="shared" si="42"/>
        <v/>
      </c>
    </row>
    <row r="1307" spans="1:10" x14ac:dyDescent="0.15">
      <c r="A1307" t="s">
        <v>2257</v>
      </c>
      <c r="B1307" t="s">
        <v>2257</v>
      </c>
      <c r="C1307" s="2" t="s">
        <v>2257</v>
      </c>
      <c r="D1307" t="s">
        <v>2257</v>
      </c>
      <c r="E1307" s="2" t="s">
        <v>2257</v>
      </c>
      <c r="F1307" s="8" t="s">
        <v>2257</v>
      </c>
      <c r="G1307" s="2" t="s">
        <v>2257</v>
      </c>
      <c r="H1307" s="2" t="s">
        <v>2257</v>
      </c>
      <c r="I1307" s="2" t="s">
        <v>2257</v>
      </c>
      <c r="J1307" t="str">
        <f t="shared" si="42"/>
        <v/>
      </c>
    </row>
    <row r="1308" spans="1:10" x14ac:dyDescent="0.15">
      <c r="A1308" t="s">
        <v>2257</v>
      </c>
      <c r="B1308" t="s">
        <v>2257</v>
      </c>
      <c r="C1308" s="2" t="s">
        <v>2257</v>
      </c>
      <c r="D1308" t="s">
        <v>2257</v>
      </c>
      <c r="E1308" s="2" t="s">
        <v>2257</v>
      </c>
      <c r="F1308" s="8" t="s">
        <v>2257</v>
      </c>
      <c r="G1308" s="2" t="s">
        <v>2257</v>
      </c>
      <c r="H1308" s="2" t="s">
        <v>2257</v>
      </c>
      <c r="I1308" s="2" t="s">
        <v>2257</v>
      </c>
      <c r="J1308" t="str">
        <f t="shared" si="42"/>
        <v/>
      </c>
    </row>
    <row r="1309" spans="1:10" x14ac:dyDescent="0.15">
      <c r="A1309" t="s">
        <v>2257</v>
      </c>
      <c r="B1309" t="s">
        <v>2257</v>
      </c>
      <c r="C1309" s="2" t="s">
        <v>2257</v>
      </c>
      <c r="D1309" t="s">
        <v>2257</v>
      </c>
      <c r="E1309" s="2" t="s">
        <v>2257</v>
      </c>
      <c r="F1309" s="8" t="s">
        <v>2257</v>
      </c>
      <c r="G1309" s="2" t="s">
        <v>2257</v>
      </c>
      <c r="H1309" s="2" t="s">
        <v>2257</v>
      </c>
      <c r="I1309" s="2" t="s">
        <v>2257</v>
      </c>
      <c r="J1309" t="str">
        <f t="shared" si="42"/>
        <v/>
      </c>
    </row>
    <row r="1310" spans="1:10" x14ac:dyDescent="0.15">
      <c r="A1310" t="s">
        <v>2257</v>
      </c>
      <c r="B1310" t="s">
        <v>2257</v>
      </c>
      <c r="C1310" s="2" t="s">
        <v>2257</v>
      </c>
      <c r="D1310" t="s">
        <v>2257</v>
      </c>
      <c r="E1310" s="2" t="s">
        <v>2257</v>
      </c>
      <c r="F1310" s="8" t="s">
        <v>2257</v>
      </c>
      <c r="G1310" s="2" t="s">
        <v>2257</v>
      </c>
      <c r="H1310" s="2" t="s">
        <v>2257</v>
      </c>
      <c r="I1310" s="2" t="s">
        <v>2257</v>
      </c>
      <c r="J1310" t="str">
        <f t="shared" si="42"/>
        <v/>
      </c>
    </row>
    <row r="1311" spans="1:10" x14ac:dyDescent="0.15">
      <c r="A1311" t="s">
        <v>2257</v>
      </c>
      <c r="B1311" t="s">
        <v>2257</v>
      </c>
      <c r="C1311" s="2" t="s">
        <v>2257</v>
      </c>
      <c r="D1311" t="s">
        <v>2257</v>
      </c>
      <c r="E1311" s="2" t="s">
        <v>2257</v>
      </c>
      <c r="F1311" s="8" t="s">
        <v>2257</v>
      </c>
      <c r="G1311" s="2" t="s">
        <v>2257</v>
      </c>
      <c r="H1311" s="2" t="s">
        <v>2257</v>
      </c>
      <c r="I1311" s="2" t="s">
        <v>2257</v>
      </c>
      <c r="J1311" t="str">
        <f t="shared" si="42"/>
        <v/>
      </c>
    </row>
    <row r="1312" spans="1:10" x14ac:dyDescent="0.15">
      <c r="A1312" t="s">
        <v>2257</v>
      </c>
      <c r="B1312" t="s">
        <v>2257</v>
      </c>
      <c r="C1312" s="2" t="s">
        <v>2257</v>
      </c>
      <c r="D1312" t="s">
        <v>2257</v>
      </c>
      <c r="E1312" s="2" t="s">
        <v>2257</v>
      </c>
      <c r="F1312" s="8" t="s">
        <v>2257</v>
      </c>
      <c r="G1312" s="2" t="s">
        <v>2257</v>
      </c>
      <c r="H1312" s="2" t="s">
        <v>2257</v>
      </c>
      <c r="I1312" s="2" t="s">
        <v>2257</v>
      </c>
      <c r="J1312" t="str">
        <f t="shared" si="42"/>
        <v/>
      </c>
    </row>
    <row r="1313" spans="1:10" x14ac:dyDescent="0.15">
      <c r="A1313" t="s">
        <v>2257</v>
      </c>
      <c r="B1313" t="s">
        <v>2257</v>
      </c>
      <c r="C1313" s="2" t="s">
        <v>2257</v>
      </c>
      <c r="D1313" t="s">
        <v>2257</v>
      </c>
      <c r="E1313" s="2" t="s">
        <v>2257</v>
      </c>
      <c r="F1313" s="8" t="s">
        <v>2257</v>
      </c>
      <c r="G1313" s="2" t="s">
        <v>2257</v>
      </c>
      <c r="H1313" s="2" t="s">
        <v>2257</v>
      </c>
      <c r="I1313" s="2" t="s">
        <v>2257</v>
      </c>
      <c r="J1313" t="str">
        <f t="shared" si="42"/>
        <v/>
      </c>
    </row>
    <row r="1314" spans="1:10" x14ac:dyDescent="0.15">
      <c r="A1314" t="s">
        <v>2257</v>
      </c>
      <c r="B1314" t="s">
        <v>2257</v>
      </c>
      <c r="C1314" s="2" t="s">
        <v>2257</v>
      </c>
      <c r="D1314" t="s">
        <v>2257</v>
      </c>
      <c r="E1314" s="2" t="s">
        <v>2257</v>
      </c>
      <c r="F1314" s="8" t="s">
        <v>2257</v>
      </c>
      <c r="G1314" s="2" t="s">
        <v>2257</v>
      </c>
      <c r="H1314" s="2" t="s">
        <v>2257</v>
      </c>
      <c r="I1314" s="2" t="s">
        <v>2257</v>
      </c>
      <c r="J1314" t="str">
        <f t="shared" si="42"/>
        <v/>
      </c>
    </row>
    <row r="1315" spans="1:10" x14ac:dyDescent="0.15">
      <c r="A1315" t="s">
        <v>2257</v>
      </c>
      <c r="B1315" t="s">
        <v>2257</v>
      </c>
      <c r="C1315" s="2" t="s">
        <v>2257</v>
      </c>
      <c r="D1315" t="s">
        <v>2257</v>
      </c>
      <c r="E1315" s="2" t="s">
        <v>2257</v>
      </c>
      <c r="F1315" s="8" t="s">
        <v>2257</v>
      </c>
      <c r="G1315" s="2" t="s">
        <v>2257</v>
      </c>
      <c r="H1315" s="2" t="s">
        <v>2257</v>
      </c>
      <c r="I1315" s="2" t="s">
        <v>2257</v>
      </c>
      <c r="J1315" t="str">
        <f t="shared" si="42"/>
        <v/>
      </c>
    </row>
    <row r="1316" spans="1:10" x14ac:dyDescent="0.15">
      <c r="A1316" t="s">
        <v>2257</v>
      </c>
      <c r="B1316" t="s">
        <v>2257</v>
      </c>
      <c r="C1316" s="2" t="s">
        <v>2257</v>
      </c>
      <c r="D1316" t="s">
        <v>2257</v>
      </c>
      <c r="E1316" s="2" t="s">
        <v>2257</v>
      </c>
      <c r="F1316" s="8" t="s">
        <v>2257</v>
      </c>
      <c r="G1316" s="2" t="s">
        <v>2257</v>
      </c>
      <c r="H1316" s="2" t="s">
        <v>2257</v>
      </c>
      <c r="I1316" s="2" t="s">
        <v>2257</v>
      </c>
      <c r="J1316" t="str">
        <f t="shared" si="42"/>
        <v/>
      </c>
    </row>
    <row r="1317" spans="1:10" x14ac:dyDescent="0.15">
      <c r="A1317" t="s">
        <v>2257</v>
      </c>
      <c r="B1317" t="s">
        <v>2257</v>
      </c>
      <c r="C1317" s="2" t="s">
        <v>2257</v>
      </c>
      <c r="D1317" t="s">
        <v>2257</v>
      </c>
      <c r="E1317" s="2" t="s">
        <v>2257</v>
      </c>
      <c r="F1317" s="8" t="s">
        <v>2257</v>
      </c>
      <c r="G1317" s="2" t="s">
        <v>2257</v>
      </c>
      <c r="H1317" s="2" t="s">
        <v>2257</v>
      </c>
      <c r="I1317" s="2" t="s">
        <v>2257</v>
      </c>
      <c r="J1317" t="str">
        <f t="shared" si="42"/>
        <v/>
      </c>
    </row>
    <row r="1318" spans="1:10" x14ac:dyDescent="0.15">
      <c r="A1318" t="s">
        <v>2257</v>
      </c>
      <c r="B1318" t="s">
        <v>2257</v>
      </c>
      <c r="C1318" s="2" t="s">
        <v>2257</v>
      </c>
      <c r="D1318" t="s">
        <v>2257</v>
      </c>
      <c r="E1318" s="2" t="s">
        <v>2257</v>
      </c>
      <c r="F1318" s="8" t="s">
        <v>2257</v>
      </c>
      <c r="G1318" s="2" t="s">
        <v>2257</v>
      </c>
      <c r="H1318" s="2" t="s">
        <v>2257</v>
      </c>
      <c r="I1318" s="2" t="s">
        <v>2257</v>
      </c>
      <c r="J1318" t="str">
        <f t="shared" si="42"/>
        <v/>
      </c>
    </row>
    <row r="1319" spans="1:10" x14ac:dyDescent="0.15">
      <c r="A1319" t="s">
        <v>2257</v>
      </c>
      <c r="B1319" t="s">
        <v>2257</v>
      </c>
      <c r="C1319" s="2" t="s">
        <v>2257</v>
      </c>
      <c r="D1319" t="s">
        <v>2257</v>
      </c>
      <c r="E1319" s="2" t="s">
        <v>2257</v>
      </c>
      <c r="F1319" s="8" t="s">
        <v>2257</v>
      </c>
      <c r="G1319" s="2" t="s">
        <v>2257</v>
      </c>
      <c r="H1319" s="2" t="s">
        <v>2257</v>
      </c>
      <c r="I1319" s="2" t="s">
        <v>2257</v>
      </c>
      <c r="J1319" t="str">
        <f t="shared" si="42"/>
        <v/>
      </c>
    </row>
    <row r="1320" spans="1:10" x14ac:dyDescent="0.15">
      <c r="A1320" t="s">
        <v>2257</v>
      </c>
      <c r="B1320" t="s">
        <v>2257</v>
      </c>
      <c r="C1320" s="2" t="s">
        <v>2257</v>
      </c>
      <c r="D1320" t="s">
        <v>2257</v>
      </c>
      <c r="E1320" s="2" t="s">
        <v>2257</v>
      </c>
      <c r="F1320" s="8" t="s">
        <v>2257</v>
      </c>
      <c r="G1320" s="2" t="s">
        <v>2257</v>
      </c>
      <c r="H1320" s="2" t="s">
        <v>2257</v>
      </c>
      <c r="I1320" s="2" t="s">
        <v>2257</v>
      </c>
      <c r="J1320" t="str">
        <f t="shared" si="42"/>
        <v/>
      </c>
    </row>
    <row r="1321" spans="1:10" x14ac:dyDescent="0.15">
      <c r="A1321" t="s">
        <v>2257</v>
      </c>
      <c r="B1321" t="s">
        <v>2257</v>
      </c>
      <c r="C1321" s="2" t="s">
        <v>2257</v>
      </c>
      <c r="D1321" t="s">
        <v>2257</v>
      </c>
      <c r="E1321" s="2" t="s">
        <v>2257</v>
      </c>
      <c r="F1321" s="8" t="s">
        <v>2257</v>
      </c>
      <c r="G1321" s="2" t="s">
        <v>2257</v>
      </c>
      <c r="H1321" s="2" t="s">
        <v>2257</v>
      </c>
      <c r="I1321" s="2" t="s">
        <v>2257</v>
      </c>
      <c r="J1321" t="str">
        <f t="shared" si="42"/>
        <v/>
      </c>
    </row>
    <row r="1322" spans="1:10" x14ac:dyDescent="0.15">
      <c r="A1322" t="s">
        <v>2257</v>
      </c>
      <c r="B1322" t="s">
        <v>2257</v>
      </c>
      <c r="C1322" s="2" t="s">
        <v>2257</v>
      </c>
      <c r="D1322" t="s">
        <v>2257</v>
      </c>
      <c r="E1322" s="2" t="s">
        <v>2257</v>
      </c>
      <c r="F1322" s="8" t="s">
        <v>2257</v>
      </c>
      <c r="G1322" s="2" t="s">
        <v>2257</v>
      </c>
      <c r="H1322" s="2" t="s">
        <v>2257</v>
      </c>
      <c r="I1322" s="2" t="s">
        <v>2257</v>
      </c>
      <c r="J1322" t="str">
        <f t="shared" si="42"/>
        <v/>
      </c>
    </row>
    <row r="1323" spans="1:10" x14ac:dyDescent="0.15">
      <c r="A1323" t="s">
        <v>2257</v>
      </c>
      <c r="B1323" t="s">
        <v>2257</v>
      </c>
      <c r="C1323" s="2" t="s">
        <v>2257</v>
      </c>
      <c r="D1323" t="s">
        <v>2257</v>
      </c>
      <c r="E1323" s="2" t="s">
        <v>2257</v>
      </c>
      <c r="F1323" s="8" t="s">
        <v>2257</v>
      </c>
      <c r="G1323" s="2" t="s">
        <v>2257</v>
      </c>
      <c r="H1323" s="2" t="s">
        <v>2257</v>
      </c>
      <c r="I1323" s="2" t="s">
        <v>2257</v>
      </c>
      <c r="J1323" t="str">
        <f t="shared" si="42"/>
        <v/>
      </c>
    </row>
    <row r="1324" spans="1:10" x14ac:dyDescent="0.15">
      <c r="A1324" t="s">
        <v>2257</v>
      </c>
      <c r="B1324" t="s">
        <v>2257</v>
      </c>
      <c r="C1324" s="2" t="s">
        <v>2257</v>
      </c>
      <c r="D1324" t="s">
        <v>2257</v>
      </c>
      <c r="E1324" s="2" t="s">
        <v>2257</v>
      </c>
      <c r="F1324" s="8" t="s">
        <v>2257</v>
      </c>
      <c r="G1324" s="2" t="s">
        <v>2257</v>
      </c>
      <c r="H1324" s="2" t="s">
        <v>2257</v>
      </c>
      <c r="I1324" s="2" t="s">
        <v>2257</v>
      </c>
      <c r="J1324" t="str">
        <f t="shared" si="42"/>
        <v/>
      </c>
    </row>
    <row r="1325" spans="1:10" x14ac:dyDescent="0.15">
      <c r="A1325" t="s">
        <v>2257</v>
      </c>
      <c r="B1325" t="s">
        <v>2257</v>
      </c>
      <c r="C1325" s="2" t="s">
        <v>2257</v>
      </c>
      <c r="D1325" t="s">
        <v>2257</v>
      </c>
      <c r="E1325" s="2" t="s">
        <v>2257</v>
      </c>
      <c r="F1325" s="8" t="s">
        <v>2257</v>
      </c>
      <c r="G1325" s="2" t="s">
        <v>2257</v>
      </c>
      <c r="H1325" s="2" t="s">
        <v>2257</v>
      </c>
      <c r="I1325" s="2" t="s">
        <v>2257</v>
      </c>
      <c r="J1325" t="str">
        <f t="shared" si="42"/>
        <v/>
      </c>
    </row>
    <row r="1326" spans="1:10" x14ac:dyDescent="0.15">
      <c r="A1326" t="s">
        <v>2257</v>
      </c>
      <c r="B1326" t="s">
        <v>2257</v>
      </c>
      <c r="C1326" s="2" t="s">
        <v>2257</v>
      </c>
      <c r="D1326" t="s">
        <v>2257</v>
      </c>
      <c r="E1326" s="2" t="s">
        <v>2257</v>
      </c>
      <c r="F1326" s="8" t="s">
        <v>2257</v>
      </c>
      <c r="G1326" s="2" t="s">
        <v>2257</v>
      </c>
      <c r="H1326" s="2" t="s">
        <v>2257</v>
      </c>
      <c r="I1326" s="2" t="s">
        <v>2257</v>
      </c>
      <c r="J1326" t="str">
        <f t="shared" si="42"/>
        <v/>
      </c>
    </row>
    <row r="1327" spans="1:10" x14ac:dyDescent="0.15">
      <c r="A1327" t="s">
        <v>2257</v>
      </c>
      <c r="B1327" t="s">
        <v>2257</v>
      </c>
      <c r="C1327" s="2" t="s">
        <v>2257</v>
      </c>
      <c r="D1327" t="s">
        <v>2257</v>
      </c>
      <c r="E1327" s="2" t="s">
        <v>2257</v>
      </c>
      <c r="F1327" s="8" t="s">
        <v>2257</v>
      </c>
      <c r="G1327" s="2" t="s">
        <v>2257</v>
      </c>
      <c r="H1327" s="2" t="s">
        <v>2257</v>
      </c>
      <c r="I1327" s="2" t="s">
        <v>2257</v>
      </c>
      <c r="J1327" t="str">
        <f t="shared" si="42"/>
        <v/>
      </c>
    </row>
    <row r="1328" spans="1:10" x14ac:dyDescent="0.15">
      <c r="A1328" t="s">
        <v>2257</v>
      </c>
      <c r="B1328" t="s">
        <v>2257</v>
      </c>
      <c r="C1328" s="2" t="s">
        <v>2257</v>
      </c>
      <c r="D1328" t="s">
        <v>2257</v>
      </c>
      <c r="E1328" s="2" t="s">
        <v>2257</v>
      </c>
      <c r="F1328" s="8" t="s">
        <v>2257</v>
      </c>
      <c r="G1328" s="2" t="s">
        <v>2257</v>
      </c>
      <c r="H1328" s="2" t="s">
        <v>2257</v>
      </c>
      <c r="I1328" s="2" t="s">
        <v>2257</v>
      </c>
      <c r="J1328" t="str">
        <f t="shared" si="42"/>
        <v/>
      </c>
    </row>
    <row r="1329" spans="1:10" x14ac:dyDescent="0.15">
      <c r="A1329" t="s">
        <v>2257</v>
      </c>
      <c r="B1329" t="s">
        <v>2257</v>
      </c>
      <c r="C1329" s="2" t="s">
        <v>2257</v>
      </c>
      <c r="D1329" t="s">
        <v>2257</v>
      </c>
      <c r="E1329" s="2" t="s">
        <v>2257</v>
      </c>
      <c r="F1329" s="8" t="s">
        <v>2257</v>
      </c>
      <c r="G1329" s="2" t="s">
        <v>2257</v>
      </c>
      <c r="H1329" s="2" t="s">
        <v>2257</v>
      </c>
      <c r="I1329" s="2" t="s">
        <v>2257</v>
      </c>
      <c r="J1329" t="str">
        <f t="shared" si="42"/>
        <v/>
      </c>
    </row>
    <row r="1330" spans="1:10" x14ac:dyDescent="0.15">
      <c r="A1330" t="s">
        <v>2257</v>
      </c>
      <c r="B1330" t="s">
        <v>2257</v>
      </c>
      <c r="C1330" s="2" t="s">
        <v>2257</v>
      </c>
      <c r="D1330" t="s">
        <v>2257</v>
      </c>
      <c r="E1330" s="2" t="s">
        <v>2257</v>
      </c>
      <c r="F1330" s="8" t="s">
        <v>2257</v>
      </c>
      <c r="G1330" s="2" t="s">
        <v>2257</v>
      </c>
      <c r="H1330" s="2" t="s">
        <v>2257</v>
      </c>
      <c r="I1330" s="2" t="s">
        <v>2257</v>
      </c>
      <c r="J1330" t="str">
        <f t="shared" si="42"/>
        <v/>
      </c>
    </row>
    <row r="1331" spans="1:10" x14ac:dyDescent="0.15">
      <c r="A1331" t="s">
        <v>2257</v>
      </c>
      <c r="B1331" t="s">
        <v>2257</v>
      </c>
      <c r="C1331" s="2" t="s">
        <v>2257</v>
      </c>
      <c r="D1331" t="s">
        <v>2257</v>
      </c>
      <c r="E1331" s="2" t="s">
        <v>2257</v>
      </c>
      <c r="F1331" s="8" t="s">
        <v>2257</v>
      </c>
      <c r="G1331" s="2" t="s">
        <v>2257</v>
      </c>
      <c r="H1331" s="2" t="s">
        <v>2257</v>
      </c>
      <c r="I1331" s="2" t="s">
        <v>2257</v>
      </c>
      <c r="J1331" t="str">
        <f t="shared" si="42"/>
        <v/>
      </c>
    </row>
    <row r="1332" spans="1:10" x14ac:dyDescent="0.15">
      <c r="A1332" t="s">
        <v>2257</v>
      </c>
      <c r="B1332" t="s">
        <v>2257</v>
      </c>
      <c r="C1332" s="2" t="s">
        <v>2257</v>
      </c>
      <c r="D1332" t="s">
        <v>2257</v>
      </c>
      <c r="E1332" s="2" t="s">
        <v>2257</v>
      </c>
      <c r="F1332" s="8" t="s">
        <v>2257</v>
      </c>
      <c r="G1332" s="2" t="s">
        <v>2257</v>
      </c>
      <c r="H1332" s="2" t="s">
        <v>2257</v>
      </c>
      <c r="I1332" s="2" t="s">
        <v>2257</v>
      </c>
      <c r="J1332" t="str">
        <f t="shared" si="42"/>
        <v/>
      </c>
    </row>
    <row r="1333" spans="1:10" x14ac:dyDescent="0.15">
      <c r="A1333" t="s">
        <v>2257</v>
      </c>
      <c r="B1333" t="s">
        <v>2257</v>
      </c>
      <c r="C1333" s="2" t="s">
        <v>2257</v>
      </c>
      <c r="D1333" t="s">
        <v>2257</v>
      </c>
      <c r="E1333" s="2" t="s">
        <v>2257</v>
      </c>
      <c r="F1333" s="8" t="s">
        <v>2257</v>
      </c>
      <c r="G1333" s="2" t="s">
        <v>2257</v>
      </c>
      <c r="H1333" s="2" t="s">
        <v>2257</v>
      </c>
      <c r="I1333" s="2" t="s">
        <v>2257</v>
      </c>
      <c r="J1333" t="str">
        <f t="shared" si="42"/>
        <v/>
      </c>
    </row>
    <row r="1334" spans="1:10" x14ac:dyDescent="0.15">
      <c r="A1334" t="s">
        <v>2257</v>
      </c>
      <c r="B1334" t="s">
        <v>2257</v>
      </c>
      <c r="C1334" s="2" t="s">
        <v>2257</v>
      </c>
      <c r="D1334" t="s">
        <v>2257</v>
      </c>
      <c r="E1334" s="2" t="s">
        <v>2257</v>
      </c>
      <c r="F1334" s="8" t="s">
        <v>2257</v>
      </c>
      <c r="G1334" s="2" t="s">
        <v>2257</v>
      </c>
      <c r="H1334" s="2" t="s">
        <v>2257</v>
      </c>
      <c r="I1334" s="2" t="s">
        <v>2257</v>
      </c>
      <c r="J1334" t="str">
        <f t="shared" si="42"/>
        <v/>
      </c>
    </row>
    <row r="1335" spans="1:10" x14ac:dyDescent="0.15">
      <c r="A1335" t="s">
        <v>2257</v>
      </c>
      <c r="B1335" t="s">
        <v>2257</v>
      </c>
      <c r="C1335" s="2" t="s">
        <v>2257</v>
      </c>
      <c r="D1335" t="s">
        <v>2257</v>
      </c>
      <c r="E1335" s="2" t="s">
        <v>2257</v>
      </c>
      <c r="F1335" s="8" t="s">
        <v>2257</v>
      </c>
      <c r="G1335" s="2" t="s">
        <v>2257</v>
      </c>
      <c r="H1335" s="2" t="s">
        <v>2257</v>
      </c>
      <c r="I1335" s="2" t="s">
        <v>2257</v>
      </c>
      <c r="J1335" t="str">
        <f t="shared" si="42"/>
        <v/>
      </c>
    </row>
    <row r="1336" spans="1:10" x14ac:dyDescent="0.15">
      <c r="A1336" t="s">
        <v>2257</v>
      </c>
      <c r="B1336" t="s">
        <v>2257</v>
      </c>
      <c r="C1336" s="2" t="s">
        <v>2257</v>
      </c>
      <c r="D1336" t="s">
        <v>2257</v>
      </c>
      <c r="E1336" s="2" t="s">
        <v>2257</v>
      </c>
      <c r="F1336" s="8" t="s">
        <v>2257</v>
      </c>
      <c r="G1336" s="2" t="s">
        <v>2257</v>
      </c>
      <c r="H1336" s="2" t="s">
        <v>2257</v>
      </c>
      <c r="I1336" s="2" t="s">
        <v>2257</v>
      </c>
      <c r="J1336" t="str">
        <f t="shared" si="42"/>
        <v/>
      </c>
    </row>
    <row r="1337" spans="1:10" x14ac:dyDescent="0.15">
      <c r="A1337" t="s">
        <v>2257</v>
      </c>
      <c r="B1337" t="s">
        <v>2257</v>
      </c>
      <c r="C1337" s="2" t="s">
        <v>2257</v>
      </c>
      <c r="D1337" t="s">
        <v>2257</v>
      </c>
      <c r="E1337" s="2" t="s">
        <v>2257</v>
      </c>
      <c r="F1337" s="8" t="s">
        <v>2257</v>
      </c>
      <c r="G1337" s="2" t="s">
        <v>2257</v>
      </c>
      <c r="H1337" s="2" t="s">
        <v>2257</v>
      </c>
      <c r="I1337" s="2" t="s">
        <v>2257</v>
      </c>
      <c r="J1337" t="str">
        <f t="shared" si="42"/>
        <v/>
      </c>
    </row>
    <row r="1338" spans="1:10" x14ac:dyDescent="0.15">
      <c r="A1338" t="s">
        <v>2257</v>
      </c>
      <c r="B1338" t="s">
        <v>2257</v>
      </c>
      <c r="C1338" s="2" t="s">
        <v>2257</v>
      </c>
      <c r="D1338" t="s">
        <v>2257</v>
      </c>
      <c r="E1338" s="2" t="s">
        <v>2257</v>
      </c>
      <c r="F1338" s="8" t="s">
        <v>2257</v>
      </c>
      <c r="G1338" s="2" t="s">
        <v>2257</v>
      </c>
      <c r="H1338" s="2" t="s">
        <v>2257</v>
      </c>
      <c r="I1338" s="2" t="s">
        <v>2257</v>
      </c>
      <c r="J1338" t="str">
        <f t="shared" si="42"/>
        <v/>
      </c>
    </row>
    <row r="1339" spans="1:10" x14ac:dyDescent="0.15">
      <c r="A1339" t="s">
        <v>2257</v>
      </c>
      <c r="B1339" t="s">
        <v>2257</v>
      </c>
      <c r="C1339" s="2" t="s">
        <v>2257</v>
      </c>
      <c r="D1339" t="s">
        <v>2257</v>
      </c>
      <c r="E1339" s="2" t="s">
        <v>2257</v>
      </c>
      <c r="F1339" s="8" t="s">
        <v>2257</v>
      </c>
      <c r="G1339" s="2" t="s">
        <v>2257</v>
      </c>
      <c r="H1339" s="2" t="s">
        <v>2257</v>
      </c>
      <c r="I1339" s="2" t="s">
        <v>2257</v>
      </c>
      <c r="J1339" t="str">
        <f t="shared" si="42"/>
        <v/>
      </c>
    </row>
    <row r="1340" spans="1:10" x14ac:dyDescent="0.15">
      <c r="A1340" t="s">
        <v>2257</v>
      </c>
      <c r="B1340" t="s">
        <v>2257</v>
      </c>
      <c r="C1340" s="2" t="s">
        <v>2257</v>
      </c>
      <c r="D1340" t="s">
        <v>2257</v>
      </c>
      <c r="E1340" s="2" t="s">
        <v>2257</v>
      </c>
      <c r="F1340" s="8" t="s">
        <v>2257</v>
      </c>
      <c r="G1340" s="2" t="s">
        <v>2257</v>
      </c>
      <c r="H1340" s="2" t="s">
        <v>2257</v>
      </c>
      <c r="I1340" s="2" t="s">
        <v>2257</v>
      </c>
      <c r="J1340" t="str">
        <f t="shared" si="42"/>
        <v/>
      </c>
    </row>
    <row r="1341" spans="1:10" x14ac:dyDescent="0.15">
      <c r="A1341" t="s">
        <v>2257</v>
      </c>
      <c r="B1341" t="s">
        <v>2257</v>
      </c>
      <c r="C1341" s="2" t="s">
        <v>2257</v>
      </c>
      <c r="D1341" t="s">
        <v>2257</v>
      </c>
      <c r="E1341" s="2" t="s">
        <v>2257</v>
      </c>
      <c r="F1341" s="8" t="s">
        <v>2257</v>
      </c>
      <c r="G1341" s="2" t="s">
        <v>2257</v>
      </c>
      <c r="H1341" s="2" t="s">
        <v>2257</v>
      </c>
      <c r="I1341" s="2" t="s">
        <v>2257</v>
      </c>
      <c r="J1341" t="str">
        <f t="shared" si="42"/>
        <v/>
      </c>
    </row>
    <row r="1342" spans="1:10" x14ac:dyDescent="0.15">
      <c r="A1342" t="s">
        <v>2257</v>
      </c>
      <c r="B1342" t="s">
        <v>2257</v>
      </c>
      <c r="C1342" s="2" t="s">
        <v>2257</v>
      </c>
      <c r="D1342" t="s">
        <v>2257</v>
      </c>
      <c r="E1342" s="2" t="s">
        <v>2257</v>
      </c>
      <c r="F1342" s="8" t="s">
        <v>2257</v>
      </c>
      <c r="G1342" s="2" t="s">
        <v>2257</v>
      </c>
      <c r="H1342" s="2" t="s">
        <v>2257</v>
      </c>
      <c r="I1342" s="2" t="s">
        <v>2257</v>
      </c>
      <c r="J1342" t="str">
        <f t="shared" si="42"/>
        <v/>
      </c>
    </row>
    <row r="1343" spans="1:10" x14ac:dyDescent="0.15">
      <c r="A1343" t="s">
        <v>2257</v>
      </c>
      <c r="B1343" t="s">
        <v>2257</v>
      </c>
      <c r="C1343" s="2" t="s">
        <v>2257</v>
      </c>
      <c r="D1343" t="s">
        <v>2257</v>
      </c>
      <c r="E1343" s="2" t="s">
        <v>2257</v>
      </c>
      <c r="F1343" s="8" t="s">
        <v>2257</v>
      </c>
      <c r="G1343" s="2" t="s">
        <v>2257</v>
      </c>
      <c r="H1343" s="2" t="s">
        <v>2257</v>
      </c>
      <c r="I1343" s="2" t="s">
        <v>2257</v>
      </c>
      <c r="J1343" t="str">
        <f t="shared" si="42"/>
        <v/>
      </c>
    </row>
    <row r="1344" spans="1:10" x14ac:dyDescent="0.15">
      <c r="A1344" t="s">
        <v>2257</v>
      </c>
      <c r="B1344" t="s">
        <v>2257</v>
      </c>
      <c r="C1344" s="2" t="s">
        <v>2257</v>
      </c>
      <c r="D1344" t="s">
        <v>2257</v>
      </c>
      <c r="E1344" s="2" t="s">
        <v>2257</v>
      </c>
      <c r="F1344" s="8" t="s">
        <v>2257</v>
      </c>
      <c r="G1344" s="2" t="s">
        <v>2257</v>
      </c>
      <c r="H1344" s="2" t="s">
        <v>2257</v>
      </c>
      <c r="I1344" s="2" t="s">
        <v>2257</v>
      </c>
      <c r="J1344" t="str">
        <f t="shared" si="42"/>
        <v/>
      </c>
    </row>
    <row r="1345" spans="1:10" x14ac:dyDescent="0.15">
      <c r="A1345" t="s">
        <v>2257</v>
      </c>
      <c r="B1345" t="s">
        <v>2257</v>
      </c>
      <c r="C1345" s="2" t="s">
        <v>2257</v>
      </c>
      <c r="D1345" t="s">
        <v>2257</v>
      </c>
      <c r="E1345" s="2" t="s">
        <v>2257</v>
      </c>
      <c r="F1345" s="8" t="s">
        <v>2257</v>
      </c>
      <c r="G1345" s="2" t="s">
        <v>2257</v>
      </c>
      <c r="H1345" s="2" t="s">
        <v>2257</v>
      </c>
      <c r="I1345" s="2" t="s">
        <v>2257</v>
      </c>
      <c r="J1345" t="str">
        <f t="shared" si="42"/>
        <v/>
      </c>
    </row>
    <row r="1346" spans="1:10" x14ac:dyDescent="0.15">
      <c r="A1346" t="s">
        <v>2257</v>
      </c>
      <c r="B1346" t="s">
        <v>2257</v>
      </c>
      <c r="C1346" s="2" t="s">
        <v>2257</v>
      </c>
      <c r="D1346" t="s">
        <v>2257</v>
      </c>
      <c r="E1346" s="2" t="s">
        <v>2257</v>
      </c>
      <c r="F1346" s="8" t="s">
        <v>2257</v>
      </c>
      <c r="G1346" s="2" t="s">
        <v>2257</v>
      </c>
      <c r="H1346" s="2" t="s">
        <v>2257</v>
      </c>
      <c r="I1346" s="2" t="s">
        <v>2257</v>
      </c>
      <c r="J1346" t="str">
        <f t="shared" si="42"/>
        <v/>
      </c>
    </row>
    <row r="1347" spans="1:10" x14ac:dyDescent="0.15">
      <c r="A1347" t="s">
        <v>2257</v>
      </c>
      <c r="B1347" t="s">
        <v>2257</v>
      </c>
      <c r="C1347" s="2" t="s">
        <v>2257</v>
      </c>
      <c r="D1347" t="s">
        <v>2257</v>
      </c>
      <c r="E1347" s="2" t="s">
        <v>2257</v>
      </c>
      <c r="F1347" s="8" t="s">
        <v>2257</v>
      </c>
      <c r="G1347" s="2" t="s">
        <v>2257</v>
      </c>
      <c r="H1347" s="2" t="s">
        <v>2257</v>
      </c>
      <c r="I1347" s="2" t="s">
        <v>2257</v>
      </c>
      <c r="J1347" t="str">
        <f t="shared" si="42"/>
        <v/>
      </c>
    </row>
    <row r="1348" spans="1:10" x14ac:dyDescent="0.15">
      <c r="A1348" t="s">
        <v>2257</v>
      </c>
      <c r="B1348" t="s">
        <v>2257</v>
      </c>
      <c r="C1348" s="2" t="s">
        <v>2257</v>
      </c>
      <c r="D1348" t="s">
        <v>2257</v>
      </c>
      <c r="E1348" s="2" t="s">
        <v>2257</v>
      </c>
      <c r="F1348" s="8" t="s">
        <v>2257</v>
      </c>
      <c r="G1348" s="2" t="s">
        <v>2257</v>
      </c>
      <c r="H1348" s="2" t="s">
        <v>2257</v>
      </c>
      <c r="I1348" s="2" t="s">
        <v>2257</v>
      </c>
      <c r="J1348" t="str">
        <f t="shared" si="42"/>
        <v/>
      </c>
    </row>
    <row r="1349" spans="1:10" x14ac:dyDescent="0.15">
      <c r="A1349" t="s">
        <v>2257</v>
      </c>
      <c r="B1349" t="s">
        <v>2257</v>
      </c>
      <c r="C1349" s="2" t="s">
        <v>2257</v>
      </c>
      <c r="D1349" t="s">
        <v>2257</v>
      </c>
      <c r="E1349" s="2" t="s">
        <v>2257</v>
      </c>
      <c r="F1349" s="8" t="s">
        <v>2257</v>
      </c>
      <c r="G1349" s="2" t="s">
        <v>2257</v>
      </c>
      <c r="H1349" s="2" t="s">
        <v>2257</v>
      </c>
      <c r="I1349" s="2" t="s">
        <v>2257</v>
      </c>
      <c r="J1349" t="str">
        <f t="shared" si="42"/>
        <v/>
      </c>
    </row>
    <row r="1350" spans="1:10" x14ac:dyDescent="0.15">
      <c r="A1350" t="s">
        <v>2257</v>
      </c>
      <c r="B1350" t="s">
        <v>2257</v>
      </c>
      <c r="C1350" s="2" t="s">
        <v>2257</v>
      </c>
      <c r="D1350" t="s">
        <v>2257</v>
      </c>
      <c r="E1350" s="2" t="s">
        <v>2257</v>
      </c>
      <c r="F1350" s="8" t="s">
        <v>2257</v>
      </c>
      <c r="G1350" s="2" t="s">
        <v>2257</v>
      </c>
      <c r="H1350" s="2" t="s">
        <v>2257</v>
      </c>
      <c r="I1350" s="2" t="s">
        <v>2257</v>
      </c>
      <c r="J1350" t="str">
        <f t="shared" si="42"/>
        <v/>
      </c>
    </row>
    <row r="1351" spans="1:10" x14ac:dyDescent="0.15">
      <c r="A1351" t="s">
        <v>2257</v>
      </c>
      <c r="B1351" t="s">
        <v>2257</v>
      </c>
      <c r="C1351" s="2" t="s">
        <v>2257</v>
      </c>
      <c r="D1351" t="s">
        <v>2257</v>
      </c>
      <c r="E1351" s="2" t="s">
        <v>2257</v>
      </c>
      <c r="F1351" s="8" t="s">
        <v>2257</v>
      </c>
      <c r="G1351" s="2" t="s">
        <v>2257</v>
      </c>
      <c r="H1351" s="2" t="s">
        <v>2257</v>
      </c>
      <c r="I1351" s="2" t="s">
        <v>2257</v>
      </c>
      <c r="J1351" t="str">
        <f t="shared" si="42"/>
        <v/>
      </c>
    </row>
    <row r="1352" spans="1:10" x14ac:dyDescent="0.15">
      <c r="A1352" t="s">
        <v>2257</v>
      </c>
      <c r="B1352" t="s">
        <v>2257</v>
      </c>
      <c r="C1352" s="2" t="s">
        <v>2257</v>
      </c>
      <c r="D1352" t="s">
        <v>2257</v>
      </c>
      <c r="E1352" s="2" t="s">
        <v>2257</v>
      </c>
      <c r="F1352" s="8" t="s">
        <v>2257</v>
      </c>
      <c r="G1352" s="2" t="s">
        <v>2257</v>
      </c>
      <c r="H1352" s="2" t="s">
        <v>2257</v>
      </c>
      <c r="I1352" s="2" t="s">
        <v>2257</v>
      </c>
      <c r="J1352" t="str">
        <f t="shared" si="42"/>
        <v/>
      </c>
    </row>
    <row r="1353" spans="1:10" x14ac:dyDescent="0.15">
      <c r="A1353" t="s">
        <v>2257</v>
      </c>
      <c r="B1353" t="s">
        <v>2257</v>
      </c>
      <c r="C1353" s="2" t="s">
        <v>2257</v>
      </c>
      <c r="D1353" t="s">
        <v>2257</v>
      </c>
      <c r="E1353" s="2" t="s">
        <v>2257</v>
      </c>
      <c r="F1353" s="8" t="s">
        <v>2257</v>
      </c>
      <c r="G1353" s="2" t="s">
        <v>2257</v>
      </c>
      <c r="H1353" s="2" t="s">
        <v>2257</v>
      </c>
      <c r="I1353" s="2" t="s">
        <v>2257</v>
      </c>
      <c r="J1353" t="str">
        <f t="shared" si="42"/>
        <v/>
      </c>
    </row>
    <row r="1354" spans="1:10" x14ac:dyDescent="0.15">
      <c r="A1354" t="s">
        <v>2257</v>
      </c>
      <c r="B1354" t="s">
        <v>2257</v>
      </c>
      <c r="C1354" s="2" t="s">
        <v>2257</v>
      </c>
      <c r="D1354" t="s">
        <v>2257</v>
      </c>
      <c r="E1354" s="2" t="s">
        <v>2257</v>
      </c>
      <c r="F1354" s="8" t="s">
        <v>2257</v>
      </c>
      <c r="G1354" s="2" t="s">
        <v>2257</v>
      </c>
      <c r="H1354" s="2" t="s">
        <v>2257</v>
      </c>
      <c r="I1354" s="2" t="s">
        <v>2257</v>
      </c>
      <c r="J1354" t="str">
        <f t="shared" si="42"/>
        <v/>
      </c>
    </row>
    <row r="1355" spans="1:10" x14ac:dyDescent="0.15">
      <c r="A1355" t="s">
        <v>2257</v>
      </c>
      <c r="B1355" t="s">
        <v>2257</v>
      </c>
      <c r="C1355" s="2" t="s">
        <v>2257</v>
      </c>
      <c r="D1355" t="s">
        <v>2257</v>
      </c>
      <c r="E1355" s="2" t="s">
        <v>2257</v>
      </c>
      <c r="F1355" s="8" t="s">
        <v>2257</v>
      </c>
      <c r="G1355" s="2" t="s">
        <v>2257</v>
      </c>
      <c r="H1355" s="2" t="s">
        <v>2257</v>
      </c>
      <c r="I1355" s="2" t="s">
        <v>2257</v>
      </c>
      <c r="J1355" t="str">
        <f t="shared" ref="J1355:J1418" si="43">IF(A1355="","",IF(AND(C1355="",D1355&lt;&gt;"UNS",I1355=""),"Open","Closed"))</f>
        <v/>
      </c>
    </row>
    <row r="1356" spans="1:10" x14ac:dyDescent="0.15">
      <c r="A1356" t="s">
        <v>2257</v>
      </c>
      <c r="B1356" t="s">
        <v>2257</v>
      </c>
      <c r="C1356" s="2" t="s">
        <v>2257</v>
      </c>
      <c r="D1356" t="s">
        <v>2257</v>
      </c>
      <c r="E1356" s="2" t="s">
        <v>2257</v>
      </c>
      <c r="F1356" s="8" t="s">
        <v>2257</v>
      </c>
      <c r="G1356" s="2" t="s">
        <v>2257</v>
      </c>
      <c r="H1356" s="2" t="s">
        <v>2257</v>
      </c>
      <c r="I1356" s="2" t="s">
        <v>2257</v>
      </c>
      <c r="J1356" t="str">
        <f t="shared" si="43"/>
        <v/>
      </c>
    </row>
    <row r="1357" spans="1:10" x14ac:dyDescent="0.15">
      <c r="A1357" t="s">
        <v>2257</v>
      </c>
      <c r="B1357" t="s">
        <v>2257</v>
      </c>
      <c r="C1357" s="2" t="s">
        <v>2257</v>
      </c>
      <c r="D1357" t="s">
        <v>2257</v>
      </c>
      <c r="E1357" s="2" t="s">
        <v>2257</v>
      </c>
      <c r="F1357" s="8" t="s">
        <v>2257</v>
      </c>
      <c r="G1357" s="2" t="s">
        <v>2257</v>
      </c>
      <c r="H1357" s="2" t="s">
        <v>2257</v>
      </c>
      <c r="I1357" s="2" t="s">
        <v>2257</v>
      </c>
      <c r="J1357" t="str">
        <f t="shared" si="43"/>
        <v/>
      </c>
    </row>
    <row r="1358" spans="1:10" x14ac:dyDescent="0.15">
      <c r="A1358" t="s">
        <v>2257</v>
      </c>
      <c r="B1358" t="s">
        <v>2257</v>
      </c>
      <c r="C1358" s="2" t="s">
        <v>2257</v>
      </c>
      <c r="D1358" t="s">
        <v>2257</v>
      </c>
      <c r="E1358" s="2" t="s">
        <v>2257</v>
      </c>
      <c r="F1358" s="8" t="s">
        <v>2257</v>
      </c>
      <c r="G1358" s="2" t="s">
        <v>2257</v>
      </c>
      <c r="H1358" s="2" t="s">
        <v>2257</v>
      </c>
      <c r="I1358" s="2" t="s">
        <v>2257</v>
      </c>
      <c r="J1358" t="str">
        <f t="shared" si="43"/>
        <v/>
      </c>
    </row>
    <row r="1359" spans="1:10" x14ac:dyDescent="0.15">
      <c r="A1359" t="s">
        <v>2257</v>
      </c>
      <c r="B1359" t="s">
        <v>2257</v>
      </c>
      <c r="C1359" s="2" t="s">
        <v>2257</v>
      </c>
      <c r="D1359" t="s">
        <v>2257</v>
      </c>
      <c r="E1359" s="2" t="s">
        <v>2257</v>
      </c>
      <c r="F1359" s="8" t="s">
        <v>2257</v>
      </c>
      <c r="G1359" s="2" t="s">
        <v>2257</v>
      </c>
      <c r="H1359" s="2" t="s">
        <v>2257</v>
      </c>
      <c r="I1359" s="2" t="s">
        <v>2257</v>
      </c>
      <c r="J1359" t="str">
        <f t="shared" si="43"/>
        <v/>
      </c>
    </row>
    <row r="1360" spans="1:10" x14ac:dyDescent="0.15">
      <c r="A1360" t="s">
        <v>2257</v>
      </c>
      <c r="B1360" t="s">
        <v>2257</v>
      </c>
      <c r="C1360" s="2" t="s">
        <v>2257</v>
      </c>
      <c r="D1360" t="s">
        <v>2257</v>
      </c>
      <c r="E1360" s="2" t="s">
        <v>2257</v>
      </c>
      <c r="F1360" s="8" t="s">
        <v>2257</v>
      </c>
      <c r="G1360" s="2" t="s">
        <v>2257</v>
      </c>
      <c r="H1360" s="2" t="s">
        <v>2257</v>
      </c>
      <c r="I1360" s="2" t="s">
        <v>2257</v>
      </c>
      <c r="J1360" t="str">
        <f t="shared" si="43"/>
        <v/>
      </c>
    </row>
    <row r="1361" spans="1:10" x14ac:dyDescent="0.15">
      <c r="A1361" t="s">
        <v>2257</v>
      </c>
      <c r="B1361" t="s">
        <v>2257</v>
      </c>
      <c r="C1361" s="2" t="s">
        <v>2257</v>
      </c>
      <c r="D1361" t="s">
        <v>2257</v>
      </c>
      <c r="E1361" s="2" t="s">
        <v>2257</v>
      </c>
      <c r="F1361" s="8" t="s">
        <v>2257</v>
      </c>
      <c r="G1361" s="2" t="s">
        <v>2257</v>
      </c>
      <c r="H1361" s="2" t="s">
        <v>2257</v>
      </c>
      <c r="I1361" s="2" t="s">
        <v>2257</v>
      </c>
      <c r="J1361" t="str">
        <f t="shared" si="43"/>
        <v/>
      </c>
    </row>
    <row r="1362" spans="1:10" x14ac:dyDescent="0.15">
      <c r="A1362" t="s">
        <v>2257</v>
      </c>
      <c r="B1362" t="s">
        <v>2257</v>
      </c>
      <c r="C1362" s="2" t="s">
        <v>2257</v>
      </c>
      <c r="D1362" t="s">
        <v>2257</v>
      </c>
      <c r="E1362" s="2" t="s">
        <v>2257</v>
      </c>
      <c r="F1362" s="8" t="s">
        <v>2257</v>
      </c>
      <c r="G1362" s="2" t="s">
        <v>2257</v>
      </c>
      <c r="H1362" s="2" t="s">
        <v>2257</v>
      </c>
      <c r="I1362" s="2" t="s">
        <v>2257</v>
      </c>
      <c r="J1362" t="str">
        <f t="shared" si="43"/>
        <v/>
      </c>
    </row>
    <row r="1363" spans="1:10" x14ac:dyDescent="0.15">
      <c r="A1363" t="s">
        <v>2257</v>
      </c>
      <c r="B1363" t="s">
        <v>2257</v>
      </c>
      <c r="C1363" s="2" t="s">
        <v>2257</v>
      </c>
      <c r="D1363" t="s">
        <v>2257</v>
      </c>
      <c r="E1363" s="2" t="s">
        <v>2257</v>
      </c>
      <c r="F1363" s="8" t="s">
        <v>2257</v>
      </c>
      <c r="G1363" s="2" t="s">
        <v>2257</v>
      </c>
      <c r="H1363" s="2" t="s">
        <v>2257</v>
      </c>
      <c r="I1363" s="2" t="s">
        <v>2257</v>
      </c>
      <c r="J1363" t="str">
        <f t="shared" si="43"/>
        <v/>
      </c>
    </row>
    <row r="1364" spans="1:10" x14ac:dyDescent="0.15">
      <c r="A1364" t="s">
        <v>2257</v>
      </c>
      <c r="B1364" t="s">
        <v>2257</v>
      </c>
      <c r="C1364" s="2" t="s">
        <v>2257</v>
      </c>
      <c r="D1364" t="s">
        <v>2257</v>
      </c>
      <c r="E1364" s="2" t="s">
        <v>2257</v>
      </c>
      <c r="F1364" s="8" t="s">
        <v>2257</v>
      </c>
      <c r="G1364" s="2" t="s">
        <v>2257</v>
      </c>
      <c r="H1364" s="2" t="s">
        <v>2257</v>
      </c>
      <c r="I1364" s="2" t="s">
        <v>2257</v>
      </c>
      <c r="J1364" t="str">
        <f t="shared" si="43"/>
        <v/>
      </c>
    </row>
    <row r="1365" spans="1:10" x14ac:dyDescent="0.15">
      <c r="A1365" t="s">
        <v>2257</v>
      </c>
      <c r="B1365" t="s">
        <v>2257</v>
      </c>
      <c r="C1365" s="2" t="s">
        <v>2257</v>
      </c>
      <c r="D1365" t="s">
        <v>2257</v>
      </c>
      <c r="E1365" s="2" t="s">
        <v>2257</v>
      </c>
      <c r="F1365" s="8" t="s">
        <v>2257</v>
      </c>
      <c r="G1365" s="2" t="s">
        <v>2257</v>
      </c>
      <c r="H1365" s="2" t="s">
        <v>2257</v>
      </c>
      <c r="I1365" s="2" t="s">
        <v>2257</v>
      </c>
      <c r="J1365" t="str">
        <f t="shared" si="43"/>
        <v/>
      </c>
    </row>
    <row r="1366" spans="1:10" x14ac:dyDescent="0.15">
      <c r="A1366" t="s">
        <v>2257</v>
      </c>
      <c r="B1366" t="s">
        <v>2257</v>
      </c>
      <c r="C1366" s="2" t="s">
        <v>2257</v>
      </c>
      <c r="D1366" t="s">
        <v>2257</v>
      </c>
      <c r="E1366" s="2" t="s">
        <v>2257</v>
      </c>
      <c r="F1366" s="8" t="s">
        <v>2257</v>
      </c>
      <c r="G1366" s="2" t="s">
        <v>2257</v>
      </c>
      <c r="H1366" s="2" t="s">
        <v>2257</v>
      </c>
      <c r="I1366" s="2" t="s">
        <v>2257</v>
      </c>
      <c r="J1366" t="str">
        <f t="shared" si="43"/>
        <v/>
      </c>
    </row>
    <row r="1367" spans="1:10" x14ac:dyDescent="0.15">
      <c r="A1367" t="s">
        <v>2257</v>
      </c>
      <c r="B1367" t="s">
        <v>2257</v>
      </c>
      <c r="C1367" s="2" t="s">
        <v>2257</v>
      </c>
      <c r="D1367" t="s">
        <v>2257</v>
      </c>
      <c r="E1367" s="2" t="s">
        <v>2257</v>
      </c>
      <c r="F1367" s="8" t="s">
        <v>2257</v>
      </c>
      <c r="G1367" s="2" t="s">
        <v>2257</v>
      </c>
      <c r="H1367" s="2" t="s">
        <v>2257</v>
      </c>
      <c r="I1367" s="2" t="s">
        <v>2257</v>
      </c>
      <c r="J1367" t="str">
        <f t="shared" si="43"/>
        <v/>
      </c>
    </row>
    <row r="1368" spans="1:10" x14ac:dyDescent="0.15">
      <c r="A1368" t="s">
        <v>2257</v>
      </c>
      <c r="B1368" t="s">
        <v>2257</v>
      </c>
      <c r="C1368" s="2" t="s">
        <v>2257</v>
      </c>
      <c r="D1368" t="s">
        <v>2257</v>
      </c>
      <c r="E1368" s="2" t="s">
        <v>2257</v>
      </c>
      <c r="F1368" s="8" t="s">
        <v>2257</v>
      </c>
      <c r="G1368" s="2" t="s">
        <v>2257</v>
      </c>
      <c r="H1368" s="2" t="s">
        <v>2257</v>
      </c>
      <c r="I1368" s="2" t="s">
        <v>2257</v>
      </c>
      <c r="J1368" t="str">
        <f t="shared" si="43"/>
        <v/>
      </c>
    </row>
    <row r="1369" spans="1:10" x14ac:dyDescent="0.15">
      <c r="A1369" t="s">
        <v>2257</v>
      </c>
      <c r="B1369" t="s">
        <v>2257</v>
      </c>
      <c r="C1369" s="2" t="s">
        <v>2257</v>
      </c>
      <c r="D1369" t="s">
        <v>2257</v>
      </c>
      <c r="E1369" s="2" t="s">
        <v>2257</v>
      </c>
      <c r="F1369" s="8" t="s">
        <v>2257</v>
      </c>
      <c r="G1369" s="2" t="s">
        <v>2257</v>
      </c>
      <c r="H1369" s="2" t="s">
        <v>2257</v>
      </c>
      <c r="I1369" s="2" t="s">
        <v>2257</v>
      </c>
      <c r="J1369" t="str">
        <f t="shared" si="43"/>
        <v/>
      </c>
    </row>
    <row r="1370" spans="1:10" x14ac:dyDescent="0.15">
      <c r="A1370" t="s">
        <v>2257</v>
      </c>
      <c r="B1370" t="s">
        <v>2257</v>
      </c>
      <c r="C1370" s="2" t="s">
        <v>2257</v>
      </c>
      <c r="D1370" t="s">
        <v>2257</v>
      </c>
      <c r="E1370" s="2" t="s">
        <v>2257</v>
      </c>
      <c r="F1370" s="8" t="s">
        <v>2257</v>
      </c>
      <c r="G1370" s="2" t="s">
        <v>2257</v>
      </c>
      <c r="H1370" s="2" t="s">
        <v>2257</v>
      </c>
      <c r="I1370" s="2" t="s">
        <v>2257</v>
      </c>
      <c r="J1370" t="str">
        <f t="shared" si="43"/>
        <v/>
      </c>
    </row>
    <row r="1371" spans="1:10" x14ac:dyDescent="0.15">
      <c r="A1371" t="s">
        <v>2257</v>
      </c>
      <c r="B1371" t="s">
        <v>2257</v>
      </c>
      <c r="C1371" s="2" t="s">
        <v>2257</v>
      </c>
      <c r="D1371" t="s">
        <v>2257</v>
      </c>
      <c r="E1371" s="2" t="s">
        <v>2257</v>
      </c>
      <c r="F1371" s="8" t="s">
        <v>2257</v>
      </c>
      <c r="G1371" s="2" t="s">
        <v>2257</v>
      </c>
      <c r="H1371" s="2" t="s">
        <v>2257</v>
      </c>
      <c r="I1371" s="2" t="s">
        <v>2257</v>
      </c>
      <c r="J1371" t="str">
        <f t="shared" si="43"/>
        <v/>
      </c>
    </row>
    <row r="1372" spans="1:10" x14ac:dyDescent="0.15">
      <c r="A1372" t="s">
        <v>2257</v>
      </c>
      <c r="B1372" t="s">
        <v>2257</v>
      </c>
      <c r="C1372" s="2" t="s">
        <v>2257</v>
      </c>
      <c r="D1372" t="s">
        <v>2257</v>
      </c>
      <c r="E1372" s="2" t="s">
        <v>2257</v>
      </c>
      <c r="F1372" s="8" t="s">
        <v>2257</v>
      </c>
      <c r="G1372" s="2" t="s">
        <v>2257</v>
      </c>
      <c r="H1372" s="2" t="s">
        <v>2257</v>
      </c>
      <c r="I1372" s="2" t="s">
        <v>2257</v>
      </c>
      <c r="J1372" t="str">
        <f t="shared" si="43"/>
        <v/>
      </c>
    </row>
    <row r="1373" spans="1:10" x14ac:dyDescent="0.15">
      <c r="A1373" t="s">
        <v>2257</v>
      </c>
      <c r="B1373" t="s">
        <v>2257</v>
      </c>
      <c r="C1373" s="2" t="s">
        <v>2257</v>
      </c>
      <c r="D1373" t="s">
        <v>2257</v>
      </c>
      <c r="E1373" s="2" t="s">
        <v>2257</v>
      </c>
      <c r="F1373" s="8" t="s">
        <v>2257</v>
      </c>
      <c r="G1373" s="2" t="s">
        <v>2257</v>
      </c>
      <c r="H1373" s="2" t="s">
        <v>2257</v>
      </c>
      <c r="I1373" s="2" t="s">
        <v>2257</v>
      </c>
      <c r="J1373" t="str">
        <f t="shared" si="43"/>
        <v/>
      </c>
    </row>
    <row r="1374" spans="1:10" x14ac:dyDescent="0.15">
      <c r="A1374" t="s">
        <v>2257</v>
      </c>
      <c r="B1374" t="s">
        <v>2257</v>
      </c>
      <c r="C1374" s="2" t="s">
        <v>2257</v>
      </c>
      <c r="D1374" t="s">
        <v>2257</v>
      </c>
      <c r="E1374" s="2" t="s">
        <v>2257</v>
      </c>
      <c r="F1374" s="8" t="s">
        <v>2257</v>
      </c>
      <c r="G1374" s="2" t="s">
        <v>2257</v>
      </c>
      <c r="H1374" s="2" t="s">
        <v>2257</v>
      </c>
      <c r="I1374" s="2" t="s">
        <v>2257</v>
      </c>
      <c r="J1374" t="str">
        <f t="shared" si="43"/>
        <v/>
      </c>
    </row>
    <row r="1375" spans="1:10" x14ac:dyDescent="0.15">
      <c r="A1375" t="s">
        <v>2257</v>
      </c>
      <c r="B1375" t="s">
        <v>2257</v>
      </c>
      <c r="C1375" s="2" t="s">
        <v>2257</v>
      </c>
      <c r="D1375" t="s">
        <v>2257</v>
      </c>
      <c r="E1375" s="2" t="s">
        <v>2257</v>
      </c>
      <c r="F1375" s="8" t="s">
        <v>2257</v>
      </c>
      <c r="G1375" s="2" t="s">
        <v>2257</v>
      </c>
      <c r="H1375" s="2" t="s">
        <v>2257</v>
      </c>
      <c r="I1375" s="2" t="s">
        <v>2257</v>
      </c>
      <c r="J1375" t="str">
        <f t="shared" si="43"/>
        <v/>
      </c>
    </row>
    <row r="1376" spans="1:10" x14ac:dyDescent="0.15">
      <c r="A1376" t="s">
        <v>2257</v>
      </c>
      <c r="B1376" t="s">
        <v>2257</v>
      </c>
      <c r="C1376" s="2" t="s">
        <v>2257</v>
      </c>
      <c r="D1376" t="s">
        <v>2257</v>
      </c>
      <c r="E1376" s="2" t="s">
        <v>2257</v>
      </c>
      <c r="F1376" s="8" t="s">
        <v>2257</v>
      </c>
      <c r="G1376" s="2" t="s">
        <v>2257</v>
      </c>
      <c r="H1376" s="2" t="s">
        <v>2257</v>
      </c>
      <c r="I1376" s="2" t="s">
        <v>2257</v>
      </c>
      <c r="J1376" t="str">
        <f t="shared" si="43"/>
        <v/>
      </c>
    </row>
    <row r="1377" spans="1:10" x14ac:dyDescent="0.15">
      <c r="A1377" t="s">
        <v>2257</v>
      </c>
      <c r="B1377" t="s">
        <v>2257</v>
      </c>
      <c r="C1377" s="2" t="s">
        <v>2257</v>
      </c>
      <c r="D1377" t="s">
        <v>2257</v>
      </c>
      <c r="E1377" s="2" t="s">
        <v>2257</v>
      </c>
      <c r="F1377" s="8" t="s">
        <v>2257</v>
      </c>
      <c r="G1377" s="2" t="s">
        <v>2257</v>
      </c>
      <c r="H1377" s="2" t="s">
        <v>2257</v>
      </c>
      <c r="I1377" s="2" t="s">
        <v>2257</v>
      </c>
      <c r="J1377" t="str">
        <f t="shared" si="43"/>
        <v/>
      </c>
    </row>
    <row r="1378" spans="1:10" x14ac:dyDescent="0.15">
      <c r="A1378" t="s">
        <v>2257</v>
      </c>
      <c r="B1378" t="s">
        <v>2257</v>
      </c>
      <c r="C1378" s="2" t="s">
        <v>2257</v>
      </c>
      <c r="D1378" t="s">
        <v>2257</v>
      </c>
      <c r="E1378" s="2" t="s">
        <v>2257</v>
      </c>
      <c r="F1378" s="8" t="s">
        <v>2257</v>
      </c>
      <c r="G1378" s="2" t="s">
        <v>2257</v>
      </c>
      <c r="H1378" s="2" t="s">
        <v>2257</v>
      </c>
      <c r="I1378" s="2" t="s">
        <v>2257</v>
      </c>
      <c r="J1378" t="str">
        <f t="shared" si="43"/>
        <v/>
      </c>
    </row>
    <row r="1379" spans="1:10" x14ac:dyDescent="0.15">
      <c r="A1379" t="s">
        <v>2257</v>
      </c>
      <c r="B1379" t="s">
        <v>2257</v>
      </c>
      <c r="C1379" s="2" t="s">
        <v>2257</v>
      </c>
      <c r="D1379" t="s">
        <v>2257</v>
      </c>
      <c r="E1379" s="2" t="s">
        <v>2257</v>
      </c>
      <c r="F1379" s="8" t="s">
        <v>2257</v>
      </c>
      <c r="G1379" s="2" t="s">
        <v>2257</v>
      </c>
      <c r="H1379" s="2" t="s">
        <v>2257</v>
      </c>
      <c r="I1379" s="2" t="s">
        <v>2257</v>
      </c>
      <c r="J1379" t="str">
        <f t="shared" si="43"/>
        <v/>
      </c>
    </row>
    <row r="1380" spans="1:10" x14ac:dyDescent="0.15">
      <c r="A1380" t="s">
        <v>2257</v>
      </c>
      <c r="B1380" t="s">
        <v>2257</v>
      </c>
      <c r="C1380" s="2" t="s">
        <v>2257</v>
      </c>
      <c r="D1380" t="s">
        <v>2257</v>
      </c>
      <c r="E1380" s="2" t="s">
        <v>2257</v>
      </c>
      <c r="F1380" s="8" t="s">
        <v>2257</v>
      </c>
      <c r="G1380" s="2" t="s">
        <v>2257</v>
      </c>
      <c r="H1380" s="2" t="s">
        <v>2257</v>
      </c>
      <c r="I1380" s="2" t="s">
        <v>2257</v>
      </c>
      <c r="J1380" t="str">
        <f t="shared" si="43"/>
        <v/>
      </c>
    </row>
    <row r="1381" spans="1:10" x14ac:dyDescent="0.15">
      <c r="A1381" t="s">
        <v>2257</v>
      </c>
      <c r="B1381" t="s">
        <v>2257</v>
      </c>
      <c r="C1381" s="2" t="s">
        <v>2257</v>
      </c>
      <c r="D1381" t="s">
        <v>2257</v>
      </c>
      <c r="E1381" s="2" t="s">
        <v>2257</v>
      </c>
      <c r="F1381" s="8" t="s">
        <v>2257</v>
      </c>
      <c r="G1381" s="2" t="s">
        <v>2257</v>
      </c>
      <c r="H1381" s="2" t="s">
        <v>2257</v>
      </c>
      <c r="I1381" s="2" t="s">
        <v>2257</v>
      </c>
      <c r="J1381" t="str">
        <f t="shared" si="43"/>
        <v/>
      </c>
    </row>
    <row r="1382" spans="1:10" x14ac:dyDescent="0.15">
      <c r="A1382" t="s">
        <v>2257</v>
      </c>
      <c r="B1382" t="s">
        <v>2257</v>
      </c>
      <c r="C1382" s="2" t="s">
        <v>2257</v>
      </c>
      <c r="D1382" t="s">
        <v>2257</v>
      </c>
      <c r="E1382" s="2" t="s">
        <v>2257</v>
      </c>
      <c r="F1382" s="8" t="s">
        <v>2257</v>
      </c>
      <c r="G1382" s="2" t="s">
        <v>2257</v>
      </c>
      <c r="H1382" s="2" t="s">
        <v>2257</v>
      </c>
      <c r="I1382" s="2" t="s">
        <v>2257</v>
      </c>
      <c r="J1382" t="str">
        <f t="shared" si="43"/>
        <v/>
      </c>
    </row>
    <row r="1383" spans="1:10" x14ac:dyDescent="0.15">
      <c r="A1383" t="s">
        <v>2257</v>
      </c>
      <c r="B1383" t="s">
        <v>2257</v>
      </c>
      <c r="C1383" s="2" t="s">
        <v>2257</v>
      </c>
      <c r="D1383" t="s">
        <v>2257</v>
      </c>
      <c r="E1383" s="2" t="s">
        <v>2257</v>
      </c>
      <c r="F1383" s="8" t="s">
        <v>2257</v>
      </c>
      <c r="G1383" s="2" t="s">
        <v>2257</v>
      </c>
      <c r="H1383" s="2" t="s">
        <v>2257</v>
      </c>
      <c r="I1383" s="2" t="s">
        <v>2257</v>
      </c>
      <c r="J1383" t="str">
        <f t="shared" si="43"/>
        <v/>
      </c>
    </row>
    <row r="1384" spans="1:10" x14ac:dyDescent="0.15">
      <c r="A1384" t="s">
        <v>2257</v>
      </c>
      <c r="B1384" t="s">
        <v>2257</v>
      </c>
      <c r="C1384" s="2" t="s">
        <v>2257</v>
      </c>
      <c r="D1384" t="s">
        <v>2257</v>
      </c>
      <c r="E1384" s="2" t="s">
        <v>2257</v>
      </c>
      <c r="F1384" s="8" t="s">
        <v>2257</v>
      </c>
      <c r="G1384" s="2" t="s">
        <v>2257</v>
      </c>
      <c r="H1384" s="2" t="s">
        <v>2257</v>
      </c>
      <c r="I1384" s="2" t="s">
        <v>2257</v>
      </c>
      <c r="J1384" t="str">
        <f t="shared" si="43"/>
        <v/>
      </c>
    </row>
    <row r="1385" spans="1:10" x14ac:dyDescent="0.15">
      <c r="A1385" t="s">
        <v>2257</v>
      </c>
      <c r="B1385" t="s">
        <v>2257</v>
      </c>
      <c r="C1385" s="2" t="s">
        <v>2257</v>
      </c>
      <c r="D1385" t="s">
        <v>2257</v>
      </c>
      <c r="E1385" s="2" t="s">
        <v>2257</v>
      </c>
      <c r="F1385" s="8" t="s">
        <v>2257</v>
      </c>
      <c r="G1385" s="2" t="s">
        <v>2257</v>
      </c>
      <c r="H1385" s="2" t="s">
        <v>2257</v>
      </c>
      <c r="I1385" s="2" t="s">
        <v>2257</v>
      </c>
      <c r="J1385" t="str">
        <f t="shared" si="43"/>
        <v/>
      </c>
    </row>
    <row r="1386" spans="1:10" x14ac:dyDescent="0.15">
      <c r="A1386" t="s">
        <v>2257</v>
      </c>
      <c r="B1386" t="s">
        <v>2257</v>
      </c>
      <c r="C1386" s="2" t="s">
        <v>2257</v>
      </c>
      <c r="D1386" t="s">
        <v>2257</v>
      </c>
      <c r="E1386" s="2" t="s">
        <v>2257</v>
      </c>
      <c r="F1386" s="8" t="s">
        <v>2257</v>
      </c>
      <c r="G1386" s="2" t="s">
        <v>2257</v>
      </c>
      <c r="H1386" s="2" t="s">
        <v>2257</v>
      </c>
      <c r="I1386" s="2" t="s">
        <v>2257</v>
      </c>
      <c r="J1386" t="str">
        <f t="shared" si="43"/>
        <v/>
      </c>
    </row>
    <row r="1387" spans="1:10" x14ac:dyDescent="0.15">
      <c r="A1387" t="s">
        <v>2257</v>
      </c>
      <c r="B1387" t="s">
        <v>2257</v>
      </c>
      <c r="C1387" s="2" t="s">
        <v>2257</v>
      </c>
      <c r="D1387" t="s">
        <v>2257</v>
      </c>
      <c r="E1387" s="2" t="s">
        <v>2257</v>
      </c>
      <c r="F1387" s="8" t="s">
        <v>2257</v>
      </c>
      <c r="G1387" s="2" t="s">
        <v>2257</v>
      </c>
      <c r="H1387" s="2" t="s">
        <v>2257</v>
      </c>
      <c r="I1387" s="2" t="s">
        <v>2257</v>
      </c>
      <c r="J1387" t="str">
        <f t="shared" si="43"/>
        <v/>
      </c>
    </row>
    <row r="1388" spans="1:10" x14ac:dyDescent="0.15">
      <c r="A1388" t="s">
        <v>2257</v>
      </c>
      <c r="B1388" t="s">
        <v>2257</v>
      </c>
      <c r="C1388" s="2" t="s">
        <v>2257</v>
      </c>
      <c r="D1388" t="s">
        <v>2257</v>
      </c>
      <c r="E1388" s="2" t="s">
        <v>2257</v>
      </c>
      <c r="F1388" s="8" t="s">
        <v>2257</v>
      </c>
      <c r="G1388" s="2" t="s">
        <v>2257</v>
      </c>
      <c r="H1388" s="2" t="s">
        <v>2257</v>
      </c>
      <c r="I1388" s="2" t="s">
        <v>2257</v>
      </c>
      <c r="J1388" t="str">
        <f t="shared" si="43"/>
        <v/>
      </c>
    </row>
    <row r="1389" spans="1:10" x14ac:dyDescent="0.15">
      <c r="A1389" t="s">
        <v>2257</v>
      </c>
      <c r="B1389" t="s">
        <v>2257</v>
      </c>
      <c r="C1389" s="2" t="s">
        <v>2257</v>
      </c>
      <c r="D1389" t="s">
        <v>2257</v>
      </c>
      <c r="E1389" s="2" t="s">
        <v>2257</v>
      </c>
      <c r="F1389" s="8" t="s">
        <v>2257</v>
      </c>
      <c r="G1389" s="2" t="s">
        <v>2257</v>
      </c>
      <c r="H1389" s="2" t="s">
        <v>2257</v>
      </c>
      <c r="I1389" s="2" t="s">
        <v>2257</v>
      </c>
      <c r="J1389" t="str">
        <f t="shared" si="43"/>
        <v/>
      </c>
    </row>
    <row r="1390" spans="1:10" x14ac:dyDescent="0.15">
      <c r="A1390" t="s">
        <v>2257</v>
      </c>
      <c r="B1390" t="s">
        <v>2257</v>
      </c>
      <c r="C1390" s="2" t="s">
        <v>2257</v>
      </c>
      <c r="D1390" t="s">
        <v>2257</v>
      </c>
      <c r="E1390" s="2" t="s">
        <v>2257</v>
      </c>
      <c r="F1390" s="8" t="s">
        <v>2257</v>
      </c>
      <c r="G1390" s="2" t="s">
        <v>2257</v>
      </c>
      <c r="H1390" s="2" t="s">
        <v>2257</v>
      </c>
      <c r="I1390" s="2" t="s">
        <v>2257</v>
      </c>
      <c r="J1390" t="str">
        <f t="shared" si="43"/>
        <v/>
      </c>
    </row>
    <row r="1391" spans="1:10" x14ac:dyDescent="0.15">
      <c r="A1391" t="s">
        <v>2257</v>
      </c>
      <c r="B1391" t="s">
        <v>2257</v>
      </c>
      <c r="C1391" s="2" t="s">
        <v>2257</v>
      </c>
      <c r="D1391" t="s">
        <v>2257</v>
      </c>
      <c r="E1391" s="2" t="s">
        <v>2257</v>
      </c>
      <c r="F1391" s="8" t="s">
        <v>2257</v>
      </c>
      <c r="G1391" s="2" t="s">
        <v>2257</v>
      </c>
      <c r="H1391" s="2" t="s">
        <v>2257</v>
      </c>
      <c r="I1391" s="2" t="s">
        <v>2257</v>
      </c>
      <c r="J1391" t="str">
        <f t="shared" si="43"/>
        <v/>
      </c>
    </row>
    <row r="1392" spans="1:10" x14ac:dyDescent="0.15">
      <c r="A1392" t="s">
        <v>2257</v>
      </c>
      <c r="B1392" t="s">
        <v>2257</v>
      </c>
      <c r="C1392" s="2" t="s">
        <v>2257</v>
      </c>
      <c r="D1392" t="s">
        <v>2257</v>
      </c>
      <c r="E1392" s="2" t="s">
        <v>2257</v>
      </c>
      <c r="F1392" s="8" t="s">
        <v>2257</v>
      </c>
      <c r="G1392" s="2" t="s">
        <v>2257</v>
      </c>
      <c r="H1392" s="2" t="s">
        <v>2257</v>
      </c>
      <c r="I1392" s="2" t="s">
        <v>2257</v>
      </c>
      <c r="J1392" t="str">
        <f t="shared" si="43"/>
        <v/>
      </c>
    </row>
    <row r="1393" spans="1:10" x14ac:dyDescent="0.15">
      <c r="A1393" t="s">
        <v>2257</v>
      </c>
      <c r="B1393" t="s">
        <v>2257</v>
      </c>
      <c r="C1393" s="2" t="s">
        <v>2257</v>
      </c>
      <c r="D1393" t="s">
        <v>2257</v>
      </c>
      <c r="E1393" s="2" t="s">
        <v>2257</v>
      </c>
      <c r="F1393" s="8" t="s">
        <v>2257</v>
      </c>
      <c r="G1393" s="2" t="s">
        <v>2257</v>
      </c>
      <c r="H1393" s="2" t="s">
        <v>2257</v>
      </c>
      <c r="I1393" s="2" t="s">
        <v>2257</v>
      </c>
      <c r="J1393" t="str">
        <f t="shared" si="43"/>
        <v/>
      </c>
    </row>
    <row r="1394" spans="1:10" x14ac:dyDescent="0.15">
      <c r="A1394" t="s">
        <v>2257</v>
      </c>
      <c r="B1394" t="s">
        <v>2257</v>
      </c>
      <c r="C1394" s="2" t="s">
        <v>2257</v>
      </c>
      <c r="D1394" t="s">
        <v>2257</v>
      </c>
      <c r="E1394" s="2" t="s">
        <v>2257</v>
      </c>
      <c r="F1394" s="8" t="s">
        <v>2257</v>
      </c>
      <c r="G1394" s="2" t="s">
        <v>2257</v>
      </c>
      <c r="H1394" s="2" t="s">
        <v>2257</v>
      </c>
      <c r="I1394" s="2" t="s">
        <v>2257</v>
      </c>
      <c r="J1394" t="str">
        <f t="shared" si="43"/>
        <v/>
      </c>
    </row>
    <row r="1395" spans="1:10" x14ac:dyDescent="0.15">
      <c r="A1395" t="s">
        <v>2257</v>
      </c>
      <c r="B1395" t="s">
        <v>2257</v>
      </c>
      <c r="C1395" s="2" t="s">
        <v>2257</v>
      </c>
      <c r="D1395" t="s">
        <v>2257</v>
      </c>
      <c r="E1395" s="2" t="s">
        <v>2257</v>
      </c>
      <c r="F1395" s="8" t="s">
        <v>2257</v>
      </c>
      <c r="G1395" s="2" t="s">
        <v>2257</v>
      </c>
      <c r="H1395" s="2" t="s">
        <v>2257</v>
      </c>
      <c r="I1395" s="2" t="s">
        <v>2257</v>
      </c>
      <c r="J1395" t="str">
        <f t="shared" si="43"/>
        <v/>
      </c>
    </row>
    <row r="1396" spans="1:10" x14ac:dyDescent="0.15">
      <c r="A1396" t="s">
        <v>2257</v>
      </c>
      <c r="B1396" t="s">
        <v>2257</v>
      </c>
      <c r="C1396" s="2" t="s">
        <v>2257</v>
      </c>
      <c r="D1396" t="s">
        <v>2257</v>
      </c>
      <c r="E1396" s="2" t="s">
        <v>2257</v>
      </c>
      <c r="F1396" s="8" t="s">
        <v>2257</v>
      </c>
      <c r="G1396" s="2" t="s">
        <v>2257</v>
      </c>
      <c r="H1396" s="2" t="s">
        <v>2257</v>
      </c>
      <c r="I1396" s="2" t="s">
        <v>2257</v>
      </c>
      <c r="J1396" t="str">
        <f t="shared" si="43"/>
        <v/>
      </c>
    </row>
    <row r="1397" spans="1:10" x14ac:dyDescent="0.15">
      <c r="A1397" t="s">
        <v>2257</v>
      </c>
      <c r="B1397" t="s">
        <v>2257</v>
      </c>
      <c r="C1397" s="2" t="s">
        <v>2257</v>
      </c>
      <c r="D1397" t="s">
        <v>2257</v>
      </c>
      <c r="E1397" s="2" t="s">
        <v>2257</v>
      </c>
      <c r="F1397" s="8" t="s">
        <v>2257</v>
      </c>
      <c r="G1397" s="2" t="s">
        <v>2257</v>
      </c>
      <c r="H1397" s="2" t="s">
        <v>2257</v>
      </c>
      <c r="I1397" s="2" t="s">
        <v>2257</v>
      </c>
      <c r="J1397" t="str">
        <f t="shared" si="43"/>
        <v/>
      </c>
    </row>
    <row r="1398" spans="1:10" x14ac:dyDescent="0.15">
      <c r="A1398" t="s">
        <v>2257</v>
      </c>
      <c r="B1398" t="s">
        <v>2257</v>
      </c>
      <c r="C1398" s="2" t="s">
        <v>2257</v>
      </c>
      <c r="D1398" t="s">
        <v>2257</v>
      </c>
      <c r="E1398" s="2" t="s">
        <v>2257</v>
      </c>
      <c r="F1398" s="8" t="s">
        <v>2257</v>
      </c>
      <c r="G1398" s="2" t="s">
        <v>2257</v>
      </c>
      <c r="H1398" s="2" t="s">
        <v>2257</v>
      </c>
      <c r="I1398" s="2" t="s">
        <v>2257</v>
      </c>
      <c r="J1398" t="str">
        <f t="shared" si="43"/>
        <v/>
      </c>
    </row>
    <row r="1399" spans="1:10" x14ac:dyDescent="0.15">
      <c r="A1399" t="s">
        <v>2257</v>
      </c>
      <c r="B1399" t="s">
        <v>2257</v>
      </c>
      <c r="C1399" s="2" t="s">
        <v>2257</v>
      </c>
      <c r="D1399" t="s">
        <v>2257</v>
      </c>
      <c r="E1399" s="2" t="s">
        <v>2257</v>
      </c>
      <c r="F1399" s="8" t="s">
        <v>2257</v>
      </c>
      <c r="G1399" s="2" t="s">
        <v>2257</v>
      </c>
      <c r="H1399" s="2" t="s">
        <v>2257</v>
      </c>
      <c r="I1399" s="2" t="s">
        <v>2257</v>
      </c>
      <c r="J1399" t="str">
        <f t="shared" si="43"/>
        <v/>
      </c>
    </row>
    <row r="1400" spans="1:10" x14ac:dyDescent="0.15">
      <c r="A1400" t="s">
        <v>2257</v>
      </c>
      <c r="B1400" t="s">
        <v>2257</v>
      </c>
      <c r="C1400" s="2" t="s">
        <v>2257</v>
      </c>
      <c r="D1400" t="s">
        <v>2257</v>
      </c>
      <c r="E1400" s="2" t="s">
        <v>2257</v>
      </c>
      <c r="F1400" s="8" t="s">
        <v>2257</v>
      </c>
      <c r="G1400" s="2" t="s">
        <v>2257</v>
      </c>
      <c r="H1400" s="2" t="s">
        <v>2257</v>
      </c>
      <c r="I1400" s="2" t="s">
        <v>2257</v>
      </c>
      <c r="J1400" t="str">
        <f t="shared" si="43"/>
        <v/>
      </c>
    </row>
    <row r="1401" spans="1:10" x14ac:dyDescent="0.15">
      <c r="A1401" t="s">
        <v>2257</v>
      </c>
      <c r="B1401" t="s">
        <v>2257</v>
      </c>
      <c r="C1401" s="2" t="s">
        <v>2257</v>
      </c>
      <c r="D1401" t="s">
        <v>2257</v>
      </c>
      <c r="E1401" s="2" t="s">
        <v>2257</v>
      </c>
      <c r="F1401" s="8" t="s">
        <v>2257</v>
      </c>
      <c r="G1401" s="2" t="s">
        <v>2257</v>
      </c>
      <c r="H1401" s="2" t="s">
        <v>2257</v>
      </c>
      <c r="I1401" s="2" t="s">
        <v>2257</v>
      </c>
      <c r="J1401" t="str">
        <f t="shared" si="43"/>
        <v/>
      </c>
    </row>
    <row r="1402" spans="1:10" x14ac:dyDescent="0.15">
      <c r="A1402" t="s">
        <v>2257</v>
      </c>
      <c r="B1402" t="s">
        <v>2257</v>
      </c>
      <c r="C1402" s="2" t="s">
        <v>2257</v>
      </c>
      <c r="D1402" t="s">
        <v>2257</v>
      </c>
      <c r="E1402" s="2" t="s">
        <v>2257</v>
      </c>
      <c r="F1402" s="8" t="s">
        <v>2257</v>
      </c>
      <c r="G1402" s="2" t="s">
        <v>2257</v>
      </c>
      <c r="H1402" s="2" t="s">
        <v>2257</v>
      </c>
      <c r="I1402" s="2" t="s">
        <v>2257</v>
      </c>
      <c r="J1402" t="str">
        <f t="shared" si="43"/>
        <v/>
      </c>
    </row>
    <row r="1403" spans="1:10" x14ac:dyDescent="0.15">
      <c r="A1403" t="s">
        <v>2257</v>
      </c>
      <c r="B1403" t="s">
        <v>2257</v>
      </c>
      <c r="C1403" s="2" t="s">
        <v>2257</v>
      </c>
      <c r="D1403" t="s">
        <v>2257</v>
      </c>
      <c r="E1403" s="2" t="s">
        <v>2257</v>
      </c>
      <c r="F1403" s="8" t="s">
        <v>2257</v>
      </c>
      <c r="G1403" s="2" t="s">
        <v>2257</v>
      </c>
      <c r="H1403" s="2" t="s">
        <v>2257</v>
      </c>
      <c r="I1403" s="2" t="s">
        <v>2257</v>
      </c>
      <c r="J1403" t="str">
        <f t="shared" si="43"/>
        <v/>
      </c>
    </row>
    <row r="1404" spans="1:10" x14ac:dyDescent="0.15">
      <c r="A1404" t="s">
        <v>2257</v>
      </c>
      <c r="B1404" t="s">
        <v>2257</v>
      </c>
      <c r="C1404" s="2" t="s">
        <v>2257</v>
      </c>
      <c r="D1404" t="s">
        <v>2257</v>
      </c>
      <c r="E1404" s="2" t="s">
        <v>2257</v>
      </c>
      <c r="F1404" s="8" t="s">
        <v>2257</v>
      </c>
      <c r="G1404" s="2" t="s">
        <v>2257</v>
      </c>
      <c r="H1404" s="2" t="s">
        <v>2257</v>
      </c>
      <c r="I1404" s="2" t="s">
        <v>2257</v>
      </c>
      <c r="J1404" t="str">
        <f t="shared" si="43"/>
        <v/>
      </c>
    </row>
    <row r="1405" spans="1:10" x14ac:dyDescent="0.15">
      <c r="A1405" t="s">
        <v>2257</v>
      </c>
      <c r="B1405" t="s">
        <v>2257</v>
      </c>
      <c r="C1405" s="2" t="s">
        <v>2257</v>
      </c>
      <c r="D1405" t="s">
        <v>2257</v>
      </c>
      <c r="E1405" s="2" t="s">
        <v>2257</v>
      </c>
      <c r="F1405" s="8" t="s">
        <v>2257</v>
      </c>
      <c r="G1405" s="2" t="s">
        <v>2257</v>
      </c>
      <c r="H1405" s="2" t="s">
        <v>2257</v>
      </c>
      <c r="I1405" s="2" t="s">
        <v>2257</v>
      </c>
      <c r="J1405" t="str">
        <f t="shared" si="43"/>
        <v/>
      </c>
    </row>
    <row r="1406" spans="1:10" x14ac:dyDescent="0.15">
      <c r="A1406" t="s">
        <v>2257</v>
      </c>
      <c r="B1406" t="s">
        <v>2257</v>
      </c>
      <c r="C1406" s="2" t="s">
        <v>2257</v>
      </c>
      <c r="D1406" t="s">
        <v>2257</v>
      </c>
      <c r="E1406" s="2" t="s">
        <v>2257</v>
      </c>
      <c r="F1406" s="8" t="s">
        <v>2257</v>
      </c>
      <c r="G1406" s="2" t="s">
        <v>2257</v>
      </c>
      <c r="H1406" s="2" t="s">
        <v>2257</v>
      </c>
      <c r="I1406" s="2" t="s">
        <v>2257</v>
      </c>
      <c r="J1406" t="str">
        <f t="shared" si="43"/>
        <v/>
      </c>
    </row>
    <row r="1407" spans="1:10" x14ac:dyDescent="0.15">
      <c r="A1407" t="s">
        <v>2257</v>
      </c>
      <c r="B1407" t="s">
        <v>2257</v>
      </c>
      <c r="C1407" s="2" t="s">
        <v>2257</v>
      </c>
      <c r="D1407" t="s">
        <v>2257</v>
      </c>
      <c r="E1407" s="2" t="s">
        <v>2257</v>
      </c>
      <c r="F1407" s="8" t="s">
        <v>2257</v>
      </c>
      <c r="G1407" s="2" t="s">
        <v>2257</v>
      </c>
      <c r="H1407" s="2" t="s">
        <v>2257</v>
      </c>
      <c r="I1407" s="2" t="s">
        <v>2257</v>
      </c>
      <c r="J1407" t="str">
        <f t="shared" si="43"/>
        <v/>
      </c>
    </row>
    <row r="1408" spans="1:10" x14ac:dyDescent="0.15">
      <c r="A1408" t="s">
        <v>2257</v>
      </c>
      <c r="B1408" t="s">
        <v>2257</v>
      </c>
      <c r="C1408" s="2" t="s">
        <v>2257</v>
      </c>
      <c r="D1408" t="s">
        <v>2257</v>
      </c>
      <c r="E1408" s="2" t="s">
        <v>2257</v>
      </c>
      <c r="F1408" s="8" t="s">
        <v>2257</v>
      </c>
      <c r="G1408" s="2" t="s">
        <v>2257</v>
      </c>
      <c r="H1408" s="2" t="s">
        <v>2257</v>
      </c>
      <c r="I1408" s="2" t="s">
        <v>2257</v>
      </c>
      <c r="J1408" t="str">
        <f t="shared" si="43"/>
        <v/>
      </c>
    </row>
    <row r="1409" spans="1:10" x14ac:dyDescent="0.15">
      <c r="A1409" t="s">
        <v>2257</v>
      </c>
      <c r="B1409" t="s">
        <v>2257</v>
      </c>
      <c r="C1409" s="2" t="s">
        <v>2257</v>
      </c>
      <c r="D1409" t="s">
        <v>2257</v>
      </c>
      <c r="E1409" s="2" t="s">
        <v>2257</v>
      </c>
      <c r="F1409" s="8" t="s">
        <v>2257</v>
      </c>
      <c r="G1409" s="2" t="s">
        <v>2257</v>
      </c>
      <c r="H1409" s="2" t="s">
        <v>2257</v>
      </c>
      <c r="I1409" s="2" t="s">
        <v>2257</v>
      </c>
      <c r="J1409" t="str">
        <f t="shared" si="43"/>
        <v/>
      </c>
    </row>
    <row r="1410" spans="1:10" x14ac:dyDescent="0.15">
      <c r="A1410" t="s">
        <v>2257</v>
      </c>
      <c r="B1410" t="s">
        <v>2257</v>
      </c>
      <c r="C1410" s="2" t="s">
        <v>2257</v>
      </c>
      <c r="D1410" t="s">
        <v>2257</v>
      </c>
      <c r="E1410" s="2" t="s">
        <v>2257</v>
      </c>
      <c r="F1410" s="8" t="s">
        <v>2257</v>
      </c>
      <c r="G1410" s="2" t="s">
        <v>2257</v>
      </c>
      <c r="H1410" s="2" t="s">
        <v>2257</v>
      </c>
      <c r="I1410" s="2" t="s">
        <v>2257</v>
      </c>
      <c r="J1410" t="str">
        <f t="shared" si="43"/>
        <v/>
      </c>
    </row>
    <row r="1411" spans="1:10" x14ac:dyDescent="0.15">
      <c r="A1411" t="s">
        <v>2257</v>
      </c>
      <c r="B1411" t="s">
        <v>2257</v>
      </c>
      <c r="C1411" s="2" t="s">
        <v>2257</v>
      </c>
      <c r="D1411" t="s">
        <v>2257</v>
      </c>
      <c r="E1411" s="2" t="s">
        <v>2257</v>
      </c>
      <c r="F1411" s="8" t="s">
        <v>2257</v>
      </c>
      <c r="G1411" s="2" t="s">
        <v>2257</v>
      </c>
      <c r="H1411" s="2" t="s">
        <v>2257</v>
      </c>
      <c r="I1411" s="2" t="s">
        <v>2257</v>
      </c>
      <c r="J1411" t="str">
        <f t="shared" si="43"/>
        <v/>
      </c>
    </row>
    <row r="1412" spans="1:10" x14ac:dyDescent="0.15">
      <c r="A1412" t="s">
        <v>2257</v>
      </c>
      <c r="B1412" t="s">
        <v>2257</v>
      </c>
      <c r="C1412" s="2" t="s">
        <v>2257</v>
      </c>
      <c r="D1412" t="s">
        <v>2257</v>
      </c>
      <c r="E1412" s="2" t="s">
        <v>2257</v>
      </c>
      <c r="F1412" s="8" t="s">
        <v>2257</v>
      </c>
      <c r="G1412" s="2" t="s">
        <v>2257</v>
      </c>
      <c r="H1412" s="2" t="s">
        <v>2257</v>
      </c>
      <c r="I1412" s="2" t="s">
        <v>2257</v>
      </c>
      <c r="J1412" t="str">
        <f t="shared" si="43"/>
        <v/>
      </c>
    </row>
    <row r="1413" spans="1:10" x14ac:dyDescent="0.15">
      <c r="A1413" t="s">
        <v>2257</v>
      </c>
      <c r="B1413" t="s">
        <v>2257</v>
      </c>
      <c r="C1413" s="2" t="s">
        <v>2257</v>
      </c>
      <c r="D1413" t="s">
        <v>2257</v>
      </c>
      <c r="E1413" s="2" t="s">
        <v>2257</v>
      </c>
      <c r="F1413" s="8" t="s">
        <v>2257</v>
      </c>
      <c r="G1413" s="2" t="s">
        <v>2257</v>
      </c>
      <c r="H1413" s="2" t="s">
        <v>2257</v>
      </c>
      <c r="I1413" s="2" t="s">
        <v>2257</v>
      </c>
      <c r="J1413" t="str">
        <f t="shared" si="43"/>
        <v/>
      </c>
    </row>
    <row r="1414" spans="1:10" x14ac:dyDescent="0.15">
      <c r="A1414" t="s">
        <v>2257</v>
      </c>
      <c r="B1414" t="s">
        <v>2257</v>
      </c>
      <c r="C1414" s="2" t="s">
        <v>2257</v>
      </c>
      <c r="D1414" t="s">
        <v>2257</v>
      </c>
      <c r="E1414" s="2" t="s">
        <v>2257</v>
      </c>
      <c r="F1414" s="8" t="s">
        <v>2257</v>
      </c>
      <c r="G1414" s="2" t="s">
        <v>2257</v>
      </c>
      <c r="H1414" s="2" t="s">
        <v>2257</v>
      </c>
      <c r="I1414" s="2" t="s">
        <v>2257</v>
      </c>
      <c r="J1414" t="str">
        <f t="shared" si="43"/>
        <v/>
      </c>
    </row>
    <row r="1415" spans="1:10" x14ac:dyDescent="0.15">
      <c r="A1415" t="s">
        <v>2257</v>
      </c>
      <c r="B1415" t="s">
        <v>2257</v>
      </c>
      <c r="C1415" s="2" t="s">
        <v>2257</v>
      </c>
      <c r="D1415" t="s">
        <v>2257</v>
      </c>
      <c r="E1415" s="2" t="s">
        <v>2257</v>
      </c>
      <c r="F1415" s="8" t="s">
        <v>2257</v>
      </c>
      <c r="G1415" s="2" t="s">
        <v>2257</v>
      </c>
      <c r="H1415" s="2" t="s">
        <v>2257</v>
      </c>
      <c r="I1415" s="2" t="s">
        <v>2257</v>
      </c>
      <c r="J1415" t="str">
        <f t="shared" si="43"/>
        <v/>
      </c>
    </row>
    <row r="1416" spans="1:10" x14ac:dyDescent="0.15">
      <c r="A1416" t="s">
        <v>2257</v>
      </c>
      <c r="B1416" t="s">
        <v>2257</v>
      </c>
      <c r="C1416" s="2" t="s">
        <v>2257</v>
      </c>
      <c r="D1416" t="s">
        <v>2257</v>
      </c>
      <c r="E1416" s="2" t="s">
        <v>2257</v>
      </c>
      <c r="F1416" s="8" t="s">
        <v>2257</v>
      </c>
      <c r="G1416" s="2" t="s">
        <v>2257</v>
      </c>
      <c r="H1416" s="2" t="s">
        <v>2257</v>
      </c>
      <c r="I1416" s="2" t="s">
        <v>2257</v>
      </c>
      <c r="J1416" t="str">
        <f t="shared" si="43"/>
        <v/>
      </c>
    </row>
    <row r="1417" spans="1:10" x14ac:dyDescent="0.15">
      <c r="A1417" t="s">
        <v>2257</v>
      </c>
      <c r="B1417" t="s">
        <v>2257</v>
      </c>
      <c r="C1417" s="2" t="s">
        <v>2257</v>
      </c>
      <c r="D1417" t="s">
        <v>2257</v>
      </c>
      <c r="E1417" s="2" t="s">
        <v>2257</v>
      </c>
      <c r="F1417" s="8" t="s">
        <v>2257</v>
      </c>
      <c r="G1417" s="2" t="s">
        <v>2257</v>
      </c>
      <c r="H1417" s="2" t="s">
        <v>2257</v>
      </c>
      <c r="I1417" s="2" t="s">
        <v>2257</v>
      </c>
      <c r="J1417" t="str">
        <f t="shared" si="43"/>
        <v/>
      </c>
    </row>
    <row r="1418" spans="1:10" x14ac:dyDescent="0.15">
      <c r="A1418" t="s">
        <v>2257</v>
      </c>
      <c r="B1418" t="s">
        <v>2257</v>
      </c>
      <c r="C1418" s="2" t="s">
        <v>2257</v>
      </c>
      <c r="D1418" t="s">
        <v>2257</v>
      </c>
      <c r="E1418" s="2" t="s">
        <v>2257</v>
      </c>
      <c r="F1418" s="8" t="s">
        <v>2257</v>
      </c>
      <c r="G1418" s="2" t="s">
        <v>2257</v>
      </c>
      <c r="H1418" s="2" t="s">
        <v>2257</v>
      </c>
      <c r="I1418" s="2" t="s">
        <v>2257</v>
      </c>
      <c r="J1418" t="str">
        <f t="shared" si="43"/>
        <v/>
      </c>
    </row>
    <row r="1419" spans="1:10" x14ac:dyDescent="0.15">
      <c r="A1419" t="s">
        <v>2257</v>
      </c>
      <c r="B1419" t="s">
        <v>2257</v>
      </c>
      <c r="C1419" s="2" t="s">
        <v>2257</v>
      </c>
      <c r="D1419" t="s">
        <v>2257</v>
      </c>
      <c r="E1419" s="2" t="s">
        <v>2257</v>
      </c>
      <c r="F1419" s="8" t="s">
        <v>2257</v>
      </c>
      <c r="G1419" s="2" t="s">
        <v>2257</v>
      </c>
      <c r="H1419" s="2" t="s">
        <v>2257</v>
      </c>
      <c r="I1419" s="2" t="s">
        <v>2257</v>
      </c>
      <c r="J1419" t="str">
        <f t="shared" ref="J1419:J1482" si="44">IF(A1419="","",IF(AND(C1419="",D1419&lt;&gt;"UNS",I1419=""),"Open","Closed"))</f>
        <v/>
      </c>
    </row>
    <row r="1420" spans="1:10" x14ac:dyDescent="0.15">
      <c r="A1420" t="s">
        <v>2257</v>
      </c>
      <c r="B1420" t="s">
        <v>2257</v>
      </c>
      <c r="C1420" s="2" t="s">
        <v>2257</v>
      </c>
      <c r="D1420" t="s">
        <v>2257</v>
      </c>
      <c r="E1420" s="2" t="s">
        <v>2257</v>
      </c>
      <c r="F1420" s="8" t="s">
        <v>2257</v>
      </c>
      <c r="G1420" s="2" t="s">
        <v>2257</v>
      </c>
      <c r="H1420" s="2" t="s">
        <v>2257</v>
      </c>
      <c r="I1420" s="2" t="s">
        <v>2257</v>
      </c>
      <c r="J1420" t="str">
        <f t="shared" si="44"/>
        <v/>
      </c>
    </row>
    <row r="1421" spans="1:10" x14ac:dyDescent="0.15">
      <c r="A1421" t="s">
        <v>2257</v>
      </c>
      <c r="B1421" t="s">
        <v>2257</v>
      </c>
      <c r="C1421" s="2" t="s">
        <v>2257</v>
      </c>
      <c r="D1421" t="s">
        <v>2257</v>
      </c>
      <c r="E1421" s="2" t="s">
        <v>2257</v>
      </c>
      <c r="F1421" s="8" t="s">
        <v>2257</v>
      </c>
      <c r="G1421" s="2" t="s">
        <v>2257</v>
      </c>
      <c r="H1421" s="2" t="s">
        <v>2257</v>
      </c>
      <c r="I1421" s="2" t="s">
        <v>2257</v>
      </c>
      <c r="J1421" t="str">
        <f t="shared" si="44"/>
        <v/>
      </c>
    </row>
    <row r="1422" spans="1:10" x14ac:dyDescent="0.15">
      <c r="A1422" t="s">
        <v>2257</v>
      </c>
      <c r="B1422" t="s">
        <v>2257</v>
      </c>
      <c r="C1422" s="2" t="s">
        <v>2257</v>
      </c>
      <c r="D1422" t="s">
        <v>2257</v>
      </c>
      <c r="E1422" s="2" t="s">
        <v>2257</v>
      </c>
      <c r="F1422" s="8" t="s">
        <v>2257</v>
      </c>
      <c r="G1422" s="2" t="s">
        <v>2257</v>
      </c>
      <c r="H1422" s="2" t="s">
        <v>2257</v>
      </c>
      <c r="I1422" s="2" t="s">
        <v>2257</v>
      </c>
      <c r="J1422" t="str">
        <f t="shared" si="44"/>
        <v/>
      </c>
    </row>
    <row r="1423" spans="1:10" x14ac:dyDescent="0.15">
      <c r="A1423" t="s">
        <v>2257</v>
      </c>
      <c r="B1423" t="s">
        <v>2257</v>
      </c>
      <c r="C1423" s="2" t="s">
        <v>2257</v>
      </c>
      <c r="D1423" t="s">
        <v>2257</v>
      </c>
      <c r="E1423" s="2" t="s">
        <v>2257</v>
      </c>
      <c r="F1423" s="8" t="s">
        <v>2257</v>
      </c>
      <c r="G1423" s="2" t="s">
        <v>2257</v>
      </c>
      <c r="H1423" s="2" t="s">
        <v>2257</v>
      </c>
      <c r="I1423" s="2" t="s">
        <v>2257</v>
      </c>
      <c r="J1423" t="str">
        <f t="shared" si="44"/>
        <v/>
      </c>
    </row>
    <row r="1424" spans="1:10" x14ac:dyDescent="0.15">
      <c r="A1424" t="s">
        <v>2257</v>
      </c>
      <c r="B1424" t="s">
        <v>2257</v>
      </c>
      <c r="C1424" s="2" t="s">
        <v>2257</v>
      </c>
      <c r="D1424" t="s">
        <v>2257</v>
      </c>
      <c r="E1424" s="2" t="s">
        <v>2257</v>
      </c>
      <c r="F1424" s="8" t="s">
        <v>2257</v>
      </c>
      <c r="G1424" s="2" t="s">
        <v>2257</v>
      </c>
      <c r="H1424" s="2" t="s">
        <v>2257</v>
      </c>
      <c r="I1424" s="2" t="s">
        <v>2257</v>
      </c>
      <c r="J1424" t="str">
        <f t="shared" si="44"/>
        <v/>
      </c>
    </row>
    <row r="1425" spans="1:10" x14ac:dyDescent="0.15">
      <c r="A1425" t="s">
        <v>2257</v>
      </c>
      <c r="B1425" t="s">
        <v>2257</v>
      </c>
      <c r="C1425" s="2" t="s">
        <v>2257</v>
      </c>
      <c r="D1425" t="s">
        <v>2257</v>
      </c>
      <c r="E1425" s="2" t="s">
        <v>2257</v>
      </c>
      <c r="F1425" s="8" t="s">
        <v>2257</v>
      </c>
      <c r="G1425" s="2" t="s">
        <v>2257</v>
      </c>
      <c r="H1425" s="2" t="s">
        <v>2257</v>
      </c>
      <c r="I1425" s="2" t="s">
        <v>2257</v>
      </c>
      <c r="J1425" t="str">
        <f t="shared" si="44"/>
        <v/>
      </c>
    </row>
    <row r="1426" spans="1:10" x14ac:dyDescent="0.15">
      <c r="A1426" t="s">
        <v>2257</v>
      </c>
      <c r="B1426" t="s">
        <v>2257</v>
      </c>
      <c r="C1426" s="2" t="s">
        <v>2257</v>
      </c>
      <c r="D1426" t="s">
        <v>2257</v>
      </c>
      <c r="E1426" s="2" t="s">
        <v>2257</v>
      </c>
      <c r="F1426" s="8" t="s">
        <v>2257</v>
      </c>
      <c r="G1426" s="2" t="s">
        <v>2257</v>
      </c>
      <c r="H1426" s="2" t="s">
        <v>2257</v>
      </c>
      <c r="I1426" s="2" t="s">
        <v>2257</v>
      </c>
      <c r="J1426" t="str">
        <f t="shared" si="44"/>
        <v/>
      </c>
    </row>
    <row r="1427" spans="1:10" x14ac:dyDescent="0.15">
      <c r="A1427" t="s">
        <v>2257</v>
      </c>
      <c r="B1427" t="s">
        <v>2257</v>
      </c>
      <c r="C1427" s="2" t="s">
        <v>2257</v>
      </c>
      <c r="D1427" t="s">
        <v>2257</v>
      </c>
      <c r="E1427" s="2" t="s">
        <v>2257</v>
      </c>
      <c r="F1427" s="8" t="s">
        <v>2257</v>
      </c>
      <c r="G1427" s="2" t="s">
        <v>2257</v>
      </c>
      <c r="H1427" s="2" t="s">
        <v>2257</v>
      </c>
      <c r="I1427" s="2" t="s">
        <v>2257</v>
      </c>
      <c r="J1427" t="str">
        <f t="shared" si="44"/>
        <v/>
      </c>
    </row>
    <row r="1428" spans="1:10" x14ac:dyDescent="0.15">
      <c r="A1428" t="s">
        <v>2257</v>
      </c>
      <c r="B1428" t="s">
        <v>2257</v>
      </c>
      <c r="C1428" s="2" t="s">
        <v>2257</v>
      </c>
      <c r="D1428" t="s">
        <v>2257</v>
      </c>
      <c r="E1428" s="2" t="s">
        <v>2257</v>
      </c>
      <c r="F1428" s="8" t="s">
        <v>2257</v>
      </c>
      <c r="G1428" s="2" t="s">
        <v>2257</v>
      </c>
      <c r="H1428" s="2" t="s">
        <v>2257</v>
      </c>
      <c r="I1428" s="2" t="s">
        <v>2257</v>
      </c>
      <c r="J1428" t="str">
        <f t="shared" si="44"/>
        <v/>
      </c>
    </row>
    <row r="1429" spans="1:10" x14ac:dyDescent="0.15">
      <c r="A1429" t="s">
        <v>2257</v>
      </c>
      <c r="B1429" t="s">
        <v>2257</v>
      </c>
      <c r="C1429" s="2" t="s">
        <v>2257</v>
      </c>
      <c r="D1429" t="s">
        <v>2257</v>
      </c>
      <c r="E1429" s="2" t="s">
        <v>2257</v>
      </c>
      <c r="F1429" s="8" t="s">
        <v>2257</v>
      </c>
      <c r="G1429" s="2" t="s">
        <v>2257</v>
      </c>
      <c r="H1429" s="2" t="s">
        <v>2257</v>
      </c>
      <c r="I1429" s="2" t="s">
        <v>2257</v>
      </c>
      <c r="J1429" t="str">
        <f t="shared" si="44"/>
        <v/>
      </c>
    </row>
    <row r="1430" spans="1:10" x14ac:dyDescent="0.15">
      <c r="A1430" t="s">
        <v>2257</v>
      </c>
      <c r="B1430" t="s">
        <v>2257</v>
      </c>
      <c r="C1430" s="2" t="s">
        <v>2257</v>
      </c>
      <c r="D1430" t="s">
        <v>2257</v>
      </c>
      <c r="E1430" s="2" t="s">
        <v>2257</v>
      </c>
      <c r="F1430" s="8" t="s">
        <v>2257</v>
      </c>
      <c r="G1430" s="2" t="s">
        <v>2257</v>
      </c>
      <c r="H1430" s="2" t="s">
        <v>2257</v>
      </c>
      <c r="I1430" s="2" t="s">
        <v>2257</v>
      </c>
      <c r="J1430" t="str">
        <f t="shared" si="44"/>
        <v/>
      </c>
    </row>
    <row r="1431" spans="1:10" x14ac:dyDescent="0.15">
      <c r="A1431" t="s">
        <v>2257</v>
      </c>
      <c r="B1431" t="s">
        <v>2257</v>
      </c>
      <c r="C1431" s="2" t="s">
        <v>2257</v>
      </c>
      <c r="D1431" t="s">
        <v>2257</v>
      </c>
      <c r="E1431" s="2" t="s">
        <v>2257</v>
      </c>
      <c r="F1431" s="8" t="s">
        <v>2257</v>
      </c>
      <c r="G1431" s="2" t="s">
        <v>2257</v>
      </c>
      <c r="H1431" s="2" t="s">
        <v>2257</v>
      </c>
      <c r="I1431" s="2" t="s">
        <v>2257</v>
      </c>
      <c r="J1431" t="str">
        <f t="shared" si="44"/>
        <v/>
      </c>
    </row>
    <row r="1432" spans="1:10" x14ac:dyDescent="0.15">
      <c r="A1432" t="s">
        <v>2257</v>
      </c>
      <c r="B1432" t="s">
        <v>2257</v>
      </c>
      <c r="C1432" s="2" t="s">
        <v>2257</v>
      </c>
      <c r="D1432" t="s">
        <v>2257</v>
      </c>
      <c r="E1432" s="2" t="s">
        <v>2257</v>
      </c>
      <c r="F1432" s="8" t="s">
        <v>2257</v>
      </c>
      <c r="G1432" s="2" t="s">
        <v>2257</v>
      </c>
      <c r="H1432" s="2" t="s">
        <v>2257</v>
      </c>
      <c r="I1432" s="2" t="s">
        <v>2257</v>
      </c>
      <c r="J1432" t="str">
        <f t="shared" si="44"/>
        <v/>
      </c>
    </row>
    <row r="1433" spans="1:10" x14ac:dyDescent="0.15">
      <c r="A1433" t="s">
        <v>2257</v>
      </c>
      <c r="B1433" t="s">
        <v>2257</v>
      </c>
      <c r="C1433" s="2" t="s">
        <v>2257</v>
      </c>
      <c r="D1433" t="s">
        <v>2257</v>
      </c>
      <c r="E1433" s="2" t="s">
        <v>2257</v>
      </c>
      <c r="F1433" s="8" t="s">
        <v>2257</v>
      </c>
      <c r="G1433" s="2" t="s">
        <v>2257</v>
      </c>
      <c r="H1433" s="2" t="s">
        <v>2257</v>
      </c>
      <c r="I1433" s="2" t="s">
        <v>2257</v>
      </c>
      <c r="J1433" t="str">
        <f t="shared" si="44"/>
        <v/>
      </c>
    </row>
    <row r="1434" spans="1:10" x14ac:dyDescent="0.15">
      <c r="A1434" t="s">
        <v>2257</v>
      </c>
      <c r="B1434" t="s">
        <v>2257</v>
      </c>
      <c r="C1434" s="2" t="s">
        <v>2257</v>
      </c>
      <c r="D1434" t="s">
        <v>2257</v>
      </c>
      <c r="E1434" s="2" t="s">
        <v>2257</v>
      </c>
      <c r="F1434" s="8" t="s">
        <v>2257</v>
      </c>
      <c r="G1434" s="2" t="s">
        <v>2257</v>
      </c>
      <c r="H1434" s="2" t="s">
        <v>2257</v>
      </c>
      <c r="I1434" s="2" t="s">
        <v>2257</v>
      </c>
      <c r="J1434" t="str">
        <f t="shared" si="44"/>
        <v/>
      </c>
    </row>
    <row r="1435" spans="1:10" x14ac:dyDescent="0.15">
      <c r="A1435" t="s">
        <v>2257</v>
      </c>
      <c r="B1435" t="s">
        <v>2257</v>
      </c>
      <c r="C1435" s="2" t="s">
        <v>2257</v>
      </c>
      <c r="D1435" t="s">
        <v>2257</v>
      </c>
      <c r="E1435" s="2" t="s">
        <v>2257</v>
      </c>
      <c r="F1435" s="8" t="s">
        <v>2257</v>
      </c>
      <c r="G1435" s="2" t="s">
        <v>2257</v>
      </c>
      <c r="H1435" s="2" t="s">
        <v>2257</v>
      </c>
      <c r="I1435" s="2" t="s">
        <v>2257</v>
      </c>
      <c r="J1435" t="str">
        <f t="shared" si="44"/>
        <v/>
      </c>
    </row>
    <row r="1436" spans="1:10" x14ac:dyDescent="0.15">
      <c r="A1436" t="s">
        <v>2257</v>
      </c>
      <c r="B1436" t="s">
        <v>2257</v>
      </c>
      <c r="C1436" s="2" t="s">
        <v>2257</v>
      </c>
      <c r="D1436" t="s">
        <v>2257</v>
      </c>
      <c r="E1436" s="2" t="s">
        <v>2257</v>
      </c>
      <c r="F1436" s="8" t="s">
        <v>2257</v>
      </c>
      <c r="G1436" s="2" t="s">
        <v>2257</v>
      </c>
      <c r="H1436" s="2" t="s">
        <v>2257</v>
      </c>
      <c r="I1436" s="2" t="s">
        <v>2257</v>
      </c>
      <c r="J1436" t="str">
        <f t="shared" si="44"/>
        <v/>
      </c>
    </row>
    <row r="1437" spans="1:10" x14ac:dyDescent="0.15">
      <c r="A1437" t="s">
        <v>2257</v>
      </c>
      <c r="B1437" t="s">
        <v>2257</v>
      </c>
      <c r="C1437" s="2" t="s">
        <v>2257</v>
      </c>
      <c r="D1437" t="s">
        <v>2257</v>
      </c>
      <c r="E1437" s="2" t="s">
        <v>2257</v>
      </c>
      <c r="F1437" s="8" t="s">
        <v>2257</v>
      </c>
      <c r="G1437" s="2" t="s">
        <v>2257</v>
      </c>
      <c r="H1437" s="2" t="s">
        <v>2257</v>
      </c>
      <c r="I1437" s="2" t="s">
        <v>2257</v>
      </c>
      <c r="J1437" t="str">
        <f t="shared" si="44"/>
        <v/>
      </c>
    </row>
    <row r="1438" spans="1:10" x14ac:dyDescent="0.15">
      <c r="A1438" t="s">
        <v>2257</v>
      </c>
      <c r="B1438" t="s">
        <v>2257</v>
      </c>
      <c r="C1438" s="2" t="s">
        <v>2257</v>
      </c>
      <c r="D1438" t="s">
        <v>2257</v>
      </c>
      <c r="E1438" s="2" t="s">
        <v>2257</v>
      </c>
      <c r="F1438" s="8" t="s">
        <v>2257</v>
      </c>
      <c r="G1438" s="2" t="s">
        <v>2257</v>
      </c>
      <c r="H1438" s="2" t="s">
        <v>2257</v>
      </c>
      <c r="I1438" s="2" t="s">
        <v>2257</v>
      </c>
      <c r="J1438" t="str">
        <f t="shared" si="44"/>
        <v/>
      </c>
    </row>
    <row r="1439" spans="1:10" x14ac:dyDescent="0.15">
      <c r="A1439" t="s">
        <v>2257</v>
      </c>
      <c r="B1439" t="s">
        <v>2257</v>
      </c>
      <c r="C1439" s="2" t="s">
        <v>2257</v>
      </c>
      <c r="D1439" t="s">
        <v>2257</v>
      </c>
      <c r="E1439" s="2" t="s">
        <v>2257</v>
      </c>
      <c r="F1439" s="8" t="s">
        <v>2257</v>
      </c>
      <c r="G1439" s="2" t="s">
        <v>2257</v>
      </c>
      <c r="H1439" s="2" t="s">
        <v>2257</v>
      </c>
      <c r="I1439" s="2" t="s">
        <v>2257</v>
      </c>
      <c r="J1439" t="str">
        <f t="shared" si="44"/>
        <v/>
      </c>
    </row>
    <row r="1440" spans="1:10" x14ac:dyDescent="0.15">
      <c r="A1440" t="s">
        <v>2257</v>
      </c>
      <c r="B1440" t="s">
        <v>2257</v>
      </c>
      <c r="C1440" s="2" t="s">
        <v>2257</v>
      </c>
      <c r="D1440" t="s">
        <v>2257</v>
      </c>
      <c r="E1440" s="2" t="s">
        <v>2257</v>
      </c>
      <c r="F1440" s="8" t="s">
        <v>2257</v>
      </c>
      <c r="G1440" s="2" t="s">
        <v>2257</v>
      </c>
      <c r="H1440" s="2" t="s">
        <v>2257</v>
      </c>
      <c r="I1440" s="2" t="s">
        <v>2257</v>
      </c>
      <c r="J1440" t="str">
        <f t="shared" si="44"/>
        <v/>
      </c>
    </row>
    <row r="1441" spans="1:10" x14ac:dyDescent="0.15">
      <c r="A1441" t="s">
        <v>2257</v>
      </c>
      <c r="B1441" t="s">
        <v>2257</v>
      </c>
      <c r="C1441" s="2" t="s">
        <v>2257</v>
      </c>
      <c r="D1441" t="s">
        <v>2257</v>
      </c>
      <c r="E1441" s="2" t="s">
        <v>2257</v>
      </c>
      <c r="F1441" s="8" t="s">
        <v>2257</v>
      </c>
      <c r="G1441" s="2" t="s">
        <v>2257</v>
      </c>
      <c r="H1441" s="2" t="s">
        <v>2257</v>
      </c>
      <c r="I1441" s="2" t="s">
        <v>2257</v>
      </c>
      <c r="J1441" t="str">
        <f t="shared" si="44"/>
        <v/>
      </c>
    </row>
    <row r="1442" spans="1:10" x14ac:dyDescent="0.15">
      <c r="A1442" t="s">
        <v>2257</v>
      </c>
      <c r="B1442" t="s">
        <v>2257</v>
      </c>
      <c r="C1442" s="2" t="s">
        <v>2257</v>
      </c>
      <c r="D1442" t="s">
        <v>2257</v>
      </c>
      <c r="E1442" s="2" t="s">
        <v>2257</v>
      </c>
      <c r="F1442" s="8" t="s">
        <v>2257</v>
      </c>
      <c r="G1442" s="2" t="s">
        <v>2257</v>
      </c>
      <c r="H1442" s="2" t="s">
        <v>2257</v>
      </c>
      <c r="I1442" s="2" t="s">
        <v>2257</v>
      </c>
      <c r="J1442" t="str">
        <f t="shared" si="44"/>
        <v/>
      </c>
    </row>
    <row r="1443" spans="1:10" x14ac:dyDescent="0.15">
      <c r="A1443" t="s">
        <v>2257</v>
      </c>
      <c r="B1443" t="s">
        <v>2257</v>
      </c>
      <c r="C1443" s="2" t="s">
        <v>2257</v>
      </c>
      <c r="D1443" t="s">
        <v>2257</v>
      </c>
      <c r="E1443" s="2" t="s">
        <v>2257</v>
      </c>
      <c r="F1443" s="8" t="s">
        <v>2257</v>
      </c>
      <c r="G1443" s="2" t="s">
        <v>2257</v>
      </c>
      <c r="H1443" s="2" t="s">
        <v>2257</v>
      </c>
      <c r="I1443" s="2" t="s">
        <v>2257</v>
      </c>
      <c r="J1443" t="str">
        <f t="shared" si="44"/>
        <v/>
      </c>
    </row>
    <row r="1444" spans="1:10" x14ac:dyDescent="0.15">
      <c r="A1444" t="s">
        <v>2257</v>
      </c>
      <c r="B1444" t="s">
        <v>2257</v>
      </c>
      <c r="C1444" s="2" t="s">
        <v>2257</v>
      </c>
      <c r="D1444" t="s">
        <v>2257</v>
      </c>
      <c r="E1444" s="2" t="s">
        <v>2257</v>
      </c>
      <c r="F1444" s="8" t="s">
        <v>2257</v>
      </c>
      <c r="G1444" s="2" t="s">
        <v>2257</v>
      </c>
      <c r="H1444" s="2" t="s">
        <v>2257</v>
      </c>
      <c r="I1444" s="2" t="s">
        <v>2257</v>
      </c>
      <c r="J1444" t="str">
        <f t="shared" si="44"/>
        <v/>
      </c>
    </row>
    <row r="1445" spans="1:10" x14ac:dyDescent="0.15">
      <c r="A1445" t="s">
        <v>2257</v>
      </c>
      <c r="B1445" t="s">
        <v>2257</v>
      </c>
      <c r="C1445" s="2" t="s">
        <v>2257</v>
      </c>
      <c r="D1445" t="s">
        <v>2257</v>
      </c>
      <c r="E1445" s="2" t="s">
        <v>2257</v>
      </c>
      <c r="F1445" s="8" t="s">
        <v>2257</v>
      </c>
      <c r="G1445" s="2" t="s">
        <v>2257</v>
      </c>
      <c r="H1445" s="2" t="s">
        <v>2257</v>
      </c>
      <c r="I1445" s="2" t="s">
        <v>2257</v>
      </c>
      <c r="J1445" t="str">
        <f t="shared" si="44"/>
        <v/>
      </c>
    </row>
    <row r="1446" spans="1:10" x14ac:dyDescent="0.15">
      <c r="A1446" t="s">
        <v>2257</v>
      </c>
      <c r="B1446" t="s">
        <v>2257</v>
      </c>
      <c r="C1446" s="2" t="s">
        <v>2257</v>
      </c>
      <c r="D1446" t="s">
        <v>2257</v>
      </c>
      <c r="E1446" s="2" t="s">
        <v>2257</v>
      </c>
      <c r="F1446" s="8" t="s">
        <v>2257</v>
      </c>
      <c r="G1446" s="2" t="s">
        <v>2257</v>
      </c>
      <c r="H1446" s="2" t="s">
        <v>2257</v>
      </c>
      <c r="I1446" s="2" t="s">
        <v>2257</v>
      </c>
      <c r="J1446" t="str">
        <f t="shared" si="44"/>
        <v/>
      </c>
    </row>
    <row r="1447" spans="1:10" x14ac:dyDescent="0.15">
      <c r="A1447" t="s">
        <v>2257</v>
      </c>
      <c r="B1447" t="s">
        <v>2257</v>
      </c>
      <c r="C1447" s="2" t="s">
        <v>2257</v>
      </c>
      <c r="D1447" t="s">
        <v>2257</v>
      </c>
      <c r="E1447" s="2" t="s">
        <v>2257</v>
      </c>
      <c r="F1447" s="8" t="s">
        <v>2257</v>
      </c>
      <c r="G1447" s="2" t="s">
        <v>2257</v>
      </c>
      <c r="H1447" s="2" t="s">
        <v>2257</v>
      </c>
      <c r="I1447" s="2" t="s">
        <v>2257</v>
      </c>
      <c r="J1447" t="str">
        <f t="shared" si="44"/>
        <v/>
      </c>
    </row>
    <row r="1448" spans="1:10" x14ac:dyDescent="0.15">
      <c r="A1448" t="s">
        <v>2257</v>
      </c>
      <c r="B1448" t="s">
        <v>2257</v>
      </c>
      <c r="C1448" s="2" t="s">
        <v>2257</v>
      </c>
      <c r="D1448" t="s">
        <v>2257</v>
      </c>
      <c r="E1448" s="2" t="s">
        <v>2257</v>
      </c>
      <c r="F1448" s="8" t="s">
        <v>2257</v>
      </c>
      <c r="G1448" s="2" t="s">
        <v>2257</v>
      </c>
      <c r="H1448" s="2" t="s">
        <v>2257</v>
      </c>
      <c r="I1448" s="2" t="s">
        <v>2257</v>
      </c>
      <c r="J1448" t="str">
        <f t="shared" si="44"/>
        <v/>
      </c>
    </row>
    <row r="1449" spans="1:10" x14ac:dyDescent="0.15">
      <c r="A1449" t="s">
        <v>2257</v>
      </c>
      <c r="B1449" t="s">
        <v>2257</v>
      </c>
      <c r="C1449" s="2" t="s">
        <v>2257</v>
      </c>
      <c r="D1449" t="s">
        <v>2257</v>
      </c>
      <c r="E1449" s="2" t="s">
        <v>2257</v>
      </c>
      <c r="F1449" s="8" t="s">
        <v>2257</v>
      </c>
      <c r="G1449" s="2" t="s">
        <v>2257</v>
      </c>
      <c r="H1449" s="2" t="s">
        <v>2257</v>
      </c>
      <c r="I1449" s="2" t="s">
        <v>2257</v>
      </c>
      <c r="J1449" t="str">
        <f t="shared" si="44"/>
        <v/>
      </c>
    </row>
    <row r="1450" spans="1:10" x14ac:dyDescent="0.15">
      <c r="A1450" t="s">
        <v>2257</v>
      </c>
      <c r="B1450" t="s">
        <v>2257</v>
      </c>
      <c r="C1450" s="2" t="s">
        <v>2257</v>
      </c>
      <c r="D1450" t="s">
        <v>2257</v>
      </c>
      <c r="E1450" s="2" t="s">
        <v>2257</v>
      </c>
      <c r="F1450" s="8" t="s">
        <v>2257</v>
      </c>
      <c r="G1450" s="2" t="s">
        <v>2257</v>
      </c>
      <c r="H1450" s="2" t="s">
        <v>2257</v>
      </c>
      <c r="I1450" s="2" t="s">
        <v>2257</v>
      </c>
      <c r="J1450" t="str">
        <f t="shared" si="44"/>
        <v/>
      </c>
    </row>
    <row r="1451" spans="1:10" x14ac:dyDescent="0.15">
      <c r="A1451" t="s">
        <v>2257</v>
      </c>
      <c r="B1451" t="s">
        <v>2257</v>
      </c>
      <c r="C1451" s="2" t="s">
        <v>2257</v>
      </c>
      <c r="D1451" t="s">
        <v>2257</v>
      </c>
      <c r="E1451" s="2" t="s">
        <v>2257</v>
      </c>
      <c r="F1451" s="8" t="s">
        <v>2257</v>
      </c>
      <c r="G1451" s="2" t="s">
        <v>2257</v>
      </c>
      <c r="H1451" s="2" t="s">
        <v>2257</v>
      </c>
      <c r="I1451" s="2" t="s">
        <v>2257</v>
      </c>
      <c r="J1451" t="str">
        <f t="shared" si="44"/>
        <v/>
      </c>
    </row>
    <row r="1452" spans="1:10" x14ac:dyDescent="0.15">
      <c r="A1452" t="s">
        <v>2257</v>
      </c>
      <c r="B1452" t="s">
        <v>2257</v>
      </c>
      <c r="C1452" s="2" t="s">
        <v>2257</v>
      </c>
      <c r="D1452" t="s">
        <v>2257</v>
      </c>
      <c r="E1452" s="2" t="s">
        <v>2257</v>
      </c>
      <c r="F1452" s="8" t="s">
        <v>2257</v>
      </c>
      <c r="G1452" s="2" t="s">
        <v>2257</v>
      </c>
      <c r="H1452" s="2" t="s">
        <v>2257</v>
      </c>
      <c r="I1452" s="2" t="s">
        <v>2257</v>
      </c>
      <c r="J1452" t="str">
        <f t="shared" si="44"/>
        <v/>
      </c>
    </row>
    <row r="1453" spans="1:10" x14ac:dyDescent="0.15">
      <c r="A1453" t="s">
        <v>2257</v>
      </c>
      <c r="B1453" t="s">
        <v>2257</v>
      </c>
      <c r="C1453" s="2" t="s">
        <v>2257</v>
      </c>
      <c r="D1453" t="s">
        <v>2257</v>
      </c>
      <c r="E1453" s="2" t="s">
        <v>2257</v>
      </c>
      <c r="F1453" s="8" t="s">
        <v>2257</v>
      </c>
      <c r="G1453" s="2" t="s">
        <v>2257</v>
      </c>
      <c r="H1453" s="2" t="s">
        <v>2257</v>
      </c>
      <c r="I1453" s="2" t="s">
        <v>2257</v>
      </c>
      <c r="J1453" t="str">
        <f t="shared" si="44"/>
        <v/>
      </c>
    </row>
    <row r="1454" spans="1:10" x14ac:dyDescent="0.15">
      <c r="A1454" t="s">
        <v>2257</v>
      </c>
      <c r="B1454" t="s">
        <v>2257</v>
      </c>
      <c r="C1454" s="2" t="s">
        <v>2257</v>
      </c>
      <c r="D1454" t="s">
        <v>2257</v>
      </c>
      <c r="E1454" s="2" t="s">
        <v>2257</v>
      </c>
      <c r="F1454" s="8" t="s">
        <v>2257</v>
      </c>
      <c r="G1454" s="2" t="s">
        <v>2257</v>
      </c>
      <c r="H1454" s="2" t="s">
        <v>2257</v>
      </c>
      <c r="I1454" s="2" t="s">
        <v>2257</v>
      </c>
      <c r="J1454" t="str">
        <f t="shared" si="44"/>
        <v/>
      </c>
    </row>
    <row r="1455" spans="1:10" x14ac:dyDescent="0.15">
      <c r="A1455" t="s">
        <v>2257</v>
      </c>
      <c r="B1455" t="s">
        <v>2257</v>
      </c>
      <c r="C1455" s="2" t="s">
        <v>2257</v>
      </c>
      <c r="D1455" t="s">
        <v>2257</v>
      </c>
      <c r="E1455" s="2" t="s">
        <v>2257</v>
      </c>
      <c r="F1455" s="8" t="s">
        <v>2257</v>
      </c>
      <c r="G1455" s="2" t="s">
        <v>2257</v>
      </c>
      <c r="H1455" s="2" t="s">
        <v>2257</v>
      </c>
      <c r="I1455" s="2" t="s">
        <v>2257</v>
      </c>
      <c r="J1455" t="str">
        <f t="shared" si="44"/>
        <v/>
      </c>
    </row>
    <row r="1456" spans="1:10" x14ac:dyDescent="0.15">
      <c r="A1456" t="s">
        <v>2257</v>
      </c>
      <c r="B1456" t="s">
        <v>2257</v>
      </c>
      <c r="C1456" s="2" t="s">
        <v>2257</v>
      </c>
      <c r="D1456" t="s">
        <v>2257</v>
      </c>
      <c r="E1456" s="2" t="s">
        <v>2257</v>
      </c>
      <c r="F1456" s="8" t="s">
        <v>2257</v>
      </c>
      <c r="G1456" s="2" t="s">
        <v>2257</v>
      </c>
      <c r="H1456" s="2" t="s">
        <v>2257</v>
      </c>
      <c r="I1456" s="2" t="s">
        <v>2257</v>
      </c>
      <c r="J1456" t="str">
        <f t="shared" si="44"/>
        <v/>
      </c>
    </row>
    <row r="1457" spans="1:10" x14ac:dyDescent="0.15">
      <c r="A1457" t="s">
        <v>2257</v>
      </c>
      <c r="B1457" t="s">
        <v>2257</v>
      </c>
      <c r="C1457" s="2" t="s">
        <v>2257</v>
      </c>
      <c r="D1457" t="s">
        <v>2257</v>
      </c>
      <c r="E1457" s="2" t="s">
        <v>2257</v>
      </c>
      <c r="F1457" s="8" t="s">
        <v>2257</v>
      </c>
      <c r="G1457" s="2" t="s">
        <v>2257</v>
      </c>
      <c r="H1457" s="2" t="s">
        <v>2257</v>
      </c>
      <c r="I1457" s="2" t="s">
        <v>2257</v>
      </c>
      <c r="J1457" t="str">
        <f t="shared" si="44"/>
        <v/>
      </c>
    </row>
    <row r="1458" spans="1:10" x14ac:dyDescent="0.15">
      <c r="A1458" t="s">
        <v>2257</v>
      </c>
      <c r="B1458" t="s">
        <v>2257</v>
      </c>
      <c r="C1458" s="2" t="s">
        <v>2257</v>
      </c>
      <c r="D1458" t="s">
        <v>2257</v>
      </c>
      <c r="E1458" s="2" t="s">
        <v>2257</v>
      </c>
      <c r="F1458" s="8" t="s">
        <v>2257</v>
      </c>
      <c r="G1458" s="2" t="s">
        <v>2257</v>
      </c>
      <c r="H1458" s="2" t="s">
        <v>2257</v>
      </c>
      <c r="I1458" s="2" t="s">
        <v>2257</v>
      </c>
      <c r="J1458" t="str">
        <f t="shared" si="44"/>
        <v/>
      </c>
    </row>
    <row r="1459" spans="1:10" x14ac:dyDescent="0.15">
      <c r="A1459" t="s">
        <v>2257</v>
      </c>
      <c r="B1459" t="s">
        <v>2257</v>
      </c>
      <c r="C1459" s="2" t="s">
        <v>2257</v>
      </c>
      <c r="D1459" t="s">
        <v>2257</v>
      </c>
      <c r="E1459" s="2" t="s">
        <v>2257</v>
      </c>
      <c r="F1459" s="8" t="s">
        <v>2257</v>
      </c>
      <c r="G1459" s="2" t="s">
        <v>2257</v>
      </c>
      <c r="H1459" s="2" t="s">
        <v>2257</v>
      </c>
      <c r="I1459" s="2" t="s">
        <v>2257</v>
      </c>
      <c r="J1459" t="str">
        <f t="shared" si="44"/>
        <v/>
      </c>
    </row>
    <row r="1460" spans="1:10" x14ac:dyDescent="0.15">
      <c r="A1460" t="s">
        <v>2257</v>
      </c>
      <c r="B1460" t="s">
        <v>2257</v>
      </c>
      <c r="C1460" s="2" t="s">
        <v>2257</v>
      </c>
      <c r="D1460" t="s">
        <v>2257</v>
      </c>
      <c r="E1460" s="2" t="s">
        <v>2257</v>
      </c>
      <c r="F1460" s="8" t="s">
        <v>2257</v>
      </c>
      <c r="G1460" s="2" t="s">
        <v>2257</v>
      </c>
      <c r="H1460" s="2" t="s">
        <v>2257</v>
      </c>
      <c r="I1460" s="2" t="s">
        <v>2257</v>
      </c>
      <c r="J1460" t="str">
        <f t="shared" si="44"/>
        <v/>
      </c>
    </row>
    <row r="1461" spans="1:10" x14ac:dyDescent="0.15">
      <c r="A1461" t="s">
        <v>2257</v>
      </c>
      <c r="B1461" t="s">
        <v>2257</v>
      </c>
      <c r="C1461" s="2" t="s">
        <v>2257</v>
      </c>
      <c r="D1461" t="s">
        <v>2257</v>
      </c>
      <c r="E1461" s="2" t="s">
        <v>2257</v>
      </c>
      <c r="F1461" s="8" t="s">
        <v>2257</v>
      </c>
      <c r="G1461" s="2" t="s">
        <v>2257</v>
      </c>
      <c r="H1461" s="2" t="s">
        <v>2257</v>
      </c>
      <c r="I1461" s="2" t="s">
        <v>2257</v>
      </c>
      <c r="J1461" t="str">
        <f t="shared" si="44"/>
        <v/>
      </c>
    </row>
    <row r="1462" spans="1:10" x14ac:dyDescent="0.15">
      <c r="A1462" t="s">
        <v>2257</v>
      </c>
      <c r="B1462" t="s">
        <v>2257</v>
      </c>
      <c r="C1462" s="2" t="s">
        <v>2257</v>
      </c>
      <c r="D1462" t="s">
        <v>2257</v>
      </c>
      <c r="E1462" s="2" t="s">
        <v>2257</v>
      </c>
      <c r="F1462" s="8" t="s">
        <v>2257</v>
      </c>
      <c r="G1462" s="2" t="s">
        <v>2257</v>
      </c>
      <c r="H1462" s="2" t="s">
        <v>2257</v>
      </c>
      <c r="I1462" s="2" t="s">
        <v>2257</v>
      </c>
      <c r="J1462" t="str">
        <f t="shared" si="44"/>
        <v/>
      </c>
    </row>
    <row r="1463" spans="1:10" x14ac:dyDescent="0.15">
      <c r="A1463" t="s">
        <v>2257</v>
      </c>
      <c r="B1463" t="s">
        <v>2257</v>
      </c>
      <c r="C1463" s="2" t="s">
        <v>2257</v>
      </c>
      <c r="D1463" t="s">
        <v>2257</v>
      </c>
      <c r="E1463" s="2" t="s">
        <v>2257</v>
      </c>
      <c r="F1463" s="8" t="s">
        <v>2257</v>
      </c>
      <c r="G1463" s="2" t="s">
        <v>2257</v>
      </c>
      <c r="H1463" s="2" t="s">
        <v>2257</v>
      </c>
      <c r="I1463" s="2" t="s">
        <v>2257</v>
      </c>
      <c r="J1463" t="str">
        <f t="shared" si="44"/>
        <v/>
      </c>
    </row>
    <row r="1464" spans="1:10" x14ac:dyDescent="0.15">
      <c r="A1464" t="s">
        <v>2257</v>
      </c>
      <c r="B1464" t="s">
        <v>2257</v>
      </c>
      <c r="C1464" s="2" t="s">
        <v>2257</v>
      </c>
      <c r="D1464" t="s">
        <v>2257</v>
      </c>
      <c r="E1464" s="2" t="s">
        <v>2257</v>
      </c>
      <c r="F1464" s="8" t="s">
        <v>2257</v>
      </c>
      <c r="G1464" s="2" t="s">
        <v>2257</v>
      </c>
      <c r="H1464" s="2" t="s">
        <v>2257</v>
      </c>
      <c r="I1464" s="2" t="s">
        <v>2257</v>
      </c>
      <c r="J1464" t="str">
        <f t="shared" si="44"/>
        <v/>
      </c>
    </row>
    <row r="1465" spans="1:10" x14ac:dyDescent="0.15">
      <c r="A1465" t="s">
        <v>2257</v>
      </c>
      <c r="B1465" t="s">
        <v>2257</v>
      </c>
      <c r="C1465" s="2" t="s">
        <v>2257</v>
      </c>
      <c r="D1465" t="s">
        <v>2257</v>
      </c>
      <c r="E1465" s="2" t="s">
        <v>2257</v>
      </c>
      <c r="F1465" s="8" t="s">
        <v>2257</v>
      </c>
      <c r="G1465" s="2" t="s">
        <v>2257</v>
      </c>
      <c r="H1465" s="2" t="s">
        <v>2257</v>
      </c>
      <c r="I1465" s="2" t="s">
        <v>2257</v>
      </c>
      <c r="J1465" t="str">
        <f t="shared" si="44"/>
        <v/>
      </c>
    </row>
    <row r="1466" spans="1:10" x14ac:dyDescent="0.15">
      <c r="A1466" t="s">
        <v>2257</v>
      </c>
      <c r="B1466" t="s">
        <v>2257</v>
      </c>
      <c r="C1466" s="2" t="s">
        <v>2257</v>
      </c>
      <c r="D1466" t="s">
        <v>2257</v>
      </c>
      <c r="E1466" s="2" t="s">
        <v>2257</v>
      </c>
      <c r="F1466" s="8" t="s">
        <v>2257</v>
      </c>
      <c r="G1466" s="2" t="s">
        <v>2257</v>
      </c>
      <c r="H1466" s="2" t="s">
        <v>2257</v>
      </c>
      <c r="I1466" s="2" t="s">
        <v>2257</v>
      </c>
      <c r="J1466" t="str">
        <f t="shared" si="44"/>
        <v/>
      </c>
    </row>
    <row r="1467" spans="1:10" x14ac:dyDescent="0.15">
      <c r="A1467" t="s">
        <v>2257</v>
      </c>
      <c r="B1467" t="s">
        <v>2257</v>
      </c>
      <c r="C1467" s="2" t="s">
        <v>2257</v>
      </c>
      <c r="D1467" t="s">
        <v>2257</v>
      </c>
      <c r="E1467" s="2" t="s">
        <v>2257</v>
      </c>
      <c r="F1467" s="8" t="s">
        <v>2257</v>
      </c>
      <c r="G1467" s="2" t="s">
        <v>2257</v>
      </c>
      <c r="H1467" s="2" t="s">
        <v>2257</v>
      </c>
      <c r="I1467" s="2" t="s">
        <v>2257</v>
      </c>
      <c r="J1467" t="str">
        <f t="shared" si="44"/>
        <v/>
      </c>
    </row>
    <row r="1468" spans="1:10" x14ac:dyDescent="0.15">
      <c r="A1468" t="s">
        <v>2257</v>
      </c>
      <c r="B1468" t="s">
        <v>2257</v>
      </c>
      <c r="C1468" s="2" t="s">
        <v>2257</v>
      </c>
      <c r="D1468" t="s">
        <v>2257</v>
      </c>
      <c r="E1468" s="2" t="s">
        <v>2257</v>
      </c>
      <c r="F1468" s="8" t="s">
        <v>2257</v>
      </c>
      <c r="G1468" s="2" t="s">
        <v>2257</v>
      </c>
      <c r="H1468" s="2" t="s">
        <v>2257</v>
      </c>
      <c r="I1468" s="2" t="s">
        <v>2257</v>
      </c>
      <c r="J1468" t="str">
        <f t="shared" si="44"/>
        <v/>
      </c>
    </row>
    <row r="1469" spans="1:10" x14ac:dyDescent="0.15">
      <c r="A1469" t="s">
        <v>2257</v>
      </c>
      <c r="B1469" t="s">
        <v>2257</v>
      </c>
      <c r="C1469" s="2" t="s">
        <v>2257</v>
      </c>
      <c r="D1469" t="s">
        <v>2257</v>
      </c>
      <c r="E1469" s="2" t="s">
        <v>2257</v>
      </c>
      <c r="F1469" s="8" t="s">
        <v>2257</v>
      </c>
      <c r="G1469" s="2" t="s">
        <v>2257</v>
      </c>
      <c r="H1469" s="2" t="s">
        <v>2257</v>
      </c>
      <c r="I1469" s="2" t="s">
        <v>2257</v>
      </c>
      <c r="J1469" t="str">
        <f t="shared" si="44"/>
        <v/>
      </c>
    </row>
    <row r="1470" spans="1:10" x14ac:dyDescent="0.15">
      <c r="A1470" t="s">
        <v>2257</v>
      </c>
      <c r="B1470" t="s">
        <v>2257</v>
      </c>
      <c r="C1470" s="2" t="s">
        <v>2257</v>
      </c>
      <c r="D1470" t="s">
        <v>2257</v>
      </c>
      <c r="E1470" s="2" t="s">
        <v>2257</v>
      </c>
      <c r="F1470" s="8" t="s">
        <v>2257</v>
      </c>
      <c r="G1470" s="2" t="s">
        <v>2257</v>
      </c>
      <c r="H1470" s="2" t="s">
        <v>2257</v>
      </c>
      <c r="I1470" s="2" t="s">
        <v>2257</v>
      </c>
      <c r="J1470" t="str">
        <f t="shared" si="44"/>
        <v/>
      </c>
    </row>
    <row r="1471" spans="1:10" x14ac:dyDescent="0.15">
      <c r="A1471" t="s">
        <v>2257</v>
      </c>
      <c r="B1471" t="s">
        <v>2257</v>
      </c>
      <c r="C1471" s="2" t="s">
        <v>2257</v>
      </c>
      <c r="D1471" t="s">
        <v>2257</v>
      </c>
      <c r="E1471" s="2" t="s">
        <v>2257</v>
      </c>
      <c r="F1471" s="8" t="s">
        <v>2257</v>
      </c>
      <c r="G1471" s="2" t="s">
        <v>2257</v>
      </c>
      <c r="H1471" s="2" t="s">
        <v>2257</v>
      </c>
      <c r="I1471" s="2" t="s">
        <v>2257</v>
      </c>
      <c r="J1471" t="str">
        <f t="shared" si="44"/>
        <v/>
      </c>
    </row>
    <row r="1472" spans="1:10" x14ac:dyDescent="0.15">
      <c r="A1472" t="s">
        <v>2257</v>
      </c>
      <c r="B1472" t="s">
        <v>2257</v>
      </c>
      <c r="C1472" s="2" t="s">
        <v>2257</v>
      </c>
      <c r="D1472" t="s">
        <v>2257</v>
      </c>
      <c r="E1472" s="2" t="s">
        <v>2257</v>
      </c>
      <c r="F1472" s="8" t="s">
        <v>2257</v>
      </c>
      <c r="G1472" s="2" t="s">
        <v>2257</v>
      </c>
      <c r="H1472" s="2" t="s">
        <v>2257</v>
      </c>
      <c r="I1472" s="2" t="s">
        <v>2257</v>
      </c>
      <c r="J1472" t="str">
        <f t="shared" si="44"/>
        <v/>
      </c>
    </row>
    <row r="1473" spans="1:10" x14ac:dyDescent="0.15">
      <c r="A1473" t="s">
        <v>2257</v>
      </c>
      <c r="B1473" t="s">
        <v>2257</v>
      </c>
      <c r="C1473" s="2" t="s">
        <v>2257</v>
      </c>
      <c r="D1473" t="s">
        <v>2257</v>
      </c>
      <c r="E1473" s="2" t="s">
        <v>2257</v>
      </c>
      <c r="F1473" s="8" t="s">
        <v>2257</v>
      </c>
      <c r="G1473" s="2" t="s">
        <v>2257</v>
      </c>
      <c r="H1473" s="2" t="s">
        <v>2257</v>
      </c>
      <c r="I1473" s="2" t="s">
        <v>2257</v>
      </c>
      <c r="J1473" t="str">
        <f t="shared" si="44"/>
        <v/>
      </c>
    </row>
    <row r="1474" spans="1:10" x14ac:dyDescent="0.15">
      <c r="A1474" t="s">
        <v>2257</v>
      </c>
      <c r="B1474" t="s">
        <v>2257</v>
      </c>
      <c r="C1474" s="2" t="s">
        <v>2257</v>
      </c>
      <c r="D1474" t="s">
        <v>2257</v>
      </c>
      <c r="E1474" s="2" t="s">
        <v>2257</v>
      </c>
      <c r="F1474" s="8" t="s">
        <v>2257</v>
      </c>
      <c r="G1474" s="2" t="s">
        <v>2257</v>
      </c>
      <c r="H1474" s="2" t="s">
        <v>2257</v>
      </c>
      <c r="I1474" s="2" t="s">
        <v>2257</v>
      </c>
      <c r="J1474" t="str">
        <f t="shared" si="44"/>
        <v/>
      </c>
    </row>
    <row r="1475" spans="1:10" x14ac:dyDescent="0.15">
      <c r="A1475" t="s">
        <v>2257</v>
      </c>
      <c r="B1475" t="s">
        <v>2257</v>
      </c>
      <c r="C1475" s="2" t="s">
        <v>2257</v>
      </c>
      <c r="D1475" t="s">
        <v>2257</v>
      </c>
      <c r="E1475" s="2" t="s">
        <v>2257</v>
      </c>
      <c r="F1475" s="8" t="s">
        <v>2257</v>
      </c>
      <c r="G1475" s="2" t="s">
        <v>2257</v>
      </c>
      <c r="H1475" s="2" t="s">
        <v>2257</v>
      </c>
      <c r="I1475" s="2" t="s">
        <v>2257</v>
      </c>
      <c r="J1475" t="str">
        <f t="shared" si="44"/>
        <v/>
      </c>
    </row>
    <row r="1476" spans="1:10" x14ac:dyDescent="0.15">
      <c r="A1476" t="s">
        <v>2257</v>
      </c>
      <c r="B1476" t="s">
        <v>2257</v>
      </c>
      <c r="C1476" s="2" t="s">
        <v>2257</v>
      </c>
      <c r="D1476" t="s">
        <v>2257</v>
      </c>
      <c r="E1476" s="2" t="s">
        <v>2257</v>
      </c>
      <c r="F1476" s="8" t="s">
        <v>2257</v>
      </c>
      <c r="G1476" s="2" t="s">
        <v>2257</v>
      </c>
      <c r="H1476" s="2" t="s">
        <v>2257</v>
      </c>
      <c r="I1476" s="2" t="s">
        <v>2257</v>
      </c>
      <c r="J1476" t="str">
        <f t="shared" si="44"/>
        <v/>
      </c>
    </row>
    <row r="1477" spans="1:10" x14ac:dyDescent="0.15">
      <c r="A1477" t="s">
        <v>2257</v>
      </c>
      <c r="B1477" t="s">
        <v>2257</v>
      </c>
      <c r="C1477" s="2" t="s">
        <v>2257</v>
      </c>
      <c r="D1477" t="s">
        <v>2257</v>
      </c>
      <c r="E1477" s="2" t="s">
        <v>2257</v>
      </c>
      <c r="F1477" s="8" t="s">
        <v>2257</v>
      </c>
      <c r="G1477" s="2" t="s">
        <v>2257</v>
      </c>
      <c r="H1477" s="2" t="s">
        <v>2257</v>
      </c>
      <c r="I1477" s="2" t="s">
        <v>2257</v>
      </c>
      <c r="J1477" t="str">
        <f t="shared" si="44"/>
        <v/>
      </c>
    </row>
    <row r="1478" spans="1:10" x14ac:dyDescent="0.15">
      <c r="A1478" t="s">
        <v>2257</v>
      </c>
      <c r="B1478" t="s">
        <v>2257</v>
      </c>
      <c r="C1478" s="2" t="s">
        <v>2257</v>
      </c>
      <c r="D1478" t="s">
        <v>2257</v>
      </c>
      <c r="E1478" s="2" t="s">
        <v>2257</v>
      </c>
      <c r="F1478" s="8" t="s">
        <v>2257</v>
      </c>
      <c r="G1478" s="2" t="s">
        <v>2257</v>
      </c>
      <c r="H1478" s="2" t="s">
        <v>2257</v>
      </c>
      <c r="I1478" s="2" t="s">
        <v>2257</v>
      </c>
      <c r="J1478" t="str">
        <f t="shared" si="44"/>
        <v/>
      </c>
    </row>
    <row r="1479" spans="1:10" x14ac:dyDescent="0.15">
      <c r="A1479" t="s">
        <v>2257</v>
      </c>
      <c r="B1479" t="s">
        <v>2257</v>
      </c>
      <c r="C1479" s="2" t="s">
        <v>2257</v>
      </c>
      <c r="D1479" t="s">
        <v>2257</v>
      </c>
      <c r="E1479" s="2" t="s">
        <v>2257</v>
      </c>
      <c r="F1479" s="8" t="s">
        <v>2257</v>
      </c>
      <c r="G1479" s="2" t="s">
        <v>2257</v>
      </c>
      <c r="H1479" s="2" t="s">
        <v>2257</v>
      </c>
      <c r="I1479" s="2" t="s">
        <v>2257</v>
      </c>
      <c r="J1479" t="str">
        <f t="shared" si="44"/>
        <v/>
      </c>
    </row>
    <row r="1480" spans="1:10" x14ac:dyDescent="0.15">
      <c r="A1480" t="s">
        <v>2257</v>
      </c>
      <c r="B1480" t="s">
        <v>2257</v>
      </c>
      <c r="C1480" s="2" t="s">
        <v>2257</v>
      </c>
      <c r="D1480" t="s">
        <v>2257</v>
      </c>
      <c r="E1480" s="2" t="s">
        <v>2257</v>
      </c>
      <c r="F1480" s="8" t="s">
        <v>2257</v>
      </c>
      <c r="G1480" s="2" t="s">
        <v>2257</v>
      </c>
      <c r="H1480" s="2" t="s">
        <v>2257</v>
      </c>
      <c r="I1480" s="2" t="s">
        <v>2257</v>
      </c>
      <c r="J1480" t="str">
        <f t="shared" si="44"/>
        <v/>
      </c>
    </row>
    <row r="1481" spans="1:10" x14ac:dyDescent="0.15">
      <c r="A1481" t="s">
        <v>2257</v>
      </c>
      <c r="B1481" t="s">
        <v>2257</v>
      </c>
      <c r="C1481" s="2" t="s">
        <v>2257</v>
      </c>
      <c r="D1481" t="s">
        <v>2257</v>
      </c>
      <c r="E1481" s="2" t="s">
        <v>2257</v>
      </c>
      <c r="F1481" s="8" t="s">
        <v>2257</v>
      </c>
      <c r="G1481" s="2" t="s">
        <v>2257</v>
      </c>
      <c r="H1481" s="2" t="s">
        <v>2257</v>
      </c>
      <c r="I1481" s="2" t="s">
        <v>2257</v>
      </c>
      <c r="J1481" t="str">
        <f t="shared" si="44"/>
        <v/>
      </c>
    </row>
    <row r="1482" spans="1:10" x14ac:dyDescent="0.15">
      <c r="A1482" t="s">
        <v>2257</v>
      </c>
      <c r="B1482" t="s">
        <v>2257</v>
      </c>
      <c r="C1482" s="2" t="s">
        <v>2257</v>
      </c>
      <c r="D1482" t="s">
        <v>2257</v>
      </c>
      <c r="E1482" s="2" t="s">
        <v>2257</v>
      </c>
      <c r="F1482" s="8" t="s">
        <v>2257</v>
      </c>
      <c r="G1482" s="2" t="s">
        <v>2257</v>
      </c>
      <c r="H1482" s="2" t="s">
        <v>2257</v>
      </c>
      <c r="I1482" s="2" t="s">
        <v>2257</v>
      </c>
      <c r="J1482" t="str">
        <f t="shared" si="44"/>
        <v/>
      </c>
    </row>
    <row r="1483" spans="1:10" x14ac:dyDescent="0.15">
      <c r="A1483" t="s">
        <v>2257</v>
      </c>
      <c r="B1483" t="s">
        <v>2257</v>
      </c>
      <c r="C1483" s="2" t="s">
        <v>2257</v>
      </c>
      <c r="D1483" t="s">
        <v>2257</v>
      </c>
      <c r="E1483" s="2" t="s">
        <v>2257</v>
      </c>
      <c r="F1483" s="8" t="s">
        <v>2257</v>
      </c>
      <c r="G1483" s="2" t="s">
        <v>2257</v>
      </c>
      <c r="H1483" s="2" t="s">
        <v>2257</v>
      </c>
      <c r="I1483" s="2" t="s">
        <v>2257</v>
      </c>
      <c r="J1483" t="str">
        <f t="shared" ref="J1483:J1546" si="45">IF(A1483="","",IF(AND(C1483="",D1483&lt;&gt;"UNS",I1483=""),"Open","Closed"))</f>
        <v/>
      </c>
    </row>
    <row r="1484" spans="1:10" x14ac:dyDescent="0.15">
      <c r="A1484" t="s">
        <v>2257</v>
      </c>
      <c r="B1484" t="s">
        <v>2257</v>
      </c>
      <c r="C1484" s="2" t="s">
        <v>2257</v>
      </c>
      <c r="D1484" t="s">
        <v>2257</v>
      </c>
      <c r="E1484" s="2" t="s">
        <v>2257</v>
      </c>
      <c r="F1484" s="8" t="s">
        <v>2257</v>
      </c>
      <c r="G1484" s="2" t="s">
        <v>2257</v>
      </c>
      <c r="H1484" s="2" t="s">
        <v>2257</v>
      </c>
      <c r="I1484" s="2" t="s">
        <v>2257</v>
      </c>
      <c r="J1484" t="str">
        <f t="shared" si="45"/>
        <v/>
      </c>
    </row>
    <row r="1485" spans="1:10" x14ac:dyDescent="0.15">
      <c r="A1485" t="s">
        <v>2257</v>
      </c>
      <c r="B1485" t="s">
        <v>2257</v>
      </c>
      <c r="C1485" s="2" t="s">
        <v>2257</v>
      </c>
      <c r="D1485" t="s">
        <v>2257</v>
      </c>
      <c r="E1485" s="2" t="s">
        <v>2257</v>
      </c>
      <c r="F1485" s="8" t="s">
        <v>2257</v>
      </c>
      <c r="G1485" s="2" t="s">
        <v>2257</v>
      </c>
      <c r="H1485" s="2" t="s">
        <v>2257</v>
      </c>
      <c r="I1485" s="2" t="s">
        <v>2257</v>
      </c>
      <c r="J1485" t="str">
        <f t="shared" si="45"/>
        <v/>
      </c>
    </row>
    <row r="1486" spans="1:10" x14ac:dyDescent="0.15">
      <c r="A1486" t="s">
        <v>2257</v>
      </c>
      <c r="B1486" t="s">
        <v>2257</v>
      </c>
      <c r="C1486" s="2" t="s">
        <v>2257</v>
      </c>
      <c r="D1486" t="s">
        <v>2257</v>
      </c>
      <c r="E1486" s="2" t="s">
        <v>2257</v>
      </c>
      <c r="F1486" s="8" t="s">
        <v>2257</v>
      </c>
      <c r="G1486" s="2" t="s">
        <v>2257</v>
      </c>
      <c r="H1486" s="2" t="s">
        <v>2257</v>
      </c>
      <c r="I1486" s="2" t="s">
        <v>2257</v>
      </c>
      <c r="J1486" t="str">
        <f t="shared" si="45"/>
        <v/>
      </c>
    </row>
    <row r="1487" spans="1:10" x14ac:dyDescent="0.15">
      <c r="A1487" t="s">
        <v>2257</v>
      </c>
      <c r="B1487" t="s">
        <v>2257</v>
      </c>
      <c r="C1487" s="2" t="s">
        <v>2257</v>
      </c>
      <c r="D1487" t="s">
        <v>2257</v>
      </c>
      <c r="E1487" s="2" t="s">
        <v>2257</v>
      </c>
      <c r="F1487" s="8" t="s">
        <v>2257</v>
      </c>
      <c r="G1487" s="2" t="s">
        <v>2257</v>
      </c>
      <c r="H1487" s="2" t="s">
        <v>2257</v>
      </c>
      <c r="I1487" s="2" t="s">
        <v>2257</v>
      </c>
      <c r="J1487" t="str">
        <f t="shared" si="45"/>
        <v/>
      </c>
    </row>
    <row r="1488" spans="1:10" x14ac:dyDescent="0.15">
      <c r="A1488" t="s">
        <v>2257</v>
      </c>
      <c r="B1488" t="s">
        <v>2257</v>
      </c>
      <c r="C1488" s="2" t="s">
        <v>2257</v>
      </c>
      <c r="D1488" t="s">
        <v>2257</v>
      </c>
      <c r="E1488" s="2" t="s">
        <v>2257</v>
      </c>
      <c r="F1488" s="8" t="s">
        <v>2257</v>
      </c>
      <c r="G1488" s="2" t="s">
        <v>2257</v>
      </c>
      <c r="H1488" s="2" t="s">
        <v>2257</v>
      </c>
      <c r="I1488" s="2" t="s">
        <v>2257</v>
      </c>
      <c r="J1488" t="str">
        <f t="shared" si="45"/>
        <v/>
      </c>
    </row>
    <row r="1489" spans="1:10" x14ac:dyDescent="0.15">
      <c r="A1489" t="s">
        <v>2257</v>
      </c>
      <c r="B1489" t="s">
        <v>2257</v>
      </c>
      <c r="C1489" s="2" t="s">
        <v>2257</v>
      </c>
      <c r="D1489" t="s">
        <v>2257</v>
      </c>
      <c r="E1489" s="2" t="s">
        <v>2257</v>
      </c>
      <c r="F1489" s="8" t="s">
        <v>2257</v>
      </c>
      <c r="G1489" s="2" t="s">
        <v>2257</v>
      </c>
      <c r="H1489" s="2" t="s">
        <v>2257</v>
      </c>
      <c r="I1489" s="2" t="s">
        <v>2257</v>
      </c>
      <c r="J1489" t="str">
        <f t="shared" si="45"/>
        <v/>
      </c>
    </row>
    <row r="1490" spans="1:10" x14ac:dyDescent="0.15">
      <c r="A1490" t="s">
        <v>2257</v>
      </c>
      <c r="B1490" t="s">
        <v>2257</v>
      </c>
      <c r="C1490" s="2" t="s">
        <v>2257</v>
      </c>
      <c r="D1490" t="s">
        <v>2257</v>
      </c>
      <c r="E1490" s="2" t="s">
        <v>2257</v>
      </c>
      <c r="F1490" s="8" t="s">
        <v>2257</v>
      </c>
      <c r="G1490" s="2" t="s">
        <v>2257</v>
      </c>
      <c r="H1490" s="2" t="s">
        <v>2257</v>
      </c>
      <c r="I1490" s="2" t="s">
        <v>2257</v>
      </c>
      <c r="J1490" t="str">
        <f t="shared" si="45"/>
        <v/>
      </c>
    </row>
    <row r="1491" spans="1:10" x14ac:dyDescent="0.15">
      <c r="A1491" t="s">
        <v>2257</v>
      </c>
      <c r="B1491" t="s">
        <v>2257</v>
      </c>
      <c r="C1491" s="2" t="s">
        <v>2257</v>
      </c>
      <c r="D1491" t="s">
        <v>2257</v>
      </c>
      <c r="E1491" s="2" t="s">
        <v>2257</v>
      </c>
      <c r="F1491" s="8" t="s">
        <v>2257</v>
      </c>
      <c r="G1491" s="2" t="s">
        <v>2257</v>
      </c>
      <c r="H1491" s="2" t="s">
        <v>2257</v>
      </c>
      <c r="I1491" s="2" t="s">
        <v>2257</v>
      </c>
      <c r="J1491" t="str">
        <f t="shared" si="45"/>
        <v/>
      </c>
    </row>
    <row r="1492" spans="1:10" x14ac:dyDescent="0.15">
      <c r="A1492" t="s">
        <v>2257</v>
      </c>
      <c r="B1492" t="s">
        <v>2257</v>
      </c>
      <c r="C1492" s="2" t="s">
        <v>2257</v>
      </c>
      <c r="D1492" t="s">
        <v>2257</v>
      </c>
      <c r="E1492" s="2" t="s">
        <v>2257</v>
      </c>
      <c r="F1492" s="8" t="s">
        <v>2257</v>
      </c>
      <c r="G1492" s="2" t="s">
        <v>2257</v>
      </c>
      <c r="H1492" s="2" t="s">
        <v>2257</v>
      </c>
      <c r="I1492" s="2" t="s">
        <v>2257</v>
      </c>
      <c r="J1492" t="str">
        <f t="shared" si="45"/>
        <v/>
      </c>
    </row>
    <row r="1493" spans="1:10" x14ac:dyDescent="0.15">
      <c r="A1493" t="s">
        <v>2257</v>
      </c>
      <c r="B1493" t="s">
        <v>2257</v>
      </c>
      <c r="C1493" s="2" t="s">
        <v>2257</v>
      </c>
      <c r="D1493" t="s">
        <v>2257</v>
      </c>
      <c r="E1493" s="2" t="s">
        <v>2257</v>
      </c>
      <c r="F1493" s="8" t="s">
        <v>2257</v>
      </c>
      <c r="G1493" s="2" t="s">
        <v>2257</v>
      </c>
      <c r="H1493" s="2" t="s">
        <v>2257</v>
      </c>
      <c r="I1493" s="2" t="s">
        <v>2257</v>
      </c>
      <c r="J1493" t="str">
        <f t="shared" si="45"/>
        <v/>
      </c>
    </row>
    <row r="1494" spans="1:10" x14ac:dyDescent="0.15">
      <c r="A1494" t="s">
        <v>2257</v>
      </c>
      <c r="B1494" t="s">
        <v>2257</v>
      </c>
      <c r="C1494" s="2" t="s">
        <v>2257</v>
      </c>
      <c r="D1494" t="s">
        <v>2257</v>
      </c>
      <c r="E1494" s="2" t="s">
        <v>2257</v>
      </c>
      <c r="F1494" s="8" t="s">
        <v>2257</v>
      </c>
      <c r="G1494" s="2" t="s">
        <v>2257</v>
      </c>
      <c r="H1494" s="2" t="s">
        <v>2257</v>
      </c>
      <c r="I1494" s="2" t="s">
        <v>2257</v>
      </c>
      <c r="J1494" t="str">
        <f t="shared" si="45"/>
        <v/>
      </c>
    </row>
    <row r="1495" spans="1:10" x14ac:dyDescent="0.15">
      <c r="A1495" t="s">
        <v>2257</v>
      </c>
      <c r="B1495" t="s">
        <v>2257</v>
      </c>
      <c r="C1495" s="2" t="s">
        <v>2257</v>
      </c>
      <c r="D1495" t="s">
        <v>2257</v>
      </c>
      <c r="E1495" s="2" t="s">
        <v>2257</v>
      </c>
      <c r="F1495" s="8" t="s">
        <v>2257</v>
      </c>
      <c r="G1495" s="2" t="s">
        <v>2257</v>
      </c>
      <c r="H1495" s="2" t="s">
        <v>2257</v>
      </c>
      <c r="I1495" s="2" t="s">
        <v>2257</v>
      </c>
      <c r="J1495" t="str">
        <f t="shared" si="45"/>
        <v/>
      </c>
    </row>
    <row r="1496" spans="1:10" x14ac:dyDescent="0.15">
      <c r="A1496" t="s">
        <v>2257</v>
      </c>
      <c r="B1496" t="s">
        <v>2257</v>
      </c>
      <c r="C1496" s="2" t="s">
        <v>2257</v>
      </c>
      <c r="D1496" t="s">
        <v>2257</v>
      </c>
      <c r="E1496" s="2" t="s">
        <v>2257</v>
      </c>
      <c r="F1496" s="8" t="s">
        <v>2257</v>
      </c>
      <c r="G1496" s="2" t="s">
        <v>2257</v>
      </c>
      <c r="H1496" s="2" t="s">
        <v>2257</v>
      </c>
      <c r="I1496" s="2" t="s">
        <v>2257</v>
      </c>
      <c r="J1496" t="str">
        <f t="shared" si="45"/>
        <v/>
      </c>
    </row>
    <row r="1497" spans="1:10" x14ac:dyDescent="0.15">
      <c r="A1497" t="s">
        <v>2257</v>
      </c>
      <c r="B1497" t="s">
        <v>2257</v>
      </c>
      <c r="C1497" s="2" t="s">
        <v>2257</v>
      </c>
      <c r="D1497" t="s">
        <v>2257</v>
      </c>
      <c r="E1497" s="2" t="s">
        <v>2257</v>
      </c>
      <c r="F1497" s="8" t="s">
        <v>2257</v>
      </c>
      <c r="G1497" s="2" t="s">
        <v>2257</v>
      </c>
      <c r="H1497" s="2" t="s">
        <v>2257</v>
      </c>
      <c r="I1497" s="2" t="s">
        <v>2257</v>
      </c>
      <c r="J1497" t="str">
        <f t="shared" si="45"/>
        <v/>
      </c>
    </row>
    <row r="1498" spans="1:10" x14ac:dyDescent="0.15">
      <c r="A1498" t="s">
        <v>2257</v>
      </c>
      <c r="B1498" t="s">
        <v>2257</v>
      </c>
      <c r="C1498" s="2" t="s">
        <v>2257</v>
      </c>
      <c r="D1498" t="s">
        <v>2257</v>
      </c>
      <c r="E1498" s="2" t="s">
        <v>2257</v>
      </c>
      <c r="F1498" s="8" t="s">
        <v>2257</v>
      </c>
      <c r="G1498" s="2" t="s">
        <v>2257</v>
      </c>
      <c r="H1498" s="2" t="s">
        <v>2257</v>
      </c>
      <c r="I1498" s="2" t="s">
        <v>2257</v>
      </c>
      <c r="J1498" t="str">
        <f t="shared" si="45"/>
        <v/>
      </c>
    </row>
    <row r="1499" spans="1:10" x14ac:dyDescent="0.15">
      <c r="A1499" t="s">
        <v>2257</v>
      </c>
      <c r="B1499" t="s">
        <v>2257</v>
      </c>
      <c r="C1499" s="2" t="s">
        <v>2257</v>
      </c>
      <c r="D1499" t="s">
        <v>2257</v>
      </c>
      <c r="E1499" s="2" t="s">
        <v>2257</v>
      </c>
      <c r="F1499" s="8" t="s">
        <v>2257</v>
      </c>
      <c r="G1499" s="2" t="s">
        <v>2257</v>
      </c>
      <c r="H1499" s="2" t="s">
        <v>2257</v>
      </c>
      <c r="I1499" s="2" t="s">
        <v>2257</v>
      </c>
      <c r="J1499" t="str">
        <f t="shared" si="45"/>
        <v/>
      </c>
    </row>
    <row r="1500" spans="1:10" x14ac:dyDescent="0.15">
      <c r="A1500" t="s">
        <v>2257</v>
      </c>
      <c r="B1500" t="s">
        <v>2257</v>
      </c>
      <c r="C1500" s="2" t="s">
        <v>2257</v>
      </c>
      <c r="D1500" t="s">
        <v>2257</v>
      </c>
      <c r="E1500" s="2" t="s">
        <v>2257</v>
      </c>
      <c r="F1500" s="8" t="s">
        <v>2257</v>
      </c>
      <c r="G1500" s="2" t="s">
        <v>2257</v>
      </c>
      <c r="H1500" s="2" t="s">
        <v>2257</v>
      </c>
      <c r="I1500" s="2" t="s">
        <v>2257</v>
      </c>
      <c r="J1500" t="str">
        <f t="shared" si="45"/>
        <v/>
      </c>
    </row>
    <row r="1501" spans="1:10" x14ac:dyDescent="0.15">
      <c r="A1501" t="s">
        <v>2257</v>
      </c>
      <c r="B1501" t="s">
        <v>2257</v>
      </c>
      <c r="C1501" s="2" t="s">
        <v>2257</v>
      </c>
      <c r="D1501" t="s">
        <v>2257</v>
      </c>
      <c r="E1501" s="2" t="s">
        <v>2257</v>
      </c>
      <c r="F1501" s="8" t="s">
        <v>2257</v>
      </c>
      <c r="G1501" s="2" t="s">
        <v>2257</v>
      </c>
      <c r="H1501" s="2" t="s">
        <v>2257</v>
      </c>
      <c r="I1501" s="2" t="s">
        <v>2257</v>
      </c>
      <c r="J1501" t="str">
        <f t="shared" si="45"/>
        <v/>
      </c>
    </row>
    <row r="1502" spans="1:10" x14ac:dyDescent="0.15">
      <c r="A1502" t="s">
        <v>2257</v>
      </c>
      <c r="B1502" t="s">
        <v>2257</v>
      </c>
      <c r="C1502" s="2" t="s">
        <v>2257</v>
      </c>
      <c r="D1502" t="s">
        <v>2257</v>
      </c>
      <c r="E1502" s="2" t="s">
        <v>2257</v>
      </c>
      <c r="F1502" s="8" t="s">
        <v>2257</v>
      </c>
      <c r="G1502" s="2" t="s">
        <v>2257</v>
      </c>
      <c r="H1502" s="2" t="s">
        <v>2257</v>
      </c>
      <c r="I1502" s="2" t="s">
        <v>2257</v>
      </c>
      <c r="J1502" t="str">
        <f t="shared" si="45"/>
        <v/>
      </c>
    </row>
    <row r="1503" spans="1:10" x14ac:dyDescent="0.15">
      <c r="A1503" t="s">
        <v>2257</v>
      </c>
      <c r="B1503" t="s">
        <v>2257</v>
      </c>
      <c r="C1503" s="2" t="s">
        <v>2257</v>
      </c>
      <c r="D1503" t="s">
        <v>2257</v>
      </c>
      <c r="E1503" s="2" t="s">
        <v>2257</v>
      </c>
      <c r="F1503" s="8" t="s">
        <v>2257</v>
      </c>
      <c r="G1503" s="2" t="s">
        <v>2257</v>
      </c>
      <c r="H1503" s="2" t="s">
        <v>2257</v>
      </c>
      <c r="I1503" s="2" t="s">
        <v>2257</v>
      </c>
      <c r="J1503" t="str">
        <f t="shared" si="45"/>
        <v/>
      </c>
    </row>
    <row r="1504" spans="1:10" x14ac:dyDescent="0.15">
      <c r="A1504" t="s">
        <v>2257</v>
      </c>
      <c r="B1504" t="s">
        <v>2257</v>
      </c>
      <c r="C1504" s="2" t="s">
        <v>2257</v>
      </c>
      <c r="D1504" t="s">
        <v>2257</v>
      </c>
      <c r="E1504" s="2" t="s">
        <v>2257</v>
      </c>
      <c r="F1504" s="8" t="s">
        <v>2257</v>
      </c>
      <c r="G1504" s="2" t="s">
        <v>2257</v>
      </c>
      <c r="H1504" s="2" t="s">
        <v>2257</v>
      </c>
      <c r="I1504" s="2" t="s">
        <v>2257</v>
      </c>
      <c r="J1504" t="str">
        <f t="shared" si="45"/>
        <v/>
      </c>
    </row>
    <row r="1505" spans="1:10" x14ac:dyDescent="0.15">
      <c r="A1505" t="s">
        <v>2257</v>
      </c>
      <c r="B1505" t="s">
        <v>2257</v>
      </c>
      <c r="C1505" s="2" t="s">
        <v>2257</v>
      </c>
      <c r="D1505" t="s">
        <v>2257</v>
      </c>
      <c r="E1505" s="2" t="s">
        <v>2257</v>
      </c>
      <c r="F1505" s="8" t="s">
        <v>2257</v>
      </c>
      <c r="G1505" s="2" t="s">
        <v>2257</v>
      </c>
      <c r="H1505" s="2" t="s">
        <v>2257</v>
      </c>
      <c r="I1505" s="2" t="s">
        <v>2257</v>
      </c>
      <c r="J1505" t="str">
        <f t="shared" si="45"/>
        <v/>
      </c>
    </row>
    <row r="1506" spans="1:10" x14ac:dyDescent="0.15">
      <c r="A1506" t="s">
        <v>2257</v>
      </c>
      <c r="B1506" t="s">
        <v>2257</v>
      </c>
      <c r="C1506" s="2" t="s">
        <v>2257</v>
      </c>
      <c r="D1506" t="s">
        <v>2257</v>
      </c>
      <c r="E1506" s="2" t="s">
        <v>2257</v>
      </c>
      <c r="F1506" s="8" t="s">
        <v>2257</v>
      </c>
      <c r="G1506" s="2" t="s">
        <v>2257</v>
      </c>
      <c r="H1506" s="2" t="s">
        <v>2257</v>
      </c>
      <c r="I1506" s="2" t="s">
        <v>2257</v>
      </c>
      <c r="J1506" t="str">
        <f t="shared" si="45"/>
        <v/>
      </c>
    </row>
    <row r="1507" spans="1:10" x14ac:dyDescent="0.15">
      <c r="A1507" t="s">
        <v>2257</v>
      </c>
      <c r="B1507" t="s">
        <v>2257</v>
      </c>
      <c r="C1507" s="2" t="s">
        <v>2257</v>
      </c>
      <c r="D1507" t="s">
        <v>2257</v>
      </c>
      <c r="E1507" s="2" t="s">
        <v>2257</v>
      </c>
      <c r="F1507" s="8" t="s">
        <v>2257</v>
      </c>
      <c r="G1507" s="2" t="s">
        <v>2257</v>
      </c>
      <c r="H1507" s="2" t="s">
        <v>2257</v>
      </c>
      <c r="I1507" s="2" t="s">
        <v>2257</v>
      </c>
      <c r="J1507" t="str">
        <f t="shared" si="45"/>
        <v/>
      </c>
    </row>
    <row r="1508" spans="1:10" x14ac:dyDescent="0.15">
      <c r="A1508" t="s">
        <v>2257</v>
      </c>
      <c r="B1508" t="s">
        <v>2257</v>
      </c>
      <c r="C1508" s="2" t="s">
        <v>2257</v>
      </c>
      <c r="D1508" t="s">
        <v>2257</v>
      </c>
      <c r="E1508" s="2" t="s">
        <v>2257</v>
      </c>
      <c r="F1508" s="8" t="s">
        <v>2257</v>
      </c>
      <c r="G1508" s="2" t="s">
        <v>2257</v>
      </c>
      <c r="H1508" s="2" t="s">
        <v>2257</v>
      </c>
      <c r="I1508" s="2" t="s">
        <v>2257</v>
      </c>
      <c r="J1508" t="str">
        <f t="shared" si="45"/>
        <v/>
      </c>
    </row>
    <row r="1509" spans="1:10" x14ac:dyDescent="0.15">
      <c r="A1509" t="s">
        <v>2257</v>
      </c>
      <c r="B1509" t="s">
        <v>2257</v>
      </c>
      <c r="C1509" s="2" t="s">
        <v>2257</v>
      </c>
      <c r="D1509" t="s">
        <v>2257</v>
      </c>
      <c r="E1509" s="2" t="s">
        <v>2257</v>
      </c>
      <c r="F1509" s="8" t="s">
        <v>2257</v>
      </c>
      <c r="G1509" s="2" t="s">
        <v>2257</v>
      </c>
      <c r="H1509" s="2" t="s">
        <v>2257</v>
      </c>
      <c r="I1509" s="2" t="s">
        <v>2257</v>
      </c>
      <c r="J1509" t="str">
        <f t="shared" si="45"/>
        <v/>
      </c>
    </row>
    <row r="1510" spans="1:10" x14ac:dyDescent="0.15">
      <c r="A1510" t="s">
        <v>2257</v>
      </c>
      <c r="B1510" t="s">
        <v>2257</v>
      </c>
      <c r="C1510" s="2" t="s">
        <v>2257</v>
      </c>
      <c r="D1510" t="s">
        <v>2257</v>
      </c>
      <c r="E1510" s="2" t="s">
        <v>2257</v>
      </c>
      <c r="F1510" s="8" t="s">
        <v>2257</v>
      </c>
      <c r="G1510" s="2" t="s">
        <v>2257</v>
      </c>
      <c r="H1510" s="2" t="s">
        <v>2257</v>
      </c>
      <c r="I1510" s="2" t="s">
        <v>2257</v>
      </c>
      <c r="J1510" t="str">
        <f t="shared" si="45"/>
        <v/>
      </c>
    </row>
    <row r="1511" spans="1:10" x14ac:dyDescent="0.15">
      <c r="A1511" t="s">
        <v>2257</v>
      </c>
      <c r="B1511" t="s">
        <v>2257</v>
      </c>
      <c r="C1511" s="2" t="s">
        <v>2257</v>
      </c>
      <c r="D1511" t="s">
        <v>2257</v>
      </c>
      <c r="E1511" s="2" t="s">
        <v>2257</v>
      </c>
      <c r="F1511" s="8" t="s">
        <v>2257</v>
      </c>
      <c r="G1511" s="2" t="s">
        <v>2257</v>
      </c>
      <c r="H1511" s="2" t="s">
        <v>2257</v>
      </c>
      <c r="I1511" s="2" t="s">
        <v>2257</v>
      </c>
      <c r="J1511" t="str">
        <f t="shared" si="45"/>
        <v/>
      </c>
    </row>
    <row r="1512" spans="1:10" x14ac:dyDescent="0.15">
      <c r="A1512" t="s">
        <v>2257</v>
      </c>
      <c r="B1512" t="s">
        <v>2257</v>
      </c>
      <c r="C1512" s="2" t="s">
        <v>2257</v>
      </c>
      <c r="D1512" t="s">
        <v>2257</v>
      </c>
      <c r="E1512" s="2" t="s">
        <v>2257</v>
      </c>
      <c r="F1512" s="8" t="s">
        <v>2257</v>
      </c>
      <c r="G1512" s="2" t="s">
        <v>2257</v>
      </c>
      <c r="H1512" s="2" t="s">
        <v>2257</v>
      </c>
      <c r="I1512" s="2" t="s">
        <v>2257</v>
      </c>
      <c r="J1512" t="str">
        <f t="shared" si="45"/>
        <v/>
      </c>
    </row>
    <row r="1513" spans="1:10" x14ac:dyDescent="0.15">
      <c r="A1513" t="s">
        <v>2257</v>
      </c>
      <c r="B1513" t="s">
        <v>2257</v>
      </c>
      <c r="C1513" s="2" t="s">
        <v>2257</v>
      </c>
      <c r="D1513" t="s">
        <v>2257</v>
      </c>
      <c r="E1513" s="2" t="s">
        <v>2257</v>
      </c>
      <c r="F1513" s="8" t="s">
        <v>2257</v>
      </c>
      <c r="G1513" s="2" t="s">
        <v>2257</v>
      </c>
      <c r="H1513" s="2" t="s">
        <v>2257</v>
      </c>
      <c r="I1513" s="2" t="s">
        <v>2257</v>
      </c>
      <c r="J1513" t="str">
        <f t="shared" si="45"/>
        <v/>
      </c>
    </row>
    <row r="1514" spans="1:10" x14ac:dyDescent="0.15">
      <c r="A1514" t="s">
        <v>2257</v>
      </c>
      <c r="B1514" t="s">
        <v>2257</v>
      </c>
      <c r="C1514" s="2" t="s">
        <v>2257</v>
      </c>
      <c r="D1514" t="s">
        <v>2257</v>
      </c>
      <c r="E1514" s="2" t="s">
        <v>2257</v>
      </c>
      <c r="F1514" s="8" t="s">
        <v>2257</v>
      </c>
      <c r="G1514" s="2" t="s">
        <v>2257</v>
      </c>
      <c r="H1514" s="2" t="s">
        <v>2257</v>
      </c>
      <c r="I1514" s="2" t="s">
        <v>2257</v>
      </c>
      <c r="J1514" t="str">
        <f t="shared" si="45"/>
        <v/>
      </c>
    </row>
    <row r="1515" spans="1:10" x14ac:dyDescent="0.15">
      <c r="A1515" t="s">
        <v>2257</v>
      </c>
      <c r="B1515" t="s">
        <v>2257</v>
      </c>
      <c r="C1515" s="2" t="s">
        <v>2257</v>
      </c>
      <c r="D1515" t="s">
        <v>2257</v>
      </c>
      <c r="E1515" s="2" t="s">
        <v>2257</v>
      </c>
      <c r="F1515" s="8" t="s">
        <v>2257</v>
      </c>
      <c r="G1515" s="2" t="s">
        <v>2257</v>
      </c>
      <c r="H1515" s="2" t="s">
        <v>2257</v>
      </c>
      <c r="I1515" s="2" t="s">
        <v>2257</v>
      </c>
      <c r="J1515" t="str">
        <f t="shared" si="45"/>
        <v/>
      </c>
    </row>
    <row r="1516" spans="1:10" x14ac:dyDescent="0.15">
      <c r="A1516" t="s">
        <v>2257</v>
      </c>
      <c r="B1516" t="s">
        <v>2257</v>
      </c>
      <c r="C1516" s="2" t="s">
        <v>2257</v>
      </c>
      <c r="D1516" t="s">
        <v>2257</v>
      </c>
      <c r="E1516" s="2" t="s">
        <v>2257</v>
      </c>
      <c r="F1516" s="8" t="s">
        <v>2257</v>
      </c>
      <c r="G1516" s="2" t="s">
        <v>2257</v>
      </c>
      <c r="H1516" s="2" t="s">
        <v>2257</v>
      </c>
      <c r="I1516" s="2" t="s">
        <v>2257</v>
      </c>
      <c r="J1516" t="str">
        <f t="shared" si="45"/>
        <v/>
      </c>
    </row>
    <row r="1517" spans="1:10" x14ac:dyDescent="0.15">
      <c r="A1517" t="s">
        <v>2257</v>
      </c>
      <c r="B1517" t="s">
        <v>2257</v>
      </c>
      <c r="C1517" s="2" t="s">
        <v>2257</v>
      </c>
      <c r="D1517" t="s">
        <v>2257</v>
      </c>
      <c r="E1517" s="2" t="s">
        <v>2257</v>
      </c>
      <c r="F1517" s="8" t="s">
        <v>2257</v>
      </c>
      <c r="G1517" s="2" t="s">
        <v>2257</v>
      </c>
      <c r="H1517" s="2" t="s">
        <v>2257</v>
      </c>
      <c r="I1517" s="2" t="s">
        <v>2257</v>
      </c>
      <c r="J1517" t="str">
        <f t="shared" si="45"/>
        <v/>
      </c>
    </row>
    <row r="1518" spans="1:10" x14ac:dyDescent="0.15">
      <c r="A1518" t="s">
        <v>2257</v>
      </c>
      <c r="B1518" t="s">
        <v>2257</v>
      </c>
      <c r="C1518" s="2" t="s">
        <v>2257</v>
      </c>
      <c r="D1518" t="s">
        <v>2257</v>
      </c>
      <c r="E1518" s="2" t="s">
        <v>2257</v>
      </c>
      <c r="F1518" s="8" t="s">
        <v>2257</v>
      </c>
      <c r="G1518" s="2" t="s">
        <v>2257</v>
      </c>
      <c r="H1518" s="2" t="s">
        <v>2257</v>
      </c>
      <c r="I1518" s="2" t="s">
        <v>2257</v>
      </c>
      <c r="J1518" t="str">
        <f t="shared" si="45"/>
        <v/>
      </c>
    </row>
    <row r="1519" spans="1:10" x14ac:dyDescent="0.15">
      <c r="A1519" t="s">
        <v>2257</v>
      </c>
      <c r="B1519" t="s">
        <v>2257</v>
      </c>
      <c r="C1519" s="2" t="s">
        <v>2257</v>
      </c>
      <c r="D1519" t="s">
        <v>2257</v>
      </c>
      <c r="E1519" s="2" t="s">
        <v>2257</v>
      </c>
      <c r="F1519" s="8" t="s">
        <v>2257</v>
      </c>
      <c r="G1519" s="2" t="s">
        <v>2257</v>
      </c>
      <c r="H1519" s="2" t="s">
        <v>2257</v>
      </c>
      <c r="I1519" s="2" t="s">
        <v>2257</v>
      </c>
      <c r="J1519" t="str">
        <f t="shared" si="45"/>
        <v/>
      </c>
    </row>
    <row r="1520" spans="1:10" x14ac:dyDescent="0.15">
      <c r="A1520" t="s">
        <v>2257</v>
      </c>
      <c r="B1520" t="s">
        <v>2257</v>
      </c>
      <c r="C1520" s="2" t="s">
        <v>2257</v>
      </c>
      <c r="D1520" t="s">
        <v>2257</v>
      </c>
      <c r="E1520" s="2" t="s">
        <v>2257</v>
      </c>
      <c r="F1520" s="8" t="s">
        <v>2257</v>
      </c>
      <c r="G1520" s="2" t="s">
        <v>2257</v>
      </c>
      <c r="H1520" s="2" t="s">
        <v>2257</v>
      </c>
      <c r="I1520" s="2" t="s">
        <v>2257</v>
      </c>
      <c r="J1520" t="str">
        <f t="shared" si="45"/>
        <v/>
      </c>
    </row>
    <row r="1521" spans="1:10" x14ac:dyDescent="0.15">
      <c r="A1521" t="s">
        <v>2257</v>
      </c>
      <c r="B1521" t="s">
        <v>2257</v>
      </c>
      <c r="C1521" s="2" t="s">
        <v>2257</v>
      </c>
      <c r="D1521" t="s">
        <v>2257</v>
      </c>
      <c r="E1521" s="2" t="s">
        <v>2257</v>
      </c>
      <c r="F1521" s="8" t="s">
        <v>2257</v>
      </c>
      <c r="G1521" s="2" t="s">
        <v>2257</v>
      </c>
      <c r="H1521" s="2" t="s">
        <v>2257</v>
      </c>
      <c r="I1521" s="2" t="s">
        <v>2257</v>
      </c>
      <c r="J1521" t="str">
        <f t="shared" si="45"/>
        <v/>
      </c>
    </row>
    <row r="1522" spans="1:10" x14ac:dyDescent="0.15">
      <c r="A1522" t="s">
        <v>2257</v>
      </c>
      <c r="B1522" t="s">
        <v>2257</v>
      </c>
      <c r="C1522" s="2" t="s">
        <v>2257</v>
      </c>
      <c r="D1522" t="s">
        <v>2257</v>
      </c>
      <c r="E1522" s="2" t="s">
        <v>2257</v>
      </c>
      <c r="F1522" s="8" t="s">
        <v>2257</v>
      </c>
      <c r="G1522" s="2" t="s">
        <v>2257</v>
      </c>
      <c r="H1522" s="2" t="s">
        <v>2257</v>
      </c>
      <c r="I1522" s="2" t="s">
        <v>2257</v>
      </c>
      <c r="J1522" t="str">
        <f t="shared" si="45"/>
        <v/>
      </c>
    </row>
    <row r="1523" spans="1:10" x14ac:dyDescent="0.15">
      <c r="A1523" t="s">
        <v>2257</v>
      </c>
      <c r="B1523" t="s">
        <v>2257</v>
      </c>
      <c r="C1523" s="2" t="s">
        <v>2257</v>
      </c>
      <c r="D1523" t="s">
        <v>2257</v>
      </c>
      <c r="E1523" s="2" t="s">
        <v>2257</v>
      </c>
      <c r="F1523" s="8" t="s">
        <v>2257</v>
      </c>
      <c r="G1523" s="2" t="s">
        <v>2257</v>
      </c>
      <c r="H1523" s="2" t="s">
        <v>2257</v>
      </c>
      <c r="I1523" s="2" t="s">
        <v>2257</v>
      </c>
      <c r="J1523" t="str">
        <f t="shared" si="45"/>
        <v/>
      </c>
    </row>
    <row r="1524" spans="1:10" x14ac:dyDescent="0.15">
      <c r="A1524" t="s">
        <v>2257</v>
      </c>
      <c r="B1524" t="s">
        <v>2257</v>
      </c>
      <c r="C1524" s="2" t="s">
        <v>2257</v>
      </c>
      <c r="D1524" t="s">
        <v>2257</v>
      </c>
      <c r="E1524" s="2" t="s">
        <v>2257</v>
      </c>
      <c r="F1524" s="8" t="s">
        <v>2257</v>
      </c>
      <c r="G1524" s="2" t="s">
        <v>2257</v>
      </c>
      <c r="H1524" s="2" t="s">
        <v>2257</v>
      </c>
      <c r="I1524" s="2" t="s">
        <v>2257</v>
      </c>
      <c r="J1524" t="str">
        <f t="shared" si="45"/>
        <v/>
      </c>
    </row>
    <row r="1525" spans="1:10" x14ac:dyDescent="0.15">
      <c r="A1525" t="s">
        <v>2257</v>
      </c>
      <c r="B1525" t="s">
        <v>2257</v>
      </c>
      <c r="C1525" s="2" t="s">
        <v>2257</v>
      </c>
      <c r="D1525" t="s">
        <v>2257</v>
      </c>
      <c r="E1525" s="2" t="s">
        <v>2257</v>
      </c>
      <c r="F1525" s="8" t="s">
        <v>2257</v>
      </c>
      <c r="G1525" s="2" t="s">
        <v>2257</v>
      </c>
      <c r="H1525" s="2" t="s">
        <v>2257</v>
      </c>
      <c r="I1525" s="2" t="s">
        <v>2257</v>
      </c>
      <c r="J1525" t="str">
        <f t="shared" si="45"/>
        <v/>
      </c>
    </row>
    <row r="1526" spans="1:10" x14ac:dyDescent="0.15">
      <c r="A1526" t="s">
        <v>2257</v>
      </c>
      <c r="B1526" t="s">
        <v>2257</v>
      </c>
      <c r="C1526" s="2" t="s">
        <v>2257</v>
      </c>
      <c r="D1526" t="s">
        <v>2257</v>
      </c>
      <c r="E1526" s="2" t="s">
        <v>2257</v>
      </c>
      <c r="F1526" s="8" t="s">
        <v>2257</v>
      </c>
      <c r="G1526" s="2" t="s">
        <v>2257</v>
      </c>
      <c r="H1526" s="2" t="s">
        <v>2257</v>
      </c>
      <c r="I1526" s="2" t="s">
        <v>2257</v>
      </c>
      <c r="J1526" t="str">
        <f t="shared" si="45"/>
        <v/>
      </c>
    </row>
    <row r="1527" spans="1:10" x14ac:dyDescent="0.15">
      <c r="A1527" t="s">
        <v>2257</v>
      </c>
      <c r="B1527" t="s">
        <v>2257</v>
      </c>
      <c r="C1527" s="2" t="s">
        <v>2257</v>
      </c>
      <c r="D1527" t="s">
        <v>2257</v>
      </c>
      <c r="E1527" s="2" t="s">
        <v>2257</v>
      </c>
      <c r="F1527" s="8" t="s">
        <v>2257</v>
      </c>
      <c r="G1527" s="2" t="s">
        <v>2257</v>
      </c>
      <c r="H1527" s="2" t="s">
        <v>2257</v>
      </c>
      <c r="I1527" s="2" t="s">
        <v>2257</v>
      </c>
      <c r="J1527" t="str">
        <f t="shared" si="45"/>
        <v/>
      </c>
    </row>
    <row r="1528" spans="1:10" x14ac:dyDescent="0.15">
      <c r="A1528" t="s">
        <v>2257</v>
      </c>
      <c r="B1528" t="s">
        <v>2257</v>
      </c>
      <c r="C1528" s="2" t="s">
        <v>2257</v>
      </c>
      <c r="D1528" t="s">
        <v>2257</v>
      </c>
      <c r="E1528" s="2" t="s">
        <v>2257</v>
      </c>
      <c r="F1528" s="8" t="s">
        <v>2257</v>
      </c>
      <c r="G1528" s="2" t="s">
        <v>2257</v>
      </c>
      <c r="H1528" s="2" t="s">
        <v>2257</v>
      </c>
      <c r="I1528" s="2" t="s">
        <v>2257</v>
      </c>
      <c r="J1528" t="str">
        <f t="shared" si="45"/>
        <v/>
      </c>
    </row>
    <row r="1529" spans="1:10" x14ac:dyDescent="0.15">
      <c r="A1529" t="s">
        <v>2257</v>
      </c>
      <c r="B1529" t="s">
        <v>2257</v>
      </c>
      <c r="C1529" s="2" t="s">
        <v>2257</v>
      </c>
      <c r="D1529" t="s">
        <v>2257</v>
      </c>
      <c r="E1529" s="2" t="s">
        <v>2257</v>
      </c>
      <c r="F1529" s="8" t="s">
        <v>2257</v>
      </c>
      <c r="G1529" s="2" t="s">
        <v>2257</v>
      </c>
      <c r="H1529" s="2" t="s">
        <v>2257</v>
      </c>
      <c r="I1529" s="2" t="s">
        <v>2257</v>
      </c>
      <c r="J1529" t="str">
        <f t="shared" si="45"/>
        <v/>
      </c>
    </row>
    <row r="1530" spans="1:10" x14ac:dyDescent="0.15">
      <c r="A1530" t="s">
        <v>2257</v>
      </c>
      <c r="B1530" t="s">
        <v>2257</v>
      </c>
      <c r="C1530" s="2" t="s">
        <v>2257</v>
      </c>
      <c r="D1530" t="s">
        <v>2257</v>
      </c>
      <c r="E1530" s="2" t="s">
        <v>2257</v>
      </c>
      <c r="F1530" s="8" t="s">
        <v>2257</v>
      </c>
      <c r="G1530" s="2" t="s">
        <v>2257</v>
      </c>
      <c r="H1530" s="2" t="s">
        <v>2257</v>
      </c>
      <c r="I1530" s="2" t="s">
        <v>2257</v>
      </c>
      <c r="J1530" t="str">
        <f t="shared" si="45"/>
        <v/>
      </c>
    </row>
    <row r="1531" spans="1:10" x14ac:dyDescent="0.15">
      <c r="A1531" t="s">
        <v>2257</v>
      </c>
      <c r="B1531" t="s">
        <v>2257</v>
      </c>
      <c r="C1531" s="2" t="s">
        <v>2257</v>
      </c>
      <c r="D1531" t="s">
        <v>2257</v>
      </c>
      <c r="E1531" s="2" t="s">
        <v>2257</v>
      </c>
      <c r="F1531" s="8" t="s">
        <v>2257</v>
      </c>
      <c r="G1531" s="2" t="s">
        <v>2257</v>
      </c>
      <c r="H1531" s="2" t="s">
        <v>2257</v>
      </c>
      <c r="I1531" s="2" t="s">
        <v>2257</v>
      </c>
      <c r="J1531" t="str">
        <f t="shared" si="45"/>
        <v/>
      </c>
    </row>
    <row r="1532" spans="1:10" x14ac:dyDescent="0.15">
      <c r="A1532" t="s">
        <v>2257</v>
      </c>
      <c r="B1532" t="s">
        <v>2257</v>
      </c>
      <c r="C1532" s="2" t="s">
        <v>2257</v>
      </c>
      <c r="D1532" t="s">
        <v>2257</v>
      </c>
      <c r="E1532" s="2" t="s">
        <v>2257</v>
      </c>
      <c r="F1532" s="8" t="s">
        <v>2257</v>
      </c>
      <c r="G1532" s="2" t="s">
        <v>2257</v>
      </c>
      <c r="H1532" s="2" t="s">
        <v>2257</v>
      </c>
      <c r="I1532" s="2" t="s">
        <v>2257</v>
      </c>
      <c r="J1532" t="str">
        <f t="shared" si="45"/>
        <v/>
      </c>
    </row>
    <row r="1533" spans="1:10" x14ac:dyDescent="0.15">
      <c r="A1533" t="s">
        <v>2257</v>
      </c>
      <c r="B1533" t="s">
        <v>2257</v>
      </c>
      <c r="C1533" s="2" t="s">
        <v>2257</v>
      </c>
      <c r="D1533" t="s">
        <v>2257</v>
      </c>
      <c r="E1533" s="2" t="s">
        <v>2257</v>
      </c>
      <c r="F1533" s="8" t="s">
        <v>2257</v>
      </c>
      <c r="G1533" s="2" t="s">
        <v>2257</v>
      </c>
      <c r="H1533" s="2" t="s">
        <v>2257</v>
      </c>
      <c r="I1533" s="2" t="s">
        <v>2257</v>
      </c>
      <c r="J1533" t="str">
        <f t="shared" si="45"/>
        <v/>
      </c>
    </row>
    <row r="1534" spans="1:10" x14ac:dyDescent="0.15">
      <c r="A1534" t="s">
        <v>2257</v>
      </c>
      <c r="B1534" t="s">
        <v>2257</v>
      </c>
      <c r="C1534" s="2" t="s">
        <v>2257</v>
      </c>
      <c r="D1534" t="s">
        <v>2257</v>
      </c>
      <c r="E1534" s="2" t="s">
        <v>2257</v>
      </c>
      <c r="F1534" s="8" t="s">
        <v>2257</v>
      </c>
      <c r="G1534" s="2" t="s">
        <v>2257</v>
      </c>
      <c r="H1534" s="2" t="s">
        <v>2257</v>
      </c>
      <c r="I1534" s="2" t="s">
        <v>2257</v>
      </c>
      <c r="J1534" t="str">
        <f t="shared" si="45"/>
        <v/>
      </c>
    </row>
    <row r="1535" spans="1:10" x14ac:dyDescent="0.15">
      <c r="A1535" t="s">
        <v>2257</v>
      </c>
      <c r="B1535" t="s">
        <v>2257</v>
      </c>
      <c r="C1535" s="2" t="s">
        <v>2257</v>
      </c>
      <c r="D1535" t="s">
        <v>2257</v>
      </c>
      <c r="E1535" s="2" t="s">
        <v>2257</v>
      </c>
      <c r="F1535" s="8" t="s">
        <v>2257</v>
      </c>
      <c r="G1535" s="2" t="s">
        <v>2257</v>
      </c>
      <c r="H1535" s="2" t="s">
        <v>2257</v>
      </c>
      <c r="I1535" s="2" t="s">
        <v>2257</v>
      </c>
      <c r="J1535" t="str">
        <f t="shared" si="45"/>
        <v/>
      </c>
    </row>
    <row r="1536" spans="1:10" x14ac:dyDescent="0.15">
      <c r="A1536" t="s">
        <v>2257</v>
      </c>
      <c r="B1536" t="s">
        <v>2257</v>
      </c>
      <c r="C1536" s="2" t="s">
        <v>2257</v>
      </c>
      <c r="D1536" t="s">
        <v>2257</v>
      </c>
      <c r="E1536" s="2" t="s">
        <v>2257</v>
      </c>
      <c r="F1536" s="8" t="s">
        <v>2257</v>
      </c>
      <c r="G1536" s="2" t="s">
        <v>2257</v>
      </c>
      <c r="H1536" s="2" t="s">
        <v>2257</v>
      </c>
      <c r="I1536" s="2" t="s">
        <v>2257</v>
      </c>
      <c r="J1536" t="str">
        <f t="shared" si="45"/>
        <v/>
      </c>
    </row>
    <row r="1537" spans="1:10" x14ac:dyDescent="0.15">
      <c r="A1537" t="s">
        <v>2257</v>
      </c>
      <c r="B1537" t="s">
        <v>2257</v>
      </c>
      <c r="C1537" s="2" t="s">
        <v>2257</v>
      </c>
      <c r="D1537" t="s">
        <v>2257</v>
      </c>
      <c r="E1537" s="2" t="s">
        <v>2257</v>
      </c>
      <c r="F1537" s="8" t="s">
        <v>2257</v>
      </c>
      <c r="G1537" s="2" t="s">
        <v>2257</v>
      </c>
      <c r="H1537" s="2" t="s">
        <v>2257</v>
      </c>
      <c r="I1537" s="2" t="s">
        <v>2257</v>
      </c>
      <c r="J1537" t="str">
        <f t="shared" si="45"/>
        <v/>
      </c>
    </row>
    <row r="1538" spans="1:10" x14ac:dyDescent="0.15">
      <c r="A1538" t="s">
        <v>2257</v>
      </c>
      <c r="B1538" t="s">
        <v>2257</v>
      </c>
      <c r="C1538" s="2" t="s">
        <v>2257</v>
      </c>
      <c r="D1538" t="s">
        <v>2257</v>
      </c>
      <c r="E1538" s="2" t="s">
        <v>2257</v>
      </c>
      <c r="F1538" s="8" t="s">
        <v>2257</v>
      </c>
      <c r="G1538" s="2" t="s">
        <v>2257</v>
      </c>
      <c r="H1538" s="2" t="s">
        <v>2257</v>
      </c>
      <c r="I1538" s="2" t="s">
        <v>2257</v>
      </c>
      <c r="J1538" t="str">
        <f t="shared" si="45"/>
        <v/>
      </c>
    </row>
    <row r="1539" spans="1:10" x14ac:dyDescent="0.15">
      <c r="A1539" t="s">
        <v>2257</v>
      </c>
      <c r="B1539" t="s">
        <v>2257</v>
      </c>
      <c r="C1539" s="2" t="s">
        <v>2257</v>
      </c>
      <c r="D1539" t="s">
        <v>2257</v>
      </c>
      <c r="E1539" s="2" t="s">
        <v>2257</v>
      </c>
      <c r="F1539" s="8" t="s">
        <v>2257</v>
      </c>
      <c r="G1539" s="2" t="s">
        <v>2257</v>
      </c>
      <c r="H1539" s="2" t="s">
        <v>2257</v>
      </c>
      <c r="I1539" s="2" t="s">
        <v>2257</v>
      </c>
      <c r="J1539" t="str">
        <f t="shared" si="45"/>
        <v/>
      </c>
    </row>
    <row r="1540" spans="1:10" x14ac:dyDescent="0.15">
      <c r="A1540" t="s">
        <v>2257</v>
      </c>
      <c r="B1540" t="s">
        <v>2257</v>
      </c>
      <c r="C1540" s="2" t="s">
        <v>2257</v>
      </c>
      <c r="D1540" t="s">
        <v>2257</v>
      </c>
      <c r="E1540" s="2" t="s">
        <v>2257</v>
      </c>
      <c r="F1540" s="8" t="s">
        <v>2257</v>
      </c>
      <c r="G1540" s="2" t="s">
        <v>2257</v>
      </c>
      <c r="H1540" s="2" t="s">
        <v>2257</v>
      </c>
      <c r="I1540" s="2" t="s">
        <v>2257</v>
      </c>
      <c r="J1540" t="str">
        <f t="shared" si="45"/>
        <v/>
      </c>
    </row>
    <row r="1541" spans="1:10" x14ac:dyDescent="0.15">
      <c r="A1541" t="s">
        <v>2257</v>
      </c>
      <c r="B1541" t="s">
        <v>2257</v>
      </c>
      <c r="C1541" s="2" t="s">
        <v>2257</v>
      </c>
      <c r="D1541" t="s">
        <v>2257</v>
      </c>
      <c r="E1541" s="2" t="s">
        <v>2257</v>
      </c>
      <c r="F1541" s="8" t="s">
        <v>2257</v>
      </c>
      <c r="G1541" s="2" t="s">
        <v>2257</v>
      </c>
      <c r="H1541" s="2" t="s">
        <v>2257</v>
      </c>
      <c r="I1541" s="2" t="s">
        <v>2257</v>
      </c>
      <c r="J1541" t="str">
        <f t="shared" si="45"/>
        <v/>
      </c>
    </row>
    <row r="1542" spans="1:10" x14ac:dyDescent="0.15">
      <c r="A1542" t="s">
        <v>2257</v>
      </c>
      <c r="B1542" t="s">
        <v>2257</v>
      </c>
      <c r="C1542" s="2" t="s">
        <v>2257</v>
      </c>
      <c r="D1542" t="s">
        <v>2257</v>
      </c>
      <c r="E1542" s="2" t="s">
        <v>2257</v>
      </c>
      <c r="F1542" s="8" t="s">
        <v>2257</v>
      </c>
      <c r="G1542" s="2" t="s">
        <v>2257</v>
      </c>
      <c r="H1542" s="2" t="s">
        <v>2257</v>
      </c>
      <c r="I1542" s="2" t="s">
        <v>2257</v>
      </c>
      <c r="J1542" t="str">
        <f t="shared" si="45"/>
        <v/>
      </c>
    </row>
    <row r="1543" spans="1:10" x14ac:dyDescent="0.15">
      <c r="A1543" t="s">
        <v>2257</v>
      </c>
      <c r="B1543" t="s">
        <v>2257</v>
      </c>
      <c r="C1543" s="2" t="s">
        <v>2257</v>
      </c>
      <c r="D1543" t="s">
        <v>2257</v>
      </c>
      <c r="E1543" s="2" t="s">
        <v>2257</v>
      </c>
      <c r="F1543" s="8" t="s">
        <v>2257</v>
      </c>
      <c r="G1543" s="2" t="s">
        <v>2257</v>
      </c>
      <c r="H1543" s="2" t="s">
        <v>2257</v>
      </c>
      <c r="I1543" s="2" t="s">
        <v>2257</v>
      </c>
      <c r="J1543" t="str">
        <f t="shared" si="45"/>
        <v/>
      </c>
    </row>
    <row r="1544" spans="1:10" x14ac:dyDescent="0.15">
      <c r="A1544" t="s">
        <v>2257</v>
      </c>
      <c r="B1544" t="s">
        <v>2257</v>
      </c>
      <c r="C1544" s="2" t="s">
        <v>2257</v>
      </c>
      <c r="D1544" t="s">
        <v>2257</v>
      </c>
      <c r="E1544" s="2" t="s">
        <v>2257</v>
      </c>
      <c r="F1544" s="8" t="s">
        <v>2257</v>
      </c>
      <c r="G1544" s="2" t="s">
        <v>2257</v>
      </c>
      <c r="H1544" s="2" t="s">
        <v>2257</v>
      </c>
      <c r="I1544" s="2" t="s">
        <v>2257</v>
      </c>
      <c r="J1544" t="str">
        <f t="shared" si="45"/>
        <v/>
      </c>
    </row>
    <row r="1545" spans="1:10" x14ac:dyDescent="0.15">
      <c r="A1545" t="s">
        <v>2257</v>
      </c>
      <c r="B1545" t="s">
        <v>2257</v>
      </c>
      <c r="C1545" s="2" t="s">
        <v>2257</v>
      </c>
      <c r="D1545" t="s">
        <v>2257</v>
      </c>
      <c r="E1545" s="2" t="s">
        <v>2257</v>
      </c>
      <c r="F1545" s="8" t="s">
        <v>2257</v>
      </c>
      <c r="G1545" s="2" t="s">
        <v>2257</v>
      </c>
      <c r="H1545" s="2" t="s">
        <v>2257</v>
      </c>
      <c r="I1545" s="2" t="s">
        <v>2257</v>
      </c>
      <c r="J1545" t="str">
        <f t="shared" si="45"/>
        <v/>
      </c>
    </row>
    <row r="1546" spans="1:10" x14ac:dyDescent="0.15">
      <c r="A1546" t="s">
        <v>2257</v>
      </c>
      <c r="B1546" t="s">
        <v>2257</v>
      </c>
      <c r="C1546" s="2" t="s">
        <v>2257</v>
      </c>
      <c r="D1546" t="s">
        <v>2257</v>
      </c>
      <c r="E1546" s="2" t="s">
        <v>2257</v>
      </c>
      <c r="F1546" s="8" t="s">
        <v>2257</v>
      </c>
      <c r="G1546" s="2" t="s">
        <v>2257</v>
      </c>
      <c r="H1546" s="2" t="s">
        <v>2257</v>
      </c>
      <c r="I1546" s="2" t="s">
        <v>2257</v>
      </c>
      <c r="J1546" t="str">
        <f t="shared" si="45"/>
        <v/>
      </c>
    </row>
    <row r="1547" spans="1:10" x14ac:dyDescent="0.15">
      <c r="A1547" t="s">
        <v>2257</v>
      </c>
      <c r="B1547" t="s">
        <v>2257</v>
      </c>
      <c r="C1547" s="2" t="s">
        <v>2257</v>
      </c>
      <c r="D1547" t="s">
        <v>2257</v>
      </c>
      <c r="E1547" s="2" t="s">
        <v>2257</v>
      </c>
      <c r="F1547" s="8" t="s">
        <v>2257</v>
      </c>
      <c r="G1547" s="2" t="s">
        <v>2257</v>
      </c>
      <c r="H1547" s="2" t="s">
        <v>2257</v>
      </c>
      <c r="I1547" s="2" t="s">
        <v>2257</v>
      </c>
      <c r="J1547" t="str">
        <f t="shared" ref="J1547:J1610" si="46">IF(A1547="","",IF(AND(C1547="",D1547&lt;&gt;"UNS",I1547=""),"Open","Closed"))</f>
        <v/>
      </c>
    </row>
    <row r="1548" spans="1:10" x14ac:dyDescent="0.15">
      <c r="A1548" t="s">
        <v>2257</v>
      </c>
      <c r="B1548" t="s">
        <v>2257</v>
      </c>
      <c r="C1548" s="2" t="s">
        <v>2257</v>
      </c>
      <c r="D1548" t="s">
        <v>2257</v>
      </c>
      <c r="E1548" s="2" t="s">
        <v>2257</v>
      </c>
      <c r="F1548" s="8" t="s">
        <v>2257</v>
      </c>
      <c r="G1548" s="2" t="s">
        <v>2257</v>
      </c>
      <c r="H1548" s="2" t="s">
        <v>2257</v>
      </c>
      <c r="I1548" s="2" t="s">
        <v>2257</v>
      </c>
      <c r="J1548" t="str">
        <f t="shared" si="46"/>
        <v/>
      </c>
    </row>
    <row r="1549" spans="1:10" x14ac:dyDescent="0.15">
      <c r="A1549" t="s">
        <v>2257</v>
      </c>
      <c r="B1549" t="s">
        <v>2257</v>
      </c>
      <c r="C1549" s="2" t="s">
        <v>2257</v>
      </c>
      <c r="D1549" t="s">
        <v>2257</v>
      </c>
      <c r="E1549" s="2" t="s">
        <v>2257</v>
      </c>
      <c r="F1549" s="8" t="s">
        <v>2257</v>
      </c>
      <c r="G1549" s="2" t="s">
        <v>2257</v>
      </c>
      <c r="H1549" s="2" t="s">
        <v>2257</v>
      </c>
      <c r="I1549" s="2" t="s">
        <v>2257</v>
      </c>
      <c r="J1549" t="str">
        <f t="shared" si="46"/>
        <v/>
      </c>
    </row>
    <row r="1550" spans="1:10" x14ac:dyDescent="0.15">
      <c r="A1550" t="s">
        <v>2257</v>
      </c>
      <c r="B1550" t="s">
        <v>2257</v>
      </c>
      <c r="C1550" s="2" t="s">
        <v>2257</v>
      </c>
      <c r="D1550" t="s">
        <v>2257</v>
      </c>
      <c r="E1550" s="2" t="s">
        <v>2257</v>
      </c>
      <c r="F1550" s="8" t="s">
        <v>2257</v>
      </c>
      <c r="G1550" s="2" t="s">
        <v>2257</v>
      </c>
      <c r="H1550" s="2" t="s">
        <v>2257</v>
      </c>
      <c r="I1550" s="2" t="s">
        <v>2257</v>
      </c>
      <c r="J1550" t="str">
        <f t="shared" si="46"/>
        <v/>
      </c>
    </row>
    <row r="1551" spans="1:10" x14ac:dyDescent="0.15">
      <c r="A1551" t="s">
        <v>2257</v>
      </c>
      <c r="B1551" t="s">
        <v>2257</v>
      </c>
      <c r="C1551" s="2" t="s">
        <v>2257</v>
      </c>
      <c r="D1551" t="s">
        <v>2257</v>
      </c>
      <c r="E1551" s="2" t="s">
        <v>2257</v>
      </c>
      <c r="F1551" s="8" t="s">
        <v>2257</v>
      </c>
      <c r="G1551" s="2" t="s">
        <v>2257</v>
      </c>
      <c r="H1551" s="2" t="s">
        <v>2257</v>
      </c>
      <c r="I1551" s="2" t="s">
        <v>2257</v>
      </c>
      <c r="J1551" t="str">
        <f t="shared" si="46"/>
        <v/>
      </c>
    </row>
    <row r="1552" spans="1:10" x14ac:dyDescent="0.15">
      <c r="A1552" t="s">
        <v>2257</v>
      </c>
      <c r="B1552" t="s">
        <v>2257</v>
      </c>
      <c r="C1552" s="2" t="s">
        <v>2257</v>
      </c>
      <c r="D1552" t="s">
        <v>2257</v>
      </c>
      <c r="E1552" s="2" t="s">
        <v>2257</v>
      </c>
      <c r="F1552" s="8" t="s">
        <v>2257</v>
      </c>
      <c r="G1552" s="2" t="s">
        <v>2257</v>
      </c>
      <c r="H1552" s="2" t="s">
        <v>2257</v>
      </c>
      <c r="I1552" s="2" t="s">
        <v>2257</v>
      </c>
      <c r="J1552" t="str">
        <f t="shared" si="46"/>
        <v/>
      </c>
    </row>
    <row r="1553" spans="1:10" x14ac:dyDescent="0.15">
      <c r="A1553" t="s">
        <v>2257</v>
      </c>
      <c r="B1553" t="s">
        <v>2257</v>
      </c>
      <c r="C1553" s="2" t="s">
        <v>2257</v>
      </c>
      <c r="D1553" t="s">
        <v>2257</v>
      </c>
      <c r="E1553" s="2" t="s">
        <v>2257</v>
      </c>
      <c r="F1553" s="8" t="s">
        <v>2257</v>
      </c>
      <c r="G1553" s="2" t="s">
        <v>2257</v>
      </c>
      <c r="H1553" s="2" t="s">
        <v>2257</v>
      </c>
      <c r="I1553" s="2" t="s">
        <v>2257</v>
      </c>
      <c r="J1553" t="str">
        <f t="shared" si="46"/>
        <v/>
      </c>
    </row>
    <row r="1554" spans="1:10" x14ac:dyDescent="0.15">
      <c r="A1554" t="s">
        <v>2257</v>
      </c>
      <c r="B1554" t="s">
        <v>2257</v>
      </c>
      <c r="C1554" s="2" t="s">
        <v>2257</v>
      </c>
      <c r="D1554" t="s">
        <v>2257</v>
      </c>
      <c r="E1554" s="2" t="s">
        <v>2257</v>
      </c>
      <c r="F1554" s="8" t="s">
        <v>2257</v>
      </c>
      <c r="G1554" s="2" t="s">
        <v>2257</v>
      </c>
      <c r="H1554" s="2" t="s">
        <v>2257</v>
      </c>
      <c r="I1554" s="2" t="s">
        <v>2257</v>
      </c>
      <c r="J1554" t="str">
        <f t="shared" si="46"/>
        <v/>
      </c>
    </row>
    <row r="1555" spans="1:10" x14ac:dyDescent="0.15">
      <c r="A1555" t="s">
        <v>2257</v>
      </c>
      <c r="B1555" t="s">
        <v>2257</v>
      </c>
      <c r="C1555" s="2" t="s">
        <v>2257</v>
      </c>
      <c r="D1555" t="s">
        <v>2257</v>
      </c>
      <c r="E1555" s="2" t="s">
        <v>2257</v>
      </c>
      <c r="F1555" s="8" t="s">
        <v>2257</v>
      </c>
      <c r="G1555" s="2" t="s">
        <v>2257</v>
      </c>
      <c r="H1555" s="2" t="s">
        <v>2257</v>
      </c>
      <c r="I1555" s="2" t="s">
        <v>2257</v>
      </c>
      <c r="J1555" t="str">
        <f t="shared" si="46"/>
        <v/>
      </c>
    </row>
    <row r="1556" spans="1:10" x14ac:dyDescent="0.15">
      <c r="A1556" t="s">
        <v>2257</v>
      </c>
      <c r="B1556" t="s">
        <v>2257</v>
      </c>
      <c r="C1556" s="2" t="s">
        <v>2257</v>
      </c>
      <c r="D1556" t="s">
        <v>2257</v>
      </c>
      <c r="E1556" s="2" t="s">
        <v>2257</v>
      </c>
      <c r="F1556" s="8" t="s">
        <v>2257</v>
      </c>
      <c r="G1556" s="2" t="s">
        <v>2257</v>
      </c>
      <c r="H1556" s="2" t="s">
        <v>2257</v>
      </c>
      <c r="I1556" s="2" t="s">
        <v>2257</v>
      </c>
      <c r="J1556" t="str">
        <f t="shared" si="46"/>
        <v/>
      </c>
    </row>
    <row r="1557" spans="1:10" x14ac:dyDescent="0.15">
      <c r="A1557" t="s">
        <v>2257</v>
      </c>
      <c r="B1557" t="s">
        <v>2257</v>
      </c>
      <c r="C1557" s="2" t="s">
        <v>2257</v>
      </c>
      <c r="D1557" t="s">
        <v>2257</v>
      </c>
      <c r="E1557" s="2" t="s">
        <v>2257</v>
      </c>
      <c r="F1557" s="8" t="s">
        <v>2257</v>
      </c>
      <c r="G1557" s="2" t="s">
        <v>2257</v>
      </c>
      <c r="H1557" s="2" t="s">
        <v>2257</v>
      </c>
      <c r="I1557" s="2" t="s">
        <v>2257</v>
      </c>
      <c r="J1557" t="str">
        <f t="shared" si="46"/>
        <v/>
      </c>
    </row>
    <row r="1558" spans="1:10" x14ac:dyDescent="0.15">
      <c r="A1558" t="s">
        <v>2257</v>
      </c>
      <c r="B1558" t="s">
        <v>2257</v>
      </c>
      <c r="C1558" s="2" t="s">
        <v>2257</v>
      </c>
      <c r="D1558" t="s">
        <v>2257</v>
      </c>
      <c r="E1558" s="2" t="s">
        <v>2257</v>
      </c>
      <c r="F1558" s="8" t="s">
        <v>2257</v>
      </c>
      <c r="G1558" s="2" t="s">
        <v>2257</v>
      </c>
      <c r="H1558" s="2" t="s">
        <v>2257</v>
      </c>
      <c r="I1558" s="2" t="s">
        <v>2257</v>
      </c>
      <c r="J1558" t="str">
        <f t="shared" si="46"/>
        <v/>
      </c>
    </row>
    <row r="1559" spans="1:10" x14ac:dyDescent="0.15">
      <c r="A1559" t="s">
        <v>2257</v>
      </c>
      <c r="B1559" t="s">
        <v>2257</v>
      </c>
      <c r="C1559" s="2" t="s">
        <v>2257</v>
      </c>
      <c r="D1559" t="s">
        <v>2257</v>
      </c>
      <c r="E1559" s="2" t="s">
        <v>2257</v>
      </c>
      <c r="F1559" s="8" t="s">
        <v>2257</v>
      </c>
      <c r="G1559" s="2" t="s">
        <v>2257</v>
      </c>
      <c r="H1559" s="2" t="s">
        <v>2257</v>
      </c>
      <c r="I1559" s="2" t="s">
        <v>2257</v>
      </c>
      <c r="J1559" t="str">
        <f t="shared" si="46"/>
        <v/>
      </c>
    </row>
    <row r="1560" spans="1:10" x14ac:dyDescent="0.15">
      <c r="A1560" t="s">
        <v>2257</v>
      </c>
      <c r="B1560" t="s">
        <v>2257</v>
      </c>
      <c r="C1560" s="2" t="s">
        <v>2257</v>
      </c>
      <c r="D1560" t="s">
        <v>2257</v>
      </c>
      <c r="E1560" s="2" t="s">
        <v>2257</v>
      </c>
      <c r="F1560" s="8" t="s">
        <v>2257</v>
      </c>
      <c r="G1560" s="2" t="s">
        <v>2257</v>
      </c>
      <c r="H1560" s="2" t="s">
        <v>2257</v>
      </c>
      <c r="I1560" s="2" t="s">
        <v>2257</v>
      </c>
      <c r="J1560" t="str">
        <f t="shared" si="46"/>
        <v/>
      </c>
    </row>
    <row r="1561" spans="1:10" x14ac:dyDescent="0.15">
      <c r="A1561" t="s">
        <v>2257</v>
      </c>
      <c r="B1561" t="s">
        <v>2257</v>
      </c>
      <c r="C1561" s="2" t="s">
        <v>2257</v>
      </c>
      <c r="D1561" t="s">
        <v>2257</v>
      </c>
      <c r="E1561" s="2" t="s">
        <v>2257</v>
      </c>
      <c r="F1561" s="8" t="s">
        <v>2257</v>
      </c>
      <c r="G1561" s="2" t="s">
        <v>2257</v>
      </c>
      <c r="H1561" s="2" t="s">
        <v>2257</v>
      </c>
      <c r="I1561" s="2" t="s">
        <v>2257</v>
      </c>
      <c r="J1561" t="str">
        <f t="shared" si="46"/>
        <v/>
      </c>
    </row>
    <row r="1562" spans="1:10" x14ac:dyDescent="0.15">
      <c r="A1562" t="s">
        <v>2257</v>
      </c>
      <c r="B1562" t="s">
        <v>2257</v>
      </c>
      <c r="C1562" s="2" t="s">
        <v>2257</v>
      </c>
      <c r="D1562" t="s">
        <v>2257</v>
      </c>
      <c r="E1562" s="2" t="s">
        <v>2257</v>
      </c>
      <c r="F1562" s="8" t="s">
        <v>2257</v>
      </c>
      <c r="G1562" s="2" t="s">
        <v>2257</v>
      </c>
      <c r="H1562" s="2" t="s">
        <v>2257</v>
      </c>
      <c r="I1562" s="2" t="s">
        <v>2257</v>
      </c>
      <c r="J1562" t="str">
        <f t="shared" si="46"/>
        <v/>
      </c>
    </row>
    <row r="1563" spans="1:10" x14ac:dyDescent="0.15">
      <c r="A1563" t="s">
        <v>2257</v>
      </c>
      <c r="B1563" t="s">
        <v>2257</v>
      </c>
      <c r="C1563" s="2" t="s">
        <v>2257</v>
      </c>
      <c r="D1563" t="s">
        <v>2257</v>
      </c>
      <c r="E1563" s="2" t="s">
        <v>2257</v>
      </c>
      <c r="F1563" s="8" t="s">
        <v>2257</v>
      </c>
      <c r="G1563" s="2" t="s">
        <v>2257</v>
      </c>
      <c r="H1563" s="2" t="s">
        <v>2257</v>
      </c>
      <c r="I1563" s="2" t="s">
        <v>2257</v>
      </c>
      <c r="J1563" t="str">
        <f t="shared" si="46"/>
        <v/>
      </c>
    </row>
    <row r="1564" spans="1:10" x14ac:dyDescent="0.15">
      <c r="A1564" t="s">
        <v>2257</v>
      </c>
      <c r="B1564" t="s">
        <v>2257</v>
      </c>
      <c r="C1564" s="2" t="s">
        <v>2257</v>
      </c>
      <c r="D1564" t="s">
        <v>2257</v>
      </c>
      <c r="E1564" s="2" t="s">
        <v>2257</v>
      </c>
      <c r="F1564" s="8" t="s">
        <v>2257</v>
      </c>
      <c r="G1564" s="2" t="s">
        <v>2257</v>
      </c>
      <c r="H1564" s="2" t="s">
        <v>2257</v>
      </c>
      <c r="I1564" s="2" t="s">
        <v>2257</v>
      </c>
      <c r="J1564" t="str">
        <f t="shared" si="46"/>
        <v/>
      </c>
    </row>
    <row r="1565" spans="1:10" x14ac:dyDescent="0.15">
      <c r="A1565" t="s">
        <v>2257</v>
      </c>
      <c r="B1565" t="s">
        <v>2257</v>
      </c>
      <c r="C1565" s="2" t="s">
        <v>2257</v>
      </c>
      <c r="D1565" t="s">
        <v>2257</v>
      </c>
      <c r="E1565" s="2" t="s">
        <v>2257</v>
      </c>
      <c r="F1565" s="8" t="s">
        <v>2257</v>
      </c>
      <c r="G1565" s="2" t="s">
        <v>2257</v>
      </c>
      <c r="H1565" s="2" t="s">
        <v>2257</v>
      </c>
      <c r="I1565" s="2" t="s">
        <v>2257</v>
      </c>
      <c r="J1565" t="str">
        <f t="shared" si="46"/>
        <v/>
      </c>
    </row>
    <row r="1566" spans="1:10" x14ac:dyDescent="0.15">
      <c r="A1566" t="s">
        <v>2257</v>
      </c>
      <c r="B1566" t="s">
        <v>2257</v>
      </c>
      <c r="C1566" s="2" t="s">
        <v>2257</v>
      </c>
      <c r="D1566" t="s">
        <v>2257</v>
      </c>
      <c r="E1566" s="2" t="s">
        <v>2257</v>
      </c>
      <c r="F1566" s="8" t="s">
        <v>2257</v>
      </c>
      <c r="G1566" s="2" t="s">
        <v>2257</v>
      </c>
      <c r="H1566" s="2" t="s">
        <v>2257</v>
      </c>
      <c r="I1566" s="2" t="s">
        <v>2257</v>
      </c>
      <c r="J1566" t="str">
        <f t="shared" si="46"/>
        <v/>
      </c>
    </row>
    <row r="1567" spans="1:10" x14ac:dyDescent="0.15">
      <c r="A1567" t="s">
        <v>2257</v>
      </c>
      <c r="B1567" t="s">
        <v>2257</v>
      </c>
      <c r="C1567" s="2" t="s">
        <v>2257</v>
      </c>
      <c r="D1567" t="s">
        <v>2257</v>
      </c>
      <c r="E1567" s="2" t="s">
        <v>2257</v>
      </c>
      <c r="F1567" s="8" t="s">
        <v>2257</v>
      </c>
      <c r="G1567" s="2" t="s">
        <v>2257</v>
      </c>
      <c r="H1567" s="2" t="s">
        <v>2257</v>
      </c>
      <c r="I1567" s="2" t="s">
        <v>2257</v>
      </c>
      <c r="J1567" t="str">
        <f t="shared" si="46"/>
        <v/>
      </c>
    </row>
    <row r="1568" spans="1:10" x14ac:dyDescent="0.15">
      <c r="A1568" t="s">
        <v>2257</v>
      </c>
      <c r="B1568" t="s">
        <v>2257</v>
      </c>
      <c r="C1568" s="2" t="s">
        <v>2257</v>
      </c>
      <c r="D1568" t="s">
        <v>2257</v>
      </c>
      <c r="E1568" s="2" t="s">
        <v>2257</v>
      </c>
      <c r="F1568" s="8" t="s">
        <v>2257</v>
      </c>
      <c r="G1568" s="2" t="s">
        <v>2257</v>
      </c>
      <c r="H1568" s="2" t="s">
        <v>2257</v>
      </c>
      <c r="I1568" s="2" t="s">
        <v>2257</v>
      </c>
      <c r="J1568" t="str">
        <f t="shared" si="46"/>
        <v/>
      </c>
    </row>
    <row r="1569" spans="1:10" x14ac:dyDescent="0.15">
      <c r="A1569" t="s">
        <v>2257</v>
      </c>
      <c r="B1569" t="s">
        <v>2257</v>
      </c>
      <c r="C1569" s="2" t="s">
        <v>2257</v>
      </c>
      <c r="D1569" t="s">
        <v>2257</v>
      </c>
      <c r="E1569" s="2" t="s">
        <v>2257</v>
      </c>
      <c r="F1569" s="8" t="s">
        <v>2257</v>
      </c>
      <c r="G1569" s="2" t="s">
        <v>2257</v>
      </c>
      <c r="H1569" s="2" t="s">
        <v>2257</v>
      </c>
      <c r="I1569" s="2" t="s">
        <v>2257</v>
      </c>
      <c r="J1569" t="str">
        <f t="shared" si="46"/>
        <v/>
      </c>
    </row>
    <row r="1570" spans="1:10" x14ac:dyDescent="0.15">
      <c r="A1570" t="s">
        <v>2257</v>
      </c>
      <c r="B1570" t="s">
        <v>2257</v>
      </c>
      <c r="C1570" s="2" t="s">
        <v>2257</v>
      </c>
      <c r="D1570" t="s">
        <v>2257</v>
      </c>
      <c r="E1570" s="2" t="s">
        <v>2257</v>
      </c>
      <c r="F1570" s="8" t="s">
        <v>2257</v>
      </c>
      <c r="G1570" s="2" t="s">
        <v>2257</v>
      </c>
      <c r="H1570" s="2" t="s">
        <v>2257</v>
      </c>
      <c r="I1570" s="2" t="s">
        <v>2257</v>
      </c>
      <c r="J1570" t="str">
        <f t="shared" si="46"/>
        <v/>
      </c>
    </row>
    <row r="1571" spans="1:10" x14ac:dyDescent="0.15">
      <c r="A1571" t="s">
        <v>2257</v>
      </c>
      <c r="B1571" t="s">
        <v>2257</v>
      </c>
      <c r="C1571" s="2" t="s">
        <v>2257</v>
      </c>
      <c r="D1571" t="s">
        <v>2257</v>
      </c>
      <c r="E1571" s="2" t="s">
        <v>2257</v>
      </c>
      <c r="F1571" s="8" t="s">
        <v>2257</v>
      </c>
      <c r="G1571" s="2" t="s">
        <v>2257</v>
      </c>
      <c r="H1571" s="2" t="s">
        <v>2257</v>
      </c>
      <c r="I1571" s="2" t="s">
        <v>2257</v>
      </c>
      <c r="J1571" t="str">
        <f t="shared" si="46"/>
        <v/>
      </c>
    </row>
    <row r="1572" spans="1:10" x14ac:dyDescent="0.15">
      <c r="A1572" t="s">
        <v>2257</v>
      </c>
      <c r="B1572" t="s">
        <v>2257</v>
      </c>
      <c r="C1572" s="2" t="s">
        <v>2257</v>
      </c>
      <c r="D1572" t="s">
        <v>2257</v>
      </c>
      <c r="E1572" s="2" t="s">
        <v>2257</v>
      </c>
      <c r="F1572" s="8" t="s">
        <v>2257</v>
      </c>
      <c r="G1572" s="2" t="s">
        <v>2257</v>
      </c>
      <c r="H1572" s="2" t="s">
        <v>2257</v>
      </c>
      <c r="I1572" s="2" t="s">
        <v>2257</v>
      </c>
      <c r="J1572" t="str">
        <f t="shared" si="46"/>
        <v/>
      </c>
    </row>
    <row r="1573" spans="1:10" x14ac:dyDescent="0.15">
      <c r="A1573" t="s">
        <v>2257</v>
      </c>
      <c r="B1573" t="s">
        <v>2257</v>
      </c>
      <c r="C1573" s="2" t="s">
        <v>2257</v>
      </c>
      <c r="D1573" t="s">
        <v>2257</v>
      </c>
      <c r="E1573" s="2" t="s">
        <v>2257</v>
      </c>
      <c r="F1573" s="8" t="s">
        <v>2257</v>
      </c>
      <c r="G1573" s="2" t="s">
        <v>2257</v>
      </c>
      <c r="H1573" s="2" t="s">
        <v>2257</v>
      </c>
      <c r="I1573" s="2" t="s">
        <v>2257</v>
      </c>
      <c r="J1573" t="str">
        <f t="shared" si="46"/>
        <v/>
      </c>
    </row>
    <row r="1574" spans="1:10" x14ac:dyDescent="0.15">
      <c r="A1574" t="s">
        <v>2257</v>
      </c>
      <c r="B1574" t="s">
        <v>2257</v>
      </c>
      <c r="C1574" s="2" t="s">
        <v>2257</v>
      </c>
      <c r="D1574" t="s">
        <v>2257</v>
      </c>
      <c r="E1574" s="2" t="s">
        <v>2257</v>
      </c>
      <c r="F1574" s="8" t="s">
        <v>2257</v>
      </c>
      <c r="G1574" s="2" t="s">
        <v>2257</v>
      </c>
      <c r="H1574" s="2" t="s">
        <v>2257</v>
      </c>
      <c r="I1574" s="2" t="s">
        <v>2257</v>
      </c>
      <c r="J1574" t="str">
        <f t="shared" si="46"/>
        <v/>
      </c>
    </row>
    <row r="1575" spans="1:10" x14ac:dyDescent="0.15">
      <c r="A1575" t="s">
        <v>2257</v>
      </c>
      <c r="B1575" t="s">
        <v>2257</v>
      </c>
      <c r="C1575" s="2" t="s">
        <v>2257</v>
      </c>
      <c r="D1575" t="s">
        <v>2257</v>
      </c>
      <c r="E1575" s="2" t="s">
        <v>2257</v>
      </c>
      <c r="F1575" s="8" t="s">
        <v>2257</v>
      </c>
      <c r="G1575" s="2" t="s">
        <v>2257</v>
      </c>
      <c r="H1575" s="2" t="s">
        <v>2257</v>
      </c>
      <c r="I1575" s="2" t="s">
        <v>2257</v>
      </c>
      <c r="J1575" t="str">
        <f t="shared" si="46"/>
        <v/>
      </c>
    </row>
    <row r="1576" spans="1:10" x14ac:dyDescent="0.15">
      <c r="A1576" t="s">
        <v>2257</v>
      </c>
      <c r="B1576" t="s">
        <v>2257</v>
      </c>
      <c r="C1576" s="2" t="s">
        <v>2257</v>
      </c>
      <c r="D1576" t="s">
        <v>2257</v>
      </c>
      <c r="E1576" s="2" t="s">
        <v>2257</v>
      </c>
      <c r="F1576" s="8" t="s">
        <v>2257</v>
      </c>
      <c r="G1576" s="2" t="s">
        <v>2257</v>
      </c>
      <c r="H1576" s="2" t="s">
        <v>2257</v>
      </c>
      <c r="I1576" s="2" t="s">
        <v>2257</v>
      </c>
      <c r="J1576" t="str">
        <f t="shared" si="46"/>
        <v/>
      </c>
    </row>
    <row r="1577" spans="1:10" x14ac:dyDescent="0.15">
      <c r="A1577" t="s">
        <v>2257</v>
      </c>
      <c r="B1577" t="s">
        <v>2257</v>
      </c>
      <c r="C1577" s="2" t="s">
        <v>2257</v>
      </c>
      <c r="D1577" t="s">
        <v>2257</v>
      </c>
      <c r="E1577" s="2" t="s">
        <v>2257</v>
      </c>
      <c r="F1577" s="8" t="s">
        <v>2257</v>
      </c>
      <c r="G1577" s="2" t="s">
        <v>2257</v>
      </c>
      <c r="H1577" s="2" t="s">
        <v>2257</v>
      </c>
      <c r="I1577" s="2" t="s">
        <v>2257</v>
      </c>
      <c r="J1577" t="str">
        <f t="shared" si="46"/>
        <v/>
      </c>
    </row>
    <row r="1578" spans="1:10" x14ac:dyDescent="0.15">
      <c r="A1578" t="s">
        <v>2257</v>
      </c>
      <c r="B1578" t="s">
        <v>2257</v>
      </c>
      <c r="C1578" s="2" t="s">
        <v>2257</v>
      </c>
      <c r="D1578" t="s">
        <v>2257</v>
      </c>
      <c r="E1578" s="2" t="s">
        <v>2257</v>
      </c>
      <c r="F1578" s="8" t="s">
        <v>2257</v>
      </c>
      <c r="G1578" s="2" t="s">
        <v>2257</v>
      </c>
      <c r="H1578" s="2" t="s">
        <v>2257</v>
      </c>
      <c r="I1578" s="2" t="s">
        <v>2257</v>
      </c>
      <c r="J1578" t="str">
        <f t="shared" si="46"/>
        <v/>
      </c>
    </row>
    <row r="1579" spans="1:10" x14ac:dyDescent="0.15">
      <c r="A1579" t="s">
        <v>2257</v>
      </c>
      <c r="B1579" t="s">
        <v>2257</v>
      </c>
      <c r="C1579" s="2" t="s">
        <v>2257</v>
      </c>
      <c r="D1579" t="s">
        <v>2257</v>
      </c>
      <c r="E1579" s="2" t="s">
        <v>2257</v>
      </c>
      <c r="F1579" s="8" t="s">
        <v>2257</v>
      </c>
      <c r="G1579" s="2" t="s">
        <v>2257</v>
      </c>
      <c r="H1579" s="2" t="s">
        <v>2257</v>
      </c>
      <c r="I1579" s="2" t="s">
        <v>2257</v>
      </c>
      <c r="J1579" t="str">
        <f t="shared" si="46"/>
        <v/>
      </c>
    </row>
    <row r="1580" spans="1:10" x14ac:dyDescent="0.15">
      <c r="A1580" t="s">
        <v>2257</v>
      </c>
      <c r="B1580" t="s">
        <v>2257</v>
      </c>
      <c r="C1580" s="2" t="s">
        <v>2257</v>
      </c>
      <c r="D1580" t="s">
        <v>2257</v>
      </c>
      <c r="E1580" s="2" t="s">
        <v>2257</v>
      </c>
      <c r="F1580" s="8" t="s">
        <v>2257</v>
      </c>
      <c r="G1580" s="2" t="s">
        <v>2257</v>
      </c>
      <c r="H1580" s="2" t="s">
        <v>2257</v>
      </c>
      <c r="I1580" s="2" t="s">
        <v>2257</v>
      </c>
      <c r="J1580" t="str">
        <f t="shared" si="46"/>
        <v/>
      </c>
    </row>
    <row r="1581" spans="1:10" x14ac:dyDescent="0.15">
      <c r="A1581" t="s">
        <v>2257</v>
      </c>
      <c r="B1581" t="s">
        <v>2257</v>
      </c>
      <c r="C1581" s="2" t="s">
        <v>2257</v>
      </c>
      <c r="D1581" t="s">
        <v>2257</v>
      </c>
      <c r="E1581" s="2" t="s">
        <v>2257</v>
      </c>
      <c r="F1581" s="8" t="s">
        <v>2257</v>
      </c>
      <c r="G1581" s="2" t="s">
        <v>2257</v>
      </c>
      <c r="H1581" s="2" t="s">
        <v>2257</v>
      </c>
      <c r="I1581" s="2" t="s">
        <v>2257</v>
      </c>
      <c r="J1581" t="str">
        <f t="shared" si="46"/>
        <v/>
      </c>
    </row>
    <row r="1582" spans="1:10" x14ac:dyDescent="0.15">
      <c r="A1582" t="s">
        <v>2257</v>
      </c>
      <c r="B1582" t="s">
        <v>2257</v>
      </c>
      <c r="C1582" s="2" t="s">
        <v>2257</v>
      </c>
      <c r="D1582" t="s">
        <v>2257</v>
      </c>
      <c r="E1582" s="2" t="s">
        <v>2257</v>
      </c>
      <c r="F1582" s="8" t="s">
        <v>2257</v>
      </c>
      <c r="G1582" s="2" t="s">
        <v>2257</v>
      </c>
      <c r="H1582" s="2" t="s">
        <v>2257</v>
      </c>
      <c r="I1582" s="2" t="s">
        <v>2257</v>
      </c>
      <c r="J1582" t="str">
        <f t="shared" si="46"/>
        <v/>
      </c>
    </row>
    <row r="1583" spans="1:10" x14ac:dyDescent="0.15">
      <c r="A1583" t="s">
        <v>2257</v>
      </c>
      <c r="B1583" t="s">
        <v>2257</v>
      </c>
      <c r="C1583" s="2" t="s">
        <v>2257</v>
      </c>
      <c r="D1583" t="s">
        <v>2257</v>
      </c>
      <c r="E1583" s="2" t="s">
        <v>2257</v>
      </c>
      <c r="F1583" s="8" t="s">
        <v>2257</v>
      </c>
      <c r="G1583" s="2" t="s">
        <v>2257</v>
      </c>
      <c r="H1583" s="2" t="s">
        <v>2257</v>
      </c>
      <c r="I1583" s="2" t="s">
        <v>2257</v>
      </c>
      <c r="J1583" t="str">
        <f t="shared" si="46"/>
        <v/>
      </c>
    </row>
    <row r="1584" spans="1:10" x14ac:dyDescent="0.15">
      <c r="A1584" t="s">
        <v>2257</v>
      </c>
      <c r="B1584" t="s">
        <v>2257</v>
      </c>
      <c r="C1584" s="2" t="s">
        <v>2257</v>
      </c>
      <c r="D1584" t="s">
        <v>2257</v>
      </c>
      <c r="E1584" s="2" t="s">
        <v>2257</v>
      </c>
      <c r="F1584" s="8" t="s">
        <v>2257</v>
      </c>
      <c r="G1584" s="2" t="s">
        <v>2257</v>
      </c>
      <c r="H1584" s="2" t="s">
        <v>2257</v>
      </c>
      <c r="I1584" s="2" t="s">
        <v>2257</v>
      </c>
      <c r="J1584" t="str">
        <f t="shared" si="46"/>
        <v/>
      </c>
    </row>
    <row r="1585" spans="1:10" x14ac:dyDescent="0.15">
      <c r="A1585" t="s">
        <v>2257</v>
      </c>
      <c r="B1585" t="s">
        <v>2257</v>
      </c>
      <c r="C1585" s="2" t="s">
        <v>2257</v>
      </c>
      <c r="D1585" t="s">
        <v>2257</v>
      </c>
      <c r="E1585" s="2" t="s">
        <v>2257</v>
      </c>
      <c r="F1585" s="8" t="s">
        <v>2257</v>
      </c>
      <c r="G1585" s="2" t="s">
        <v>2257</v>
      </c>
      <c r="H1585" s="2" t="s">
        <v>2257</v>
      </c>
      <c r="I1585" s="2" t="s">
        <v>2257</v>
      </c>
      <c r="J1585" t="str">
        <f t="shared" si="46"/>
        <v/>
      </c>
    </row>
    <row r="1586" spans="1:10" x14ac:dyDescent="0.15">
      <c r="A1586" t="s">
        <v>2257</v>
      </c>
      <c r="B1586" t="s">
        <v>2257</v>
      </c>
      <c r="C1586" s="2" t="s">
        <v>2257</v>
      </c>
      <c r="D1586" t="s">
        <v>2257</v>
      </c>
      <c r="E1586" s="2" t="s">
        <v>2257</v>
      </c>
      <c r="F1586" s="8" t="s">
        <v>2257</v>
      </c>
      <c r="G1586" s="2" t="s">
        <v>2257</v>
      </c>
      <c r="H1586" s="2" t="s">
        <v>2257</v>
      </c>
      <c r="I1586" s="2" t="s">
        <v>2257</v>
      </c>
      <c r="J1586" t="str">
        <f t="shared" si="46"/>
        <v/>
      </c>
    </row>
    <row r="1587" spans="1:10" x14ac:dyDescent="0.15">
      <c r="A1587" t="s">
        <v>2257</v>
      </c>
      <c r="B1587" t="s">
        <v>2257</v>
      </c>
      <c r="C1587" s="2" t="s">
        <v>2257</v>
      </c>
      <c r="D1587" t="s">
        <v>2257</v>
      </c>
      <c r="E1587" s="2" t="s">
        <v>2257</v>
      </c>
      <c r="F1587" s="8" t="s">
        <v>2257</v>
      </c>
      <c r="G1587" s="2" t="s">
        <v>2257</v>
      </c>
      <c r="H1587" s="2" t="s">
        <v>2257</v>
      </c>
      <c r="I1587" s="2" t="s">
        <v>2257</v>
      </c>
      <c r="J1587" t="str">
        <f t="shared" si="46"/>
        <v/>
      </c>
    </row>
    <row r="1588" spans="1:10" x14ac:dyDescent="0.15">
      <c r="A1588" t="s">
        <v>2257</v>
      </c>
      <c r="B1588" t="s">
        <v>2257</v>
      </c>
      <c r="C1588" s="2" t="s">
        <v>2257</v>
      </c>
      <c r="D1588" t="s">
        <v>2257</v>
      </c>
      <c r="E1588" s="2" t="s">
        <v>2257</v>
      </c>
      <c r="F1588" s="8" t="s">
        <v>2257</v>
      </c>
      <c r="G1588" s="2" t="s">
        <v>2257</v>
      </c>
      <c r="H1588" s="2" t="s">
        <v>2257</v>
      </c>
      <c r="I1588" s="2" t="s">
        <v>2257</v>
      </c>
      <c r="J1588" t="str">
        <f t="shared" si="46"/>
        <v/>
      </c>
    </row>
    <row r="1589" spans="1:10" x14ac:dyDescent="0.15">
      <c r="A1589" t="s">
        <v>2257</v>
      </c>
      <c r="B1589" t="s">
        <v>2257</v>
      </c>
      <c r="C1589" s="2" t="s">
        <v>2257</v>
      </c>
      <c r="D1589" t="s">
        <v>2257</v>
      </c>
      <c r="E1589" s="2" t="s">
        <v>2257</v>
      </c>
      <c r="F1589" s="8" t="s">
        <v>2257</v>
      </c>
      <c r="G1589" s="2" t="s">
        <v>2257</v>
      </c>
      <c r="H1589" s="2" t="s">
        <v>2257</v>
      </c>
      <c r="I1589" s="2" t="s">
        <v>2257</v>
      </c>
      <c r="J1589" t="str">
        <f t="shared" si="46"/>
        <v/>
      </c>
    </row>
    <row r="1590" spans="1:10" x14ac:dyDescent="0.15">
      <c r="A1590" t="s">
        <v>2257</v>
      </c>
      <c r="B1590" t="s">
        <v>2257</v>
      </c>
      <c r="C1590" s="2" t="s">
        <v>2257</v>
      </c>
      <c r="D1590" t="s">
        <v>2257</v>
      </c>
      <c r="E1590" s="2" t="s">
        <v>2257</v>
      </c>
      <c r="F1590" s="8" t="s">
        <v>2257</v>
      </c>
      <c r="G1590" s="2" t="s">
        <v>2257</v>
      </c>
      <c r="H1590" s="2" t="s">
        <v>2257</v>
      </c>
      <c r="I1590" s="2" t="s">
        <v>2257</v>
      </c>
      <c r="J1590" t="str">
        <f t="shared" si="46"/>
        <v/>
      </c>
    </row>
    <row r="1591" spans="1:10" x14ac:dyDescent="0.15">
      <c r="A1591" t="s">
        <v>2257</v>
      </c>
      <c r="B1591" t="s">
        <v>2257</v>
      </c>
      <c r="C1591" s="2" t="s">
        <v>2257</v>
      </c>
      <c r="D1591" t="s">
        <v>2257</v>
      </c>
      <c r="E1591" s="2" t="s">
        <v>2257</v>
      </c>
      <c r="F1591" s="8" t="s">
        <v>2257</v>
      </c>
      <c r="G1591" s="2" t="s">
        <v>2257</v>
      </c>
      <c r="H1591" s="2" t="s">
        <v>2257</v>
      </c>
      <c r="I1591" s="2" t="s">
        <v>2257</v>
      </c>
      <c r="J1591" t="str">
        <f t="shared" si="46"/>
        <v/>
      </c>
    </row>
    <row r="1592" spans="1:10" x14ac:dyDescent="0.15">
      <c r="A1592" t="s">
        <v>2257</v>
      </c>
      <c r="B1592" t="s">
        <v>2257</v>
      </c>
      <c r="C1592" s="2" t="s">
        <v>2257</v>
      </c>
      <c r="D1592" t="s">
        <v>2257</v>
      </c>
      <c r="E1592" s="2" t="s">
        <v>2257</v>
      </c>
      <c r="F1592" s="8" t="s">
        <v>2257</v>
      </c>
      <c r="G1592" s="2" t="s">
        <v>2257</v>
      </c>
      <c r="H1592" s="2" t="s">
        <v>2257</v>
      </c>
      <c r="I1592" s="2" t="s">
        <v>2257</v>
      </c>
      <c r="J1592" t="str">
        <f t="shared" si="46"/>
        <v/>
      </c>
    </row>
    <row r="1593" spans="1:10" x14ac:dyDescent="0.15">
      <c r="A1593" t="s">
        <v>2257</v>
      </c>
      <c r="B1593" t="s">
        <v>2257</v>
      </c>
      <c r="C1593" s="2" t="s">
        <v>2257</v>
      </c>
      <c r="D1593" t="s">
        <v>2257</v>
      </c>
      <c r="E1593" s="2" t="s">
        <v>2257</v>
      </c>
      <c r="F1593" s="8" t="s">
        <v>2257</v>
      </c>
      <c r="G1593" s="2" t="s">
        <v>2257</v>
      </c>
      <c r="H1593" s="2" t="s">
        <v>2257</v>
      </c>
      <c r="I1593" s="2" t="s">
        <v>2257</v>
      </c>
      <c r="J1593" t="str">
        <f t="shared" si="46"/>
        <v/>
      </c>
    </row>
    <row r="1594" spans="1:10" x14ac:dyDescent="0.15">
      <c r="A1594" t="s">
        <v>2257</v>
      </c>
      <c r="B1594" t="s">
        <v>2257</v>
      </c>
      <c r="C1594" s="2" t="s">
        <v>2257</v>
      </c>
      <c r="D1594" t="s">
        <v>2257</v>
      </c>
      <c r="E1594" s="2" t="s">
        <v>2257</v>
      </c>
      <c r="F1594" s="8" t="s">
        <v>2257</v>
      </c>
      <c r="G1594" s="2" t="s">
        <v>2257</v>
      </c>
      <c r="H1594" s="2" t="s">
        <v>2257</v>
      </c>
      <c r="I1594" s="2" t="s">
        <v>2257</v>
      </c>
      <c r="J1594" t="str">
        <f t="shared" si="46"/>
        <v/>
      </c>
    </row>
    <row r="1595" spans="1:10" x14ac:dyDescent="0.15">
      <c r="A1595" t="s">
        <v>2257</v>
      </c>
      <c r="B1595" t="s">
        <v>2257</v>
      </c>
      <c r="C1595" s="2" t="s">
        <v>2257</v>
      </c>
      <c r="D1595" t="s">
        <v>2257</v>
      </c>
      <c r="E1595" s="2" t="s">
        <v>2257</v>
      </c>
      <c r="F1595" s="8" t="s">
        <v>2257</v>
      </c>
      <c r="G1595" s="2" t="s">
        <v>2257</v>
      </c>
      <c r="H1595" s="2" t="s">
        <v>2257</v>
      </c>
      <c r="I1595" s="2" t="s">
        <v>2257</v>
      </c>
      <c r="J1595" t="str">
        <f t="shared" si="46"/>
        <v/>
      </c>
    </row>
    <row r="1596" spans="1:10" x14ac:dyDescent="0.15">
      <c r="A1596" t="s">
        <v>2257</v>
      </c>
      <c r="B1596" t="s">
        <v>2257</v>
      </c>
      <c r="C1596" s="2" t="s">
        <v>2257</v>
      </c>
      <c r="D1596" t="s">
        <v>2257</v>
      </c>
      <c r="E1596" s="2" t="s">
        <v>2257</v>
      </c>
      <c r="F1596" s="8" t="s">
        <v>2257</v>
      </c>
      <c r="G1596" s="2" t="s">
        <v>2257</v>
      </c>
      <c r="H1596" s="2" t="s">
        <v>2257</v>
      </c>
      <c r="I1596" s="2" t="s">
        <v>2257</v>
      </c>
      <c r="J1596" t="str">
        <f t="shared" si="46"/>
        <v/>
      </c>
    </row>
    <row r="1597" spans="1:10" x14ac:dyDescent="0.15">
      <c r="A1597" t="s">
        <v>2257</v>
      </c>
      <c r="B1597" t="s">
        <v>2257</v>
      </c>
      <c r="C1597" s="2" t="s">
        <v>2257</v>
      </c>
      <c r="D1597" t="s">
        <v>2257</v>
      </c>
      <c r="E1597" s="2" t="s">
        <v>2257</v>
      </c>
      <c r="F1597" s="8" t="s">
        <v>2257</v>
      </c>
      <c r="G1597" s="2" t="s">
        <v>2257</v>
      </c>
      <c r="H1597" s="2" t="s">
        <v>2257</v>
      </c>
      <c r="I1597" s="2" t="s">
        <v>2257</v>
      </c>
      <c r="J1597" t="str">
        <f t="shared" si="46"/>
        <v/>
      </c>
    </row>
    <row r="1598" spans="1:10" x14ac:dyDescent="0.15">
      <c r="A1598" t="s">
        <v>2257</v>
      </c>
      <c r="B1598" t="s">
        <v>2257</v>
      </c>
      <c r="C1598" s="2" t="s">
        <v>2257</v>
      </c>
      <c r="D1598" t="s">
        <v>2257</v>
      </c>
      <c r="E1598" s="2" t="s">
        <v>2257</v>
      </c>
      <c r="F1598" s="8" t="s">
        <v>2257</v>
      </c>
      <c r="G1598" s="2" t="s">
        <v>2257</v>
      </c>
      <c r="H1598" s="2" t="s">
        <v>2257</v>
      </c>
      <c r="I1598" s="2" t="s">
        <v>2257</v>
      </c>
      <c r="J1598" t="str">
        <f t="shared" si="46"/>
        <v/>
      </c>
    </row>
    <row r="1599" spans="1:10" x14ac:dyDescent="0.15">
      <c r="A1599" t="s">
        <v>2257</v>
      </c>
      <c r="B1599" t="s">
        <v>2257</v>
      </c>
      <c r="C1599" s="2" t="s">
        <v>2257</v>
      </c>
      <c r="D1599" t="s">
        <v>2257</v>
      </c>
      <c r="E1599" s="2" t="s">
        <v>2257</v>
      </c>
      <c r="F1599" s="8" t="s">
        <v>2257</v>
      </c>
      <c r="G1599" s="2" t="s">
        <v>2257</v>
      </c>
      <c r="H1599" s="2" t="s">
        <v>2257</v>
      </c>
      <c r="I1599" s="2" t="s">
        <v>2257</v>
      </c>
      <c r="J1599" t="str">
        <f t="shared" si="46"/>
        <v/>
      </c>
    </row>
    <row r="1600" spans="1:10" x14ac:dyDescent="0.15">
      <c r="A1600" t="s">
        <v>2257</v>
      </c>
      <c r="B1600" t="s">
        <v>2257</v>
      </c>
      <c r="C1600" s="2" t="s">
        <v>2257</v>
      </c>
      <c r="D1600" t="s">
        <v>2257</v>
      </c>
      <c r="E1600" s="2" t="s">
        <v>2257</v>
      </c>
      <c r="F1600" s="8" t="s">
        <v>2257</v>
      </c>
      <c r="G1600" s="2" t="s">
        <v>2257</v>
      </c>
      <c r="H1600" s="2" t="s">
        <v>2257</v>
      </c>
      <c r="I1600" s="2" t="s">
        <v>2257</v>
      </c>
      <c r="J1600" t="str">
        <f t="shared" si="46"/>
        <v/>
      </c>
    </row>
    <row r="1601" spans="1:10" x14ac:dyDescent="0.15">
      <c r="A1601" t="s">
        <v>2257</v>
      </c>
      <c r="B1601" t="s">
        <v>2257</v>
      </c>
      <c r="C1601" s="2" t="s">
        <v>2257</v>
      </c>
      <c r="D1601" t="s">
        <v>2257</v>
      </c>
      <c r="E1601" s="2" t="s">
        <v>2257</v>
      </c>
      <c r="F1601" s="8" t="s">
        <v>2257</v>
      </c>
      <c r="G1601" s="2" t="s">
        <v>2257</v>
      </c>
      <c r="H1601" s="2" t="s">
        <v>2257</v>
      </c>
      <c r="I1601" s="2" t="s">
        <v>2257</v>
      </c>
      <c r="J1601" t="str">
        <f t="shared" si="46"/>
        <v/>
      </c>
    </row>
    <row r="1602" spans="1:10" x14ac:dyDescent="0.15">
      <c r="A1602" t="s">
        <v>2257</v>
      </c>
      <c r="B1602" t="s">
        <v>2257</v>
      </c>
      <c r="C1602" s="2" t="s">
        <v>2257</v>
      </c>
      <c r="D1602" t="s">
        <v>2257</v>
      </c>
      <c r="E1602" s="2" t="s">
        <v>2257</v>
      </c>
      <c r="F1602" s="8" t="s">
        <v>2257</v>
      </c>
      <c r="G1602" s="2" t="s">
        <v>2257</v>
      </c>
      <c r="H1602" s="2" t="s">
        <v>2257</v>
      </c>
      <c r="I1602" s="2" t="s">
        <v>2257</v>
      </c>
      <c r="J1602" t="str">
        <f t="shared" si="46"/>
        <v/>
      </c>
    </row>
    <row r="1603" spans="1:10" x14ac:dyDescent="0.15">
      <c r="A1603" t="s">
        <v>2257</v>
      </c>
      <c r="B1603" t="s">
        <v>2257</v>
      </c>
      <c r="C1603" s="2" t="s">
        <v>2257</v>
      </c>
      <c r="D1603" t="s">
        <v>2257</v>
      </c>
      <c r="E1603" s="2" t="s">
        <v>2257</v>
      </c>
      <c r="F1603" s="8" t="s">
        <v>2257</v>
      </c>
      <c r="G1603" s="2" t="s">
        <v>2257</v>
      </c>
      <c r="H1603" s="2" t="s">
        <v>2257</v>
      </c>
      <c r="I1603" s="2" t="s">
        <v>2257</v>
      </c>
      <c r="J1603" t="str">
        <f t="shared" si="46"/>
        <v/>
      </c>
    </row>
    <row r="1604" spans="1:10" x14ac:dyDescent="0.15">
      <c r="A1604" t="s">
        <v>2257</v>
      </c>
      <c r="B1604" t="s">
        <v>2257</v>
      </c>
      <c r="C1604" s="2" t="s">
        <v>2257</v>
      </c>
      <c r="D1604" t="s">
        <v>2257</v>
      </c>
      <c r="E1604" s="2" t="s">
        <v>2257</v>
      </c>
      <c r="F1604" s="8" t="s">
        <v>2257</v>
      </c>
      <c r="G1604" s="2" t="s">
        <v>2257</v>
      </c>
      <c r="H1604" s="2" t="s">
        <v>2257</v>
      </c>
      <c r="I1604" s="2" t="s">
        <v>2257</v>
      </c>
      <c r="J1604" t="str">
        <f t="shared" si="46"/>
        <v/>
      </c>
    </row>
    <row r="1605" spans="1:10" x14ac:dyDescent="0.15">
      <c r="A1605" t="s">
        <v>2257</v>
      </c>
      <c r="B1605" t="s">
        <v>2257</v>
      </c>
      <c r="C1605" s="2" t="s">
        <v>2257</v>
      </c>
      <c r="D1605" t="s">
        <v>2257</v>
      </c>
      <c r="E1605" s="2" t="s">
        <v>2257</v>
      </c>
      <c r="F1605" s="8" t="s">
        <v>2257</v>
      </c>
      <c r="G1605" s="2" t="s">
        <v>2257</v>
      </c>
      <c r="H1605" s="2" t="s">
        <v>2257</v>
      </c>
      <c r="I1605" s="2" t="s">
        <v>2257</v>
      </c>
      <c r="J1605" t="str">
        <f t="shared" si="46"/>
        <v/>
      </c>
    </row>
    <row r="1606" spans="1:10" x14ac:dyDescent="0.15">
      <c r="A1606" t="s">
        <v>2257</v>
      </c>
      <c r="B1606" t="s">
        <v>2257</v>
      </c>
      <c r="C1606" s="2" t="s">
        <v>2257</v>
      </c>
      <c r="D1606" t="s">
        <v>2257</v>
      </c>
      <c r="E1606" s="2" t="s">
        <v>2257</v>
      </c>
      <c r="F1606" s="8" t="s">
        <v>2257</v>
      </c>
      <c r="G1606" s="2" t="s">
        <v>2257</v>
      </c>
      <c r="H1606" s="2" t="s">
        <v>2257</v>
      </c>
      <c r="I1606" s="2" t="s">
        <v>2257</v>
      </c>
      <c r="J1606" t="str">
        <f t="shared" si="46"/>
        <v/>
      </c>
    </row>
    <row r="1607" spans="1:10" x14ac:dyDescent="0.15">
      <c r="A1607" t="s">
        <v>2257</v>
      </c>
      <c r="B1607" t="s">
        <v>2257</v>
      </c>
      <c r="C1607" s="2" t="s">
        <v>2257</v>
      </c>
      <c r="D1607" t="s">
        <v>2257</v>
      </c>
      <c r="E1607" s="2" t="s">
        <v>2257</v>
      </c>
      <c r="F1607" s="8" t="s">
        <v>2257</v>
      </c>
      <c r="G1607" s="2" t="s">
        <v>2257</v>
      </c>
      <c r="H1607" s="2" t="s">
        <v>2257</v>
      </c>
      <c r="I1607" s="2" t="s">
        <v>2257</v>
      </c>
      <c r="J1607" t="str">
        <f t="shared" si="46"/>
        <v/>
      </c>
    </row>
    <row r="1608" spans="1:10" x14ac:dyDescent="0.15">
      <c r="A1608" t="s">
        <v>2257</v>
      </c>
      <c r="B1608" t="s">
        <v>2257</v>
      </c>
      <c r="C1608" s="2" t="s">
        <v>2257</v>
      </c>
      <c r="D1608" t="s">
        <v>2257</v>
      </c>
      <c r="E1608" s="2" t="s">
        <v>2257</v>
      </c>
      <c r="F1608" s="8" t="s">
        <v>2257</v>
      </c>
      <c r="G1608" s="2" t="s">
        <v>2257</v>
      </c>
      <c r="H1608" s="2" t="s">
        <v>2257</v>
      </c>
      <c r="I1608" s="2" t="s">
        <v>2257</v>
      </c>
      <c r="J1608" t="str">
        <f t="shared" si="46"/>
        <v/>
      </c>
    </row>
    <row r="1609" spans="1:10" x14ac:dyDescent="0.15">
      <c r="A1609" t="s">
        <v>2257</v>
      </c>
      <c r="B1609" t="s">
        <v>2257</v>
      </c>
      <c r="C1609" s="2" t="s">
        <v>2257</v>
      </c>
      <c r="D1609" t="s">
        <v>2257</v>
      </c>
      <c r="E1609" s="2" t="s">
        <v>2257</v>
      </c>
      <c r="F1609" s="8" t="s">
        <v>2257</v>
      </c>
      <c r="G1609" s="2" t="s">
        <v>2257</v>
      </c>
      <c r="H1609" s="2" t="s">
        <v>2257</v>
      </c>
      <c r="I1609" s="2" t="s">
        <v>2257</v>
      </c>
      <c r="J1609" t="str">
        <f t="shared" si="46"/>
        <v/>
      </c>
    </row>
    <row r="1610" spans="1:10" x14ac:dyDescent="0.15">
      <c r="A1610" t="s">
        <v>2257</v>
      </c>
      <c r="B1610" t="s">
        <v>2257</v>
      </c>
      <c r="C1610" s="2" t="s">
        <v>2257</v>
      </c>
      <c r="D1610" t="s">
        <v>2257</v>
      </c>
      <c r="E1610" s="2" t="s">
        <v>2257</v>
      </c>
      <c r="F1610" s="8" t="s">
        <v>2257</v>
      </c>
      <c r="G1610" s="2" t="s">
        <v>2257</v>
      </c>
      <c r="H1610" s="2" t="s">
        <v>2257</v>
      </c>
      <c r="I1610" s="2" t="s">
        <v>2257</v>
      </c>
      <c r="J1610" t="str">
        <f t="shared" si="46"/>
        <v/>
      </c>
    </row>
    <row r="1611" spans="1:10" x14ac:dyDescent="0.15">
      <c r="A1611" t="s">
        <v>2257</v>
      </c>
      <c r="B1611" t="s">
        <v>2257</v>
      </c>
      <c r="C1611" s="2" t="s">
        <v>2257</v>
      </c>
      <c r="D1611" t="s">
        <v>2257</v>
      </c>
      <c r="E1611" s="2" t="s">
        <v>2257</v>
      </c>
      <c r="F1611" s="8" t="s">
        <v>2257</v>
      </c>
      <c r="G1611" s="2" t="s">
        <v>2257</v>
      </c>
      <c r="H1611" s="2" t="s">
        <v>2257</v>
      </c>
      <c r="I1611" s="2" t="s">
        <v>2257</v>
      </c>
      <c r="J1611" t="str">
        <f t="shared" ref="J1611:J1674" si="47">IF(A1611="","",IF(AND(C1611="",D1611&lt;&gt;"UNS",I1611=""),"Open","Closed"))</f>
        <v/>
      </c>
    </row>
    <row r="1612" spans="1:10" x14ac:dyDescent="0.15">
      <c r="A1612" t="s">
        <v>2257</v>
      </c>
      <c r="B1612" t="s">
        <v>2257</v>
      </c>
      <c r="C1612" s="2" t="s">
        <v>2257</v>
      </c>
      <c r="D1612" t="s">
        <v>2257</v>
      </c>
      <c r="E1612" s="2" t="s">
        <v>2257</v>
      </c>
      <c r="F1612" s="8" t="s">
        <v>2257</v>
      </c>
      <c r="G1612" s="2" t="s">
        <v>2257</v>
      </c>
      <c r="H1612" s="2" t="s">
        <v>2257</v>
      </c>
      <c r="I1612" s="2" t="s">
        <v>2257</v>
      </c>
      <c r="J1612" t="str">
        <f t="shared" si="47"/>
        <v/>
      </c>
    </row>
    <row r="1613" spans="1:10" x14ac:dyDescent="0.15">
      <c r="A1613" t="s">
        <v>2257</v>
      </c>
      <c r="B1613" t="s">
        <v>2257</v>
      </c>
      <c r="C1613" s="2" t="s">
        <v>2257</v>
      </c>
      <c r="D1613" t="s">
        <v>2257</v>
      </c>
      <c r="E1613" s="2" t="s">
        <v>2257</v>
      </c>
      <c r="F1613" s="8" t="s">
        <v>2257</v>
      </c>
      <c r="G1613" s="2" t="s">
        <v>2257</v>
      </c>
      <c r="H1613" s="2" t="s">
        <v>2257</v>
      </c>
      <c r="I1613" s="2" t="s">
        <v>2257</v>
      </c>
      <c r="J1613" t="str">
        <f t="shared" si="47"/>
        <v/>
      </c>
    </row>
    <row r="1614" spans="1:10" x14ac:dyDescent="0.15">
      <c r="A1614" t="s">
        <v>2257</v>
      </c>
      <c r="B1614" t="s">
        <v>2257</v>
      </c>
      <c r="C1614" s="2" t="s">
        <v>2257</v>
      </c>
      <c r="D1614" t="s">
        <v>2257</v>
      </c>
      <c r="E1614" s="2" t="s">
        <v>2257</v>
      </c>
      <c r="F1614" s="8" t="s">
        <v>2257</v>
      </c>
      <c r="G1614" s="2" t="s">
        <v>2257</v>
      </c>
      <c r="H1614" s="2" t="s">
        <v>2257</v>
      </c>
      <c r="I1614" s="2" t="s">
        <v>2257</v>
      </c>
      <c r="J1614" t="str">
        <f t="shared" si="47"/>
        <v/>
      </c>
    </row>
    <row r="1615" spans="1:10" x14ac:dyDescent="0.15">
      <c r="A1615" t="s">
        <v>2257</v>
      </c>
      <c r="B1615" t="s">
        <v>2257</v>
      </c>
      <c r="C1615" s="2" t="s">
        <v>2257</v>
      </c>
      <c r="D1615" t="s">
        <v>2257</v>
      </c>
      <c r="E1615" s="2" t="s">
        <v>2257</v>
      </c>
      <c r="F1615" s="8" t="s">
        <v>2257</v>
      </c>
      <c r="G1615" s="2" t="s">
        <v>2257</v>
      </c>
      <c r="H1615" s="2" t="s">
        <v>2257</v>
      </c>
      <c r="I1615" s="2" t="s">
        <v>2257</v>
      </c>
      <c r="J1615" t="str">
        <f t="shared" si="47"/>
        <v/>
      </c>
    </row>
    <row r="1616" spans="1:10" x14ac:dyDescent="0.15">
      <c r="A1616" t="s">
        <v>2257</v>
      </c>
      <c r="B1616" t="s">
        <v>2257</v>
      </c>
      <c r="C1616" s="2" t="s">
        <v>2257</v>
      </c>
      <c r="D1616" t="s">
        <v>2257</v>
      </c>
      <c r="E1616" s="2" t="s">
        <v>2257</v>
      </c>
      <c r="F1616" s="8" t="s">
        <v>2257</v>
      </c>
      <c r="G1616" s="2" t="s">
        <v>2257</v>
      </c>
      <c r="H1616" s="2" t="s">
        <v>2257</v>
      </c>
      <c r="I1616" s="2" t="s">
        <v>2257</v>
      </c>
      <c r="J1616" t="str">
        <f t="shared" si="47"/>
        <v/>
      </c>
    </row>
    <row r="1617" spans="1:10" x14ac:dyDescent="0.15">
      <c r="A1617" t="s">
        <v>2257</v>
      </c>
      <c r="B1617" t="s">
        <v>2257</v>
      </c>
      <c r="C1617" s="2" t="s">
        <v>2257</v>
      </c>
      <c r="D1617" t="s">
        <v>2257</v>
      </c>
      <c r="E1617" s="2" t="s">
        <v>2257</v>
      </c>
      <c r="F1617" s="8" t="s">
        <v>2257</v>
      </c>
      <c r="G1617" s="2" t="s">
        <v>2257</v>
      </c>
      <c r="H1617" s="2" t="s">
        <v>2257</v>
      </c>
      <c r="I1617" s="2" t="s">
        <v>2257</v>
      </c>
      <c r="J1617" t="str">
        <f t="shared" si="47"/>
        <v/>
      </c>
    </row>
    <row r="1618" spans="1:10" x14ac:dyDescent="0.15">
      <c r="A1618" t="s">
        <v>2257</v>
      </c>
      <c r="B1618" t="s">
        <v>2257</v>
      </c>
      <c r="C1618" s="2" t="s">
        <v>2257</v>
      </c>
      <c r="D1618" t="s">
        <v>2257</v>
      </c>
      <c r="E1618" s="2" t="s">
        <v>2257</v>
      </c>
      <c r="F1618" s="8" t="s">
        <v>2257</v>
      </c>
      <c r="G1618" s="2" t="s">
        <v>2257</v>
      </c>
      <c r="H1618" s="2" t="s">
        <v>2257</v>
      </c>
      <c r="I1618" s="2" t="s">
        <v>2257</v>
      </c>
      <c r="J1618" t="str">
        <f t="shared" si="47"/>
        <v/>
      </c>
    </row>
    <row r="1619" spans="1:10" x14ac:dyDescent="0.15">
      <c r="A1619" t="s">
        <v>2257</v>
      </c>
      <c r="B1619" t="s">
        <v>2257</v>
      </c>
      <c r="C1619" s="2" t="s">
        <v>2257</v>
      </c>
      <c r="D1619" t="s">
        <v>2257</v>
      </c>
      <c r="E1619" s="2" t="s">
        <v>2257</v>
      </c>
      <c r="F1619" s="8" t="s">
        <v>2257</v>
      </c>
      <c r="G1619" s="2" t="s">
        <v>2257</v>
      </c>
      <c r="H1619" s="2" t="s">
        <v>2257</v>
      </c>
      <c r="I1619" s="2" t="s">
        <v>2257</v>
      </c>
      <c r="J1619" t="str">
        <f t="shared" si="47"/>
        <v/>
      </c>
    </row>
    <row r="1620" spans="1:10" x14ac:dyDescent="0.15">
      <c r="A1620" t="s">
        <v>2257</v>
      </c>
      <c r="B1620" t="s">
        <v>2257</v>
      </c>
      <c r="C1620" s="2" t="s">
        <v>2257</v>
      </c>
      <c r="D1620" t="s">
        <v>2257</v>
      </c>
      <c r="E1620" s="2" t="s">
        <v>2257</v>
      </c>
      <c r="F1620" s="8" t="s">
        <v>2257</v>
      </c>
      <c r="G1620" s="2" t="s">
        <v>2257</v>
      </c>
      <c r="H1620" s="2" t="s">
        <v>2257</v>
      </c>
      <c r="I1620" s="2" t="s">
        <v>2257</v>
      </c>
      <c r="J1620" t="str">
        <f t="shared" si="47"/>
        <v/>
      </c>
    </row>
    <row r="1621" spans="1:10" x14ac:dyDescent="0.15">
      <c r="A1621" t="s">
        <v>2257</v>
      </c>
      <c r="B1621" t="s">
        <v>2257</v>
      </c>
      <c r="C1621" s="2" t="s">
        <v>2257</v>
      </c>
      <c r="D1621" t="s">
        <v>2257</v>
      </c>
      <c r="E1621" s="2" t="s">
        <v>2257</v>
      </c>
      <c r="F1621" s="8" t="s">
        <v>2257</v>
      </c>
      <c r="G1621" s="2" t="s">
        <v>2257</v>
      </c>
      <c r="H1621" s="2" t="s">
        <v>2257</v>
      </c>
      <c r="I1621" s="2" t="s">
        <v>2257</v>
      </c>
      <c r="J1621" t="str">
        <f t="shared" si="47"/>
        <v/>
      </c>
    </row>
    <row r="1622" spans="1:10" x14ac:dyDescent="0.15">
      <c r="A1622" t="s">
        <v>2257</v>
      </c>
      <c r="B1622" t="s">
        <v>2257</v>
      </c>
      <c r="C1622" s="2" t="s">
        <v>2257</v>
      </c>
      <c r="D1622" t="s">
        <v>2257</v>
      </c>
      <c r="E1622" s="2" t="s">
        <v>2257</v>
      </c>
      <c r="F1622" s="8" t="s">
        <v>2257</v>
      </c>
      <c r="G1622" s="2" t="s">
        <v>2257</v>
      </c>
      <c r="H1622" s="2" t="s">
        <v>2257</v>
      </c>
      <c r="I1622" s="2" t="s">
        <v>2257</v>
      </c>
      <c r="J1622" t="str">
        <f t="shared" si="47"/>
        <v/>
      </c>
    </row>
    <row r="1623" spans="1:10" x14ac:dyDescent="0.15">
      <c r="A1623" t="s">
        <v>2257</v>
      </c>
      <c r="B1623" t="s">
        <v>2257</v>
      </c>
      <c r="C1623" s="2" t="s">
        <v>2257</v>
      </c>
      <c r="D1623" t="s">
        <v>2257</v>
      </c>
      <c r="E1623" s="2" t="s">
        <v>2257</v>
      </c>
      <c r="F1623" s="8" t="s">
        <v>2257</v>
      </c>
      <c r="G1623" s="2" t="s">
        <v>2257</v>
      </c>
      <c r="H1623" s="2" t="s">
        <v>2257</v>
      </c>
      <c r="I1623" s="2" t="s">
        <v>2257</v>
      </c>
      <c r="J1623" t="str">
        <f t="shared" si="47"/>
        <v/>
      </c>
    </row>
    <row r="1624" spans="1:10" x14ac:dyDescent="0.15">
      <c r="A1624" t="s">
        <v>2257</v>
      </c>
      <c r="B1624" t="s">
        <v>2257</v>
      </c>
      <c r="C1624" s="2" t="s">
        <v>2257</v>
      </c>
      <c r="D1624" t="s">
        <v>2257</v>
      </c>
      <c r="E1624" s="2" t="s">
        <v>2257</v>
      </c>
      <c r="F1624" s="8" t="s">
        <v>2257</v>
      </c>
      <c r="G1624" s="2" t="s">
        <v>2257</v>
      </c>
      <c r="H1624" s="2" t="s">
        <v>2257</v>
      </c>
      <c r="I1624" s="2" t="s">
        <v>2257</v>
      </c>
      <c r="J1624" t="str">
        <f t="shared" si="47"/>
        <v/>
      </c>
    </row>
    <row r="1625" spans="1:10" x14ac:dyDescent="0.15">
      <c r="A1625" t="s">
        <v>2257</v>
      </c>
      <c r="B1625" t="s">
        <v>2257</v>
      </c>
      <c r="C1625" s="2" t="s">
        <v>2257</v>
      </c>
      <c r="D1625" t="s">
        <v>2257</v>
      </c>
      <c r="E1625" s="2" t="s">
        <v>2257</v>
      </c>
      <c r="F1625" s="8" t="s">
        <v>2257</v>
      </c>
      <c r="G1625" s="2" t="s">
        <v>2257</v>
      </c>
      <c r="H1625" s="2" t="s">
        <v>2257</v>
      </c>
      <c r="I1625" s="2" t="s">
        <v>2257</v>
      </c>
      <c r="J1625" t="str">
        <f t="shared" si="47"/>
        <v/>
      </c>
    </row>
    <row r="1626" spans="1:10" x14ac:dyDescent="0.15">
      <c r="A1626" t="s">
        <v>2257</v>
      </c>
      <c r="B1626" t="s">
        <v>2257</v>
      </c>
      <c r="C1626" s="2" t="s">
        <v>2257</v>
      </c>
      <c r="D1626" t="s">
        <v>2257</v>
      </c>
      <c r="E1626" s="2" t="s">
        <v>2257</v>
      </c>
      <c r="F1626" s="8" t="s">
        <v>2257</v>
      </c>
      <c r="G1626" s="2" t="s">
        <v>2257</v>
      </c>
      <c r="H1626" s="2" t="s">
        <v>2257</v>
      </c>
      <c r="I1626" s="2" t="s">
        <v>2257</v>
      </c>
      <c r="J1626" t="str">
        <f t="shared" si="47"/>
        <v/>
      </c>
    </row>
    <row r="1627" spans="1:10" x14ac:dyDescent="0.15">
      <c r="A1627" t="s">
        <v>2257</v>
      </c>
      <c r="B1627" t="s">
        <v>2257</v>
      </c>
      <c r="C1627" s="2" t="s">
        <v>2257</v>
      </c>
      <c r="D1627" t="s">
        <v>2257</v>
      </c>
      <c r="E1627" s="2" t="s">
        <v>2257</v>
      </c>
      <c r="F1627" s="8" t="s">
        <v>2257</v>
      </c>
      <c r="G1627" s="2" t="s">
        <v>2257</v>
      </c>
      <c r="H1627" s="2" t="s">
        <v>2257</v>
      </c>
      <c r="I1627" s="2" t="s">
        <v>2257</v>
      </c>
      <c r="J1627" t="str">
        <f t="shared" si="47"/>
        <v/>
      </c>
    </row>
    <row r="1628" spans="1:10" x14ac:dyDescent="0.15">
      <c r="A1628" t="s">
        <v>2257</v>
      </c>
      <c r="B1628" t="s">
        <v>2257</v>
      </c>
      <c r="C1628" s="2" t="s">
        <v>2257</v>
      </c>
      <c r="D1628" t="s">
        <v>2257</v>
      </c>
      <c r="E1628" s="2" t="s">
        <v>2257</v>
      </c>
      <c r="F1628" s="8" t="s">
        <v>2257</v>
      </c>
      <c r="G1628" s="2" t="s">
        <v>2257</v>
      </c>
      <c r="H1628" s="2" t="s">
        <v>2257</v>
      </c>
      <c r="I1628" s="2" t="s">
        <v>2257</v>
      </c>
      <c r="J1628" t="str">
        <f t="shared" si="47"/>
        <v/>
      </c>
    </row>
    <row r="1629" spans="1:10" x14ac:dyDescent="0.15">
      <c r="A1629" t="s">
        <v>2257</v>
      </c>
      <c r="B1629" t="s">
        <v>2257</v>
      </c>
      <c r="C1629" s="2" t="s">
        <v>2257</v>
      </c>
      <c r="D1629" t="s">
        <v>2257</v>
      </c>
      <c r="E1629" s="2" t="s">
        <v>2257</v>
      </c>
      <c r="F1629" s="8" t="s">
        <v>2257</v>
      </c>
      <c r="G1629" s="2" t="s">
        <v>2257</v>
      </c>
      <c r="H1629" s="2" t="s">
        <v>2257</v>
      </c>
      <c r="I1629" s="2" t="s">
        <v>2257</v>
      </c>
      <c r="J1629" t="str">
        <f t="shared" si="47"/>
        <v/>
      </c>
    </row>
    <row r="1630" spans="1:10" x14ac:dyDescent="0.15">
      <c r="A1630" t="s">
        <v>2257</v>
      </c>
      <c r="B1630" t="s">
        <v>2257</v>
      </c>
      <c r="C1630" s="2" t="s">
        <v>2257</v>
      </c>
      <c r="D1630" t="s">
        <v>2257</v>
      </c>
      <c r="E1630" s="2" t="s">
        <v>2257</v>
      </c>
      <c r="F1630" s="8" t="s">
        <v>2257</v>
      </c>
      <c r="G1630" s="2" t="s">
        <v>2257</v>
      </c>
      <c r="H1630" s="2" t="s">
        <v>2257</v>
      </c>
      <c r="I1630" s="2" t="s">
        <v>2257</v>
      </c>
      <c r="J1630" t="str">
        <f t="shared" si="47"/>
        <v/>
      </c>
    </row>
    <row r="1631" spans="1:10" x14ac:dyDescent="0.15">
      <c r="A1631" t="s">
        <v>2257</v>
      </c>
      <c r="B1631" t="s">
        <v>2257</v>
      </c>
      <c r="C1631" s="2" t="s">
        <v>2257</v>
      </c>
      <c r="D1631" t="s">
        <v>2257</v>
      </c>
      <c r="E1631" s="2" t="s">
        <v>2257</v>
      </c>
      <c r="F1631" s="8" t="s">
        <v>2257</v>
      </c>
      <c r="G1631" s="2" t="s">
        <v>2257</v>
      </c>
      <c r="H1631" s="2" t="s">
        <v>2257</v>
      </c>
      <c r="I1631" s="2" t="s">
        <v>2257</v>
      </c>
      <c r="J1631" t="str">
        <f t="shared" si="47"/>
        <v/>
      </c>
    </row>
    <row r="1632" spans="1:10" x14ac:dyDescent="0.15">
      <c r="A1632" t="s">
        <v>2257</v>
      </c>
      <c r="B1632" t="s">
        <v>2257</v>
      </c>
      <c r="C1632" s="2" t="s">
        <v>2257</v>
      </c>
      <c r="D1632" t="s">
        <v>2257</v>
      </c>
      <c r="E1632" s="2" t="s">
        <v>2257</v>
      </c>
      <c r="F1632" s="8" t="s">
        <v>2257</v>
      </c>
      <c r="G1632" s="2" t="s">
        <v>2257</v>
      </c>
      <c r="H1632" s="2" t="s">
        <v>2257</v>
      </c>
      <c r="I1632" s="2" t="s">
        <v>2257</v>
      </c>
      <c r="J1632" t="str">
        <f t="shared" si="47"/>
        <v/>
      </c>
    </row>
    <row r="1633" spans="1:10" x14ac:dyDescent="0.15">
      <c r="A1633" t="s">
        <v>2257</v>
      </c>
      <c r="B1633" t="s">
        <v>2257</v>
      </c>
      <c r="C1633" s="2" t="s">
        <v>2257</v>
      </c>
      <c r="D1633" t="s">
        <v>2257</v>
      </c>
      <c r="E1633" s="2" t="s">
        <v>2257</v>
      </c>
      <c r="F1633" s="8" t="s">
        <v>2257</v>
      </c>
      <c r="G1633" s="2" t="s">
        <v>2257</v>
      </c>
      <c r="H1633" s="2" t="s">
        <v>2257</v>
      </c>
      <c r="I1633" s="2" t="s">
        <v>2257</v>
      </c>
      <c r="J1633" t="str">
        <f t="shared" si="47"/>
        <v/>
      </c>
    </row>
    <row r="1634" spans="1:10" x14ac:dyDescent="0.15">
      <c r="A1634" t="s">
        <v>2257</v>
      </c>
      <c r="B1634" t="s">
        <v>2257</v>
      </c>
      <c r="C1634" s="2" t="s">
        <v>2257</v>
      </c>
      <c r="D1634" t="s">
        <v>2257</v>
      </c>
      <c r="E1634" s="2" t="s">
        <v>2257</v>
      </c>
      <c r="F1634" s="8" t="s">
        <v>2257</v>
      </c>
      <c r="G1634" s="2" t="s">
        <v>2257</v>
      </c>
      <c r="H1634" s="2" t="s">
        <v>2257</v>
      </c>
      <c r="I1634" s="2" t="s">
        <v>2257</v>
      </c>
      <c r="J1634" t="str">
        <f t="shared" si="47"/>
        <v/>
      </c>
    </row>
    <row r="1635" spans="1:10" x14ac:dyDescent="0.15">
      <c r="A1635" t="s">
        <v>2257</v>
      </c>
      <c r="B1635" t="s">
        <v>2257</v>
      </c>
      <c r="C1635" s="2" t="s">
        <v>2257</v>
      </c>
      <c r="D1635" t="s">
        <v>2257</v>
      </c>
      <c r="E1635" s="2" t="s">
        <v>2257</v>
      </c>
      <c r="F1635" s="8" t="s">
        <v>2257</v>
      </c>
      <c r="G1635" s="2" t="s">
        <v>2257</v>
      </c>
      <c r="H1635" s="2" t="s">
        <v>2257</v>
      </c>
      <c r="I1635" s="2" t="s">
        <v>2257</v>
      </c>
      <c r="J1635" t="str">
        <f t="shared" si="47"/>
        <v/>
      </c>
    </row>
    <row r="1636" spans="1:10" x14ac:dyDescent="0.15">
      <c r="A1636" t="s">
        <v>2257</v>
      </c>
      <c r="B1636" t="s">
        <v>2257</v>
      </c>
      <c r="C1636" s="2" t="s">
        <v>2257</v>
      </c>
      <c r="D1636" t="s">
        <v>2257</v>
      </c>
      <c r="E1636" s="2" t="s">
        <v>2257</v>
      </c>
      <c r="F1636" s="8" t="s">
        <v>2257</v>
      </c>
      <c r="G1636" s="2" t="s">
        <v>2257</v>
      </c>
      <c r="H1636" s="2" t="s">
        <v>2257</v>
      </c>
      <c r="I1636" s="2" t="s">
        <v>2257</v>
      </c>
      <c r="J1636" t="str">
        <f t="shared" si="47"/>
        <v/>
      </c>
    </row>
    <row r="1637" spans="1:10" x14ac:dyDescent="0.15">
      <c r="A1637" t="s">
        <v>2257</v>
      </c>
      <c r="B1637" t="s">
        <v>2257</v>
      </c>
      <c r="C1637" s="2" t="s">
        <v>2257</v>
      </c>
      <c r="D1637" t="s">
        <v>2257</v>
      </c>
      <c r="E1637" s="2" t="s">
        <v>2257</v>
      </c>
      <c r="F1637" s="8" t="s">
        <v>2257</v>
      </c>
      <c r="G1637" s="2" t="s">
        <v>2257</v>
      </c>
      <c r="H1637" s="2" t="s">
        <v>2257</v>
      </c>
      <c r="I1637" s="2" t="s">
        <v>2257</v>
      </c>
      <c r="J1637" t="str">
        <f t="shared" si="47"/>
        <v/>
      </c>
    </row>
    <row r="1638" spans="1:10" x14ac:dyDescent="0.15">
      <c r="A1638" t="s">
        <v>2257</v>
      </c>
      <c r="B1638" t="s">
        <v>2257</v>
      </c>
      <c r="C1638" s="2" t="s">
        <v>2257</v>
      </c>
      <c r="D1638" t="s">
        <v>2257</v>
      </c>
      <c r="E1638" s="2" t="s">
        <v>2257</v>
      </c>
      <c r="F1638" s="8" t="s">
        <v>2257</v>
      </c>
      <c r="G1638" s="2" t="s">
        <v>2257</v>
      </c>
      <c r="H1638" s="2" t="s">
        <v>2257</v>
      </c>
      <c r="I1638" s="2" t="s">
        <v>2257</v>
      </c>
      <c r="J1638" t="str">
        <f t="shared" si="47"/>
        <v/>
      </c>
    </row>
    <row r="1639" spans="1:10" x14ac:dyDescent="0.15">
      <c r="A1639" t="s">
        <v>2257</v>
      </c>
      <c r="B1639" t="s">
        <v>2257</v>
      </c>
      <c r="C1639" s="2" t="s">
        <v>2257</v>
      </c>
      <c r="D1639" t="s">
        <v>2257</v>
      </c>
      <c r="E1639" s="2" t="s">
        <v>2257</v>
      </c>
      <c r="F1639" s="8" t="s">
        <v>2257</v>
      </c>
      <c r="G1639" s="2" t="s">
        <v>2257</v>
      </c>
      <c r="H1639" s="2" t="s">
        <v>2257</v>
      </c>
      <c r="I1639" s="2" t="s">
        <v>2257</v>
      </c>
      <c r="J1639" t="str">
        <f t="shared" si="47"/>
        <v/>
      </c>
    </row>
    <row r="1640" spans="1:10" x14ac:dyDescent="0.15">
      <c r="A1640" t="s">
        <v>2257</v>
      </c>
      <c r="B1640" t="s">
        <v>2257</v>
      </c>
      <c r="C1640" s="2" t="s">
        <v>2257</v>
      </c>
      <c r="D1640" t="s">
        <v>2257</v>
      </c>
      <c r="E1640" s="2" t="s">
        <v>2257</v>
      </c>
      <c r="F1640" s="8" t="s">
        <v>2257</v>
      </c>
      <c r="G1640" s="2" t="s">
        <v>2257</v>
      </c>
      <c r="H1640" s="2" t="s">
        <v>2257</v>
      </c>
      <c r="I1640" s="2" t="s">
        <v>2257</v>
      </c>
      <c r="J1640" t="str">
        <f t="shared" si="47"/>
        <v/>
      </c>
    </row>
    <row r="1641" spans="1:10" x14ac:dyDescent="0.15">
      <c r="A1641" t="s">
        <v>2257</v>
      </c>
      <c r="B1641" t="s">
        <v>2257</v>
      </c>
      <c r="C1641" s="2" t="s">
        <v>2257</v>
      </c>
      <c r="D1641" t="s">
        <v>2257</v>
      </c>
      <c r="E1641" s="2" t="s">
        <v>2257</v>
      </c>
      <c r="F1641" s="8" t="s">
        <v>2257</v>
      </c>
      <c r="G1641" s="2" t="s">
        <v>2257</v>
      </c>
      <c r="H1641" s="2" t="s">
        <v>2257</v>
      </c>
      <c r="I1641" s="2" t="s">
        <v>2257</v>
      </c>
      <c r="J1641" t="str">
        <f t="shared" si="47"/>
        <v/>
      </c>
    </row>
    <row r="1642" spans="1:10" x14ac:dyDescent="0.15">
      <c r="A1642" t="s">
        <v>2257</v>
      </c>
      <c r="B1642" t="s">
        <v>2257</v>
      </c>
      <c r="C1642" s="2" t="s">
        <v>2257</v>
      </c>
      <c r="D1642" t="s">
        <v>2257</v>
      </c>
      <c r="E1642" s="2" t="s">
        <v>2257</v>
      </c>
      <c r="F1642" s="8" t="s">
        <v>2257</v>
      </c>
      <c r="G1642" s="2" t="s">
        <v>2257</v>
      </c>
      <c r="H1642" s="2" t="s">
        <v>2257</v>
      </c>
      <c r="I1642" s="2" t="s">
        <v>2257</v>
      </c>
      <c r="J1642" t="str">
        <f t="shared" si="47"/>
        <v/>
      </c>
    </row>
    <row r="1643" spans="1:10" x14ac:dyDescent="0.15">
      <c r="A1643" t="s">
        <v>2257</v>
      </c>
      <c r="B1643" t="s">
        <v>2257</v>
      </c>
      <c r="C1643" s="2" t="s">
        <v>2257</v>
      </c>
      <c r="D1643" t="s">
        <v>2257</v>
      </c>
      <c r="E1643" s="2" t="s">
        <v>2257</v>
      </c>
      <c r="F1643" s="8" t="s">
        <v>2257</v>
      </c>
      <c r="G1643" s="2" t="s">
        <v>2257</v>
      </c>
      <c r="H1643" s="2" t="s">
        <v>2257</v>
      </c>
      <c r="I1643" s="2" t="s">
        <v>2257</v>
      </c>
      <c r="J1643" t="str">
        <f t="shared" si="47"/>
        <v/>
      </c>
    </row>
    <row r="1644" spans="1:10" x14ac:dyDescent="0.15">
      <c r="A1644" t="s">
        <v>2257</v>
      </c>
      <c r="B1644" t="s">
        <v>2257</v>
      </c>
      <c r="C1644" s="2" t="s">
        <v>2257</v>
      </c>
      <c r="D1644" t="s">
        <v>2257</v>
      </c>
      <c r="E1644" s="2" t="s">
        <v>2257</v>
      </c>
      <c r="F1644" s="8" t="s">
        <v>2257</v>
      </c>
      <c r="G1644" s="2" t="s">
        <v>2257</v>
      </c>
      <c r="H1644" s="2" t="s">
        <v>2257</v>
      </c>
      <c r="I1644" s="2" t="s">
        <v>2257</v>
      </c>
      <c r="J1644" t="str">
        <f t="shared" si="47"/>
        <v/>
      </c>
    </row>
    <row r="1645" spans="1:10" x14ac:dyDescent="0.15">
      <c r="A1645" t="s">
        <v>2257</v>
      </c>
      <c r="B1645" t="s">
        <v>2257</v>
      </c>
      <c r="C1645" s="2" t="s">
        <v>2257</v>
      </c>
      <c r="D1645" t="s">
        <v>2257</v>
      </c>
      <c r="E1645" s="2" t="s">
        <v>2257</v>
      </c>
      <c r="F1645" s="8" t="s">
        <v>2257</v>
      </c>
      <c r="G1645" s="2" t="s">
        <v>2257</v>
      </c>
      <c r="H1645" s="2" t="s">
        <v>2257</v>
      </c>
      <c r="I1645" s="2" t="s">
        <v>2257</v>
      </c>
      <c r="J1645" t="str">
        <f t="shared" si="47"/>
        <v/>
      </c>
    </row>
    <row r="1646" spans="1:10" x14ac:dyDescent="0.15">
      <c r="A1646" t="s">
        <v>2257</v>
      </c>
      <c r="B1646" t="s">
        <v>2257</v>
      </c>
      <c r="C1646" s="2" t="s">
        <v>2257</v>
      </c>
      <c r="D1646" t="s">
        <v>2257</v>
      </c>
      <c r="E1646" s="2" t="s">
        <v>2257</v>
      </c>
      <c r="F1646" s="8" t="s">
        <v>2257</v>
      </c>
      <c r="G1646" s="2" t="s">
        <v>2257</v>
      </c>
      <c r="H1646" s="2" t="s">
        <v>2257</v>
      </c>
      <c r="I1646" s="2" t="s">
        <v>2257</v>
      </c>
      <c r="J1646" t="str">
        <f t="shared" si="47"/>
        <v/>
      </c>
    </row>
    <row r="1647" spans="1:10" x14ac:dyDescent="0.15">
      <c r="A1647" t="s">
        <v>2257</v>
      </c>
      <c r="B1647" t="s">
        <v>2257</v>
      </c>
      <c r="C1647" s="2" t="s">
        <v>2257</v>
      </c>
      <c r="D1647" t="s">
        <v>2257</v>
      </c>
      <c r="E1647" s="2" t="s">
        <v>2257</v>
      </c>
      <c r="F1647" s="8" t="s">
        <v>2257</v>
      </c>
      <c r="G1647" s="2" t="s">
        <v>2257</v>
      </c>
      <c r="H1647" s="2" t="s">
        <v>2257</v>
      </c>
      <c r="I1647" s="2" t="s">
        <v>2257</v>
      </c>
      <c r="J1647" t="str">
        <f t="shared" si="47"/>
        <v/>
      </c>
    </row>
    <row r="1648" spans="1:10" x14ac:dyDescent="0.15">
      <c r="A1648" t="s">
        <v>2257</v>
      </c>
      <c r="B1648" t="s">
        <v>2257</v>
      </c>
      <c r="C1648" s="2" t="s">
        <v>2257</v>
      </c>
      <c r="D1648" t="s">
        <v>2257</v>
      </c>
      <c r="E1648" s="2" t="s">
        <v>2257</v>
      </c>
      <c r="F1648" s="8" t="s">
        <v>2257</v>
      </c>
      <c r="G1648" s="2" t="s">
        <v>2257</v>
      </c>
      <c r="H1648" s="2" t="s">
        <v>2257</v>
      </c>
      <c r="I1648" s="2" t="s">
        <v>2257</v>
      </c>
      <c r="J1648" t="str">
        <f t="shared" si="47"/>
        <v/>
      </c>
    </row>
    <row r="1649" spans="1:10" x14ac:dyDescent="0.15">
      <c r="A1649" t="s">
        <v>2257</v>
      </c>
      <c r="B1649" t="s">
        <v>2257</v>
      </c>
      <c r="C1649" s="2" t="s">
        <v>2257</v>
      </c>
      <c r="D1649" t="s">
        <v>2257</v>
      </c>
      <c r="E1649" s="2" t="s">
        <v>2257</v>
      </c>
      <c r="F1649" s="8" t="s">
        <v>2257</v>
      </c>
      <c r="G1649" s="2" t="s">
        <v>2257</v>
      </c>
      <c r="H1649" s="2" t="s">
        <v>2257</v>
      </c>
      <c r="I1649" s="2" t="s">
        <v>2257</v>
      </c>
      <c r="J1649" t="str">
        <f t="shared" si="47"/>
        <v/>
      </c>
    </row>
    <row r="1650" spans="1:10" x14ac:dyDescent="0.15">
      <c r="A1650" t="s">
        <v>2257</v>
      </c>
      <c r="B1650" t="s">
        <v>2257</v>
      </c>
      <c r="C1650" s="2" t="s">
        <v>2257</v>
      </c>
      <c r="D1650" t="s">
        <v>2257</v>
      </c>
      <c r="E1650" s="2" t="s">
        <v>2257</v>
      </c>
      <c r="F1650" s="8" t="s">
        <v>2257</v>
      </c>
      <c r="G1650" s="2" t="s">
        <v>2257</v>
      </c>
      <c r="H1650" s="2" t="s">
        <v>2257</v>
      </c>
      <c r="I1650" s="2" t="s">
        <v>2257</v>
      </c>
      <c r="J1650" t="str">
        <f t="shared" si="47"/>
        <v/>
      </c>
    </row>
    <row r="1651" spans="1:10" x14ac:dyDescent="0.15">
      <c r="A1651" t="s">
        <v>2257</v>
      </c>
      <c r="B1651" t="s">
        <v>2257</v>
      </c>
      <c r="C1651" s="2" t="s">
        <v>2257</v>
      </c>
      <c r="D1651" t="s">
        <v>2257</v>
      </c>
      <c r="E1651" s="2" t="s">
        <v>2257</v>
      </c>
      <c r="F1651" s="8" t="s">
        <v>2257</v>
      </c>
      <c r="G1651" s="2" t="s">
        <v>2257</v>
      </c>
      <c r="H1651" s="2" t="s">
        <v>2257</v>
      </c>
      <c r="I1651" s="2" t="s">
        <v>2257</v>
      </c>
      <c r="J1651" t="str">
        <f t="shared" si="47"/>
        <v/>
      </c>
    </row>
    <row r="1652" spans="1:10" x14ac:dyDescent="0.15">
      <c r="A1652" t="s">
        <v>2257</v>
      </c>
      <c r="B1652" t="s">
        <v>2257</v>
      </c>
      <c r="C1652" s="2" t="s">
        <v>2257</v>
      </c>
      <c r="D1652" t="s">
        <v>2257</v>
      </c>
      <c r="E1652" s="2" t="s">
        <v>2257</v>
      </c>
      <c r="F1652" s="8" t="s">
        <v>2257</v>
      </c>
      <c r="G1652" s="2" t="s">
        <v>2257</v>
      </c>
      <c r="H1652" s="2" t="s">
        <v>2257</v>
      </c>
      <c r="I1652" s="2" t="s">
        <v>2257</v>
      </c>
      <c r="J1652" t="str">
        <f t="shared" si="47"/>
        <v/>
      </c>
    </row>
    <row r="1653" spans="1:10" x14ac:dyDescent="0.15">
      <c r="A1653" t="s">
        <v>2257</v>
      </c>
      <c r="B1653" t="s">
        <v>2257</v>
      </c>
      <c r="C1653" s="2" t="s">
        <v>2257</v>
      </c>
      <c r="D1653" t="s">
        <v>2257</v>
      </c>
      <c r="E1653" s="2" t="s">
        <v>2257</v>
      </c>
      <c r="F1653" s="8" t="s">
        <v>2257</v>
      </c>
      <c r="G1653" s="2" t="s">
        <v>2257</v>
      </c>
      <c r="H1653" s="2" t="s">
        <v>2257</v>
      </c>
      <c r="I1653" s="2" t="s">
        <v>2257</v>
      </c>
      <c r="J1653" t="str">
        <f t="shared" si="47"/>
        <v/>
      </c>
    </row>
    <row r="1654" spans="1:10" x14ac:dyDescent="0.15">
      <c r="A1654" t="s">
        <v>2257</v>
      </c>
      <c r="B1654" t="s">
        <v>2257</v>
      </c>
      <c r="C1654" s="2" t="s">
        <v>2257</v>
      </c>
      <c r="D1654" t="s">
        <v>2257</v>
      </c>
      <c r="E1654" s="2" t="s">
        <v>2257</v>
      </c>
      <c r="F1654" s="8" t="s">
        <v>2257</v>
      </c>
      <c r="G1654" s="2" t="s">
        <v>2257</v>
      </c>
      <c r="H1654" s="2" t="s">
        <v>2257</v>
      </c>
      <c r="I1654" s="2" t="s">
        <v>2257</v>
      </c>
      <c r="J1654" t="str">
        <f t="shared" si="47"/>
        <v/>
      </c>
    </row>
    <row r="1655" spans="1:10" x14ac:dyDescent="0.15">
      <c r="A1655" t="s">
        <v>2257</v>
      </c>
      <c r="B1655" t="s">
        <v>2257</v>
      </c>
      <c r="C1655" s="2" t="s">
        <v>2257</v>
      </c>
      <c r="D1655" t="s">
        <v>2257</v>
      </c>
      <c r="E1655" s="2" t="s">
        <v>2257</v>
      </c>
      <c r="F1655" s="8" t="s">
        <v>2257</v>
      </c>
      <c r="G1655" s="2" t="s">
        <v>2257</v>
      </c>
      <c r="H1655" s="2" t="s">
        <v>2257</v>
      </c>
      <c r="I1655" s="2" t="s">
        <v>2257</v>
      </c>
      <c r="J1655" t="str">
        <f t="shared" si="47"/>
        <v/>
      </c>
    </row>
    <row r="1656" spans="1:10" x14ac:dyDescent="0.15">
      <c r="A1656" t="s">
        <v>2257</v>
      </c>
      <c r="B1656" t="s">
        <v>2257</v>
      </c>
      <c r="C1656" s="2" t="s">
        <v>2257</v>
      </c>
      <c r="D1656" t="s">
        <v>2257</v>
      </c>
      <c r="E1656" s="2" t="s">
        <v>2257</v>
      </c>
      <c r="F1656" s="8" t="s">
        <v>2257</v>
      </c>
      <c r="G1656" s="2" t="s">
        <v>2257</v>
      </c>
      <c r="H1656" s="2" t="s">
        <v>2257</v>
      </c>
      <c r="I1656" s="2" t="s">
        <v>2257</v>
      </c>
      <c r="J1656" t="str">
        <f t="shared" si="47"/>
        <v/>
      </c>
    </row>
    <row r="1657" spans="1:10" x14ac:dyDescent="0.15">
      <c r="A1657" t="s">
        <v>2257</v>
      </c>
      <c r="B1657" t="s">
        <v>2257</v>
      </c>
      <c r="C1657" s="2" t="s">
        <v>2257</v>
      </c>
      <c r="D1657" t="s">
        <v>2257</v>
      </c>
      <c r="E1657" s="2" t="s">
        <v>2257</v>
      </c>
      <c r="F1657" s="8" t="s">
        <v>2257</v>
      </c>
      <c r="G1657" s="2" t="s">
        <v>2257</v>
      </c>
      <c r="H1657" s="2" t="s">
        <v>2257</v>
      </c>
      <c r="I1657" s="2" t="s">
        <v>2257</v>
      </c>
      <c r="J1657" t="str">
        <f t="shared" si="47"/>
        <v/>
      </c>
    </row>
    <row r="1658" spans="1:10" x14ac:dyDescent="0.15">
      <c r="A1658" t="s">
        <v>2257</v>
      </c>
      <c r="B1658" t="s">
        <v>2257</v>
      </c>
      <c r="C1658" s="2" t="s">
        <v>2257</v>
      </c>
      <c r="D1658" t="s">
        <v>2257</v>
      </c>
      <c r="E1658" s="2" t="s">
        <v>2257</v>
      </c>
      <c r="F1658" s="8" t="s">
        <v>2257</v>
      </c>
      <c r="G1658" s="2" t="s">
        <v>2257</v>
      </c>
      <c r="H1658" s="2" t="s">
        <v>2257</v>
      </c>
      <c r="I1658" s="2" t="s">
        <v>2257</v>
      </c>
      <c r="J1658" t="str">
        <f t="shared" si="47"/>
        <v/>
      </c>
    </row>
    <row r="1659" spans="1:10" x14ac:dyDescent="0.15">
      <c r="A1659" t="s">
        <v>2257</v>
      </c>
      <c r="B1659" t="s">
        <v>2257</v>
      </c>
      <c r="C1659" s="2" t="s">
        <v>2257</v>
      </c>
      <c r="D1659" t="s">
        <v>2257</v>
      </c>
      <c r="E1659" s="2" t="s">
        <v>2257</v>
      </c>
      <c r="F1659" s="8" t="s">
        <v>2257</v>
      </c>
      <c r="G1659" s="2" t="s">
        <v>2257</v>
      </c>
      <c r="H1659" s="2" t="s">
        <v>2257</v>
      </c>
      <c r="I1659" s="2" t="s">
        <v>2257</v>
      </c>
      <c r="J1659" t="str">
        <f t="shared" si="47"/>
        <v/>
      </c>
    </row>
    <row r="1660" spans="1:10" x14ac:dyDescent="0.15">
      <c r="A1660" t="s">
        <v>2257</v>
      </c>
      <c r="B1660" t="s">
        <v>2257</v>
      </c>
      <c r="C1660" s="2" t="s">
        <v>2257</v>
      </c>
      <c r="D1660" t="s">
        <v>2257</v>
      </c>
      <c r="E1660" s="2" t="s">
        <v>2257</v>
      </c>
      <c r="F1660" s="8" t="s">
        <v>2257</v>
      </c>
      <c r="G1660" s="2" t="s">
        <v>2257</v>
      </c>
      <c r="H1660" s="2" t="s">
        <v>2257</v>
      </c>
      <c r="I1660" s="2" t="s">
        <v>2257</v>
      </c>
      <c r="J1660" t="str">
        <f t="shared" si="47"/>
        <v/>
      </c>
    </row>
    <row r="1661" spans="1:10" x14ac:dyDescent="0.15">
      <c r="A1661" t="s">
        <v>2257</v>
      </c>
      <c r="B1661" t="s">
        <v>2257</v>
      </c>
      <c r="C1661" s="2" t="s">
        <v>2257</v>
      </c>
      <c r="D1661" t="s">
        <v>2257</v>
      </c>
      <c r="E1661" s="2" t="s">
        <v>2257</v>
      </c>
      <c r="F1661" s="8" t="s">
        <v>2257</v>
      </c>
      <c r="G1661" s="2" t="s">
        <v>2257</v>
      </c>
      <c r="H1661" s="2" t="s">
        <v>2257</v>
      </c>
      <c r="I1661" s="2" t="s">
        <v>2257</v>
      </c>
      <c r="J1661" t="str">
        <f t="shared" si="47"/>
        <v/>
      </c>
    </row>
    <row r="1662" spans="1:10" x14ac:dyDescent="0.15">
      <c r="A1662" t="s">
        <v>2257</v>
      </c>
      <c r="B1662" t="s">
        <v>2257</v>
      </c>
      <c r="C1662" s="2" t="s">
        <v>2257</v>
      </c>
      <c r="D1662" t="s">
        <v>2257</v>
      </c>
      <c r="E1662" s="2" t="s">
        <v>2257</v>
      </c>
      <c r="F1662" s="8" t="s">
        <v>2257</v>
      </c>
      <c r="G1662" s="2" t="s">
        <v>2257</v>
      </c>
      <c r="H1662" s="2" t="s">
        <v>2257</v>
      </c>
      <c r="I1662" s="2" t="s">
        <v>2257</v>
      </c>
      <c r="J1662" t="str">
        <f t="shared" si="47"/>
        <v/>
      </c>
    </row>
    <row r="1663" spans="1:10" x14ac:dyDescent="0.15">
      <c r="A1663" t="s">
        <v>2257</v>
      </c>
      <c r="B1663" t="s">
        <v>2257</v>
      </c>
      <c r="C1663" s="2" t="s">
        <v>2257</v>
      </c>
      <c r="D1663" t="s">
        <v>2257</v>
      </c>
      <c r="E1663" s="2" t="s">
        <v>2257</v>
      </c>
      <c r="F1663" s="8" t="s">
        <v>2257</v>
      </c>
      <c r="G1663" s="2" t="s">
        <v>2257</v>
      </c>
      <c r="H1663" s="2" t="s">
        <v>2257</v>
      </c>
      <c r="I1663" s="2" t="s">
        <v>2257</v>
      </c>
      <c r="J1663" t="str">
        <f t="shared" si="47"/>
        <v/>
      </c>
    </row>
    <row r="1664" spans="1:10" x14ac:dyDescent="0.15">
      <c r="A1664" t="s">
        <v>2257</v>
      </c>
      <c r="B1664" t="s">
        <v>2257</v>
      </c>
      <c r="C1664" s="2" t="s">
        <v>2257</v>
      </c>
      <c r="D1664" t="s">
        <v>2257</v>
      </c>
      <c r="E1664" s="2" t="s">
        <v>2257</v>
      </c>
      <c r="F1664" s="8" t="s">
        <v>2257</v>
      </c>
      <c r="G1664" s="2" t="s">
        <v>2257</v>
      </c>
      <c r="H1664" s="2" t="s">
        <v>2257</v>
      </c>
      <c r="I1664" s="2" t="s">
        <v>2257</v>
      </c>
      <c r="J1664" t="str">
        <f t="shared" si="47"/>
        <v/>
      </c>
    </row>
    <row r="1665" spans="1:10" x14ac:dyDescent="0.15">
      <c r="A1665" t="s">
        <v>2257</v>
      </c>
      <c r="B1665" t="s">
        <v>2257</v>
      </c>
      <c r="C1665" s="2" t="s">
        <v>2257</v>
      </c>
      <c r="D1665" t="s">
        <v>2257</v>
      </c>
      <c r="E1665" s="2" t="s">
        <v>2257</v>
      </c>
      <c r="F1665" s="8" t="s">
        <v>2257</v>
      </c>
      <c r="G1665" s="2" t="s">
        <v>2257</v>
      </c>
      <c r="H1665" s="2" t="s">
        <v>2257</v>
      </c>
      <c r="I1665" s="2" t="s">
        <v>2257</v>
      </c>
      <c r="J1665" t="str">
        <f t="shared" si="47"/>
        <v/>
      </c>
    </row>
    <row r="1666" spans="1:10" x14ac:dyDescent="0.15">
      <c r="A1666" t="s">
        <v>2257</v>
      </c>
      <c r="B1666" t="s">
        <v>2257</v>
      </c>
      <c r="C1666" s="2" t="s">
        <v>2257</v>
      </c>
      <c r="D1666" t="s">
        <v>2257</v>
      </c>
      <c r="E1666" s="2" t="s">
        <v>2257</v>
      </c>
      <c r="F1666" s="8" t="s">
        <v>2257</v>
      </c>
      <c r="G1666" s="2" t="s">
        <v>2257</v>
      </c>
      <c r="H1666" s="2" t="s">
        <v>2257</v>
      </c>
      <c r="I1666" s="2" t="s">
        <v>2257</v>
      </c>
      <c r="J1666" t="str">
        <f t="shared" si="47"/>
        <v/>
      </c>
    </row>
    <row r="1667" spans="1:10" x14ac:dyDescent="0.15">
      <c r="A1667" t="s">
        <v>2257</v>
      </c>
      <c r="B1667" t="s">
        <v>2257</v>
      </c>
      <c r="C1667" s="2" t="s">
        <v>2257</v>
      </c>
      <c r="D1667" t="s">
        <v>2257</v>
      </c>
      <c r="E1667" s="2" t="s">
        <v>2257</v>
      </c>
      <c r="F1667" s="8" t="s">
        <v>2257</v>
      </c>
      <c r="G1667" s="2" t="s">
        <v>2257</v>
      </c>
      <c r="H1667" s="2" t="s">
        <v>2257</v>
      </c>
      <c r="I1667" s="2" t="s">
        <v>2257</v>
      </c>
      <c r="J1667" t="str">
        <f t="shared" si="47"/>
        <v/>
      </c>
    </row>
    <row r="1668" spans="1:10" x14ac:dyDescent="0.15">
      <c r="A1668" t="s">
        <v>2257</v>
      </c>
      <c r="B1668" t="s">
        <v>2257</v>
      </c>
      <c r="C1668" s="2" t="s">
        <v>2257</v>
      </c>
      <c r="D1668" t="s">
        <v>2257</v>
      </c>
      <c r="E1668" s="2" t="s">
        <v>2257</v>
      </c>
      <c r="F1668" s="8" t="s">
        <v>2257</v>
      </c>
      <c r="G1668" s="2" t="s">
        <v>2257</v>
      </c>
      <c r="H1668" s="2" t="s">
        <v>2257</v>
      </c>
      <c r="I1668" s="2" t="s">
        <v>2257</v>
      </c>
      <c r="J1668" t="str">
        <f t="shared" si="47"/>
        <v/>
      </c>
    </row>
    <row r="1669" spans="1:10" x14ac:dyDescent="0.15">
      <c r="A1669" t="s">
        <v>2257</v>
      </c>
      <c r="B1669" t="s">
        <v>2257</v>
      </c>
      <c r="C1669" s="2" t="s">
        <v>2257</v>
      </c>
      <c r="D1669" t="s">
        <v>2257</v>
      </c>
      <c r="E1669" s="2" t="s">
        <v>2257</v>
      </c>
      <c r="F1669" s="8" t="s">
        <v>2257</v>
      </c>
      <c r="G1669" s="2" t="s">
        <v>2257</v>
      </c>
      <c r="H1669" s="2" t="s">
        <v>2257</v>
      </c>
      <c r="I1669" s="2" t="s">
        <v>2257</v>
      </c>
      <c r="J1669" t="str">
        <f t="shared" si="47"/>
        <v/>
      </c>
    </row>
    <row r="1670" spans="1:10" x14ac:dyDescent="0.15">
      <c r="A1670" t="s">
        <v>2257</v>
      </c>
      <c r="B1670" t="s">
        <v>2257</v>
      </c>
      <c r="C1670" s="2" t="s">
        <v>2257</v>
      </c>
      <c r="D1670" t="s">
        <v>2257</v>
      </c>
      <c r="E1670" s="2" t="s">
        <v>2257</v>
      </c>
      <c r="F1670" s="8" t="s">
        <v>2257</v>
      </c>
      <c r="G1670" s="2" t="s">
        <v>2257</v>
      </c>
      <c r="H1670" s="2" t="s">
        <v>2257</v>
      </c>
      <c r="I1670" s="2" t="s">
        <v>2257</v>
      </c>
      <c r="J1670" t="str">
        <f t="shared" si="47"/>
        <v/>
      </c>
    </row>
    <row r="1671" spans="1:10" x14ac:dyDescent="0.15">
      <c r="A1671" t="s">
        <v>2257</v>
      </c>
      <c r="B1671" t="s">
        <v>2257</v>
      </c>
      <c r="C1671" s="2" t="s">
        <v>2257</v>
      </c>
      <c r="D1671" t="s">
        <v>2257</v>
      </c>
      <c r="E1671" s="2" t="s">
        <v>2257</v>
      </c>
      <c r="F1671" s="8" t="s">
        <v>2257</v>
      </c>
      <c r="G1671" s="2" t="s">
        <v>2257</v>
      </c>
      <c r="H1671" s="2" t="s">
        <v>2257</v>
      </c>
      <c r="I1671" s="2" t="s">
        <v>2257</v>
      </c>
      <c r="J1671" t="str">
        <f t="shared" si="47"/>
        <v/>
      </c>
    </row>
    <row r="1672" spans="1:10" x14ac:dyDescent="0.15">
      <c r="A1672" t="s">
        <v>2257</v>
      </c>
      <c r="B1672" t="s">
        <v>2257</v>
      </c>
      <c r="C1672" s="2" t="s">
        <v>2257</v>
      </c>
      <c r="D1672" t="s">
        <v>2257</v>
      </c>
      <c r="E1672" s="2" t="s">
        <v>2257</v>
      </c>
      <c r="F1672" s="8" t="s">
        <v>2257</v>
      </c>
      <c r="G1672" s="2" t="s">
        <v>2257</v>
      </c>
      <c r="H1672" s="2" t="s">
        <v>2257</v>
      </c>
      <c r="I1672" s="2" t="s">
        <v>2257</v>
      </c>
      <c r="J1672" t="str">
        <f t="shared" si="47"/>
        <v/>
      </c>
    </row>
    <row r="1673" spans="1:10" x14ac:dyDescent="0.15">
      <c r="A1673" t="s">
        <v>2257</v>
      </c>
      <c r="B1673" t="s">
        <v>2257</v>
      </c>
      <c r="C1673" s="2" t="s">
        <v>2257</v>
      </c>
      <c r="D1673" t="s">
        <v>2257</v>
      </c>
      <c r="E1673" s="2" t="s">
        <v>2257</v>
      </c>
      <c r="F1673" s="8" t="s">
        <v>2257</v>
      </c>
      <c r="G1673" s="2" t="s">
        <v>2257</v>
      </c>
      <c r="H1673" s="2" t="s">
        <v>2257</v>
      </c>
      <c r="I1673" s="2" t="s">
        <v>2257</v>
      </c>
      <c r="J1673" t="str">
        <f t="shared" si="47"/>
        <v/>
      </c>
    </row>
    <row r="1674" spans="1:10" x14ac:dyDescent="0.15">
      <c r="A1674" t="s">
        <v>2257</v>
      </c>
      <c r="B1674" t="s">
        <v>2257</v>
      </c>
      <c r="C1674" s="2" t="s">
        <v>2257</v>
      </c>
      <c r="D1674" t="s">
        <v>2257</v>
      </c>
      <c r="E1674" s="2" t="s">
        <v>2257</v>
      </c>
      <c r="F1674" s="8" t="s">
        <v>2257</v>
      </c>
      <c r="G1674" s="2" t="s">
        <v>2257</v>
      </c>
      <c r="H1674" s="2" t="s">
        <v>2257</v>
      </c>
      <c r="I1674" s="2" t="s">
        <v>2257</v>
      </c>
      <c r="J1674" t="str">
        <f t="shared" si="47"/>
        <v/>
      </c>
    </row>
    <row r="1675" spans="1:10" x14ac:dyDescent="0.15">
      <c r="A1675" t="s">
        <v>2257</v>
      </c>
      <c r="B1675" t="s">
        <v>2257</v>
      </c>
      <c r="C1675" s="2" t="s">
        <v>2257</v>
      </c>
      <c r="D1675" t="s">
        <v>2257</v>
      </c>
      <c r="E1675" s="2" t="s">
        <v>2257</v>
      </c>
      <c r="F1675" s="8" t="s">
        <v>2257</v>
      </c>
      <c r="G1675" s="2" t="s">
        <v>2257</v>
      </c>
      <c r="H1675" s="2" t="s">
        <v>2257</v>
      </c>
      <c r="I1675" s="2" t="s">
        <v>2257</v>
      </c>
      <c r="J1675" t="str">
        <f t="shared" ref="J1675:J1738" si="48">IF(A1675="","",IF(AND(C1675="",D1675&lt;&gt;"UNS",I1675=""),"Open","Closed"))</f>
        <v/>
      </c>
    </row>
    <row r="1676" spans="1:10" x14ac:dyDescent="0.15">
      <c r="A1676" t="s">
        <v>2257</v>
      </c>
      <c r="B1676" t="s">
        <v>2257</v>
      </c>
      <c r="C1676" s="2" t="s">
        <v>2257</v>
      </c>
      <c r="D1676" t="s">
        <v>2257</v>
      </c>
      <c r="E1676" s="2" t="s">
        <v>2257</v>
      </c>
      <c r="F1676" s="8" t="s">
        <v>2257</v>
      </c>
      <c r="G1676" s="2" t="s">
        <v>2257</v>
      </c>
      <c r="H1676" s="2" t="s">
        <v>2257</v>
      </c>
      <c r="I1676" s="2" t="s">
        <v>2257</v>
      </c>
      <c r="J1676" t="str">
        <f t="shared" si="48"/>
        <v/>
      </c>
    </row>
    <row r="1677" spans="1:10" x14ac:dyDescent="0.15">
      <c r="A1677" t="s">
        <v>2257</v>
      </c>
      <c r="B1677" t="s">
        <v>2257</v>
      </c>
      <c r="C1677" s="2" t="s">
        <v>2257</v>
      </c>
      <c r="D1677" t="s">
        <v>2257</v>
      </c>
      <c r="E1677" s="2" t="s">
        <v>2257</v>
      </c>
      <c r="F1677" s="8" t="s">
        <v>2257</v>
      </c>
      <c r="G1677" s="2" t="s">
        <v>2257</v>
      </c>
      <c r="H1677" s="2" t="s">
        <v>2257</v>
      </c>
      <c r="I1677" s="2" t="s">
        <v>2257</v>
      </c>
      <c r="J1677" t="str">
        <f t="shared" si="48"/>
        <v/>
      </c>
    </row>
    <row r="1678" spans="1:10" x14ac:dyDescent="0.15">
      <c r="A1678" t="s">
        <v>2257</v>
      </c>
      <c r="B1678" t="s">
        <v>2257</v>
      </c>
      <c r="C1678" s="2" t="s">
        <v>2257</v>
      </c>
      <c r="D1678" t="s">
        <v>2257</v>
      </c>
      <c r="E1678" s="2" t="s">
        <v>2257</v>
      </c>
      <c r="F1678" s="8" t="s">
        <v>2257</v>
      </c>
      <c r="G1678" s="2" t="s">
        <v>2257</v>
      </c>
      <c r="H1678" s="2" t="s">
        <v>2257</v>
      </c>
      <c r="I1678" s="2" t="s">
        <v>2257</v>
      </c>
      <c r="J1678" t="str">
        <f t="shared" si="48"/>
        <v/>
      </c>
    </row>
    <row r="1679" spans="1:10" x14ac:dyDescent="0.15">
      <c r="A1679" t="s">
        <v>2257</v>
      </c>
      <c r="B1679" t="s">
        <v>2257</v>
      </c>
      <c r="C1679" s="2" t="s">
        <v>2257</v>
      </c>
      <c r="D1679" t="s">
        <v>2257</v>
      </c>
      <c r="E1679" s="2" t="s">
        <v>2257</v>
      </c>
      <c r="F1679" s="8" t="s">
        <v>2257</v>
      </c>
      <c r="G1679" s="2" t="s">
        <v>2257</v>
      </c>
      <c r="H1679" s="2" t="s">
        <v>2257</v>
      </c>
      <c r="I1679" s="2" t="s">
        <v>2257</v>
      </c>
      <c r="J1679" t="str">
        <f t="shared" si="48"/>
        <v/>
      </c>
    </row>
    <row r="1680" spans="1:10" x14ac:dyDescent="0.15">
      <c r="A1680" t="s">
        <v>2257</v>
      </c>
      <c r="B1680" t="s">
        <v>2257</v>
      </c>
      <c r="C1680" s="2" t="s">
        <v>2257</v>
      </c>
      <c r="D1680" t="s">
        <v>2257</v>
      </c>
      <c r="E1680" s="2" t="s">
        <v>2257</v>
      </c>
      <c r="F1680" s="8" t="s">
        <v>2257</v>
      </c>
      <c r="G1680" s="2" t="s">
        <v>2257</v>
      </c>
      <c r="H1680" s="2" t="s">
        <v>2257</v>
      </c>
      <c r="I1680" s="2" t="s">
        <v>2257</v>
      </c>
      <c r="J1680" t="str">
        <f t="shared" si="48"/>
        <v/>
      </c>
    </row>
    <row r="1681" spans="1:10" x14ac:dyDescent="0.15">
      <c r="A1681" t="s">
        <v>2257</v>
      </c>
      <c r="B1681" t="s">
        <v>2257</v>
      </c>
      <c r="C1681" s="2" t="s">
        <v>2257</v>
      </c>
      <c r="D1681" t="s">
        <v>2257</v>
      </c>
      <c r="E1681" s="2" t="s">
        <v>2257</v>
      </c>
      <c r="F1681" s="8" t="s">
        <v>2257</v>
      </c>
      <c r="G1681" s="2" t="s">
        <v>2257</v>
      </c>
      <c r="H1681" s="2" t="s">
        <v>2257</v>
      </c>
      <c r="I1681" s="2" t="s">
        <v>2257</v>
      </c>
      <c r="J1681" t="str">
        <f t="shared" si="48"/>
        <v/>
      </c>
    </row>
    <row r="1682" spans="1:10" x14ac:dyDescent="0.15">
      <c r="A1682" t="s">
        <v>2257</v>
      </c>
      <c r="B1682" t="s">
        <v>2257</v>
      </c>
      <c r="C1682" s="2" t="s">
        <v>2257</v>
      </c>
      <c r="D1682" t="s">
        <v>2257</v>
      </c>
      <c r="E1682" s="2" t="s">
        <v>2257</v>
      </c>
      <c r="F1682" s="8" t="s">
        <v>2257</v>
      </c>
      <c r="G1682" s="2" t="s">
        <v>2257</v>
      </c>
      <c r="H1682" s="2" t="s">
        <v>2257</v>
      </c>
      <c r="I1682" s="2" t="s">
        <v>2257</v>
      </c>
      <c r="J1682" t="str">
        <f t="shared" si="48"/>
        <v/>
      </c>
    </row>
    <row r="1683" spans="1:10" x14ac:dyDescent="0.15">
      <c r="A1683" t="s">
        <v>2257</v>
      </c>
      <c r="B1683" t="s">
        <v>2257</v>
      </c>
      <c r="C1683" s="2" t="s">
        <v>2257</v>
      </c>
      <c r="D1683" t="s">
        <v>2257</v>
      </c>
      <c r="E1683" s="2" t="s">
        <v>2257</v>
      </c>
      <c r="F1683" s="8" t="s">
        <v>2257</v>
      </c>
      <c r="G1683" s="2" t="s">
        <v>2257</v>
      </c>
      <c r="H1683" s="2" t="s">
        <v>2257</v>
      </c>
      <c r="I1683" s="2" t="s">
        <v>2257</v>
      </c>
      <c r="J1683" t="str">
        <f t="shared" si="48"/>
        <v/>
      </c>
    </row>
    <row r="1684" spans="1:10" x14ac:dyDescent="0.15">
      <c r="A1684" t="s">
        <v>2257</v>
      </c>
      <c r="B1684" t="s">
        <v>2257</v>
      </c>
      <c r="C1684" s="2" t="s">
        <v>2257</v>
      </c>
      <c r="D1684" t="s">
        <v>2257</v>
      </c>
      <c r="E1684" s="2" t="s">
        <v>2257</v>
      </c>
      <c r="F1684" s="8" t="s">
        <v>2257</v>
      </c>
      <c r="G1684" s="2" t="s">
        <v>2257</v>
      </c>
      <c r="H1684" s="2" t="s">
        <v>2257</v>
      </c>
      <c r="I1684" s="2" t="s">
        <v>2257</v>
      </c>
      <c r="J1684" t="str">
        <f t="shared" si="48"/>
        <v/>
      </c>
    </row>
    <row r="1685" spans="1:10" x14ac:dyDescent="0.15">
      <c r="A1685" t="s">
        <v>2257</v>
      </c>
      <c r="B1685" t="s">
        <v>2257</v>
      </c>
      <c r="C1685" s="2" t="s">
        <v>2257</v>
      </c>
      <c r="D1685" t="s">
        <v>2257</v>
      </c>
      <c r="E1685" s="2" t="s">
        <v>2257</v>
      </c>
      <c r="F1685" s="8" t="s">
        <v>2257</v>
      </c>
      <c r="G1685" s="2" t="s">
        <v>2257</v>
      </c>
      <c r="H1685" s="2" t="s">
        <v>2257</v>
      </c>
      <c r="I1685" s="2" t="s">
        <v>2257</v>
      </c>
      <c r="J1685" t="str">
        <f t="shared" si="48"/>
        <v/>
      </c>
    </row>
    <row r="1686" spans="1:10" x14ac:dyDescent="0.15">
      <c r="A1686" t="s">
        <v>2257</v>
      </c>
      <c r="B1686" t="s">
        <v>2257</v>
      </c>
      <c r="C1686" s="2" t="s">
        <v>2257</v>
      </c>
      <c r="D1686" t="s">
        <v>2257</v>
      </c>
      <c r="E1686" s="2" t="s">
        <v>2257</v>
      </c>
      <c r="F1686" s="8" t="s">
        <v>2257</v>
      </c>
      <c r="G1686" s="2" t="s">
        <v>2257</v>
      </c>
      <c r="H1686" s="2" t="s">
        <v>2257</v>
      </c>
      <c r="I1686" s="2" t="s">
        <v>2257</v>
      </c>
      <c r="J1686" t="str">
        <f t="shared" si="48"/>
        <v/>
      </c>
    </row>
    <row r="1687" spans="1:10" x14ac:dyDescent="0.15">
      <c r="A1687" t="s">
        <v>2257</v>
      </c>
      <c r="B1687" t="s">
        <v>2257</v>
      </c>
      <c r="C1687" s="2" t="s">
        <v>2257</v>
      </c>
      <c r="D1687" t="s">
        <v>2257</v>
      </c>
      <c r="E1687" s="2" t="s">
        <v>2257</v>
      </c>
      <c r="F1687" s="8" t="s">
        <v>2257</v>
      </c>
      <c r="G1687" s="2" t="s">
        <v>2257</v>
      </c>
      <c r="H1687" s="2" t="s">
        <v>2257</v>
      </c>
      <c r="I1687" s="2" t="s">
        <v>2257</v>
      </c>
      <c r="J1687" t="str">
        <f t="shared" si="48"/>
        <v/>
      </c>
    </row>
    <row r="1688" spans="1:10" x14ac:dyDescent="0.15">
      <c r="A1688" t="s">
        <v>2257</v>
      </c>
      <c r="B1688" t="s">
        <v>2257</v>
      </c>
      <c r="C1688" s="2" t="s">
        <v>2257</v>
      </c>
      <c r="D1688" t="s">
        <v>2257</v>
      </c>
      <c r="E1688" s="2" t="s">
        <v>2257</v>
      </c>
      <c r="F1688" s="8" t="s">
        <v>2257</v>
      </c>
      <c r="G1688" s="2" t="s">
        <v>2257</v>
      </c>
      <c r="H1688" s="2" t="s">
        <v>2257</v>
      </c>
      <c r="I1688" s="2" t="s">
        <v>2257</v>
      </c>
      <c r="J1688" t="str">
        <f t="shared" si="48"/>
        <v/>
      </c>
    </row>
    <row r="1689" spans="1:10" x14ac:dyDescent="0.15">
      <c r="A1689" t="s">
        <v>2257</v>
      </c>
      <c r="B1689" t="s">
        <v>2257</v>
      </c>
      <c r="C1689" s="2" t="s">
        <v>2257</v>
      </c>
      <c r="D1689" t="s">
        <v>2257</v>
      </c>
      <c r="E1689" s="2" t="s">
        <v>2257</v>
      </c>
      <c r="F1689" s="8" t="s">
        <v>2257</v>
      </c>
      <c r="G1689" s="2" t="s">
        <v>2257</v>
      </c>
      <c r="H1689" s="2" t="s">
        <v>2257</v>
      </c>
      <c r="I1689" s="2" t="s">
        <v>2257</v>
      </c>
      <c r="J1689" t="str">
        <f t="shared" si="48"/>
        <v/>
      </c>
    </row>
    <row r="1690" spans="1:10" x14ac:dyDescent="0.15">
      <c r="A1690" t="s">
        <v>2257</v>
      </c>
      <c r="B1690" t="s">
        <v>2257</v>
      </c>
      <c r="C1690" s="2" t="s">
        <v>2257</v>
      </c>
      <c r="D1690" t="s">
        <v>2257</v>
      </c>
      <c r="E1690" s="2" t="s">
        <v>2257</v>
      </c>
      <c r="F1690" s="8" t="s">
        <v>2257</v>
      </c>
      <c r="G1690" s="2" t="s">
        <v>2257</v>
      </c>
      <c r="H1690" s="2" t="s">
        <v>2257</v>
      </c>
      <c r="I1690" s="2" t="s">
        <v>2257</v>
      </c>
      <c r="J1690" t="str">
        <f t="shared" si="48"/>
        <v/>
      </c>
    </row>
    <row r="1691" spans="1:10" x14ac:dyDescent="0.15">
      <c r="A1691" t="s">
        <v>2257</v>
      </c>
      <c r="B1691" t="s">
        <v>2257</v>
      </c>
      <c r="C1691" s="2" t="s">
        <v>2257</v>
      </c>
      <c r="D1691" t="s">
        <v>2257</v>
      </c>
      <c r="E1691" s="2" t="s">
        <v>2257</v>
      </c>
      <c r="F1691" s="8" t="s">
        <v>2257</v>
      </c>
      <c r="G1691" s="2" t="s">
        <v>2257</v>
      </c>
      <c r="H1691" s="2" t="s">
        <v>2257</v>
      </c>
      <c r="I1691" s="2" t="s">
        <v>2257</v>
      </c>
      <c r="J1691" t="str">
        <f t="shared" si="48"/>
        <v/>
      </c>
    </row>
    <row r="1692" spans="1:10" x14ac:dyDescent="0.15">
      <c r="A1692" t="s">
        <v>2257</v>
      </c>
      <c r="B1692" t="s">
        <v>2257</v>
      </c>
      <c r="C1692" s="2" t="s">
        <v>2257</v>
      </c>
      <c r="D1692" t="s">
        <v>2257</v>
      </c>
      <c r="E1692" s="2" t="s">
        <v>2257</v>
      </c>
      <c r="F1692" s="8" t="s">
        <v>2257</v>
      </c>
      <c r="G1692" s="2" t="s">
        <v>2257</v>
      </c>
      <c r="H1692" s="2" t="s">
        <v>2257</v>
      </c>
      <c r="I1692" s="2" t="s">
        <v>2257</v>
      </c>
      <c r="J1692" t="str">
        <f t="shared" si="48"/>
        <v/>
      </c>
    </row>
    <row r="1693" spans="1:10" x14ac:dyDescent="0.15">
      <c r="A1693" t="s">
        <v>2257</v>
      </c>
      <c r="B1693" t="s">
        <v>2257</v>
      </c>
      <c r="C1693" s="2" t="s">
        <v>2257</v>
      </c>
      <c r="D1693" t="s">
        <v>2257</v>
      </c>
      <c r="E1693" s="2" t="s">
        <v>2257</v>
      </c>
      <c r="F1693" s="8" t="s">
        <v>2257</v>
      </c>
      <c r="G1693" s="2" t="s">
        <v>2257</v>
      </c>
      <c r="H1693" s="2" t="s">
        <v>2257</v>
      </c>
      <c r="I1693" s="2" t="s">
        <v>2257</v>
      </c>
      <c r="J1693" t="str">
        <f t="shared" si="48"/>
        <v/>
      </c>
    </row>
    <row r="1694" spans="1:10" x14ac:dyDescent="0.15">
      <c r="A1694" t="s">
        <v>2257</v>
      </c>
      <c r="B1694" t="s">
        <v>2257</v>
      </c>
      <c r="C1694" s="2" t="s">
        <v>2257</v>
      </c>
      <c r="D1694" t="s">
        <v>2257</v>
      </c>
      <c r="E1694" s="2" t="s">
        <v>2257</v>
      </c>
      <c r="F1694" s="8" t="s">
        <v>2257</v>
      </c>
      <c r="G1694" s="2" t="s">
        <v>2257</v>
      </c>
      <c r="H1694" s="2" t="s">
        <v>2257</v>
      </c>
      <c r="I1694" s="2" t="s">
        <v>2257</v>
      </c>
      <c r="J1694" t="str">
        <f t="shared" si="48"/>
        <v/>
      </c>
    </row>
    <row r="1695" spans="1:10" x14ac:dyDescent="0.15">
      <c r="A1695" t="s">
        <v>2257</v>
      </c>
      <c r="B1695" t="s">
        <v>2257</v>
      </c>
      <c r="C1695" s="2" t="s">
        <v>2257</v>
      </c>
      <c r="D1695" t="s">
        <v>2257</v>
      </c>
      <c r="E1695" s="2" t="s">
        <v>2257</v>
      </c>
      <c r="F1695" s="8" t="s">
        <v>2257</v>
      </c>
      <c r="G1695" s="2" t="s">
        <v>2257</v>
      </c>
      <c r="H1695" s="2" t="s">
        <v>2257</v>
      </c>
      <c r="I1695" s="2" t="s">
        <v>2257</v>
      </c>
      <c r="J1695" t="str">
        <f t="shared" si="48"/>
        <v/>
      </c>
    </row>
    <row r="1696" spans="1:10" x14ac:dyDescent="0.15">
      <c r="A1696" t="s">
        <v>2257</v>
      </c>
      <c r="B1696" t="s">
        <v>2257</v>
      </c>
      <c r="C1696" s="2" t="s">
        <v>2257</v>
      </c>
      <c r="D1696" t="s">
        <v>2257</v>
      </c>
      <c r="E1696" s="2" t="s">
        <v>2257</v>
      </c>
      <c r="F1696" s="8" t="s">
        <v>2257</v>
      </c>
      <c r="G1696" s="2" t="s">
        <v>2257</v>
      </c>
      <c r="H1696" s="2" t="s">
        <v>2257</v>
      </c>
      <c r="I1696" s="2" t="s">
        <v>2257</v>
      </c>
      <c r="J1696" t="str">
        <f t="shared" si="48"/>
        <v/>
      </c>
    </row>
    <row r="1697" spans="1:10" x14ac:dyDescent="0.15">
      <c r="A1697" t="s">
        <v>2257</v>
      </c>
      <c r="B1697" t="s">
        <v>2257</v>
      </c>
      <c r="C1697" s="2" t="s">
        <v>2257</v>
      </c>
      <c r="D1697" t="s">
        <v>2257</v>
      </c>
      <c r="E1697" s="2" t="s">
        <v>2257</v>
      </c>
      <c r="F1697" s="8" t="s">
        <v>2257</v>
      </c>
      <c r="G1697" s="2" t="s">
        <v>2257</v>
      </c>
      <c r="H1697" s="2" t="s">
        <v>2257</v>
      </c>
      <c r="I1697" s="2" t="s">
        <v>2257</v>
      </c>
      <c r="J1697" t="str">
        <f t="shared" si="48"/>
        <v/>
      </c>
    </row>
    <row r="1698" spans="1:10" x14ac:dyDescent="0.15">
      <c r="A1698" t="s">
        <v>2257</v>
      </c>
      <c r="B1698" t="s">
        <v>2257</v>
      </c>
      <c r="C1698" s="2" t="s">
        <v>2257</v>
      </c>
      <c r="D1698" t="s">
        <v>2257</v>
      </c>
      <c r="E1698" s="2" t="s">
        <v>2257</v>
      </c>
      <c r="F1698" s="8" t="s">
        <v>2257</v>
      </c>
      <c r="G1698" s="2" t="s">
        <v>2257</v>
      </c>
      <c r="H1698" s="2" t="s">
        <v>2257</v>
      </c>
      <c r="I1698" s="2" t="s">
        <v>2257</v>
      </c>
      <c r="J1698" t="str">
        <f t="shared" si="48"/>
        <v/>
      </c>
    </row>
    <row r="1699" spans="1:10" x14ac:dyDescent="0.15">
      <c r="A1699" t="s">
        <v>2257</v>
      </c>
      <c r="B1699" t="s">
        <v>2257</v>
      </c>
      <c r="C1699" s="2" t="s">
        <v>2257</v>
      </c>
      <c r="D1699" t="s">
        <v>2257</v>
      </c>
      <c r="E1699" s="2" t="s">
        <v>2257</v>
      </c>
      <c r="F1699" s="8" t="s">
        <v>2257</v>
      </c>
      <c r="G1699" s="2" t="s">
        <v>2257</v>
      </c>
      <c r="H1699" s="2" t="s">
        <v>2257</v>
      </c>
      <c r="I1699" s="2" t="s">
        <v>2257</v>
      </c>
      <c r="J1699" t="str">
        <f t="shared" si="48"/>
        <v/>
      </c>
    </row>
    <row r="1700" spans="1:10" x14ac:dyDescent="0.15">
      <c r="A1700" t="s">
        <v>2257</v>
      </c>
      <c r="B1700" t="s">
        <v>2257</v>
      </c>
      <c r="C1700" s="2" t="s">
        <v>2257</v>
      </c>
      <c r="D1700" t="s">
        <v>2257</v>
      </c>
      <c r="E1700" s="2" t="s">
        <v>2257</v>
      </c>
      <c r="F1700" s="8" t="s">
        <v>2257</v>
      </c>
      <c r="G1700" s="2" t="s">
        <v>2257</v>
      </c>
      <c r="H1700" s="2" t="s">
        <v>2257</v>
      </c>
      <c r="I1700" s="2" t="s">
        <v>2257</v>
      </c>
      <c r="J1700" t="str">
        <f t="shared" si="48"/>
        <v/>
      </c>
    </row>
    <row r="1701" spans="1:10" x14ac:dyDescent="0.15">
      <c r="A1701" t="s">
        <v>2257</v>
      </c>
      <c r="B1701" t="s">
        <v>2257</v>
      </c>
      <c r="C1701" s="2" t="s">
        <v>2257</v>
      </c>
      <c r="D1701" t="s">
        <v>2257</v>
      </c>
      <c r="E1701" s="2" t="s">
        <v>2257</v>
      </c>
      <c r="F1701" s="8" t="s">
        <v>2257</v>
      </c>
      <c r="G1701" s="2" t="s">
        <v>2257</v>
      </c>
      <c r="H1701" s="2" t="s">
        <v>2257</v>
      </c>
      <c r="I1701" s="2" t="s">
        <v>2257</v>
      </c>
      <c r="J1701" t="str">
        <f t="shared" si="48"/>
        <v/>
      </c>
    </row>
    <row r="1702" spans="1:10" x14ac:dyDescent="0.15">
      <c r="A1702" t="s">
        <v>2257</v>
      </c>
      <c r="B1702" t="s">
        <v>2257</v>
      </c>
      <c r="C1702" s="2" t="s">
        <v>2257</v>
      </c>
      <c r="D1702" t="s">
        <v>2257</v>
      </c>
      <c r="E1702" s="2" t="s">
        <v>2257</v>
      </c>
      <c r="F1702" s="8" t="s">
        <v>2257</v>
      </c>
      <c r="G1702" s="2" t="s">
        <v>2257</v>
      </c>
      <c r="H1702" s="2" t="s">
        <v>2257</v>
      </c>
      <c r="I1702" s="2" t="s">
        <v>2257</v>
      </c>
      <c r="J1702" t="str">
        <f t="shared" si="48"/>
        <v/>
      </c>
    </row>
    <row r="1703" spans="1:10" x14ac:dyDescent="0.15">
      <c r="A1703" t="s">
        <v>2257</v>
      </c>
      <c r="B1703" t="s">
        <v>2257</v>
      </c>
      <c r="C1703" s="2" t="s">
        <v>2257</v>
      </c>
      <c r="D1703" t="s">
        <v>2257</v>
      </c>
      <c r="E1703" s="2" t="s">
        <v>2257</v>
      </c>
      <c r="F1703" s="8" t="s">
        <v>2257</v>
      </c>
      <c r="G1703" s="2" t="s">
        <v>2257</v>
      </c>
      <c r="H1703" s="2" t="s">
        <v>2257</v>
      </c>
      <c r="I1703" s="2" t="s">
        <v>2257</v>
      </c>
      <c r="J1703" t="str">
        <f t="shared" si="48"/>
        <v/>
      </c>
    </row>
    <row r="1704" spans="1:10" x14ac:dyDescent="0.15">
      <c r="A1704" t="s">
        <v>2257</v>
      </c>
      <c r="B1704" t="s">
        <v>2257</v>
      </c>
      <c r="C1704" s="2" t="s">
        <v>2257</v>
      </c>
      <c r="D1704" t="s">
        <v>2257</v>
      </c>
      <c r="E1704" s="2" t="s">
        <v>2257</v>
      </c>
      <c r="F1704" s="8" t="s">
        <v>2257</v>
      </c>
      <c r="G1704" s="2" t="s">
        <v>2257</v>
      </c>
      <c r="H1704" s="2" t="s">
        <v>2257</v>
      </c>
      <c r="I1704" s="2" t="s">
        <v>2257</v>
      </c>
      <c r="J1704" t="str">
        <f t="shared" si="48"/>
        <v/>
      </c>
    </row>
    <row r="1705" spans="1:10" x14ac:dyDescent="0.15">
      <c r="A1705" t="s">
        <v>2257</v>
      </c>
      <c r="B1705" t="s">
        <v>2257</v>
      </c>
      <c r="C1705" s="2" t="s">
        <v>2257</v>
      </c>
      <c r="D1705" t="s">
        <v>2257</v>
      </c>
      <c r="E1705" s="2" t="s">
        <v>2257</v>
      </c>
      <c r="F1705" s="8" t="s">
        <v>2257</v>
      </c>
      <c r="G1705" s="2" t="s">
        <v>2257</v>
      </c>
      <c r="H1705" s="2" t="s">
        <v>2257</v>
      </c>
      <c r="I1705" s="2" t="s">
        <v>2257</v>
      </c>
      <c r="J1705" t="str">
        <f t="shared" si="48"/>
        <v/>
      </c>
    </row>
    <row r="1706" spans="1:10" x14ac:dyDescent="0.15">
      <c r="A1706" t="s">
        <v>2257</v>
      </c>
      <c r="B1706" t="s">
        <v>2257</v>
      </c>
      <c r="C1706" s="2" t="s">
        <v>2257</v>
      </c>
      <c r="D1706" t="s">
        <v>2257</v>
      </c>
      <c r="E1706" s="2" t="s">
        <v>2257</v>
      </c>
      <c r="F1706" s="8" t="s">
        <v>2257</v>
      </c>
      <c r="G1706" s="2" t="s">
        <v>2257</v>
      </c>
      <c r="H1706" s="2" t="s">
        <v>2257</v>
      </c>
      <c r="I1706" s="2" t="s">
        <v>2257</v>
      </c>
      <c r="J1706" t="str">
        <f t="shared" si="48"/>
        <v/>
      </c>
    </row>
    <row r="1707" spans="1:10" x14ac:dyDescent="0.15">
      <c r="A1707" t="s">
        <v>2257</v>
      </c>
      <c r="B1707" t="s">
        <v>2257</v>
      </c>
      <c r="C1707" s="2" t="s">
        <v>2257</v>
      </c>
      <c r="D1707" t="s">
        <v>2257</v>
      </c>
      <c r="E1707" s="2" t="s">
        <v>2257</v>
      </c>
      <c r="F1707" s="8" t="s">
        <v>2257</v>
      </c>
      <c r="G1707" s="2" t="s">
        <v>2257</v>
      </c>
      <c r="H1707" s="2" t="s">
        <v>2257</v>
      </c>
      <c r="I1707" s="2" t="s">
        <v>2257</v>
      </c>
      <c r="J1707" t="str">
        <f t="shared" si="48"/>
        <v/>
      </c>
    </row>
    <row r="1708" spans="1:10" x14ac:dyDescent="0.15">
      <c r="A1708" t="s">
        <v>2257</v>
      </c>
      <c r="B1708" t="s">
        <v>2257</v>
      </c>
      <c r="C1708" s="2" t="s">
        <v>2257</v>
      </c>
      <c r="D1708" t="s">
        <v>2257</v>
      </c>
      <c r="E1708" s="2" t="s">
        <v>2257</v>
      </c>
      <c r="F1708" s="8" t="s">
        <v>2257</v>
      </c>
      <c r="G1708" s="2" t="s">
        <v>2257</v>
      </c>
      <c r="H1708" s="2" t="s">
        <v>2257</v>
      </c>
      <c r="I1708" s="2" t="s">
        <v>2257</v>
      </c>
      <c r="J1708" t="str">
        <f t="shared" si="48"/>
        <v/>
      </c>
    </row>
    <row r="1709" spans="1:10" x14ac:dyDescent="0.15">
      <c r="A1709" t="s">
        <v>2257</v>
      </c>
      <c r="B1709" t="s">
        <v>2257</v>
      </c>
      <c r="C1709" s="2" t="s">
        <v>2257</v>
      </c>
      <c r="D1709" t="s">
        <v>2257</v>
      </c>
      <c r="E1709" s="2" t="s">
        <v>2257</v>
      </c>
      <c r="F1709" s="8" t="s">
        <v>2257</v>
      </c>
      <c r="G1709" s="2" t="s">
        <v>2257</v>
      </c>
      <c r="H1709" s="2" t="s">
        <v>2257</v>
      </c>
      <c r="I1709" s="2" t="s">
        <v>2257</v>
      </c>
      <c r="J1709" t="str">
        <f t="shared" si="48"/>
        <v/>
      </c>
    </row>
    <row r="1710" spans="1:10" x14ac:dyDescent="0.15">
      <c r="A1710" t="s">
        <v>2257</v>
      </c>
      <c r="B1710" t="s">
        <v>2257</v>
      </c>
      <c r="C1710" s="2" t="s">
        <v>2257</v>
      </c>
      <c r="D1710" t="s">
        <v>2257</v>
      </c>
      <c r="E1710" s="2" t="s">
        <v>2257</v>
      </c>
      <c r="F1710" s="8" t="s">
        <v>2257</v>
      </c>
      <c r="G1710" s="2" t="s">
        <v>2257</v>
      </c>
      <c r="H1710" s="2" t="s">
        <v>2257</v>
      </c>
      <c r="I1710" s="2" t="s">
        <v>2257</v>
      </c>
      <c r="J1710" t="str">
        <f t="shared" si="48"/>
        <v/>
      </c>
    </row>
    <row r="1711" spans="1:10" x14ac:dyDescent="0.15">
      <c r="A1711" t="s">
        <v>2257</v>
      </c>
      <c r="B1711" t="s">
        <v>2257</v>
      </c>
      <c r="C1711" s="2" t="s">
        <v>2257</v>
      </c>
      <c r="D1711" t="s">
        <v>2257</v>
      </c>
      <c r="E1711" s="2" t="s">
        <v>2257</v>
      </c>
      <c r="F1711" s="8" t="s">
        <v>2257</v>
      </c>
      <c r="G1711" s="2" t="s">
        <v>2257</v>
      </c>
      <c r="H1711" s="2" t="s">
        <v>2257</v>
      </c>
      <c r="I1711" s="2" t="s">
        <v>2257</v>
      </c>
      <c r="J1711" t="str">
        <f t="shared" si="48"/>
        <v/>
      </c>
    </row>
    <row r="1712" spans="1:10" x14ac:dyDescent="0.15">
      <c r="A1712" t="s">
        <v>2257</v>
      </c>
      <c r="B1712" t="s">
        <v>2257</v>
      </c>
      <c r="C1712" s="2" t="s">
        <v>2257</v>
      </c>
      <c r="D1712" t="s">
        <v>2257</v>
      </c>
      <c r="E1712" s="2" t="s">
        <v>2257</v>
      </c>
      <c r="F1712" s="8" t="s">
        <v>2257</v>
      </c>
      <c r="G1712" s="2" t="s">
        <v>2257</v>
      </c>
      <c r="H1712" s="2" t="s">
        <v>2257</v>
      </c>
      <c r="I1712" s="2" t="s">
        <v>2257</v>
      </c>
      <c r="J1712" t="str">
        <f t="shared" si="48"/>
        <v/>
      </c>
    </row>
    <row r="1713" spans="1:10" x14ac:dyDescent="0.15">
      <c r="A1713" t="s">
        <v>2257</v>
      </c>
      <c r="B1713" t="s">
        <v>2257</v>
      </c>
      <c r="C1713" s="2" t="s">
        <v>2257</v>
      </c>
      <c r="D1713" t="s">
        <v>2257</v>
      </c>
      <c r="E1713" s="2" t="s">
        <v>2257</v>
      </c>
      <c r="F1713" s="8" t="s">
        <v>2257</v>
      </c>
      <c r="G1713" s="2" t="s">
        <v>2257</v>
      </c>
      <c r="H1713" s="2" t="s">
        <v>2257</v>
      </c>
      <c r="I1713" s="2" t="s">
        <v>2257</v>
      </c>
      <c r="J1713" t="str">
        <f t="shared" si="48"/>
        <v/>
      </c>
    </row>
    <row r="1714" spans="1:10" x14ac:dyDescent="0.15">
      <c r="A1714" t="s">
        <v>2257</v>
      </c>
      <c r="B1714" t="s">
        <v>2257</v>
      </c>
      <c r="C1714" s="2" t="s">
        <v>2257</v>
      </c>
      <c r="D1714" t="s">
        <v>2257</v>
      </c>
      <c r="E1714" s="2" t="s">
        <v>2257</v>
      </c>
      <c r="F1714" s="8" t="s">
        <v>2257</v>
      </c>
      <c r="G1714" s="2" t="s">
        <v>2257</v>
      </c>
      <c r="H1714" s="2" t="s">
        <v>2257</v>
      </c>
      <c r="I1714" s="2" t="s">
        <v>2257</v>
      </c>
      <c r="J1714" t="str">
        <f t="shared" si="48"/>
        <v/>
      </c>
    </row>
    <row r="1715" spans="1:10" x14ac:dyDescent="0.15">
      <c r="A1715" t="s">
        <v>2257</v>
      </c>
      <c r="B1715" t="s">
        <v>2257</v>
      </c>
      <c r="C1715" s="2" t="s">
        <v>2257</v>
      </c>
      <c r="D1715" t="s">
        <v>2257</v>
      </c>
      <c r="E1715" s="2" t="s">
        <v>2257</v>
      </c>
      <c r="F1715" s="8" t="s">
        <v>2257</v>
      </c>
      <c r="G1715" s="2" t="s">
        <v>2257</v>
      </c>
      <c r="H1715" s="2" t="s">
        <v>2257</v>
      </c>
      <c r="I1715" s="2" t="s">
        <v>2257</v>
      </c>
      <c r="J1715" t="str">
        <f t="shared" si="48"/>
        <v/>
      </c>
    </row>
    <row r="1716" spans="1:10" x14ac:dyDescent="0.15">
      <c r="A1716" t="s">
        <v>2257</v>
      </c>
      <c r="B1716" t="s">
        <v>2257</v>
      </c>
      <c r="C1716" s="2" t="s">
        <v>2257</v>
      </c>
      <c r="D1716" t="s">
        <v>2257</v>
      </c>
      <c r="E1716" s="2" t="s">
        <v>2257</v>
      </c>
      <c r="F1716" s="8" t="s">
        <v>2257</v>
      </c>
      <c r="G1716" s="2" t="s">
        <v>2257</v>
      </c>
      <c r="H1716" s="2" t="s">
        <v>2257</v>
      </c>
      <c r="I1716" s="2" t="s">
        <v>2257</v>
      </c>
      <c r="J1716" t="str">
        <f t="shared" si="48"/>
        <v/>
      </c>
    </row>
    <row r="1717" spans="1:10" x14ac:dyDescent="0.15">
      <c r="A1717" t="s">
        <v>2257</v>
      </c>
      <c r="B1717" t="s">
        <v>2257</v>
      </c>
      <c r="C1717" s="2" t="s">
        <v>2257</v>
      </c>
      <c r="D1717" t="s">
        <v>2257</v>
      </c>
      <c r="E1717" s="2" t="s">
        <v>2257</v>
      </c>
      <c r="F1717" s="8" t="s">
        <v>2257</v>
      </c>
      <c r="G1717" s="2" t="s">
        <v>2257</v>
      </c>
      <c r="H1717" s="2" t="s">
        <v>2257</v>
      </c>
      <c r="I1717" s="2" t="s">
        <v>2257</v>
      </c>
      <c r="J1717" t="str">
        <f t="shared" si="48"/>
        <v/>
      </c>
    </row>
    <row r="1718" spans="1:10" x14ac:dyDescent="0.15">
      <c r="A1718" t="s">
        <v>2257</v>
      </c>
      <c r="B1718" t="s">
        <v>2257</v>
      </c>
      <c r="C1718" s="2" t="s">
        <v>2257</v>
      </c>
      <c r="D1718" t="s">
        <v>2257</v>
      </c>
      <c r="E1718" s="2" t="s">
        <v>2257</v>
      </c>
      <c r="F1718" s="8" t="s">
        <v>2257</v>
      </c>
      <c r="G1718" s="2" t="s">
        <v>2257</v>
      </c>
      <c r="H1718" s="2" t="s">
        <v>2257</v>
      </c>
      <c r="I1718" s="2" t="s">
        <v>2257</v>
      </c>
      <c r="J1718" t="str">
        <f t="shared" si="48"/>
        <v/>
      </c>
    </row>
    <row r="1719" spans="1:10" x14ac:dyDescent="0.15">
      <c r="A1719" t="s">
        <v>2257</v>
      </c>
      <c r="B1719" t="s">
        <v>2257</v>
      </c>
      <c r="C1719" s="2" t="s">
        <v>2257</v>
      </c>
      <c r="D1719" t="s">
        <v>2257</v>
      </c>
      <c r="E1719" s="2" t="s">
        <v>2257</v>
      </c>
      <c r="F1719" s="8" t="s">
        <v>2257</v>
      </c>
      <c r="G1719" s="2" t="s">
        <v>2257</v>
      </c>
      <c r="H1719" s="2" t="s">
        <v>2257</v>
      </c>
      <c r="I1719" s="2" t="s">
        <v>2257</v>
      </c>
      <c r="J1719" t="str">
        <f t="shared" si="48"/>
        <v/>
      </c>
    </row>
    <row r="1720" spans="1:10" x14ac:dyDescent="0.15">
      <c r="A1720" t="s">
        <v>2257</v>
      </c>
      <c r="B1720" t="s">
        <v>2257</v>
      </c>
      <c r="C1720" s="2" t="s">
        <v>2257</v>
      </c>
      <c r="D1720" t="s">
        <v>2257</v>
      </c>
      <c r="E1720" s="2" t="s">
        <v>2257</v>
      </c>
      <c r="F1720" s="8" t="s">
        <v>2257</v>
      </c>
      <c r="G1720" s="2" t="s">
        <v>2257</v>
      </c>
      <c r="H1720" s="2" t="s">
        <v>2257</v>
      </c>
      <c r="I1720" s="2" t="s">
        <v>2257</v>
      </c>
      <c r="J1720" t="str">
        <f t="shared" si="48"/>
        <v/>
      </c>
    </row>
    <row r="1721" spans="1:10" x14ac:dyDescent="0.15">
      <c r="A1721" t="s">
        <v>2257</v>
      </c>
      <c r="B1721" t="s">
        <v>2257</v>
      </c>
      <c r="C1721" s="2" t="s">
        <v>2257</v>
      </c>
      <c r="D1721" t="s">
        <v>2257</v>
      </c>
      <c r="E1721" s="2" t="s">
        <v>2257</v>
      </c>
      <c r="F1721" s="8" t="s">
        <v>2257</v>
      </c>
      <c r="G1721" s="2" t="s">
        <v>2257</v>
      </c>
      <c r="H1721" s="2" t="s">
        <v>2257</v>
      </c>
      <c r="I1721" s="2" t="s">
        <v>2257</v>
      </c>
      <c r="J1721" t="str">
        <f t="shared" si="48"/>
        <v/>
      </c>
    </row>
    <row r="1722" spans="1:10" x14ac:dyDescent="0.15">
      <c r="A1722" t="s">
        <v>2257</v>
      </c>
      <c r="B1722" t="s">
        <v>2257</v>
      </c>
      <c r="C1722" s="2" t="s">
        <v>2257</v>
      </c>
      <c r="D1722" t="s">
        <v>2257</v>
      </c>
      <c r="E1722" s="2" t="s">
        <v>2257</v>
      </c>
      <c r="F1722" s="8" t="s">
        <v>2257</v>
      </c>
      <c r="G1722" s="2" t="s">
        <v>2257</v>
      </c>
      <c r="H1722" s="2" t="s">
        <v>2257</v>
      </c>
      <c r="I1722" s="2" t="s">
        <v>2257</v>
      </c>
      <c r="J1722" t="str">
        <f t="shared" si="48"/>
        <v/>
      </c>
    </row>
    <row r="1723" spans="1:10" x14ac:dyDescent="0.15">
      <c r="A1723" t="s">
        <v>2257</v>
      </c>
      <c r="B1723" t="s">
        <v>2257</v>
      </c>
      <c r="C1723" s="2" t="s">
        <v>2257</v>
      </c>
      <c r="D1723" t="s">
        <v>2257</v>
      </c>
      <c r="E1723" s="2" t="s">
        <v>2257</v>
      </c>
      <c r="F1723" s="8" t="s">
        <v>2257</v>
      </c>
      <c r="G1723" s="2" t="s">
        <v>2257</v>
      </c>
      <c r="H1723" s="2" t="s">
        <v>2257</v>
      </c>
      <c r="I1723" s="2" t="s">
        <v>2257</v>
      </c>
      <c r="J1723" t="str">
        <f t="shared" si="48"/>
        <v/>
      </c>
    </row>
    <row r="1724" spans="1:10" x14ac:dyDescent="0.15">
      <c r="A1724" t="s">
        <v>2257</v>
      </c>
      <c r="B1724" t="s">
        <v>2257</v>
      </c>
      <c r="C1724" s="2" t="s">
        <v>2257</v>
      </c>
      <c r="D1724" t="s">
        <v>2257</v>
      </c>
      <c r="E1724" s="2" t="s">
        <v>2257</v>
      </c>
      <c r="F1724" s="8" t="s">
        <v>2257</v>
      </c>
      <c r="G1724" s="2" t="s">
        <v>2257</v>
      </c>
      <c r="H1724" s="2" t="s">
        <v>2257</v>
      </c>
      <c r="I1724" s="2" t="s">
        <v>2257</v>
      </c>
      <c r="J1724" t="str">
        <f t="shared" si="48"/>
        <v/>
      </c>
    </row>
    <row r="1725" spans="1:10" x14ac:dyDescent="0.15">
      <c r="A1725" t="s">
        <v>2257</v>
      </c>
      <c r="B1725" t="s">
        <v>2257</v>
      </c>
      <c r="C1725" s="2" t="s">
        <v>2257</v>
      </c>
      <c r="D1725" t="s">
        <v>2257</v>
      </c>
      <c r="E1725" s="2" t="s">
        <v>2257</v>
      </c>
      <c r="F1725" s="8" t="s">
        <v>2257</v>
      </c>
      <c r="G1725" s="2" t="s">
        <v>2257</v>
      </c>
      <c r="H1725" s="2" t="s">
        <v>2257</v>
      </c>
      <c r="I1725" s="2" t="s">
        <v>2257</v>
      </c>
      <c r="J1725" t="str">
        <f t="shared" si="48"/>
        <v/>
      </c>
    </row>
    <row r="1726" spans="1:10" x14ac:dyDescent="0.15">
      <c r="A1726" t="s">
        <v>2257</v>
      </c>
      <c r="B1726" t="s">
        <v>2257</v>
      </c>
      <c r="C1726" s="2" t="s">
        <v>2257</v>
      </c>
      <c r="D1726" t="s">
        <v>2257</v>
      </c>
      <c r="E1726" s="2" t="s">
        <v>2257</v>
      </c>
      <c r="F1726" s="8" t="s">
        <v>2257</v>
      </c>
      <c r="G1726" s="2" t="s">
        <v>2257</v>
      </c>
      <c r="H1726" s="2" t="s">
        <v>2257</v>
      </c>
      <c r="I1726" s="2" t="s">
        <v>2257</v>
      </c>
      <c r="J1726" t="str">
        <f t="shared" si="48"/>
        <v/>
      </c>
    </row>
    <row r="1727" spans="1:10" x14ac:dyDescent="0.15">
      <c r="A1727" t="s">
        <v>2257</v>
      </c>
      <c r="B1727" t="s">
        <v>2257</v>
      </c>
      <c r="C1727" s="2" t="s">
        <v>2257</v>
      </c>
      <c r="D1727" t="s">
        <v>2257</v>
      </c>
      <c r="E1727" s="2" t="s">
        <v>2257</v>
      </c>
      <c r="F1727" s="8" t="s">
        <v>2257</v>
      </c>
      <c r="G1727" s="2" t="s">
        <v>2257</v>
      </c>
      <c r="H1727" s="2" t="s">
        <v>2257</v>
      </c>
      <c r="I1727" s="2" t="s">
        <v>2257</v>
      </c>
      <c r="J1727" t="str">
        <f t="shared" si="48"/>
        <v/>
      </c>
    </row>
    <row r="1728" spans="1:10" x14ac:dyDescent="0.15">
      <c r="A1728" t="s">
        <v>2257</v>
      </c>
      <c r="B1728" t="s">
        <v>2257</v>
      </c>
      <c r="C1728" s="2" t="s">
        <v>2257</v>
      </c>
      <c r="D1728" t="s">
        <v>2257</v>
      </c>
      <c r="E1728" s="2" t="s">
        <v>2257</v>
      </c>
      <c r="F1728" s="8" t="s">
        <v>2257</v>
      </c>
      <c r="G1728" s="2" t="s">
        <v>2257</v>
      </c>
      <c r="H1728" s="2" t="s">
        <v>2257</v>
      </c>
      <c r="I1728" s="2" t="s">
        <v>2257</v>
      </c>
      <c r="J1728" t="str">
        <f t="shared" si="48"/>
        <v/>
      </c>
    </row>
    <row r="1729" spans="1:10" x14ac:dyDescent="0.15">
      <c r="A1729" t="s">
        <v>2257</v>
      </c>
      <c r="B1729" t="s">
        <v>2257</v>
      </c>
      <c r="C1729" s="2" t="s">
        <v>2257</v>
      </c>
      <c r="D1729" t="s">
        <v>2257</v>
      </c>
      <c r="E1729" s="2" t="s">
        <v>2257</v>
      </c>
      <c r="F1729" s="8" t="s">
        <v>2257</v>
      </c>
      <c r="G1729" s="2" t="s">
        <v>2257</v>
      </c>
      <c r="H1729" s="2" t="s">
        <v>2257</v>
      </c>
      <c r="I1729" s="2" t="s">
        <v>2257</v>
      </c>
      <c r="J1729" t="str">
        <f t="shared" si="48"/>
        <v/>
      </c>
    </row>
    <row r="1730" spans="1:10" x14ac:dyDescent="0.15">
      <c r="A1730" t="s">
        <v>2257</v>
      </c>
      <c r="B1730" t="s">
        <v>2257</v>
      </c>
      <c r="C1730" s="2" t="s">
        <v>2257</v>
      </c>
      <c r="D1730" t="s">
        <v>2257</v>
      </c>
      <c r="E1730" s="2" t="s">
        <v>2257</v>
      </c>
      <c r="F1730" s="8" t="s">
        <v>2257</v>
      </c>
      <c r="G1730" s="2" t="s">
        <v>2257</v>
      </c>
      <c r="H1730" s="2" t="s">
        <v>2257</v>
      </c>
      <c r="I1730" s="2" t="s">
        <v>2257</v>
      </c>
      <c r="J1730" t="str">
        <f t="shared" si="48"/>
        <v/>
      </c>
    </row>
    <row r="1731" spans="1:10" x14ac:dyDescent="0.15">
      <c r="A1731" t="s">
        <v>2257</v>
      </c>
      <c r="B1731" t="s">
        <v>2257</v>
      </c>
      <c r="C1731" s="2" t="s">
        <v>2257</v>
      </c>
      <c r="D1731" t="s">
        <v>2257</v>
      </c>
      <c r="E1731" s="2" t="s">
        <v>2257</v>
      </c>
      <c r="F1731" s="8" t="s">
        <v>2257</v>
      </c>
      <c r="G1731" s="2" t="s">
        <v>2257</v>
      </c>
      <c r="H1731" s="2" t="s">
        <v>2257</v>
      </c>
      <c r="I1731" s="2" t="s">
        <v>2257</v>
      </c>
      <c r="J1731" t="str">
        <f t="shared" si="48"/>
        <v/>
      </c>
    </row>
    <row r="1732" spans="1:10" x14ac:dyDescent="0.15">
      <c r="A1732" t="s">
        <v>2257</v>
      </c>
      <c r="B1732" t="s">
        <v>2257</v>
      </c>
      <c r="C1732" s="2" t="s">
        <v>2257</v>
      </c>
      <c r="D1732" t="s">
        <v>2257</v>
      </c>
      <c r="E1732" s="2" t="s">
        <v>2257</v>
      </c>
      <c r="F1732" s="8" t="s">
        <v>2257</v>
      </c>
      <c r="G1732" s="2" t="s">
        <v>2257</v>
      </c>
      <c r="H1732" s="2" t="s">
        <v>2257</v>
      </c>
      <c r="I1732" s="2" t="s">
        <v>2257</v>
      </c>
      <c r="J1732" t="str">
        <f t="shared" si="48"/>
        <v/>
      </c>
    </row>
    <row r="1733" spans="1:10" x14ac:dyDescent="0.15">
      <c r="A1733" t="s">
        <v>2257</v>
      </c>
      <c r="B1733" t="s">
        <v>2257</v>
      </c>
      <c r="C1733" s="2" t="s">
        <v>2257</v>
      </c>
      <c r="D1733" t="s">
        <v>2257</v>
      </c>
      <c r="E1733" s="2" t="s">
        <v>2257</v>
      </c>
      <c r="F1733" s="8" t="s">
        <v>2257</v>
      </c>
      <c r="G1733" s="2" t="s">
        <v>2257</v>
      </c>
      <c r="H1733" s="2" t="s">
        <v>2257</v>
      </c>
      <c r="I1733" s="2" t="s">
        <v>2257</v>
      </c>
      <c r="J1733" t="str">
        <f t="shared" si="48"/>
        <v/>
      </c>
    </row>
    <row r="1734" spans="1:10" x14ac:dyDescent="0.15">
      <c r="A1734" t="s">
        <v>2257</v>
      </c>
      <c r="B1734" t="s">
        <v>2257</v>
      </c>
      <c r="C1734" s="2" t="s">
        <v>2257</v>
      </c>
      <c r="D1734" t="s">
        <v>2257</v>
      </c>
      <c r="E1734" s="2" t="s">
        <v>2257</v>
      </c>
      <c r="F1734" s="8" t="s">
        <v>2257</v>
      </c>
      <c r="G1734" s="2" t="s">
        <v>2257</v>
      </c>
      <c r="H1734" s="2" t="s">
        <v>2257</v>
      </c>
      <c r="I1734" s="2" t="s">
        <v>2257</v>
      </c>
      <c r="J1734" t="str">
        <f t="shared" si="48"/>
        <v/>
      </c>
    </row>
    <row r="1735" spans="1:10" x14ac:dyDescent="0.15">
      <c r="A1735" t="s">
        <v>2257</v>
      </c>
      <c r="B1735" t="s">
        <v>2257</v>
      </c>
      <c r="C1735" s="2" t="s">
        <v>2257</v>
      </c>
      <c r="D1735" t="s">
        <v>2257</v>
      </c>
      <c r="E1735" s="2" t="s">
        <v>2257</v>
      </c>
      <c r="F1735" s="8" t="s">
        <v>2257</v>
      </c>
      <c r="G1735" s="2" t="s">
        <v>2257</v>
      </c>
      <c r="H1735" s="2" t="s">
        <v>2257</v>
      </c>
      <c r="I1735" s="2" t="s">
        <v>2257</v>
      </c>
      <c r="J1735" t="str">
        <f t="shared" si="48"/>
        <v/>
      </c>
    </row>
    <row r="1736" spans="1:10" x14ac:dyDescent="0.15">
      <c r="A1736" t="s">
        <v>2257</v>
      </c>
      <c r="B1736" t="s">
        <v>2257</v>
      </c>
      <c r="C1736" s="2" t="s">
        <v>2257</v>
      </c>
      <c r="D1736" t="s">
        <v>2257</v>
      </c>
      <c r="E1736" s="2" t="s">
        <v>2257</v>
      </c>
      <c r="F1736" s="8" t="s">
        <v>2257</v>
      </c>
      <c r="G1736" s="2" t="s">
        <v>2257</v>
      </c>
      <c r="H1736" s="2" t="s">
        <v>2257</v>
      </c>
      <c r="I1736" s="2" t="s">
        <v>2257</v>
      </c>
      <c r="J1736" t="str">
        <f t="shared" si="48"/>
        <v/>
      </c>
    </row>
    <row r="1737" spans="1:10" x14ac:dyDescent="0.15">
      <c r="A1737" t="s">
        <v>2257</v>
      </c>
      <c r="B1737" t="s">
        <v>2257</v>
      </c>
      <c r="C1737" s="2" t="s">
        <v>2257</v>
      </c>
      <c r="D1737" t="s">
        <v>2257</v>
      </c>
      <c r="E1737" s="2" t="s">
        <v>2257</v>
      </c>
      <c r="F1737" s="8" t="s">
        <v>2257</v>
      </c>
      <c r="G1737" s="2" t="s">
        <v>2257</v>
      </c>
      <c r="H1737" s="2" t="s">
        <v>2257</v>
      </c>
      <c r="I1737" s="2" t="s">
        <v>2257</v>
      </c>
      <c r="J1737" t="str">
        <f t="shared" si="48"/>
        <v/>
      </c>
    </row>
    <row r="1738" spans="1:10" x14ac:dyDescent="0.15">
      <c r="A1738" t="s">
        <v>2257</v>
      </c>
      <c r="B1738" t="s">
        <v>2257</v>
      </c>
      <c r="C1738" s="2" t="s">
        <v>2257</v>
      </c>
      <c r="D1738" t="s">
        <v>2257</v>
      </c>
      <c r="E1738" s="2" t="s">
        <v>2257</v>
      </c>
      <c r="F1738" s="8" t="s">
        <v>2257</v>
      </c>
      <c r="G1738" s="2" t="s">
        <v>2257</v>
      </c>
      <c r="H1738" s="2" t="s">
        <v>2257</v>
      </c>
      <c r="I1738" s="2" t="s">
        <v>2257</v>
      </c>
      <c r="J1738" t="str">
        <f t="shared" si="48"/>
        <v/>
      </c>
    </row>
    <row r="1739" spans="1:10" x14ac:dyDescent="0.15">
      <c r="A1739" t="s">
        <v>2257</v>
      </c>
      <c r="B1739" t="s">
        <v>2257</v>
      </c>
      <c r="C1739" s="2" t="s">
        <v>2257</v>
      </c>
      <c r="D1739" t="s">
        <v>2257</v>
      </c>
      <c r="E1739" s="2" t="s">
        <v>2257</v>
      </c>
      <c r="F1739" s="8" t="s">
        <v>2257</v>
      </c>
      <c r="G1739" s="2" t="s">
        <v>2257</v>
      </c>
      <c r="H1739" s="2" t="s">
        <v>2257</v>
      </c>
      <c r="I1739" s="2" t="s">
        <v>2257</v>
      </c>
      <c r="J1739" t="str">
        <f t="shared" ref="J1739:J1802" si="49">IF(A1739="","",IF(AND(C1739="",D1739&lt;&gt;"UNS",I1739=""),"Open","Closed"))</f>
        <v/>
      </c>
    </row>
    <row r="1740" spans="1:10" x14ac:dyDescent="0.15">
      <c r="A1740" t="s">
        <v>2257</v>
      </c>
      <c r="B1740" t="s">
        <v>2257</v>
      </c>
      <c r="C1740" s="2" t="s">
        <v>2257</v>
      </c>
      <c r="D1740" t="s">
        <v>2257</v>
      </c>
      <c r="E1740" s="2" t="s">
        <v>2257</v>
      </c>
      <c r="F1740" s="8" t="s">
        <v>2257</v>
      </c>
      <c r="G1740" s="2" t="s">
        <v>2257</v>
      </c>
      <c r="H1740" s="2" t="s">
        <v>2257</v>
      </c>
      <c r="I1740" s="2" t="s">
        <v>2257</v>
      </c>
      <c r="J1740" t="str">
        <f t="shared" si="49"/>
        <v/>
      </c>
    </row>
    <row r="1741" spans="1:10" x14ac:dyDescent="0.15">
      <c r="A1741" t="s">
        <v>2257</v>
      </c>
      <c r="B1741" t="s">
        <v>2257</v>
      </c>
      <c r="C1741" s="2" t="s">
        <v>2257</v>
      </c>
      <c r="D1741" t="s">
        <v>2257</v>
      </c>
      <c r="E1741" s="2" t="s">
        <v>2257</v>
      </c>
      <c r="F1741" s="8" t="s">
        <v>2257</v>
      </c>
      <c r="G1741" s="2" t="s">
        <v>2257</v>
      </c>
      <c r="H1741" s="2" t="s">
        <v>2257</v>
      </c>
      <c r="I1741" s="2" t="s">
        <v>2257</v>
      </c>
      <c r="J1741" t="str">
        <f t="shared" si="49"/>
        <v/>
      </c>
    </row>
    <row r="1742" spans="1:10" x14ac:dyDescent="0.15">
      <c r="A1742" t="s">
        <v>2257</v>
      </c>
      <c r="B1742" t="s">
        <v>2257</v>
      </c>
      <c r="C1742" s="2" t="s">
        <v>2257</v>
      </c>
      <c r="D1742" t="s">
        <v>2257</v>
      </c>
      <c r="E1742" s="2" t="s">
        <v>2257</v>
      </c>
      <c r="F1742" s="8" t="s">
        <v>2257</v>
      </c>
      <c r="G1742" s="2" t="s">
        <v>2257</v>
      </c>
      <c r="H1742" s="2" t="s">
        <v>2257</v>
      </c>
      <c r="I1742" s="2" t="s">
        <v>2257</v>
      </c>
      <c r="J1742" t="str">
        <f t="shared" si="49"/>
        <v/>
      </c>
    </row>
    <row r="1743" spans="1:10" x14ac:dyDescent="0.15">
      <c r="A1743" t="s">
        <v>2257</v>
      </c>
      <c r="B1743" t="s">
        <v>2257</v>
      </c>
      <c r="C1743" s="2" t="s">
        <v>2257</v>
      </c>
      <c r="D1743" t="s">
        <v>2257</v>
      </c>
      <c r="E1743" s="2" t="s">
        <v>2257</v>
      </c>
      <c r="F1743" s="8" t="s">
        <v>2257</v>
      </c>
      <c r="G1743" s="2" t="s">
        <v>2257</v>
      </c>
      <c r="H1743" s="2" t="s">
        <v>2257</v>
      </c>
      <c r="I1743" s="2" t="s">
        <v>2257</v>
      </c>
      <c r="J1743" t="str">
        <f t="shared" si="49"/>
        <v/>
      </c>
    </row>
    <row r="1744" spans="1:10" x14ac:dyDescent="0.15">
      <c r="A1744" t="s">
        <v>2257</v>
      </c>
      <c r="B1744" t="s">
        <v>2257</v>
      </c>
      <c r="C1744" s="2" t="s">
        <v>2257</v>
      </c>
      <c r="D1744" t="s">
        <v>2257</v>
      </c>
      <c r="E1744" s="2" t="s">
        <v>2257</v>
      </c>
      <c r="F1744" s="8" t="s">
        <v>2257</v>
      </c>
      <c r="G1744" s="2" t="s">
        <v>2257</v>
      </c>
      <c r="H1744" s="2" t="s">
        <v>2257</v>
      </c>
      <c r="I1744" s="2" t="s">
        <v>2257</v>
      </c>
      <c r="J1744" t="str">
        <f t="shared" si="49"/>
        <v/>
      </c>
    </row>
    <row r="1745" spans="1:10" x14ac:dyDescent="0.15">
      <c r="A1745" t="s">
        <v>2257</v>
      </c>
      <c r="B1745" t="s">
        <v>2257</v>
      </c>
      <c r="C1745" s="2" t="s">
        <v>2257</v>
      </c>
      <c r="D1745" t="s">
        <v>2257</v>
      </c>
      <c r="E1745" s="2" t="s">
        <v>2257</v>
      </c>
      <c r="F1745" s="8" t="s">
        <v>2257</v>
      </c>
      <c r="G1745" s="2" t="s">
        <v>2257</v>
      </c>
      <c r="H1745" s="2" t="s">
        <v>2257</v>
      </c>
      <c r="I1745" s="2" t="s">
        <v>2257</v>
      </c>
      <c r="J1745" t="str">
        <f t="shared" si="49"/>
        <v/>
      </c>
    </row>
    <row r="1746" spans="1:10" x14ac:dyDescent="0.15">
      <c r="A1746" t="s">
        <v>2257</v>
      </c>
      <c r="B1746" t="s">
        <v>2257</v>
      </c>
      <c r="C1746" s="2" t="s">
        <v>2257</v>
      </c>
      <c r="D1746" t="s">
        <v>2257</v>
      </c>
      <c r="E1746" s="2" t="s">
        <v>2257</v>
      </c>
      <c r="F1746" s="8" t="s">
        <v>2257</v>
      </c>
      <c r="G1746" s="2" t="s">
        <v>2257</v>
      </c>
      <c r="H1746" s="2" t="s">
        <v>2257</v>
      </c>
      <c r="I1746" s="2" t="s">
        <v>2257</v>
      </c>
      <c r="J1746" t="str">
        <f t="shared" si="49"/>
        <v/>
      </c>
    </row>
    <row r="1747" spans="1:10" x14ac:dyDescent="0.15">
      <c r="A1747" t="s">
        <v>2257</v>
      </c>
      <c r="B1747" t="s">
        <v>2257</v>
      </c>
      <c r="C1747" s="2" t="s">
        <v>2257</v>
      </c>
      <c r="D1747" t="s">
        <v>2257</v>
      </c>
      <c r="E1747" s="2" t="s">
        <v>2257</v>
      </c>
      <c r="F1747" s="8" t="s">
        <v>2257</v>
      </c>
      <c r="G1747" s="2" t="s">
        <v>2257</v>
      </c>
      <c r="H1747" s="2" t="s">
        <v>2257</v>
      </c>
      <c r="I1747" s="2" t="s">
        <v>2257</v>
      </c>
      <c r="J1747" t="str">
        <f t="shared" si="49"/>
        <v/>
      </c>
    </row>
    <row r="1748" spans="1:10" x14ac:dyDescent="0.15">
      <c r="A1748" t="s">
        <v>2257</v>
      </c>
      <c r="B1748" t="s">
        <v>2257</v>
      </c>
      <c r="C1748" s="2" t="s">
        <v>2257</v>
      </c>
      <c r="D1748" t="s">
        <v>2257</v>
      </c>
      <c r="E1748" s="2" t="s">
        <v>2257</v>
      </c>
      <c r="F1748" s="8" t="s">
        <v>2257</v>
      </c>
      <c r="G1748" s="2" t="s">
        <v>2257</v>
      </c>
      <c r="H1748" s="2" t="s">
        <v>2257</v>
      </c>
      <c r="I1748" s="2" t="s">
        <v>2257</v>
      </c>
      <c r="J1748" t="str">
        <f t="shared" si="49"/>
        <v/>
      </c>
    </row>
    <row r="1749" spans="1:10" x14ac:dyDescent="0.15">
      <c r="A1749" t="s">
        <v>2257</v>
      </c>
      <c r="B1749" t="s">
        <v>2257</v>
      </c>
      <c r="C1749" s="2" t="s">
        <v>2257</v>
      </c>
      <c r="D1749" t="s">
        <v>2257</v>
      </c>
      <c r="E1749" s="2" t="s">
        <v>2257</v>
      </c>
      <c r="F1749" s="8" t="s">
        <v>2257</v>
      </c>
      <c r="G1749" s="2" t="s">
        <v>2257</v>
      </c>
      <c r="H1749" s="2" t="s">
        <v>2257</v>
      </c>
      <c r="I1749" s="2" t="s">
        <v>2257</v>
      </c>
      <c r="J1749" t="str">
        <f t="shared" si="49"/>
        <v/>
      </c>
    </row>
    <row r="1750" spans="1:10" x14ac:dyDescent="0.15">
      <c r="A1750" t="s">
        <v>2257</v>
      </c>
      <c r="B1750" t="s">
        <v>2257</v>
      </c>
      <c r="C1750" s="2" t="s">
        <v>2257</v>
      </c>
      <c r="D1750" t="s">
        <v>2257</v>
      </c>
      <c r="E1750" s="2" t="s">
        <v>2257</v>
      </c>
      <c r="F1750" s="8" t="s">
        <v>2257</v>
      </c>
      <c r="G1750" s="2" t="s">
        <v>2257</v>
      </c>
      <c r="H1750" s="2" t="s">
        <v>2257</v>
      </c>
      <c r="I1750" s="2" t="s">
        <v>2257</v>
      </c>
      <c r="J1750" t="str">
        <f t="shared" si="49"/>
        <v/>
      </c>
    </row>
    <row r="1751" spans="1:10" x14ac:dyDescent="0.15">
      <c r="A1751" t="s">
        <v>2257</v>
      </c>
      <c r="B1751" t="s">
        <v>2257</v>
      </c>
      <c r="C1751" s="2" t="s">
        <v>2257</v>
      </c>
      <c r="D1751" t="s">
        <v>2257</v>
      </c>
      <c r="E1751" s="2" t="s">
        <v>2257</v>
      </c>
      <c r="F1751" s="8" t="s">
        <v>2257</v>
      </c>
      <c r="G1751" s="2" t="s">
        <v>2257</v>
      </c>
      <c r="H1751" s="2" t="s">
        <v>2257</v>
      </c>
      <c r="I1751" s="2" t="s">
        <v>2257</v>
      </c>
      <c r="J1751" t="str">
        <f t="shared" si="49"/>
        <v/>
      </c>
    </row>
    <row r="1752" spans="1:10" x14ac:dyDescent="0.15">
      <c r="A1752" t="s">
        <v>2257</v>
      </c>
      <c r="B1752" t="s">
        <v>2257</v>
      </c>
      <c r="C1752" s="2" t="s">
        <v>2257</v>
      </c>
      <c r="D1752" t="s">
        <v>2257</v>
      </c>
      <c r="E1752" s="2" t="s">
        <v>2257</v>
      </c>
      <c r="F1752" s="8" t="s">
        <v>2257</v>
      </c>
      <c r="G1752" s="2" t="s">
        <v>2257</v>
      </c>
      <c r="H1752" s="2" t="s">
        <v>2257</v>
      </c>
      <c r="I1752" s="2" t="s">
        <v>2257</v>
      </c>
      <c r="J1752" t="str">
        <f t="shared" si="49"/>
        <v/>
      </c>
    </row>
    <row r="1753" spans="1:10" x14ac:dyDescent="0.15">
      <c r="A1753" t="s">
        <v>2257</v>
      </c>
      <c r="B1753" t="s">
        <v>2257</v>
      </c>
      <c r="C1753" s="2" t="s">
        <v>2257</v>
      </c>
      <c r="D1753" t="s">
        <v>2257</v>
      </c>
      <c r="E1753" s="2" t="s">
        <v>2257</v>
      </c>
      <c r="F1753" s="8" t="s">
        <v>2257</v>
      </c>
      <c r="G1753" s="2" t="s">
        <v>2257</v>
      </c>
      <c r="H1753" s="2" t="s">
        <v>2257</v>
      </c>
      <c r="I1753" s="2" t="s">
        <v>2257</v>
      </c>
      <c r="J1753" t="str">
        <f t="shared" si="49"/>
        <v/>
      </c>
    </row>
    <row r="1754" spans="1:10" x14ac:dyDescent="0.15">
      <c r="A1754" t="s">
        <v>2257</v>
      </c>
      <c r="B1754" t="s">
        <v>2257</v>
      </c>
      <c r="C1754" s="2" t="s">
        <v>2257</v>
      </c>
      <c r="D1754" t="s">
        <v>2257</v>
      </c>
      <c r="E1754" s="2" t="s">
        <v>2257</v>
      </c>
      <c r="F1754" s="8" t="s">
        <v>2257</v>
      </c>
      <c r="G1754" s="2" t="s">
        <v>2257</v>
      </c>
      <c r="H1754" s="2" t="s">
        <v>2257</v>
      </c>
      <c r="I1754" s="2" t="s">
        <v>2257</v>
      </c>
      <c r="J1754" t="str">
        <f t="shared" si="49"/>
        <v/>
      </c>
    </row>
    <row r="1755" spans="1:10" x14ac:dyDescent="0.15">
      <c r="A1755" t="s">
        <v>2257</v>
      </c>
      <c r="B1755" t="s">
        <v>2257</v>
      </c>
      <c r="C1755" s="2" t="s">
        <v>2257</v>
      </c>
      <c r="D1755" t="s">
        <v>2257</v>
      </c>
      <c r="E1755" s="2" t="s">
        <v>2257</v>
      </c>
      <c r="F1755" s="8" t="s">
        <v>2257</v>
      </c>
      <c r="G1755" s="2" t="s">
        <v>2257</v>
      </c>
      <c r="H1755" s="2" t="s">
        <v>2257</v>
      </c>
      <c r="I1755" s="2" t="s">
        <v>2257</v>
      </c>
      <c r="J1755" t="str">
        <f t="shared" si="49"/>
        <v/>
      </c>
    </row>
    <row r="1756" spans="1:10" x14ac:dyDescent="0.15">
      <c r="A1756" t="s">
        <v>2257</v>
      </c>
      <c r="B1756" t="s">
        <v>2257</v>
      </c>
      <c r="C1756" s="2" t="s">
        <v>2257</v>
      </c>
      <c r="D1756" t="s">
        <v>2257</v>
      </c>
      <c r="E1756" s="2" t="s">
        <v>2257</v>
      </c>
      <c r="F1756" s="8" t="s">
        <v>2257</v>
      </c>
      <c r="G1756" s="2" t="s">
        <v>2257</v>
      </c>
      <c r="H1756" s="2" t="s">
        <v>2257</v>
      </c>
      <c r="I1756" s="2" t="s">
        <v>2257</v>
      </c>
      <c r="J1756" t="str">
        <f t="shared" si="49"/>
        <v/>
      </c>
    </row>
    <row r="1757" spans="1:10" x14ac:dyDescent="0.15">
      <c r="A1757" t="s">
        <v>2257</v>
      </c>
      <c r="B1757" t="s">
        <v>2257</v>
      </c>
      <c r="C1757" s="2" t="s">
        <v>2257</v>
      </c>
      <c r="D1757" t="s">
        <v>2257</v>
      </c>
      <c r="E1757" s="2" t="s">
        <v>2257</v>
      </c>
      <c r="F1757" s="8" t="s">
        <v>2257</v>
      </c>
      <c r="G1757" s="2" t="s">
        <v>2257</v>
      </c>
      <c r="H1757" s="2" t="s">
        <v>2257</v>
      </c>
      <c r="I1757" s="2" t="s">
        <v>2257</v>
      </c>
      <c r="J1757" t="str">
        <f t="shared" si="49"/>
        <v/>
      </c>
    </row>
    <row r="1758" spans="1:10" x14ac:dyDescent="0.15">
      <c r="A1758" t="s">
        <v>2257</v>
      </c>
      <c r="B1758" t="s">
        <v>2257</v>
      </c>
      <c r="C1758" s="2" t="s">
        <v>2257</v>
      </c>
      <c r="D1758" t="s">
        <v>2257</v>
      </c>
      <c r="E1758" s="2" t="s">
        <v>2257</v>
      </c>
      <c r="F1758" s="8" t="s">
        <v>2257</v>
      </c>
      <c r="G1758" s="2" t="s">
        <v>2257</v>
      </c>
      <c r="H1758" s="2" t="s">
        <v>2257</v>
      </c>
      <c r="I1758" s="2" t="s">
        <v>2257</v>
      </c>
      <c r="J1758" t="str">
        <f t="shared" si="49"/>
        <v/>
      </c>
    </row>
    <row r="1759" spans="1:10" x14ac:dyDescent="0.15">
      <c r="A1759" t="s">
        <v>2257</v>
      </c>
      <c r="B1759" t="s">
        <v>2257</v>
      </c>
      <c r="C1759" s="2" t="s">
        <v>2257</v>
      </c>
      <c r="D1759" t="s">
        <v>2257</v>
      </c>
      <c r="E1759" s="2" t="s">
        <v>2257</v>
      </c>
      <c r="F1759" s="8" t="s">
        <v>2257</v>
      </c>
      <c r="G1759" s="2" t="s">
        <v>2257</v>
      </c>
      <c r="H1759" s="2" t="s">
        <v>2257</v>
      </c>
      <c r="I1759" s="2" t="s">
        <v>2257</v>
      </c>
      <c r="J1759" t="str">
        <f t="shared" si="49"/>
        <v/>
      </c>
    </row>
    <row r="1760" spans="1:10" x14ac:dyDescent="0.15">
      <c r="A1760" t="s">
        <v>2257</v>
      </c>
      <c r="B1760" t="s">
        <v>2257</v>
      </c>
      <c r="C1760" s="2" t="s">
        <v>2257</v>
      </c>
      <c r="D1760" t="s">
        <v>2257</v>
      </c>
      <c r="E1760" s="2" t="s">
        <v>2257</v>
      </c>
      <c r="F1760" s="8" t="s">
        <v>2257</v>
      </c>
      <c r="G1760" s="2" t="s">
        <v>2257</v>
      </c>
      <c r="H1760" s="2" t="s">
        <v>2257</v>
      </c>
      <c r="I1760" s="2" t="s">
        <v>2257</v>
      </c>
      <c r="J1760" t="str">
        <f t="shared" si="49"/>
        <v/>
      </c>
    </row>
    <row r="1761" spans="1:10" x14ac:dyDescent="0.15">
      <c r="A1761" t="s">
        <v>2257</v>
      </c>
      <c r="B1761" t="s">
        <v>2257</v>
      </c>
      <c r="C1761" s="2" t="s">
        <v>2257</v>
      </c>
      <c r="D1761" t="s">
        <v>2257</v>
      </c>
      <c r="E1761" s="2" t="s">
        <v>2257</v>
      </c>
      <c r="F1761" s="8" t="s">
        <v>2257</v>
      </c>
      <c r="G1761" s="2" t="s">
        <v>2257</v>
      </c>
      <c r="H1761" s="2" t="s">
        <v>2257</v>
      </c>
      <c r="I1761" s="2" t="s">
        <v>2257</v>
      </c>
      <c r="J1761" t="str">
        <f t="shared" si="49"/>
        <v/>
      </c>
    </row>
    <row r="1762" spans="1:10" x14ac:dyDescent="0.15">
      <c r="A1762" t="s">
        <v>2257</v>
      </c>
      <c r="B1762" t="s">
        <v>2257</v>
      </c>
      <c r="C1762" s="2" t="s">
        <v>2257</v>
      </c>
      <c r="D1762" t="s">
        <v>2257</v>
      </c>
      <c r="E1762" s="2" t="s">
        <v>2257</v>
      </c>
      <c r="F1762" s="8" t="s">
        <v>2257</v>
      </c>
      <c r="G1762" s="2" t="s">
        <v>2257</v>
      </c>
      <c r="H1762" s="2" t="s">
        <v>2257</v>
      </c>
      <c r="I1762" s="2" t="s">
        <v>2257</v>
      </c>
      <c r="J1762" t="str">
        <f t="shared" si="49"/>
        <v/>
      </c>
    </row>
    <row r="1763" spans="1:10" x14ac:dyDescent="0.15">
      <c r="A1763" t="s">
        <v>2257</v>
      </c>
      <c r="B1763" t="s">
        <v>2257</v>
      </c>
      <c r="C1763" s="2" t="s">
        <v>2257</v>
      </c>
      <c r="D1763" t="s">
        <v>2257</v>
      </c>
      <c r="E1763" s="2" t="s">
        <v>2257</v>
      </c>
      <c r="F1763" s="8" t="s">
        <v>2257</v>
      </c>
      <c r="G1763" s="2" t="s">
        <v>2257</v>
      </c>
      <c r="H1763" s="2" t="s">
        <v>2257</v>
      </c>
      <c r="I1763" s="2" t="s">
        <v>2257</v>
      </c>
      <c r="J1763" t="str">
        <f t="shared" si="49"/>
        <v/>
      </c>
    </row>
    <row r="1764" spans="1:10" x14ac:dyDescent="0.15">
      <c r="A1764" t="s">
        <v>2257</v>
      </c>
      <c r="B1764" t="s">
        <v>2257</v>
      </c>
      <c r="C1764" s="2" t="s">
        <v>2257</v>
      </c>
      <c r="D1764" t="s">
        <v>2257</v>
      </c>
      <c r="E1764" s="2" t="s">
        <v>2257</v>
      </c>
      <c r="F1764" s="8" t="s">
        <v>2257</v>
      </c>
      <c r="G1764" s="2" t="s">
        <v>2257</v>
      </c>
      <c r="H1764" s="2" t="s">
        <v>2257</v>
      </c>
      <c r="I1764" s="2" t="s">
        <v>2257</v>
      </c>
      <c r="J1764" t="str">
        <f t="shared" si="49"/>
        <v/>
      </c>
    </row>
    <row r="1765" spans="1:10" x14ac:dyDescent="0.15">
      <c r="A1765" t="s">
        <v>2257</v>
      </c>
      <c r="B1765" t="s">
        <v>2257</v>
      </c>
      <c r="C1765" s="2" t="s">
        <v>2257</v>
      </c>
      <c r="D1765" t="s">
        <v>2257</v>
      </c>
      <c r="E1765" s="2" t="s">
        <v>2257</v>
      </c>
      <c r="F1765" s="8" t="s">
        <v>2257</v>
      </c>
      <c r="G1765" s="2" t="s">
        <v>2257</v>
      </c>
      <c r="H1765" s="2" t="s">
        <v>2257</v>
      </c>
      <c r="I1765" s="2" t="s">
        <v>2257</v>
      </c>
      <c r="J1765" t="str">
        <f t="shared" si="49"/>
        <v/>
      </c>
    </row>
    <row r="1766" spans="1:10" x14ac:dyDescent="0.15">
      <c r="A1766" t="s">
        <v>2257</v>
      </c>
      <c r="B1766" t="s">
        <v>2257</v>
      </c>
      <c r="C1766" s="2" t="s">
        <v>2257</v>
      </c>
      <c r="D1766" t="s">
        <v>2257</v>
      </c>
      <c r="E1766" s="2" t="s">
        <v>2257</v>
      </c>
      <c r="F1766" s="8" t="s">
        <v>2257</v>
      </c>
      <c r="G1766" s="2" t="s">
        <v>2257</v>
      </c>
      <c r="H1766" s="2" t="s">
        <v>2257</v>
      </c>
      <c r="I1766" s="2" t="s">
        <v>2257</v>
      </c>
      <c r="J1766" t="str">
        <f t="shared" si="49"/>
        <v/>
      </c>
    </row>
    <row r="1767" spans="1:10" x14ac:dyDescent="0.15">
      <c r="A1767" t="s">
        <v>2257</v>
      </c>
      <c r="B1767" t="s">
        <v>2257</v>
      </c>
      <c r="C1767" s="2" t="s">
        <v>2257</v>
      </c>
      <c r="D1767" t="s">
        <v>2257</v>
      </c>
      <c r="E1767" s="2" t="s">
        <v>2257</v>
      </c>
      <c r="F1767" s="8" t="s">
        <v>2257</v>
      </c>
      <c r="G1767" s="2" t="s">
        <v>2257</v>
      </c>
      <c r="H1767" s="2" t="s">
        <v>2257</v>
      </c>
      <c r="I1767" s="2" t="s">
        <v>2257</v>
      </c>
      <c r="J1767" t="str">
        <f t="shared" si="49"/>
        <v/>
      </c>
    </row>
    <row r="1768" spans="1:10" x14ac:dyDescent="0.15">
      <c r="A1768" t="s">
        <v>2257</v>
      </c>
      <c r="B1768" t="s">
        <v>2257</v>
      </c>
      <c r="C1768" s="2" t="s">
        <v>2257</v>
      </c>
      <c r="D1768" t="s">
        <v>2257</v>
      </c>
      <c r="E1768" s="2" t="s">
        <v>2257</v>
      </c>
      <c r="F1768" s="8" t="s">
        <v>2257</v>
      </c>
      <c r="G1768" s="2" t="s">
        <v>2257</v>
      </c>
      <c r="H1768" s="2" t="s">
        <v>2257</v>
      </c>
      <c r="I1768" s="2" t="s">
        <v>2257</v>
      </c>
      <c r="J1768" t="str">
        <f t="shared" si="49"/>
        <v/>
      </c>
    </row>
    <row r="1769" spans="1:10" x14ac:dyDescent="0.15">
      <c r="A1769" t="s">
        <v>2257</v>
      </c>
      <c r="B1769" t="s">
        <v>2257</v>
      </c>
      <c r="C1769" s="2" t="s">
        <v>2257</v>
      </c>
      <c r="D1769" t="s">
        <v>2257</v>
      </c>
      <c r="E1769" s="2" t="s">
        <v>2257</v>
      </c>
      <c r="F1769" s="8" t="s">
        <v>2257</v>
      </c>
      <c r="G1769" s="2" t="s">
        <v>2257</v>
      </c>
      <c r="H1769" s="2" t="s">
        <v>2257</v>
      </c>
      <c r="I1769" s="2" t="s">
        <v>2257</v>
      </c>
      <c r="J1769" t="str">
        <f t="shared" si="49"/>
        <v/>
      </c>
    </row>
    <row r="1770" spans="1:10" x14ac:dyDescent="0.15">
      <c r="A1770" t="s">
        <v>2257</v>
      </c>
      <c r="B1770" t="s">
        <v>2257</v>
      </c>
      <c r="C1770" s="2" t="s">
        <v>2257</v>
      </c>
      <c r="D1770" t="s">
        <v>2257</v>
      </c>
      <c r="E1770" s="2" t="s">
        <v>2257</v>
      </c>
      <c r="F1770" s="8" t="s">
        <v>2257</v>
      </c>
      <c r="G1770" s="2" t="s">
        <v>2257</v>
      </c>
      <c r="H1770" s="2" t="s">
        <v>2257</v>
      </c>
      <c r="I1770" s="2" t="s">
        <v>2257</v>
      </c>
      <c r="J1770" t="str">
        <f t="shared" si="49"/>
        <v/>
      </c>
    </row>
    <row r="1771" spans="1:10" x14ac:dyDescent="0.15">
      <c r="A1771" t="s">
        <v>2257</v>
      </c>
      <c r="B1771" t="s">
        <v>2257</v>
      </c>
      <c r="C1771" s="2" t="s">
        <v>2257</v>
      </c>
      <c r="D1771" t="s">
        <v>2257</v>
      </c>
      <c r="E1771" s="2" t="s">
        <v>2257</v>
      </c>
      <c r="F1771" s="8" t="s">
        <v>2257</v>
      </c>
      <c r="G1771" s="2" t="s">
        <v>2257</v>
      </c>
      <c r="H1771" s="2" t="s">
        <v>2257</v>
      </c>
      <c r="I1771" s="2" t="s">
        <v>2257</v>
      </c>
      <c r="J1771" t="str">
        <f t="shared" si="49"/>
        <v/>
      </c>
    </row>
    <row r="1772" spans="1:10" x14ac:dyDescent="0.15">
      <c r="A1772" t="s">
        <v>2257</v>
      </c>
      <c r="B1772" t="s">
        <v>2257</v>
      </c>
      <c r="C1772" s="2" t="s">
        <v>2257</v>
      </c>
      <c r="D1772" t="s">
        <v>2257</v>
      </c>
      <c r="E1772" s="2" t="s">
        <v>2257</v>
      </c>
      <c r="F1772" s="8" t="s">
        <v>2257</v>
      </c>
      <c r="G1772" s="2" t="s">
        <v>2257</v>
      </c>
      <c r="H1772" s="2" t="s">
        <v>2257</v>
      </c>
      <c r="I1772" s="2" t="s">
        <v>2257</v>
      </c>
      <c r="J1772" t="str">
        <f t="shared" si="49"/>
        <v/>
      </c>
    </row>
    <row r="1773" spans="1:10" x14ac:dyDescent="0.15">
      <c r="A1773" t="s">
        <v>2257</v>
      </c>
      <c r="B1773" t="s">
        <v>2257</v>
      </c>
      <c r="C1773" s="2" t="s">
        <v>2257</v>
      </c>
      <c r="D1773" t="s">
        <v>2257</v>
      </c>
      <c r="E1773" s="2" t="s">
        <v>2257</v>
      </c>
      <c r="F1773" s="8" t="s">
        <v>2257</v>
      </c>
      <c r="G1773" s="2" t="s">
        <v>2257</v>
      </c>
      <c r="H1773" s="2" t="s">
        <v>2257</v>
      </c>
      <c r="I1773" s="2" t="s">
        <v>2257</v>
      </c>
      <c r="J1773" t="str">
        <f t="shared" si="49"/>
        <v/>
      </c>
    </row>
    <row r="1774" spans="1:10" x14ac:dyDescent="0.15">
      <c r="A1774" t="s">
        <v>2257</v>
      </c>
      <c r="B1774" t="s">
        <v>2257</v>
      </c>
      <c r="C1774" s="2" t="s">
        <v>2257</v>
      </c>
      <c r="D1774" t="s">
        <v>2257</v>
      </c>
      <c r="E1774" s="2" t="s">
        <v>2257</v>
      </c>
      <c r="F1774" s="8" t="s">
        <v>2257</v>
      </c>
      <c r="G1774" s="2" t="s">
        <v>2257</v>
      </c>
      <c r="H1774" s="2" t="s">
        <v>2257</v>
      </c>
      <c r="I1774" s="2" t="s">
        <v>2257</v>
      </c>
      <c r="J1774" t="str">
        <f t="shared" si="49"/>
        <v/>
      </c>
    </row>
    <row r="1775" spans="1:10" x14ac:dyDescent="0.15">
      <c r="A1775" t="s">
        <v>2257</v>
      </c>
      <c r="B1775" t="s">
        <v>2257</v>
      </c>
      <c r="C1775" s="2" t="s">
        <v>2257</v>
      </c>
      <c r="D1775" t="s">
        <v>2257</v>
      </c>
      <c r="E1775" s="2" t="s">
        <v>2257</v>
      </c>
      <c r="F1775" s="8" t="s">
        <v>2257</v>
      </c>
      <c r="G1775" s="2" t="s">
        <v>2257</v>
      </c>
      <c r="H1775" s="2" t="s">
        <v>2257</v>
      </c>
      <c r="I1775" s="2" t="s">
        <v>2257</v>
      </c>
      <c r="J1775" t="str">
        <f t="shared" si="49"/>
        <v/>
      </c>
    </row>
    <row r="1776" spans="1:10" x14ac:dyDescent="0.15">
      <c r="A1776" t="s">
        <v>2257</v>
      </c>
      <c r="B1776" t="s">
        <v>2257</v>
      </c>
      <c r="C1776" s="2" t="s">
        <v>2257</v>
      </c>
      <c r="D1776" t="s">
        <v>2257</v>
      </c>
      <c r="E1776" s="2" t="s">
        <v>2257</v>
      </c>
      <c r="F1776" s="8" t="s">
        <v>2257</v>
      </c>
      <c r="G1776" s="2" t="s">
        <v>2257</v>
      </c>
      <c r="H1776" s="2" t="s">
        <v>2257</v>
      </c>
      <c r="I1776" s="2" t="s">
        <v>2257</v>
      </c>
      <c r="J1776" t="str">
        <f t="shared" si="49"/>
        <v/>
      </c>
    </row>
    <row r="1777" spans="1:10" x14ac:dyDescent="0.15">
      <c r="A1777" t="s">
        <v>2257</v>
      </c>
      <c r="B1777" t="s">
        <v>2257</v>
      </c>
      <c r="C1777" s="2" t="s">
        <v>2257</v>
      </c>
      <c r="D1777" t="s">
        <v>2257</v>
      </c>
      <c r="E1777" s="2" t="s">
        <v>2257</v>
      </c>
      <c r="F1777" s="8" t="s">
        <v>2257</v>
      </c>
      <c r="G1777" s="2" t="s">
        <v>2257</v>
      </c>
      <c r="H1777" s="2" t="s">
        <v>2257</v>
      </c>
      <c r="I1777" s="2" t="s">
        <v>2257</v>
      </c>
      <c r="J1777" t="str">
        <f t="shared" si="49"/>
        <v/>
      </c>
    </row>
    <row r="1778" spans="1:10" x14ac:dyDescent="0.15">
      <c r="A1778" t="s">
        <v>2257</v>
      </c>
      <c r="B1778" t="s">
        <v>2257</v>
      </c>
      <c r="C1778" s="2" t="s">
        <v>2257</v>
      </c>
      <c r="D1778" t="s">
        <v>2257</v>
      </c>
      <c r="E1778" s="2" t="s">
        <v>2257</v>
      </c>
      <c r="F1778" s="8" t="s">
        <v>2257</v>
      </c>
      <c r="G1778" s="2" t="s">
        <v>2257</v>
      </c>
      <c r="H1778" s="2" t="s">
        <v>2257</v>
      </c>
      <c r="I1778" s="2" t="s">
        <v>2257</v>
      </c>
      <c r="J1778" t="str">
        <f t="shared" si="49"/>
        <v/>
      </c>
    </row>
    <row r="1779" spans="1:10" x14ac:dyDescent="0.15">
      <c r="A1779" t="s">
        <v>2257</v>
      </c>
      <c r="B1779" t="s">
        <v>2257</v>
      </c>
      <c r="C1779" s="2" t="s">
        <v>2257</v>
      </c>
      <c r="D1779" t="s">
        <v>2257</v>
      </c>
      <c r="E1779" s="2" t="s">
        <v>2257</v>
      </c>
      <c r="F1779" s="8" t="s">
        <v>2257</v>
      </c>
      <c r="G1779" s="2" t="s">
        <v>2257</v>
      </c>
      <c r="H1779" s="2" t="s">
        <v>2257</v>
      </c>
      <c r="I1779" s="2" t="s">
        <v>2257</v>
      </c>
      <c r="J1779" t="str">
        <f t="shared" si="49"/>
        <v/>
      </c>
    </row>
    <row r="1780" spans="1:10" x14ac:dyDescent="0.15">
      <c r="A1780" t="s">
        <v>2257</v>
      </c>
      <c r="B1780" t="s">
        <v>2257</v>
      </c>
      <c r="C1780" s="2" t="s">
        <v>2257</v>
      </c>
      <c r="D1780" t="s">
        <v>2257</v>
      </c>
      <c r="E1780" s="2" t="s">
        <v>2257</v>
      </c>
      <c r="F1780" s="8" t="s">
        <v>2257</v>
      </c>
      <c r="G1780" s="2" t="s">
        <v>2257</v>
      </c>
      <c r="H1780" s="2" t="s">
        <v>2257</v>
      </c>
      <c r="I1780" s="2" t="s">
        <v>2257</v>
      </c>
      <c r="J1780" t="str">
        <f t="shared" si="49"/>
        <v/>
      </c>
    </row>
    <row r="1781" spans="1:10" x14ac:dyDescent="0.15">
      <c r="A1781" t="s">
        <v>2257</v>
      </c>
      <c r="B1781" t="s">
        <v>2257</v>
      </c>
      <c r="C1781" s="2" t="s">
        <v>2257</v>
      </c>
      <c r="D1781" t="s">
        <v>2257</v>
      </c>
      <c r="E1781" s="2" t="s">
        <v>2257</v>
      </c>
      <c r="F1781" s="8" t="s">
        <v>2257</v>
      </c>
      <c r="G1781" s="2" t="s">
        <v>2257</v>
      </c>
      <c r="H1781" s="2" t="s">
        <v>2257</v>
      </c>
      <c r="I1781" s="2" t="s">
        <v>2257</v>
      </c>
      <c r="J1781" t="str">
        <f t="shared" si="49"/>
        <v/>
      </c>
    </row>
    <row r="1782" spans="1:10" x14ac:dyDescent="0.15">
      <c r="A1782" t="s">
        <v>2257</v>
      </c>
      <c r="B1782" t="s">
        <v>2257</v>
      </c>
      <c r="C1782" s="2" t="s">
        <v>2257</v>
      </c>
      <c r="D1782" t="s">
        <v>2257</v>
      </c>
      <c r="E1782" s="2" t="s">
        <v>2257</v>
      </c>
      <c r="F1782" s="8" t="s">
        <v>2257</v>
      </c>
      <c r="G1782" s="2" t="s">
        <v>2257</v>
      </c>
      <c r="H1782" s="2" t="s">
        <v>2257</v>
      </c>
      <c r="I1782" s="2" t="s">
        <v>2257</v>
      </c>
      <c r="J1782" t="str">
        <f t="shared" si="49"/>
        <v/>
      </c>
    </row>
    <row r="1783" spans="1:10" x14ac:dyDescent="0.15">
      <c r="A1783" t="s">
        <v>2257</v>
      </c>
      <c r="B1783" t="s">
        <v>2257</v>
      </c>
      <c r="C1783" s="2" t="s">
        <v>2257</v>
      </c>
      <c r="D1783" t="s">
        <v>2257</v>
      </c>
      <c r="E1783" s="2" t="s">
        <v>2257</v>
      </c>
      <c r="F1783" s="8" t="s">
        <v>2257</v>
      </c>
      <c r="G1783" s="2" t="s">
        <v>2257</v>
      </c>
      <c r="H1783" s="2" t="s">
        <v>2257</v>
      </c>
      <c r="I1783" s="2" t="s">
        <v>2257</v>
      </c>
      <c r="J1783" t="str">
        <f t="shared" si="49"/>
        <v/>
      </c>
    </row>
    <row r="1784" spans="1:10" x14ac:dyDescent="0.15">
      <c r="A1784" t="s">
        <v>2257</v>
      </c>
      <c r="B1784" t="s">
        <v>2257</v>
      </c>
      <c r="C1784" s="2" t="s">
        <v>2257</v>
      </c>
      <c r="D1784" t="s">
        <v>2257</v>
      </c>
      <c r="E1784" s="2" t="s">
        <v>2257</v>
      </c>
      <c r="F1784" s="8" t="s">
        <v>2257</v>
      </c>
      <c r="G1784" s="2" t="s">
        <v>2257</v>
      </c>
      <c r="H1784" s="2" t="s">
        <v>2257</v>
      </c>
      <c r="I1784" s="2" t="s">
        <v>2257</v>
      </c>
      <c r="J1784" t="str">
        <f t="shared" si="49"/>
        <v/>
      </c>
    </row>
    <row r="1785" spans="1:10" x14ac:dyDescent="0.15">
      <c r="A1785" t="s">
        <v>2257</v>
      </c>
      <c r="B1785" t="s">
        <v>2257</v>
      </c>
      <c r="C1785" s="2" t="s">
        <v>2257</v>
      </c>
      <c r="D1785" t="s">
        <v>2257</v>
      </c>
      <c r="E1785" s="2" t="s">
        <v>2257</v>
      </c>
      <c r="F1785" s="8" t="s">
        <v>2257</v>
      </c>
      <c r="G1785" s="2" t="s">
        <v>2257</v>
      </c>
      <c r="H1785" s="2" t="s">
        <v>2257</v>
      </c>
      <c r="I1785" s="2" t="s">
        <v>2257</v>
      </c>
      <c r="J1785" t="str">
        <f t="shared" si="49"/>
        <v/>
      </c>
    </row>
    <row r="1786" spans="1:10" x14ac:dyDescent="0.15">
      <c r="A1786" t="s">
        <v>2257</v>
      </c>
      <c r="B1786" t="s">
        <v>2257</v>
      </c>
      <c r="C1786" s="2" t="s">
        <v>2257</v>
      </c>
      <c r="D1786" t="s">
        <v>2257</v>
      </c>
      <c r="E1786" s="2" t="s">
        <v>2257</v>
      </c>
      <c r="F1786" s="8" t="s">
        <v>2257</v>
      </c>
      <c r="G1786" s="2" t="s">
        <v>2257</v>
      </c>
      <c r="H1786" s="2" t="s">
        <v>2257</v>
      </c>
      <c r="I1786" s="2" t="s">
        <v>2257</v>
      </c>
      <c r="J1786" t="str">
        <f t="shared" si="49"/>
        <v/>
      </c>
    </row>
    <row r="1787" spans="1:10" x14ac:dyDescent="0.15">
      <c r="A1787" t="s">
        <v>2257</v>
      </c>
      <c r="B1787" t="s">
        <v>2257</v>
      </c>
      <c r="C1787" s="2" t="s">
        <v>2257</v>
      </c>
      <c r="D1787" t="s">
        <v>2257</v>
      </c>
      <c r="E1787" s="2" t="s">
        <v>2257</v>
      </c>
      <c r="F1787" s="8" t="s">
        <v>2257</v>
      </c>
      <c r="G1787" s="2" t="s">
        <v>2257</v>
      </c>
      <c r="H1787" s="2" t="s">
        <v>2257</v>
      </c>
      <c r="I1787" s="2" t="s">
        <v>2257</v>
      </c>
      <c r="J1787" t="str">
        <f t="shared" si="49"/>
        <v/>
      </c>
    </row>
    <row r="1788" spans="1:10" x14ac:dyDescent="0.15">
      <c r="A1788" t="s">
        <v>2257</v>
      </c>
      <c r="B1788" t="s">
        <v>2257</v>
      </c>
      <c r="C1788" s="2" t="s">
        <v>2257</v>
      </c>
      <c r="D1788" t="s">
        <v>2257</v>
      </c>
      <c r="E1788" s="2" t="s">
        <v>2257</v>
      </c>
      <c r="F1788" s="8" t="s">
        <v>2257</v>
      </c>
      <c r="G1788" s="2" t="s">
        <v>2257</v>
      </c>
      <c r="H1788" s="2" t="s">
        <v>2257</v>
      </c>
      <c r="I1788" s="2" t="s">
        <v>2257</v>
      </c>
      <c r="J1788" t="str">
        <f t="shared" si="49"/>
        <v/>
      </c>
    </row>
    <row r="1789" spans="1:10" x14ac:dyDescent="0.15">
      <c r="A1789" t="s">
        <v>2257</v>
      </c>
      <c r="B1789" t="s">
        <v>2257</v>
      </c>
      <c r="C1789" s="2" t="s">
        <v>2257</v>
      </c>
      <c r="D1789" t="s">
        <v>2257</v>
      </c>
      <c r="E1789" s="2" t="s">
        <v>2257</v>
      </c>
      <c r="F1789" s="8" t="s">
        <v>2257</v>
      </c>
      <c r="G1789" s="2" t="s">
        <v>2257</v>
      </c>
      <c r="H1789" s="2" t="s">
        <v>2257</v>
      </c>
      <c r="I1789" s="2" t="s">
        <v>2257</v>
      </c>
      <c r="J1789" t="str">
        <f t="shared" si="49"/>
        <v/>
      </c>
    </row>
    <row r="1790" spans="1:10" x14ac:dyDescent="0.15">
      <c r="A1790" t="s">
        <v>2257</v>
      </c>
      <c r="B1790" t="s">
        <v>2257</v>
      </c>
      <c r="C1790" s="2" t="s">
        <v>2257</v>
      </c>
      <c r="D1790" t="s">
        <v>2257</v>
      </c>
      <c r="E1790" s="2" t="s">
        <v>2257</v>
      </c>
      <c r="F1790" s="8" t="s">
        <v>2257</v>
      </c>
      <c r="G1790" s="2" t="s">
        <v>2257</v>
      </c>
      <c r="H1790" s="2" t="s">
        <v>2257</v>
      </c>
      <c r="I1790" s="2" t="s">
        <v>2257</v>
      </c>
      <c r="J1790" t="str">
        <f t="shared" si="49"/>
        <v/>
      </c>
    </row>
    <row r="1791" spans="1:10" x14ac:dyDescent="0.15">
      <c r="A1791" t="s">
        <v>2257</v>
      </c>
      <c r="B1791" t="s">
        <v>2257</v>
      </c>
      <c r="C1791" s="2" t="s">
        <v>2257</v>
      </c>
      <c r="D1791" t="s">
        <v>2257</v>
      </c>
      <c r="E1791" s="2" t="s">
        <v>2257</v>
      </c>
      <c r="F1791" s="8" t="s">
        <v>2257</v>
      </c>
      <c r="G1791" s="2" t="s">
        <v>2257</v>
      </c>
      <c r="H1791" s="2" t="s">
        <v>2257</v>
      </c>
      <c r="I1791" s="2" t="s">
        <v>2257</v>
      </c>
      <c r="J1791" t="str">
        <f t="shared" si="49"/>
        <v/>
      </c>
    </row>
    <row r="1792" spans="1:10" x14ac:dyDescent="0.15">
      <c r="A1792" t="s">
        <v>2257</v>
      </c>
      <c r="B1792" t="s">
        <v>2257</v>
      </c>
      <c r="C1792" s="2" t="s">
        <v>2257</v>
      </c>
      <c r="D1792" t="s">
        <v>2257</v>
      </c>
      <c r="E1792" s="2" t="s">
        <v>2257</v>
      </c>
      <c r="F1792" s="8" t="s">
        <v>2257</v>
      </c>
      <c r="G1792" s="2" t="s">
        <v>2257</v>
      </c>
      <c r="H1792" s="2" t="s">
        <v>2257</v>
      </c>
      <c r="I1792" s="2" t="s">
        <v>2257</v>
      </c>
      <c r="J1792" t="str">
        <f t="shared" si="49"/>
        <v/>
      </c>
    </row>
    <row r="1793" spans="1:10" x14ac:dyDescent="0.15">
      <c r="A1793" t="s">
        <v>2257</v>
      </c>
      <c r="B1793" t="s">
        <v>2257</v>
      </c>
      <c r="C1793" s="2" t="s">
        <v>2257</v>
      </c>
      <c r="D1793" t="s">
        <v>2257</v>
      </c>
      <c r="E1793" s="2" t="s">
        <v>2257</v>
      </c>
      <c r="F1793" s="8" t="s">
        <v>2257</v>
      </c>
      <c r="G1793" s="2" t="s">
        <v>2257</v>
      </c>
      <c r="H1793" s="2" t="s">
        <v>2257</v>
      </c>
      <c r="I1793" s="2" t="s">
        <v>2257</v>
      </c>
      <c r="J1793" t="str">
        <f t="shared" si="49"/>
        <v/>
      </c>
    </row>
    <row r="1794" spans="1:10" x14ac:dyDescent="0.15">
      <c r="A1794" t="s">
        <v>2257</v>
      </c>
      <c r="B1794" t="s">
        <v>2257</v>
      </c>
      <c r="C1794" s="2" t="s">
        <v>2257</v>
      </c>
      <c r="D1794" t="s">
        <v>2257</v>
      </c>
      <c r="E1794" s="2" t="s">
        <v>2257</v>
      </c>
      <c r="F1794" s="8" t="s">
        <v>2257</v>
      </c>
      <c r="G1794" s="2" t="s">
        <v>2257</v>
      </c>
      <c r="H1794" s="2" t="s">
        <v>2257</v>
      </c>
      <c r="I1794" s="2" t="s">
        <v>2257</v>
      </c>
      <c r="J1794" t="str">
        <f t="shared" si="49"/>
        <v/>
      </c>
    </row>
    <row r="1795" spans="1:10" x14ac:dyDescent="0.15">
      <c r="A1795" t="s">
        <v>2257</v>
      </c>
      <c r="B1795" t="s">
        <v>2257</v>
      </c>
      <c r="C1795" s="2" t="s">
        <v>2257</v>
      </c>
      <c r="D1795" t="s">
        <v>2257</v>
      </c>
      <c r="E1795" s="2" t="s">
        <v>2257</v>
      </c>
      <c r="F1795" s="8" t="s">
        <v>2257</v>
      </c>
      <c r="G1795" s="2" t="s">
        <v>2257</v>
      </c>
      <c r="H1795" s="2" t="s">
        <v>2257</v>
      </c>
      <c r="I1795" s="2" t="s">
        <v>2257</v>
      </c>
      <c r="J1795" t="str">
        <f t="shared" si="49"/>
        <v/>
      </c>
    </row>
    <row r="1796" spans="1:10" x14ac:dyDescent="0.15">
      <c r="A1796" t="s">
        <v>2257</v>
      </c>
      <c r="B1796" t="s">
        <v>2257</v>
      </c>
      <c r="C1796" s="2" t="s">
        <v>2257</v>
      </c>
      <c r="D1796" t="s">
        <v>2257</v>
      </c>
      <c r="E1796" s="2" t="s">
        <v>2257</v>
      </c>
      <c r="F1796" s="8" t="s">
        <v>2257</v>
      </c>
      <c r="G1796" s="2" t="s">
        <v>2257</v>
      </c>
      <c r="H1796" s="2" t="s">
        <v>2257</v>
      </c>
      <c r="I1796" s="2" t="s">
        <v>2257</v>
      </c>
      <c r="J1796" t="str">
        <f t="shared" si="49"/>
        <v/>
      </c>
    </row>
    <row r="1797" spans="1:10" x14ac:dyDescent="0.15">
      <c r="A1797" t="s">
        <v>2257</v>
      </c>
      <c r="B1797" t="s">
        <v>2257</v>
      </c>
      <c r="C1797" s="2" t="s">
        <v>2257</v>
      </c>
      <c r="D1797" t="s">
        <v>2257</v>
      </c>
      <c r="E1797" s="2" t="s">
        <v>2257</v>
      </c>
      <c r="F1797" s="8" t="s">
        <v>2257</v>
      </c>
      <c r="G1797" s="2" t="s">
        <v>2257</v>
      </c>
      <c r="H1797" s="2" t="s">
        <v>2257</v>
      </c>
      <c r="I1797" s="2" t="s">
        <v>2257</v>
      </c>
      <c r="J1797" t="str">
        <f t="shared" si="49"/>
        <v/>
      </c>
    </row>
    <row r="1798" spans="1:10" x14ac:dyDescent="0.15">
      <c r="A1798" t="s">
        <v>2257</v>
      </c>
      <c r="B1798" t="s">
        <v>2257</v>
      </c>
      <c r="C1798" s="2" t="s">
        <v>2257</v>
      </c>
      <c r="D1798" t="s">
        <v>2257</v>
      </c>
      <c r="E1798" s="2" t="s">
        <v>2257</v>
      </c>
      <c r="F1798" s="8" t="s">
        <v>2257</v>
      </c>
      <c r="G1798" s="2" t="s">
        <v>2257</v>
      </c>
      <c r="H1798" s="2" t="s">
        <v>2257</v>
      </c>
      <c r="I1798" s="2" t="s">
        <v>2257</v>
      </c>
      <c r="J1798" t="str">
        <f t="shared" si="49"/>
        <v/>
      </c>
    </row>
    <row r="1799" spans="1:10" x14ac:dyDescent="0.15">
      <c r="A1799" t="s">
        <v>2257</v>
      </c>
      <c r="B1799" t="s">
        <v>2257</v>
      </c>
      <c r="C1799" s="2" t="s">
        <v>2257</v>
      </c>
      <c r="D1799" t="s">
        <v>2257</v>
      </c>
      <c r="E1799" s="2" t="s">
        <v>2257</v>
      </c>
      <c r="F1799" s="8" t="s">
        <v>2257</v>
      </c>
      <c r="G1799" s="2" t="s">
        <v>2257</v>
      </c>
      <c r="H1799" s="2" t="s">
        <v>2257</v>
      </c>
      <c r="I1799" s="2" t="s">
        <v>2257</v>
      </c>
      <c r="J1799" t="str">
        <f t="shared" si="49"/>
        <v/>
      </c>
    </row>
    <row r="1800" spans="1:10" x14ac:dyDescent="0.15">
      <c r="A1800" t="s">
        <v>2257</v>
      </c>
      <c r="B1800" t="s">
        <v>2257</v>
      </c>
      <c r="C1800" s="2" t="s">
        <v>2257</v>
      </c>
      <c r="D1800" t="s">
        <v>2257</v>
      </c>
      <c r="E1800" s="2" t="s">
        <v>2257</v>
      </c>
      <c r="F1800" s="8" t="s">
        <v>2257</v>
      </c>
      <c r="G1800" s="2" t="s">
        <v>2257</v>
      </c>
      <c r="H1800" s="2" t="s">
        <v>2257</v>
      </c>
      <c r="I1800" s="2" t="s">
        <v>2257</v>
      </c>
      <c r="J1800" t="str">
        <f t="shared" si="49"/>
        <v/>
      </c>
    </row>
    <row r="1801" spans="1:10" x14ac:dyDescent="0.15">
      <c r="A1801" t="s">
        <v>2257</v>
      </c>
      <c r="B1801" t="s">
        <v>2257</v>
      </c>
      <c r="C1801" s="2" t="s">
        <v>2257</v>
      </c>
      <c r="D1801" t="s">
        <v>2257</v>
      </c>
      <c r="E1801" s="2" t="s">
        <v>2257</v>
      </c>
      <c r="F1801" s="8" t="s">
        <v>2257</v>
      </c>
      <c r="G1801" s="2" t="s">
        <v>2257</v>
      </c>
      <c r="H1801" s="2" t="s">
        <v>2257</v>
      </c>
      <c r="I1801" s="2" t="s">
        <v>2257</v>
      </c>
      <c r="J1801" t="str">
        <f t="shared" si="49"/>
        <v/>
      </c>
    </row>
    <row r="1802" spans="1:10" x14ac:dyDescent="0.15">
      <c r="A1802" t="s">
        <v>2257</v>
      </c>
      <c r="B1802" t="s">
        <v>2257</v>
      </c>
      <c r="C1802" s="2" t="s">
        <v>2257</v>
      </c>
      <c r="D1802" t="s">
        <v>2257</v>
      </c>
      <c r="E1802" s="2" t="s">
        <v>2257</v>
      </c>
      <c r="F1802" s="8" t="s">
        <v>2257</v>
      </c>
      <c r="G1802" s="2" t="s">
        <v>2257</v>
      </c>
      <c r="H1802" s="2" t="s">
        <v>2257</v>
      </c>
      <c r="I1802" s="2" t="s">
        <v>2257</v>
      </c>
      <c r="J1802" t="str">
        <f t="shared" si="49"/>
        <v/>
      </c>
    </row>
    <row r="1803" spans="1:10" x14ac:dyDescent="0.15">
      <c r="A1803" t="s">
        <v>2257</v>
      </c>
      <c r="B1803" t="s">
        <v>2257</v>
      </c>
      <c r="C1803" s="2" t="s">
        <v>2257</v>
      </c>
      <c r="D1803" t="s">
        <v>2257</v>
      </c>
      <c r="E1803" s="2" t="s">
        <v>2257</v>
      </c>
      <c r="F1803" s="8" t="s">
        <v>2257</v>
      </c>
      <c r="G1803" s="2" t="s">
        <v>2257</v>
      </c>
      <c r="H1803" s="2" t="s">
        <v>2257</v>
      </c>
      <c r="I1803" s="2" t="s">
        <v>2257</v>
      </c>
      <c r="J1803" t="str">
        <f t="shared" ref="J1803:J1866" si="50">IF(A1803="","",IF(AND(C1803="",D1803&lt;&gt;"UNS",I1803=""),"Open","Closed"))</f>
        <v/>
      </c>
    </row>
    <row r="1804" spans="1:10" x14ac:dyDescent="0.15">
      <c r="A1804" t="s">
        <v>2257</v>
      </c>
      <c r="B1804" t="s">
        <v>2257</v>
      </c>
      <c r="C1804" s="2" t="s">
        <v>2257</v>
      </c>
      <c r="D1804" t="s">
        <v>2257</v>
      </c>
      <c r="E1804" s="2" t="s">
        <v>2257</v>
      </c>
      <c r="F1804" s="8" t="s">
        <v>2257</v>
      </c>
      <c r="G1804" s="2" t="s">
        <v>2257</v>
      </c>
      <c r="H1804" s="2" t="s">
        <v>2257</v>
      </c>
      <c r="I1804" s="2" t="s">
        <v>2257</v>
      </c>
      <c r="J1804" t="str">
        <f t="shared" si="50"/>
        <v/>
      </c>
    </row>
    <row r="1805" spans="1:10" x14ac:dyDescent="0.15">
      <c r="A1805" t="s">
        <v>2257</v>
      </c>
      <c r="B1805" t="s">
        <v>2257</v>
      </c>
      <c r="C1805" s="2" t="s">
        <v>2257</v>
      </c>
      <c r="D1805" t="s">
        <v>2257</v>
      </c>
      <c r="E1805" s="2" t="s">
        <v>2257</v>
      </c>
      <c r="F1805" s="8" t="s">
        <v>2257</v>
      </c>
      <c r="G1805" s="2" t="s">
        <v>2257</v>
      </c>
      <c r="H1805" s="2" t="s">
        <v>2257</v>
      </c>
      <c r="I1805" s="2" t="s">
        <v>2257</v>
      </c>
      <c r="J1805" t="str">
        <f t="shared" si="50"/>
        <v/>
      </c>
    </row>
    <row r="1806" spans="1:10" x14ac:dyDescent="0.15">
      <c r="A1806" t="s">
        <v>2257</v>
      </c>
      <c r="B1806" t="s">
        <v>2257</v>
      </c>
      <c r="C1806" s="2" t="s">
        <v>2257</v>
      </c>
      <c r="D1806" t="s">
        <v>2257</v>
      </c>
      <c r="E1806" s="2" t="s">
        <v>2257</v>
      </c>
      <c r="F1806" s="8" t="s">
        <v>2257</v>
      </c>
      <c r="G1806" s="2" t="s">
        <v>2257</v>
      </c>
      <c r="H1806" s="2" t="s">
        <v>2257</v>
      </c>
      <c r="I1806" s="2" t="s">
        <v>2257</v>
      </c>
      <c r="J1806" t="str">
        <f t="shared" si="50"/>
        <v/>
      </c>
    </row>
    <row r="1807" spans="1:10" x14ac:dyDescent="0.15">
      <c r="A1807" t="s">
        <v>2257</v>
      </c>
      <c r="B1807" t="s">
        <v>2257</v>
      </c>
      <c r="C1807" s="2" t="s">
        <v>2257</v>
      </c>
      <c r="D1807" t="s">
        <v>2257</v>
      </c>
      <c r="E1807" s="2" t="s">
        <v>2257</v>
      </c>
      <c r="F1807" s="8" t="s">
        <v>2257</v>
      </c>
      <c r="G1807" s="2" t="s">
        <v>2257</v>
      </c>
      <c r="H1807" s="2" t="s">
        <v>2257</v>
      </c>
      <c r="I1807" s="2" t="s">
        <v>2257</v>
      </c>
      <c r="J1807" t="str">
        <f t="shared" si="50"/>
        <v/>
      </c>
    </row>
    <row r="1808" spans="1:10" x14ac:dyDescent="0.15">
      <c r="A1808" t="s">
        <v>2257</v>
      </c>
      <c r="B1808" t="s">
        <v>2257</v>
      </c>
      <c r="C1808" s="2" t="s">
        <v>2257</v>
      </c>
      <c r="D1808" t="s">
        <v>2257</v>
      </c>
      <c r="E1808" s="2" t="s">
        <v>2257</v>
      </c>
      <c r="F1808" s="8" t="s">
        <v>2257</v>
      </c>
      <c r="G1808" s="2" t="s">
        <v>2257</v>
      </c>
      <c r="H1808" s="2" t="s">
        <v>2257</v>
      </c>
      <c r="I1808" s="2" t="s">
        <v>2257</v>
      </c>
      <c r="J1808" t="str">
        <f t="shared" si="50"/>
        <v/>
      </c>
    </row>
    <row r="1809" spans="1:10" x14ac:dyDescent="0.15">
      <c r="A1809" t="s">
        <v>2257</v>
      </c>
      <c r="B1809" t="s">
        <v>2257</v>
      </c>
      <c r="C1809" s="2" t="s">
        <v>2257</v>
      </c>
      <c r="D1809" t="s">
        <v>2257</v>
      </c>
      <c r="E1809" s="2" t="s">
        <v>2257</v>
      </c>
      <c r="F1809" s="8" t="s">
        <v>2257</v>
      </c>
      <c r="G1809" s="2" t="s">
        <v>2257</v>
      </c>
      <c r="H1809" s="2" t="s">
        <v>2257</v>
      </c>
      <c r="I1809" s="2" t="s">
        <v>2257</v>
      </c>
      <c r="J1809" t="str">
        <f t="shared" si="50"/>
        <v/>
      </c>
    </row>
    <row r="1810" spans="1:10" x14ac:dyDescent="0.15">
      <c r="A1810" t="s">
        <v>2257</v>
      </c>
      <c r="B1810" t="s">
        <v>2257</v>
      </c>
      <c r="C1810" s="2" t="s">
        <v>2257</v>
      </c>
      <c r="D1810" t="s">
        <v>2257</v>
      </c>
      <c r="E1810" s="2" t="s">
        <v>2257</v>
      </c>
      <c r="F1810" s="8" t="s">
        <v>2257</v>
      </c>
      <c r="G1810" s="2" t="s">
        <v>2257</v>
      </c>
      <c r="H1810" s="2" t="s">
        <v>2257</v>
      </c>
      <c r="I1810" s="2" t="s">
        <v>2257</v>
      </c>
      <c r="J1810" t="str">
        <f t="shared" si="50"/>
        <v/>
      </c>
    </row>
    <row r="1811" spans="1:10" x14ac:dyDescent="0.15">
      <c r="A1811" t="s">
        <v>2257</v>
      </c>
      <c r="B1811" t="s">
        <v>2257</v>
      </c>
      <c r="C1811" s="2" t="s">
        <v>2257</v>
      </c>
      <c r="D1811" t="s">
        <v>2257</v>
      </c>
      <c r="E1811" s="2" t="s">
        <v>2257</v>
      </c>
      <c r="F1811" s="8" t="s">
        <v>2257</v>
      </c>
      <c r="G1811" s="2" t="s">
        <v>2257</v>
      </c>
      <c r="H1811" s="2" t="s">
        <v>2257</v>
      </c>
      <c r="I1811" s="2" t="s">
        <v>2257</v>
      </c>
      <c r="J1811" t="str">
        <f t="shared" si="50"/>
        <v/>
      </c>
    </row>
    <row r="1812" spans="1:10" x14ac:dyDescent="0.15">
      <c r="A1812" t="s">
        <v>2257</v>
      </c>
      <c r="B1812" t="s">
        <v>2257</v>
      </c>
      <c r="C1812" s="2" t="s">
        <v>2257</v>
      </c>
      <c r="D1812" t="s">
        <v>2257</v>
      </c>
      <c r="E1812" s="2" t="s">
        <v>2257</v>
      </c>
      <c r="F1812" s="8" t="s">
        <v>2257</v>
      </c>
      <c r="G1812" s="2" t="s">
        <v>2257</v>
      </c>
      <c r="H1812" s="2" t="s">
        <v>2257</v>
      </c>
      <c r="I1812" s="2" t="s">
        <v>2257</v>
      </c>
      <c r="J1812" t="str">
        <f t="shared" si="50"/>
        <v/>
      </c>
    </row>
    <row r="1813" spans="1:10" x14ac:dyDescent="0.15">
      <c r="A1813" t="s">
        <v>2257</v>
      </c>
      <c r="B1813" t="s">
        <v>2257</v>
      </c>
      <c r="C1813" s="2" t="s">
        <v>2257</v>
      </c>
      <c r="D1813" t="s">
        <v>2257</v>
      </c>
      <c r="E1813" s="2" t="s">
        <v>2257</v>
      </c>
      <c r="F1813" s="8" t="s">
        <v>2257</v>
      </c>
      <c r="G1813" s="2" t="s">
        <v>2257</v>
      </c>
      <c r="H1813" s="2" t="s">
        <v>2257</v>
      </c>
      <c r="I1813" s="2" t="s">
        <v>2257</v>
      </c>
      <c r="J1813" t="str">
        <f t="shared" si="50"/>
        <v/>
      </c>
    </row>
    <row r="1814" spans="1:10" x14ac:dyDescent="0.15">
      <c r="A1814" t="s">
        <v>2257</v>
      </c>
      <c r="B1814" t="s">
        <v>2257</v>
      </c>
      <c r="C1814" s="2" t="s">
        <v>2257</v>
      </c>
      <c r="D1814" t="s">
        <v>2257</v>
      </c>
      <c r="E1814" s="2" t="s">
        <v>2257</v>
      </c>
      <c r="F1814" s="8" t="s">
        <v>2257</v>
      </c>
      <c r="G1814" s="2" t="s">
        <v>2257</v>
      </c>
      <c r="H1814" s="2" t="s">
        <v>2257</v>
      </c>
      <c r="I1814" s="2" t="s">
        <v>2257</v>
      </c>
      <c r="J1814" t="str">
        <f t="shared" si="50"/>
        <v/>
      </c>
    </row>
    <row r="1815" spans="1:10" x14ac:dyDescent="0.15">
      <c r="A1815" t="s">
        <v>2257</v>
      </c>
      <c r="B1815" t="s">
        <v>2257</v>
      </c>
      <c r="C1815" s="2" t="s">
        <v>2257</v>
      </c>
      <c r="D1815" t="s">
        <v>2257</v>
      </c>
      <c r="E1815" s="2" t="s">
        <v>2257</v>
      </c>
      <c r="F1815" s="8" t="s">
        <v>2257</v>
      </c>
      <c r="G1815" s="2" t="s">
        <v>2257</v>
      </c>
      <c r="H1815" s="2" t="s">
        <v>2257</v>
      </c>
      <c r="I1815" s="2" t="s">
        <v>2257</v>
      </c>
      <c r="J1815" t="str">
        <f t="shared" si="50"/>
        <v/>
      </c>
    </row>
    <row r="1816" spans="1:10" x14ac:dyDescent="0.15">
      <c r="A1816" t="s">
        <v>2257</v>
      </c>
      <c r="B1816" t="s">
        <v>2257</v>
      </c>
      <c r="C1816" s="2" t="s">
        <v>2257</v>
      </c>
      <c r="D1816" t="s">
        <v>2257</v>
      </c>
      <c r="E1816" s="2" t="s">
        <v>2257</v>
      </c>
      <c r="F1816" s="8" t="s">
        <v>2257</v>
      </c>
      <c r="G1816" s="2" t="s">
        <v>2257</v>
      </c>
      <c r="H1816" s="2" t="s">
        <v>2257</v>
      </c>
      <c r="I1816" s="2" t="s">
        <v>2257</v>
      </c>
      <c r="J1816" t="str">
        <f t="shared" si="50"/>
        <v/>
      </c>
    </row>
    <row r="1817" spans="1:10" x14ac:dyDescent="0.15">
      <c r="A1817" t="s">
        <v>2257</v>
      </c>
      <c r="B1817" t="s">
        <v>2257</v>
      </c>
      <c r="C1817" s="2" t="s">
        <v>2257</v>
      </c>
      <c r="D1817" t="s">
        <v>2257</v>
      </c>
      <c r="E1817" s="2" t="s">
        <v>2257</v>
      </c>
      <c r="F1817" s="8" t="s">
        <v>2257</v>
      </c>
      <c r="G1817" s="2" t="s">
        <v>2257</v>
      </c>
      <c r="H1817" s="2" t="s">
        <v>2257</v>
      </c>
      <c r="I1817" s="2" t="s">
        <v>2257</v>
      </c>
      <c r="J1817" t="str">
        <f t="shared" si="50"/>
        <v/>
      </c>
    </row>
    <row r="1818" spans="1:10" x14ac:dyDescent="0.15">
      <c r="A1818" t="s">
        <v>2257</v>
      </c>
      <c r="B1818" t="s">
        <v>2257</v>
      </c>
      <c r="C1818" s="2" t="s">
        <v>2257</v>
      </c>
      <c r="D1818" t="s">
        <v>2257</v>
      </c>
      <c r="E1818" s="2" t="s">
        <v>2257</v>
      </c>
      <c r="F1818" s="8" t="s">
        <v>2257</v>
      </c>
      <c r="G1818" s="2" t="s">
        <v>2257</v>
      </c>
      <c r="H1818" s="2" t="s">
        <v>2257</v>
      </c>
      <c r="I1818" s="2" t="s">
        <v>2257</v>
      </c>
      <c r="J1818" t="str">
        <f t="shared" si="50"/>
        <v/>
      </c>
    </row>
    <row r="1819" spans="1:10" x14ac:dyDescent="0.15">
      <c r="A1819" t="s">
        <v>2257</v>
      </c>
      <c r="B1819" t="s">
        <v>2257</v>
      </c>
      <c r="C1819" s="2" t="s">
        <v>2257</v>
      </c>
      <c r="D1819" t="s">
        <v>2257</v>
      </c>
      <c r="E1819" s="2" t="s">
        <v>2257</v>
      </c>
      <c r="F1819" s="8" t="s">
        <v>2257</v>
      </c>
      <c r="G1819" s="2" t="s">
        <v>2257</v>
      </c>
      <c r="H1819" s="2" t="s">
        <v>2257</v>
      </c>
      <c r="I1819" s="2" t="s">
        <v>2257</v>
      </c>
      <c r="J1819" t="str">
        <f t="shared" si="50"/>
        <v/>
      </c>
    </row>
    <row r="1820" spans="1:10" x14ac:dyDescent="0.15">
      <c r="A1820" t="s">
        <v>2257</v>
      </c>
      <c r="B1820" t="s">
        <v>2257</v>
      </c>
      <c r="C1820" s="2" t="s">
        <v>2257</v>
      </c>
      <c r="D1820" t="s">
        <v>2257</v>
      </c>
      <c r="E1820" s="2" t="s">
        <v>2257</v>
      </c>
      <c r="F1820" s="8" t="s">
        <v>2257</v>
      </c>
      <c r="G1820" s="2" t="s">
        <v>2257</v>
      </c>
      <c r="H1820" s="2" t="s">
        <v>2257</v>
      </c>
      <c r="I1820" s="2" t="s">
        <v>2257</v>
      </c>
      <c r="J1820" t="str">
        <f t="shared" si="50"/>
        <v/>
      </c>
    </row>
    <row r="1821" spans="1:10" x14ac:dyDescent="0.15">
      <c r="A1821" t="s">
        <v>2257</v>
      </c>
      <c r="B1821" t="s">
        <v>2257</v>
      </c>
      <c r="C1821" s="2" t="s">
        <v>2257</v>
      </c>
      <c r="D1821" t="s">
        <v>2257</v>
      </c>
      <c r="E1821" s="2" t="s">
        <v>2257</v>
      </c>
      <c r="F1821" s="8" t="s">
        <v>2257</v>
      </c>
      <c r="G1821" s="2" t="s">
        <v>2257</v>
      </c>
      <c r="H1821" s="2" t="s">
        <v>2257</v>
      </c>
      <c r="I1821" s="2" t="s">
        <v>2257</v>
      </c>
      <c r="J1821" t="str">
        <f t="shared" si="50"/>
        <v/>
      </c>
    </row>
    <row r="1822" spans="1:10" x14ac:dyDescent="0.15">
      <c r="A1822" t="s">
        <v>2257</v>
      </c>
      <c r="B1822" t="s">
        <v>2257</v>
      </c>
      <c r="C1822" s="2" t="s">
        <v>2257</v>
      </c>
      <c r="D1822" t="s">
        <v>2257</v>
      </c>
      <c r="E1822" s="2" t="s">
        <v>2257</v>
      </c>
      <c r="F1822" s="8" t="s">
        <v>2257</v>
      </c>
      <c r="G1822" s="2" t="s">
        <v>2257</v>
      </c>
      <c r="H1822" s="2" t="s">
        <v>2257</v>
      </c>
      <c r="I1822" s="2" t="s">
        <v>2257</v>
      </c>
      <c r="J1822" t="str">
        <f t="shared" si="50"/>
        <v/>
      </c>
    </row>
    <row r="1823" spans="1:10" x14ac:dyDescent="0.15">
      <c r="A1823" t="s">
        <v>2257</v>
      </c>
      <c r="B1823" t="s">
        <v>2257</v>
      </c>
      <c r="C1823" s="2" t="s">
        <v>2257</v>
      </c>
      <c r="D1823" t="s">
        <v>2257</v>
      </c>
      <c r="E1823" s="2" t="s">
        <v>2257</v>
      </c>
      <c r="F1823" s="8" t="s">
        <v>2257</v>
      </c>
      <c r="G1823" s="2" t="s">
        <v>2257</v>
      </c>
      <c r="H1823" s="2" t="s">
        <v>2257</v>
      </c>
      <c r="I1823" s="2" t="s">
        <v>2257</v>
      </c>
      <c r="J1823" t="str">
        <f t="shared" si="50"/>
        <v/>
      </c>
    </row>
    <row r="1824" spans="1:10" x14ac:dyDescent="0.15">
      <c r="A1824" t="s">
        <v>2257</v>
      </c>
      <c r="B1824" t="s">
        <v>2257</v>
      </c>
      <c r="C1824" s="2" t="s">
        <v>2257</v>
      </c>
      <c r="D1824" t="s">
        <v>2257</v>
      </c>
      <c r="E1824" s="2" t="s">
        <v>2257</v>
      </c>
      <c r="F1824" s="8" t="s">
        <v>2257</v>
      </c>
      <c r="G1824" s="2" t="s">
        <v>2257</v>
      </c>
      <c r="H1824" s="2" t="s">
        <v>2257</v>
      </c>
      <c r="I1824" s="2" t="s">
        <v>2257</v>
      </c>
      <c r="J1824" t="str">
        <f t="shared" si="50"/>
        <v/>
      </c>
    </row>
    <row r="1825" spans="1:10" x14ac:dyDescent="0.15">
      <c r="A1825" t="s">
        <v>2257</v>
      </c>
      <c r="B1825" t="s">
        <v>2257</v>
      </c>
      <c r="C1825" s="2" t="s">
        <v>2257</v>
      </c>
      <c r="D1825" t="s">
        <v>2257</v>
      </c>
      <c r="E1825" s="2" t="s">
        <v>2257</v>
      </c>
      <c r="F1825" s="8" t="s">
        <v>2257</v>
      </c>
      <c r="G1825" s="2" t="s">
        <v>2257</v>
      </c>
      <c r="H1825" s="2" t="s">
        <v>2257</v>
      </c>
      <c r="I1825" s="2" t="s">
        <v>2257</v>
      </c>
      <c r="J1825" t="str">
        <f t="shared" si="50"/>
        <v/>
      </c>
    </row>
    <row r="1826" spans="1:10" x14ac:dyDescent="0.15">
      <c r="A1826" t="s">
        <v>2257</v>
      </c>
      <c r="B1826" t="s">
        <v>2257</v>
      </c>
      <c r="C1826" s="2" t="s">
        <v>2257</v>
      </c>
      <c r="D1826" t="s">
        <v>2257</v>
      </c>
      <c r="E1826" s="2" t="s">
        <v>2257</v>
      </c>
      <c r="F1826" s="8" t="s">
        <v>2257</v>
      </c>
      <c r="G1826" s="2" t="s">
        <v>2257</v>
      </c>
      <c r="H1826" s="2" t="s">
        <v>2257</v>
      </c>
      <c r="I1826" s="2" t="s">
        <v>2257</v>
      </c>
      <c r="J1826" t="str">
        <f t="shared" si="50"/>
        <v/>
      </c>
    </row>
    <row r="1827" spans="1:10" x14ac:dyDescent="0.15">
      <c r="A1827" t="s">
        <v>2257</v>
      </c>
      <c r="B1827" t="s">
        <v>2257</v>
      </c>
      <c r="C1827" s="2" t="s">
        <v>2257</v>
      </c>
      <c r="D1827" t="s">
        <v>2257</v>
      </c>
      <c r="E1827" s="2" t="s">
        <v>2257</v>
      </c>
      <c r="F1827" s="8" t="s">
        <v>2257</v>
      </c>
      <c r="G1827" s="2" t="s">
        <v>2257</v>
      </c>
      <c r="H1827" s="2" t="s">
        <v>2257</v>
      </c>
      <c r="I1827" s="2" t="s">
        <v>2257</v>
      </c>
      <c r="J1827" t="str">
        <f t="shared" si="50"/>
        <v/>
      </c>
    </row>
    <row r="1828" spans="1:10" x14ac:dyDescent="0.15">
      <c r="A1828" t="s">
        <v>2257</v>
      </c>
      <c r="B1828" t="s">
        <v>2257</v>
      </c>
      <c r="C1828" s="2" t="s">
        <v>2257</v>
      </c>
      <c r="D1828" t="s">
        <v>2257</v>
      </c>
      <c r="E1828" s="2" t="s">
        <v>2257</v>
      </c>
      <c r="F1828" s="8" t="s">
        <v>2257</v>
      </c>
      <c r="G1828" s="2" t="s">
        <v>2257</v>
      </c>
      <c r="H1828" s="2" t="s">
        <v>2257</v>
      </c>
      <c r="I1828" s="2" t="s">
        <v>2257</v>
      </c>
      <c r="J1828" t="str">
        <f t="shared" si="50"/>
        <v/>
      </c>
    </row>
    <row r="1829" spans="1:10" x14ac:dyDescent="0.15">
      <c r="A1829" t="s">
        <v>2257</v>
      </c>
      <c r="B1829" t="s">
        <v>2257</v>
      </c>
      <c r="C1829" s="2" t="s">
        <v>2257</v>
      </c>
      <c r="D1829" t="s">
        <v>2257</v>
      </c>
      <c r="E1829" s="2" t="s">
        <v>2257</v>
      </c>
      <c r="F1829" s="8" t="s">
        <v>2257</v>
      </c>
      <c r="G1829" s="2" t="s">
        <v>2257</v>
      </c>
      <c r="H1829" s="2" t="s">
        <v>2257</v>
      </c>
      <c r="I1829" s="2" t="s">
        <v>2257</v>
      </c>
      <c r="J1829" t="str">
        <f t="shared" si="50"/>
        <v/>
      </c>
    </row>
    <row r="1830" spans="1:10" x14ac:dyDescent="0.15">
      <c r="A1830" t="s">
        <v>2257</v>
      </c>
      <c r="B1830" t="s">
        <v>2257</v>
      </c>
      <c r="C1830" s="2" t="s">
        <v>2257</v>
      </c>
      <c r="D1830" t="s">
        <v>2257</v>
      </c>
      <c r="E1830" s="2" t="s">
        <v>2257</v>
      </c>
      <c r="F1830" s="8" t="s">
        <v>2257</v>
      </c>
      <c r="G1830" s="2" t="s">
        <v>2257</v>
      </c>
      <c r="H1830" s="2" t="s">
        <v>2257</v>
      </c>
      <c r="I1830" s="2" t="s">
        <v>2257</v>
      </c>
      <c r="J1830" t="str">
        <f t="shared" si="50"/>
        <v/>
      </c>
    </row>
    <row r="1831" spans="1:10" x14ac:dyDescent="0.15">
      <c r="A1831" t="s">
        <v>2257</v>
      </c>
      <c r="B1831" t="s">
        <v>2257</v>
      </c>
      <c r="C1831" s="2" t="s">
        <v>2257</v>
      </c>
      <c r="D1831" t="s">
        <v>2257</v>
      </c>
      <c r="E1831" s="2" t="s">
        <v>2257</v>
      </c>
      <c r="F1831" s="8" t="s">
        <v>2257</v>
      </c>
      <c r="G1831" s="2" t="s">
        <v>2257</v>
      </c>
      <c r="H1831" s="2" t="s">
        <v>2257</v>
      </c>
      <c r="I1831" s="2" t="s">
        <v>2257</v>
      </c>
      <c r="J1831" t="str">
        <f t="shared" si="50"/>
        <v/>
      </c>
    </row>
    <row r="1832" spans="1:10" x14ac:dyDescent="0.15">
      <c r="A1832" t="s">
        <v>2257</v>
      </c>
      <c r="B1832" t="s">
        <v>2257</v>
      </c>
      <c r="C1832" s="2" t="s">
        <v>2257</v>
      </c>
      <c r="D1832" t="s">
        <v>2257</v>
      </c>
      <c r="E1832" s="2" t="s">
        <v>2257</v>
      </c>
      <c r="F1832" s="8" t="s">
        <v>2257</v>
      </c>
      <c r="G1832" s="2" t="s">
        <v>2257</v>
      </c>
      <c r="H1832" s="2" t="s">
        <v>2257</v>
      </c>
      <c r="I1832" s="2" t="s">
        <v>2257</v>
      </c>
      <c r="J1832" t="str">
        <f t="shared" si="50"/>
        <v/>
      </c>
    </row>
    <row r="1833" spans="1:10" x14ac:dyDescent="0.15">
      <c r="A1833" t="s">
        <v>2257</v>
      </c>
      <c r="B1833" t="s">
        <v>2257</v>
      </c>
      <c r="C1833" s="2" t="s">
        <v>2257</v>
      </c>
      <c r="D1833" t="s">
        <v>2257</v>
      </c>
      <c r="E1833" s="2" t="s">
        <v>2257</v>
      </c>
      <c r="F1833" s="8" t="s">
        <v>2257</v>
      </c>
      <c r="G1833" s="2" t="s">
        <v>2257</v>
      </c>
      <c r="H1833" s="2" t="s">
        <v>2257</v>
      </c>
      <c r="I1833" s="2" t="s">
        <v>2257</v>
      </c>
      <c r="J1833" t="str">
        <f t="shared" si="50"/>
        <v/>
      </c>
    </row>
    <row r="1834" spans="1:10" x14ac:dyDescent="0.15">
      <c r="A1834" t="s">
        <v>2257</v>
      </c>
      <c r="B1834" t="s">
        <v>2257</v>
      </c>
      <c r="C1834" s="2" t="s">
        <v>2257</v>
      </c>
      <c r="D1834" t="s">
        <v>2257</v>
      </c>
      <c r="E1834" s="2" t="s">
        <v>2257</v>
      </c>
      <c r="F1834" s="8" t="s">
        <v>2257</v>
      </c>
      <c r="G1834" s="2" t="s">
        <v>2257</v>
      </c>
      <c r="H1834" s="2" t="s">
        <v>2257</v>
      </c>
      <c r="I1834" s="2" t="s">
        <v>2257</v>
      </c>
      <c r="J1834" t="str">
        <f t="shared" si="50"/>
        <v/>
      </c>
    </row>
    <row r="1835" spans="1:10" x14ac:dyDescent="0.15">
      <c r="A1835" t="s">
        <v>2257</v>
      </c>
      <c r="B1835" t="s">
        <v>2257</v>
      </c>
      <c r="C1835" s="2" t="s">
        <v>2257</v>
      </c>
      <c r="D1835" t="s">
        <v>2257</v>
      </c>
      <c r="E1835" s="2" t="s">
        <v>2257</v>
      </c>
      <c r="F1835" s="8" t="s">
        <v>2257</v>
      </c>
      <c r="G1835" s="2" t="s">
        <v>2257</v>
      </c>
      <c r="H1835" s="2" t="s">
        <v>2257</v>
      </c>
      <c r="I1835" s="2" t="s">
        <v>2257</v>
      </c>
      <c r="J1835" t="str">
        <f t="shared" si="50"/>
        <v/>
      </c>
    </row>
    <row r="1836" spans="1:10" x14ac:dyDescent="0.15">
      <c r="A1836" t="s">
        <v>2257</v>
      </c>
      <c r="B1836" t="s">
        <v>2257</v>
      </c>
      <c r="C1836" s="2" t="s">
        <v>2257</v>
      </c>
      <c r="D1836" t="s">
        <v>2257</v>
      </c>
      <c r="E1836" s="2" t="s">
        <v>2257</v>
      </c>
      <c r="F1836" s="8" t="s">
        <v>2257</v>
      </c>
      <c r="G1836" s="2" t="s">
        <v>2257</v>
      </c>
      <c r="H1836" s="2" t="s">
        <v>2257</v>
      </c>
      <c r="I1836" s="2" t="s">
        <v>2257</v>
      </c>
      <c r="J1836" t="str">
        <f t="shared" si="50"/>
        <v/>
      </c>
    </row>
    <row r="1837" spans="1:10" x14ac:dyDescent="0.15">
      <c r="A1837" t="s">
        <v>2257</v>
      </c>
      <c r="B1837" t="s">
        <v>2257</v>
      </c>
      <c r="C1837" s="2" t="s">
        <v>2257</v>
      </c>
      <c r="D1837" t="s">
        <v>2257</v>
      </c>
      <c r="E1837" s="2" t="s">
        <v>2257</v>
      </c>
      <c r="F1837" s="8" t="s">
        <v>2257</v>
      </c>
      <c r="G1837" s="2" t="s">
        <v>2257</v>
      </c>
      <c r="H1837" s="2" t="s">
        <v>2257</v>
      </c>
      <c r="I1837" s="2" t="s">
        <v>2257</v>
      </c>
      <c r="J1837" t="str">
        <f t="shared" si="50"/>
        <v/>
      </c>
    </row>
    <row r="1838" spans="1:10" x14ac:dyDescent="0.15">
      <c r="A1838" t="s">
        <v>2257</v>
      </c>
      <c r="B1838" t="s">
        <v>2257</v>
      </c>
      <c r="C1838" s="2" t="s">
        <v>2257</v>
      </c>
      <c r="D1838" t="s">
        <v>2257</v>
      </c>
      <c r="E1838" s="2" t="s">
        <v>2257</v>
      </c>
      <c r="F1838" s="8" t="s">
        <v>2257</v>
      </c>
      <c r="G1838" s="2" t="s">
        <v>2257</v>
      </c>
      <c r="H1838" s="2" t="s">
        <v>2257</v>
      </c>
      <c r="I1838" s="2" t="s">
        <v>2257</v>
      </c>
      <c r="J1838" t="str">
        <f t="shared" si="50"/>
        <v/>
      </c>
    </row>
    <row r="1839" spans="1:10" x14ac:dyDescent="0.15">
      <c r="A1839" t="s">
        <v>2257</v>
      </c>
      <c r="B1839" t="s">
        <v>2257</v>
      </c>
      <c r="C1839" s="2" t="s">
        <v>2257</v>
      </c>
      <c r="D1839" t="s">
        <v>2257</v>
      </c>
      <c r="E1839" s="2" t="s">
        <v>2257</v>
      </c>
      <c r="F1839" s="8" t="s">
        <v>2257</v>
      </c>
      <c r="G1839" s="2" t="s">
        <v>2257</v>
      </c>
      <c r="H1839" s="2" t="s">
        <v>2257</v>
      </c>
      <c r="I1839" s="2" t="s">
        <v>2257</v>
      </c>
      <c r="J1839" t="str">
        <f t="shared" si="50"/>
        <v/>
      </c>
    </row>
    <row r="1840" spans="1:10" x14ac:dyDescent="0.15">
      <c r="A1840" t="s">
        <v>2257</v>
      </c>
      <c r="B1840" t="s">
        <v>2257</v>
      </c>
      <c r="C1840" s="2" t="s">
        <v>2257</v>
      </c>
      <c r="D1840" t="s">
        <v>2257</v>
      </c>
      <c r="E1840" s="2" t="s">
        <v>2257</v>
      </c>
      <c r="F1840" s="8" t="s">
        <v>2257</v>
      </c>
      <c r="G1840" s="2" t="s">
        <v>2257</v>
      </c>
      <c r="H1840" s="2" t="s">
        <v>2257</v>
      </c>
      <c r="I1840" s="2" t="s">
        <v>2257</v>
      </c>
      <c r="J1840" t="str">
        <f t="shared" si="50"/>
        <v/>
      </c>
    </row>
    <row r="1841" spans="1:10" x14ac:dyDescent="0.15">
      <c r="A1841" t="s">
        <v>2257</v>
      </c>
      <c r="B1841" t="s">
        <v>2257</v>
      </c>
      <c r="C1841" s="2" t="s">
        <v>2257</v>
      </c>
      <c r="D1841" t="s">
        <v>2257</v>
      </c>
      <c r="E1841" s="2" t="s">
        <v>2257</v>
      </c>
      <c r="F1841" s="8" t="s">
        <v>2257</v>
      </c>
      <c r="G1841" s="2" t="s">
        <v>2257</v>
      </c>
      <c r="H1841" s="2" t="s">
        <v>2257</v>
      </c>
      <c r="I1841" s="2" t="s">
        <v>2257</v>
      </c>
      <c r="J1841" t="str">
        <f t="shared" si="50"/>
        <v/>
      </c>
    </row>
    <row r="1842" spans="1:10" x14ac:dyDescent="0.15">
      <c r="A1842" t="s">
        <v>2257</v>
      </c>
      <c r="B1842" t="s">
        <v>2257</v>
      </c>
      <c r="C1842" s="2" t="s">
        <v>2257</v>
      </c>
      <c r="D1842" t="s">
        <v>2257</v>
      </c>
      <c r="E1842" s="2" t="s">
        <v>2257</v>
      </c>
      <c r="F1842" s="8" t="s">
        <v>2257</v>
      </c>
      <c r="G1842" s="2" t="s">
        <v>2257</v>
      </c>
      <c r="H1842" s="2" t="s">
        <v>2257</v>
      </c>
      <c r="I1842" s="2" t="s">
        <v>2257</v>
      </c>
      <c r="J1842" t="str">
        <f t="shared" si="50"/>
        <v/>
      </c>
    </row>
    <row r="1843" spans="1:10" x14ac:dyDescent="0.15">
      <c r="A1843" t="s">
        <v>2257</v>
      </c>
      <c r="B1843" t="s">
        <v>2257</v>
      </c>
      <c r="C1843" s="2" t="s">
        <v>2257</v>
      </c>
      <c r="D1843" t="s">
        <v>2257</v>
      </c>
      <c r="E1843" s="2" t="s">
        <v>2257</v>
      </c>
      <c r="F1843" s="8" t="s">
        <v>2257</v>
      </c>
      <c r="G1843" s="2" t="s">
        <v>2257</v>
      </c>
      <c r="H1843" s="2" t="s">
        <v>2257</v>
      </c>
      <c r="I1843" s="2" t="s">
        <v>2257</v>
      </c>
      <c r="J1843" t="str">
        <f t="shared" si="50"/>
        <v/>
      </c>
    </row>
    <row r="1844" spans="1:10" x14ac:dyDescent="0.15">
      <c r="A1844" t="s">
        <v>2257</v>
      </c>
      <c r="B1844" t="s">
        <v>2257</v>
      </c>
      <c r="C1844" s="2" t="s">
        <v>2257</v>
      </c>
      <c r="D1844" t="s">
        <v>2257</v>
      </c>
      <c r="E1844" s="2" t="s">
        <v>2257</v>
      </c>
      <c r="F1844" s="8" t="s">
        <v>2257</v>
      </c>
      <c r="G1844" s="2" t="s">
        <v>2257</v>
      </c>
      <c r="H1844" s="2" t="s">
        <v>2257</v>
      </c>
      <c r="I1844" s="2" t="s">
        <v>2257</v>
      </c>
      <c r="J1844" t="str">
        <f t="shared" si="50"/>
        <v/>
      </c>
    </row>
    <row r="1845" spans="1:10" x14ac:dyDescent="0.15">
      <c r="A1845" t="s">
        <v>2257</v>
      </c>
      <c r="B1845" t="s">
        <v>2257</v>
      </c>
      <c r="C1845" s="2" t="s">
        <v>2257</v>
      </c>
      <c r="D1845" t="s">
        <v>2257</v>
      </c>
      <c r="E1845" s="2" t="s">
        <v>2257</v>
      </c>
      <c r="F1845" s="8" t="s">
        <v>2257</v>
      </c>
      <c r="G1845" s="2" t="s">
        <v>2257</v>
      </c>
      <c r="H1845" s="2" t="s">
        <v>2257</v>
      </c>
      <c r="I1845" s="2" t="s">
        <v>2257</v>
      </c>
      <c r="J1845" t="str">
        <f t="shared" si="50"/>
        <v/>
      </c>
    </row>
    <row r="1846" spans="1:10" x14ac:dyDescent="0.15">
      <c r="A1846" t="s">
        <v>2257</v>
      </c>
      <c r="B1846" t="s">
        <v>2257</v>
      </c>
      <c r="C1846" s="2" t="s">
        <v>2257</v>
      </c>
      <c r="D1846" t="s">
        <v>2257</v>
      </c>
      <c r="E1846" s="2" t="s">
        <v>2257</v>
      </c>
      <c r="F1846" s="8" t="s">
        <v>2257</v>
      </c>
      <c r="G1846" s="2" t="s">
        <v>2257</v>
      </c>
      <c r="H1846" s="2" t="s">
        <v>2257</v>
      </c>
      <c r="I1846" s="2" t="s">
        <v>2257</v>
      </c>
      <c r="J1846" t="str">
        <f t="shared" si="50"/>
        <v/>
      </c>
    </row>
    <row r="1847" spans="1:10" x14ac:dyDescent="0.15">
      <c r="A1847" t="s">
        <v>2257</v>
      </c>
      <c r="B1847" t="s">
        <v>2257</v>
      </c>
      <c r="C1847" s="2" t="s">
        <v>2257</v>
      </c>
      <c r="D1847" t="s">
        <v>2257</v>
      </c>
      <c r="E1847" s="2" t="s">
        <v>2257</v>
      </c>
      <c r="F1847" s="8" t="s">
        <v>2257</v>
      </c>
      <c r="G1847" s="2" t="s">
        <v>2257</v>
      </c>
      <c r="H1847" s="2" t="s">
        <v>2257</v>
      </c>
      <c r="I1847" s="2" t="s">
        <v>2257</v>
      </c>
      <c r="J1847" t="str">
        <f t="shared" si="50"/>
        <v/>
      </c>
    </row>
    <row r="1848" spans="1:10" x14ac:dyDescent="0.15">
      <c r="A1848" t="s">
        <v>2257</v>
      </c>
      <c r="B1848" t="s">
        <v>2257</v>
      </c>
      <c r="C1848" s="2" t="s">
        <v>2257</v>
      </c>
      <c r="D1848" t="s">
        <v>2257</v>
      </c>
      <c r="E1848" s="2" t="s">
        <v>2257</v>
      </c>
      <c r="F1848" s="8" t="s">
        <v>2257</v>
      </c>
      <c r="G1848" s="2" t="s">
        <v>2257</v>
      </c>
      <c r="H1848" s="2" t="s">
        <v>2257</v>
      </c>
      <c r="I1848" s="2" t="s">
        <v>2257</v>
      </c>
      <c r="J1848" t="str">
        <f t="shared" si="50"/>
        <v/>
      </c>
    </row>
    <row r="1849" spans="1:10" x14ac:dyDescent="0.15">
      <c r="A1849" t="s">
        <v>2257</v>
      </c>
      <c r="B1849" t="s">
        <v>2257</v>
      </c>
      <c r="C1849" s="2" t="s">
        <v>2257</v>
      </c>
      <c r="D1849" t="s">
        <v>2257</v>
      </c>
      <c r="E1849" s="2" t="s">
        <v>2257</v>
      </c>
      <c r="F1849" s="8" t="s">
        <v>2257</v>
      </c>
      <c r="G1849" s="2" t="s">
        <v>2257</v>
      </c>
      <c r="H1849" s="2" t="s">
        <v>2257</v>
      </c>
      <c r="I1849" s="2" t="s">
        <v>2257</v>
      </c>
      <c r="J1849" t="str">
        <f t="shared" si="50"/>
        <v/>
      </c>
    </row>
    <row r="1850" spans="1:10" x14ac:dyDescent="0.15">
      <c r="A1850" t="s">
        <v>2257</v>
      </c>
      <c r="B1850" t="s">
        <v>2257</v>
      </c>
      <c r="C1850" s="2" t="s">
        <v>2257</v>
      </c>
      <c r="D1850" t="s">
        <v>2257</v>
      </c>
      <c r="E1850" s="2" t="s">
        <v>2257</v>
      </c>
      <c r="F1850" s="8" t="s">
        <v>2257</v>
      </c>
      <c r="G1850" s="2" t="s">
        <v>2257</v>
      </c>
      <c r="H1850" s="2" t="s">
        <v>2257</v>
      </c>
      <c r="I1850" s="2" t="s">
        <v>2257</v>
      </c>
      <c r="J1850" t="str">
        <f t="shared" si="50"/>
        <v/>
      </c>
    </row>
    <row r="1851" spans="1:10" x14ac:dyDescent="0.15">
      <c r="A1851" t="s">
        <v>2257</v>
      </c>
      <c r="B1851" t="s">
        <v>2257</v>
      </c>
      <c r="C1851" s="2" t="s">
        <v>2257</v>
      </c>
      <c r="D1851" t="s">
        <v>2257</v>
      </c>
      <c r="E1851" s="2" t="s">
        <v>2257</v>
      </c>
      <c r="F1851" s="8" t="s">
        <v>2257</v>
      </c>
      <c r="G1851" s="2" t="s">
        <v>2257</v>
      </c>
      <c r="H1851" s="2" t="s">
        <v>2257</v>
      </c>
      <c r="I1851" s="2" t="s">
        <v>2257</v>
      </c>
      <c r="J1851" t="str">
        <f t="shared" si="50"/>
        <v/>
      </c>
    </row>
    <row r="1852" spans="1:10" x14ac:dyDescent="0.15">
      <c r="A1852" t="s">
        <v>2257</v>
      </c>
      <c r="B1852" t="s">
        <v>2257</v>
      </c>
      <c r="C1852" s="2" t="s">
        <v>2257</v>
      </c>
      <c r="D1852" t="s">
        <v>2257</v>
      </c>
      <c r="E1852" s="2" t="s">
        <v>2257</v>
      </c>
      <c r="F1852" s="8" t="s">
        <v>2257</v>
      </c>
      <c r="G1852" s="2" t="s">
        <v>2257</v>
      </c>
      <c r="H1852" s="2" t="s">
        <v>2257</v>
      </c>
      <c r="I1852" s="2" t="s">
        <v>2257</v>
      </c>
      <c r="J1852" t="str">
        <f t="shared" si="50"/>
        <v/>
      </c>
    </row>
    <row r="1853" spans="1:10" x14ac:dyDescent="0.15">
      <c r="A1853" t="s">
        <v>2257</v>
      </c>
      <c r="B1853" t="s">
        <v>2257</v>
      </c>
      <c r="C1853" s="2" t="s">
        <v>2257</v>
      </c>
      <c r="D1853" t="s">
        <v>2257</v>
      </c>
      <c r="E1853" s="2" t="s">
        <v>2257</v>
      </c>
      <c r="F1853" s="8" t="s">
        <v>2257</v>
      </c>
      <c r="G1853" s="2" t="s">
        <v>2257</v>
      </c>
      <c r="H1853" s="2" t="s">
        <v>2257</v>
      </c>
      <c r="I1853" s="2" t="s">
        <v>2257</v>
      </c>
      <c r="J1853" t="str">
        <f t="shared" si="50"/>
        <v/>
      </c>
    </row>
    <row r="1854" spans="1:10" x14ac:dyDescent="0.15">
      <c r="A1854" t="s">
        <v>2257</v>
      </c>
      <c r="B1854" t="s">
        <v>2257</v>
      </c>
      <c r="C1854" s="2" t="s">
        <v>2257</v>
      </c>
      <c r="D1854" t="s">
        <v>2257</v>
      </c>
      <c r="E1854" s="2" t="s">
        <v>2257</v>
      </c>
      <c r="F1854" s="8" t="s">
        <v>2257</v>
      </c>
      <c r="G1854" s="2" t="s">
        <v>2257</v>
      </c>
      <c r="H1854" s="2" t="s">
        <v>2257</v>
      </c>
      <c r="I1854" s="2" t="s">
        <v>2257</v>
      </c>
      <c r="J1854" t="str">
        <f t="shared" si="50"/>
        <v/>
      </c>
    </row>
    <row r="1855" spans="1:10" x14ac:dyDescent="0.15">
      <c r="A1855" t="s">
        <v>2257</v>
      </c>
      <c r="B1855" t="s">
        <v>2257</v>
      </c>
      <c r="C1855" s="2" t="s">
        <v>2257</v>
      </c>
      <c r="D1855" t="s">
        <v>2257</v>
      </c>
      <c r="E1855" s="2" t="s">
        <v>2257</v>
      </c>
      <c r="F1855" s="8" t="s">
        <v>2257</v>
      </c>
      <c r="G1855" s="2" t="s">
        <v>2257</v>
      </c>
      <c r="H1855" s="2" t="s">
        <v>2257</v>
      </c>
      <c r="I1855" s="2" t="s">
        <v>2257</v>
      </c>
      <c r="J1855" t="str">
        <f t="shared" si="50"/>
        <v/>
      </c>
    </row>
    <row r="1856" spans="1:10" x14ac:dyDescent="0.15">
      <c r="A1856" t="s">
        <v>2257</v>
      </c>
      <c r="B1856" t="s">
        <v>2257</v>
      </c>
      <c r="C1856" s="2" t="s">
        <v>2257</v>
      </c>
      <c r="D1856" t="s">
        <v>2257</v>
      </c>
      <c r="E1856" s="2" t="s">
        <v>2257</v>
      </c>
      <c r="F1856" s="8" t="s">
        <v>2257</v>
      </c>
      <c r="G1856" s="2" t="s">
        <v>2257</v>
      </c>
      <c r="H1856" s="2" t="s">
        <v>2257</v>
      </c>
      <c r="I1856" s="2" t="s">
        <v>2257</v>
      </c>
      <c r="J1856" t="str">
        <f t="shared" si="50"/>
        <v/>
      </c>
    </row>
    <row r="1857" spans="1:10" x14ac:dyDescent="0.15">
      <c r="A1857" t="s">
        <v>2257</v>
      </c>
      <c r="B1857" t="s">
        <v>2257</v>
      </c>
      <c r="C1857" s="2" t="s">
        <v>2257</v>
      </c>
      <c r="D1857" t="s">
        <v>2257</v>
      </c>
      <c r="E1857" s="2" t="s">
        <v>2257</v>
      </c>
      <c r="F1857" s="8" t="s">
        <v>2257</v>
      </c>
      <c r="G1857" s="2" t="s">
        <v>2257</v>
      </c>
      <c r="H1857" s="2" t="s">
        <v>2257</v>
      </c>
      <c r="I1857" s="2" t="s">
        <v>2257</v>
      </c>
      <c r="J1857" t="str">
        <f t="shared" si="50"/>
        <v/>
      </c>
    </row>
    <row r="1858" spans="1:10" x14ac:dyDescent="0.15">
      <c r="A1858" t="s">
        <v>2257</v>
      </c>
      <c r="B1858" t="s">
        <v>2257</v>
      </c>
      <c r="C1858" s="2" t="s">
        <v>2257</v>
      </c>
      <c r="D1858" t="s">
        <v>2257</v>
      </c>
      <c r="E1858" s="2" t="s">
        <v>2257</v>
      </c>
      <c r="F1858" s="8" t="s">
        <v>2257</v>
      </c>
      <c r="G1858" s="2" t="s">
        <v>2257</v>
      </c>
      <c r="H1858" s="2" t="s">
        <v>2257</v>
      </c>
      <c r="I1858" s="2" t="s">
        <v>2257</v>
      </c>
      <c r="J1858" t="str">
        <f t="shared" si="50"/>
        <v/>
      </c>
    </row>
    <row r="1859" spans="1:10" x14ac:dyDescent="0.15">
      <c r="A1859" t="s">
        <v>2257</v>
      </c>
      <c r="B1859" t="s">
        <v>2257</v>
      </c>
      <c r="C1859" s="2" t="s">
        <v>2257</v>
      </c>
      <c r="D1859" t="s">
        <v>2257</v>
      </c>
      <c r="E1859" s="2" t="s">
        <v>2257</v>
      </c>
      <c r="F1859" s="8" t="s">
        <v>2257</v>
      </c>
      <c r="G1859" s="2" t="s">
        <v>2257</v>
      </c>
      <c r="H1859" s="2" t="s">
        <v>2257</v>
      </c>
      <c r="I1859" s="2" t="s">
        <v>2257</v>
      </c>
      <c r="J1859" t="str">
        <f t="shared" si="50"/>
        <v/>
      </c>
    </row>
    <row r="1860" spans="1:10" x14ac:dyDescent="0.15">
      <c r="A1860" t="s">
        <v>2257</v>
      </c>
      <c r="B1860" t="s">
        <v>2257</v>
      </c>
      <c r="C1860" s="2" t="s">
        <v>2257</v>
      </c>
      <c r="D1860" t="s">
        <v>2257</v>
      </c>
      <c r="E1860" s="2" t="s">
        <v>2257</v>
      </c>
      <c r="F1860" s="8" t="s">
        <v>2257</v>
      </c>
      <c r="G1860" s="2" t="s">
        <v>2257</v>
      </c>
      <c r="H1860" s="2" t="s">
        <v>2257</v>
      </c>
      <c r="I1860" s="2" t="s">
        <v>2257</v>
      </c>
      <c r="J1860" t="str">
        <f t="shared" si="50"/>
        <v/>
      </c>
    </row>
    <row r="1861" spans="1:10" x14ac:dyDescent="0.15">
      <c r="A1861" t="s">
        <v>2257</v>
      </c>
      <c r="B1861" t="s">
        <v>2257</v>
      </c>
      <c r="C1861" s="2" t="s">
        <v>2257</v>
      </c>
      <c r="D1861" t="s">
        <v>2257</v>
      </c>
      <c r="E1861" s="2" t="s">
        <v>2257</v>
      </c>
      <c r="F1861" s="8" t="s">
        <v>2257</v>
      </c>
      <c r="G1861" s="2" t="s">
        <v>2257</v>
      </c>
      <c r="H1861" s="2" t="s">
        <v>2257</v>
      </c>
      <c r="I1861" s="2" t="s">
        <v>2257</v>
      </c>
      <c r="J1861" t="str">
        <f t="shared" si="50"/>
        <v/>
      </c>
    </row>
    <row r="1862" spans="1:10" x14ac:dyDescent="0.15">
      <c r="A1862" t="s">
        <v>2257</v>
      </c>
      <c r="B1862" t="s">
        <v>2257</v>
      </c>
      <c r="C1862" s="2" t="s">
        <v>2257</v>
      </c>
      <c r="D1862" t="s">
        <v>2257</v>
      </c>
      <c r="E1862" s="2" t="s">
        <v>2257</v>
      </c>
      <c r="F1862" s="8" t="s">
        <v>2257</v>
      </c>
      <c r="G1862" s="2" t="s">
        <v>2257</v>
      </c>
      <c r="H1862" s="2" t="s">
        <v>2257</v>
      </c>
      <c r="I1862" s="2" t="s">
        <v>2257</v>
      </c>
      <c r="J1862" t="str">
        <f t="shared" si="50"/>
        <v/>
      </c>
    </row>
    <row r="1863" spans="1:10" x14ac:dyDescent="0.15">
      <c r="A1863" t="s">
        <v>2257</v>
      </c>
      <c r="B1863" t="s">
        <v>2257</v>
      </c>
      <c r="C1863" s="2" t="s">
        <v>2257</v>
      </c>
      <c r="D1863" t="s">
        <v>2257</v>
      </c>
      <c r="E1863" s="2" t="s">
        <v>2257</v>
      </c>
      <c r="F1863" s="8" t="s">
        <v>2257</v>
      </c>
      <c r="G1863" s="2" t="s">
        <v>2257</v>
      </c>
      <c r="H1863" s="2" t="s">
        <v>2257</v>
      </c>
      <c r="I1863" s="2" t="s">
        <v>2257</v>
      </c>
      <c r="J1863" t="str">
        <f t="shared" si="50"/>
        <v/>
      </c>
    </row>
    <row r="1864" spans="1:10" x14ac:dyDescent="0.15">
      <c r="A1864" t="s">
        <v>2257</v>
      </c>
      <c r="B1864" t="s">
        <v>2257</v>
      </c>
      <c r="C1864" s="2" t="s">
        <v>2257</v>
      </c>
      <c r="D1864" t="s">
        <v>2257</v>
      </c>
      <c r="E1864" s="2" t="s">
        <v>2257</v>
      </c>
      <c r="F1864" s="8" t="s">
        <v>2257</v>
      </c>
      <c r="G1864" s="2" t="s">
        <v>2257</v>
      </c>
      <c r="H1864" s="2" t="s">
        <v>2257</v>
      </c>
      <c r="I1864" s="2" t="s">
        <v>2257</v>
      </c>
      <c r="J1864" t="str">
        <f t="shared" si="50"/>
        <v/>
      </c>
    </row>
    <row r="1865" spans="1:10" x14ac:dyDescent="0.15">
      <c r="A1865" t="s">
        <v>2257</v>
      </c>
      <c r="B1865" t="s">
        <v>2257</v>
      </c>
      <c r="C1865" s="2" t="s">
        <v>2257</v>
      </c>
      <c r="D1865" t="s">
        <v>2257</v>
      </c>
      <c r="E1865" s="2" t="s">
        <v>2257</v>
      </c>
      <c r="F1865" s="8" t="s">
        <v>2257</v>
      </c>
      <c r="G1865" s="2" t="s">
        <v>2257</v>
      </c>
      <c r="H1865" s="2" t="s">
        <v>2257</v>
      </c>
      <c r="I1865" s="2" t="s">
        <v>2257</v>
      </c>
      <c r="J1865" t="str">
        <f t="shared" si="50"/>
        <v/>
      </c>
    </row>
    <row r="1866" spans="1:10" x14ac:dyDescent="0.15">
      <c r="A1866" t="s">
        <v>2257</v>
      </c>
      <c r="B1866" t="s">
        <v>2257</v>
      </c>
      <c r="C1866" s="2" t="s">
        <v>2257</v>
      </c>
      <c r="D1866" t="s">
        <v>2257</v>
      </c>
      <c r="E1866" s="2" t="s">
        <v>2257</v>
      </c>
      <c r="F1866" s="8" t="s">
        <v>2257</v>
      </c>
      <c r="G1866" s="2" t="s">
        <v>2257</v>
      </c>
      <c r="H1866" s="2" t="s">
        <v>2257</v>
      </c>
      <c r="I1866" s="2" t="s">
        <v>2257</v>
      </c>
      <c r="J1866" t="str">
        <f t="shared" si="50"/>
        <v/>
      </c>
    </row>
    <row r="1867" spans="1:10" x14ac:dyDescent="0.15">
      <c r="A1867" t="s">
        <v>2257</v>
      </c>
      <c r="B1867" t="s">
        <v>2257</v>
      </c>
      <c r="C1867" s="2" t="s">
        <v>2257</v>
      </c>
      <c r="D1867" t="s">
        <v>2257</v>
      </c>
      <c r="E1867" s="2" t="s">
        <v>2257</v>
      </c>
      <c r="F1867" s="8" t="s">
        <v>2257</v>
      </c>
      <c r="G1867" s="2" t="s">
        <v>2257</v>
      </c>
      <c r="H1867" s="2" t="s">
        <v>2257</v>
      </c>
      <c r="I1867" s="2" t="s">
        <v>2257</v>
      </c>
      <c r="J1867" t="str">
        <f t="shared" ref="J1867:J1930" si="51">IF(A1867="","",IF(AND(C1867="",D1867&lt;&gt;"UNS",I1867=""),"Open","Closed"))</f>
        <v/>
      </c>
    </row>
    <row r="1868" spans="1:10" x14ac:dyDescent="0.15">
      <c r="A1868" t="s">
        <v>2257</v>
      </c>
      <c r="B1868" t="s">
        <v>2257</v>
      </c>
      <c r="C1868" s="2" t="s">
        <v>2257</v>
      </c>
      <c r="D1868" t="s">
        <v>2257</v>
      </c>
      <c r="E1868" s="2" t="s">
        <v>2257</v>
      </c>
      <c r="F1868" s="8" t="s">
        <v>2257</v>
      </c>
      <c r="G1868" s="2" t="s">
        <v>2257</v>
      </c>
      <c r="H1868" s="2" t="s">
        <v>2257</v>
      </c>
      <c r="I1868" s="2" t="s">
        <v>2257</v>
      </c>
      <c r="J1868" t="str">
        <f t="shared" si="51"/>
        <v/>
      </c>
    </row>
    <row r="1869" spans="1:10" x14ac:dyDescent="0.15">
      <c r="A1869" t="s">
        <v>2257</v>
      </c>
      <c r="B1869" t="s">
        <v>2257</v>
      </c>
      <c r="C1869" s="2" t="s">
        <v>2257</v>
      </c>
      <c r="D1869" t="s">
        <v>2257</v>
      </c>
      <c r="E1869" s="2" t="s">
        <v>2257</v>
      </c>
      <c r="F1869" s="8" t="s">
        <v>2257</v>
      </c>
      <c r="G1869" s="2" t="s">
        <v>2257</v>
      </c>
      <c r="H1869" s="2" t="s">
        <v>2257</v>
      </c>
      <c r="I1869" s="2" t="s">
        <v>2257</v>
      </c>
      <c r="J1869" t="str">
        <f t="shared" si="51"/>
        <v/>
      </c>
    </row>
    <row r="1870" spans="1:10" x14ac:dyDescent="0.15">
      <c r="A1870" t="s">
        <v>2257</v>
      </c>
      <c r="B1870" t="s">
        <v>2257</v>
      </c>
      <c r="C1870" s="2" t="s">
        <v>2257</v>
      </c>
      <c r="D1870" t="s">
        <v>2257</v>
      </c>
      <c r="E1870" s="2" t="s">
        <v>2257</v>
      </c>
      <c r="F1870" s="8" t="s">
        <v>2257</v>
      </c>
      <c r="G1870" s="2" t="s">
        <v>2257</v>
      </c>
      <c r="H1870" s="2" t="s">
        <v>2257</v>
      </c>
      <c r="I1870" s="2" t="s">
        <v>2257</v>
      </c>
      <c r="J1870" t="str">
        <f t="shared" si="51"/>
        <v/>
      </c>
    </row>
    <row r="1871" spans="1:10" x14ac:dyDescent="0.15">
      <c r="A1871" t="s">
        <v>2257</v>
      </c>
      <c r="B1871" t="s">
        <v>2257</v>
      </c>
      <c r="C1871" s="2" t="s">
        <v>2257</v>
      </c>
      <c r="D1871" t="s">
        <v>2257</v>
      </c>
      <c r="E1871" s="2" t="s">
        <v>2257</v>
      </c>
      <c r="F1871" s="8" t="s">
        <v>2257</v>
      </c>
      <c r="G1871" s="2" t="s">
        <v>2257</v>
      </c>
      <c r="H1871" s="2" t="s">
        <v>2257</v>
      </c>
      <c r="I1871" s="2" t="s">
        <v>2257</v>
      </c>
      <c r="J1871" t="str">
        <f t="shared" si="51"/>
        <v/>
      </c>
    </row>
    <row r="1872" spans="1:10" x14ac:dyDescent="0.15">
      <c r="A1872" t="s">
        <v>2257</v>
      </c>
      <c r="B1872" t="s">
        <v>2257</v>
      </c>
      <c r="C1872" s="2" t="s">
        <v>2257</v>
      </c>
      <c r="D1872" t="s">
        <v>2257</v>
      </c>
      <c r="E1872" s="2" t="s">
        <v>2257</v>
      </c>
      <c r="F1872" s="8" t="s">
        <v>2257</v>
      </c>
      <c r="G1872" s="2" t="s">
        <v>2257</v>
      </c>
      <c r="H1872" s="2" t="s">
        <v>2257</v>
      </c>
      <c r="I1872" s="2" t="s">
        <v>2257</v>
      </c>
      <c r="J1872" t="str">
        <f t="shared" si="51"/>
        <v/>
      </c>
    </row>
    <row r="1873" spans="1:10" x14ac:dyDescent="0.15">
      <c r="A1873" t="s">
        <v>2257</v>
      </c>
      <c r="B1873" t="s">
        <v>2257</v>
      </c>
      <c r="C1873" s="2" t="s">
        <v>2257</v>
      </c>
      <c r="D1873" t="s">
        <v>2257</v>
      </c>
      <c r="E1873" s="2" t="s">
        <v>2257</v>
      </c>
      <c r="F1873" s="8" t="s">
        <v>2257</v>
      </c>
      <c r="G1873" s="2" t="s">
        <v>2257</v>
      </c>
      <c r="H1873" s="2" t="s">
        <v>2257</v>
      </c>
      <c r="I1873" s="2" t="s">
        <v>2257</v>
      </c>
      <c r="J1873" t="str">
        <f t="shared" si="51"/>
        <v/>
      </c>
    </row>
    <row r="1874" spans="1:10" x14ac:dyDescent="0.15">
      <c r="A1874" t="s">
        <v>2257</v>
      </c>
      <c r="B1874" t="s">
        <v>2257</v>
      </c>
      <c r="C1874" s="2" t="s">
        <v>2257</v>
      </c>
      <c r="D1874" t="s">
        <v>2257</v>
      </c>
      <c r="E1874" s="2" t="s">
        <v>2257</v>
      </c>
      <c r="F1874" s="8" t="s">
        <v>2257</v>
      </c>
      <c r="G1874" s="2" t="s">
        <v>2257</v>
      </c>
      <c r="H1874" s="2" t="s">
        <v>2257</v>
      </c>
      <c r="I1874" s="2" t="s">
        <v>2257</v>
      </c>
      <c r="J1874" t="str">
        <f t="shared" si="51"/>
        <v/>
      </c>
    </row>
    <row r="1875" spans="1:10" x14ac:dyDescent="0.15">
      <c r="A1875" t="s">
        <v>2257</v>
      </c>
      <c r="B1875" t="s">
        <v>2257</v>
      </c>
      <c r="C1875" s="2" t="s">
        <v>2257</v>
      </c>
      <c r="D1875" t="s">
        <v>2257</v>
      </c>
      <c r="E1875" s="2" t="s">
        <v>2257</v>
      </c>
      <c r="F1875" s="8" t="s">
        <v>2257</v>
      </c>
      <c r="G1875" s="2" t="s">
        <v>2257</v>
      </c>
      <c r="H1875" s="2" t="s">
        <v>2257</v>
      </c>
      <c r="I1875" s="2" t="s">
        <v>2257</v>
      </c>
      <c r="J1875" t="str">
        <f t="shared" si="51"/>
        <v/>
      </c>
    </row>
    <row r="1876" spans="1:10" x14ac:dyDescent="0.15">
      <c r="A1876" t="s">
        <v>2257</v>
      </c>
      <c r="B1876" t="s">
        <v>2257</v>
      </c>
      <c r="C1876" s="2" t="s">
        <v>2257</v>
      </c>
      <c r="D1876" t="s">
        <v>2257</v>
      </c>
      <c r="E1876" s="2" t="s">
        <v>2257</v>
      </c>
      <c r="F1876" s="8" t="s">
        <v>2257</v>
      </c>
      <c r="G1876" s="2" t="s">
        <v>2257</v>
      </c>
      <c r="H1876" s="2" t="s">
        <v>2257</v>
      </c>
      <c r="I1876" s="2" t="s">
        <v>2257</v>
      </c>
      <c r="J1876" t="str">
        <f t="shared" si="51"/>
        <v/>
      </c>
    </row>
    <row r="1877" spans="1:10" x14ac:dyDescent="0.15">
      <c r="A1877" t="s">
        <v>2257</v>
      </c>
      <c r="B1877" t="s">
        <v>2257</v>
      </c>
      <c r="C1877" s="2" t="s">
        <v>2257</v>
      </c>
      <c r="D1877" t="s">
        <v>2257</v>
      </c>
      <c r="E1877" s="2" t="s">
        <v>2257</v>
      </c>
      <c r="F1877" s="8" t="s">
        <v>2257</v>
      </c>
      <c r="G1877" s="2" t="s">
        <v>2257</v>
      </c>
      <c r="H1877" s="2" t="s">
        <v>2257</v>
      </c>
      <c r="I1877" s="2" t="s">
        <v>2257</v>
      </c>
      <c r="J1877" t="str">
        <f t="shared" si="51"/>
        <v/>
      </c>
    </row>
    <row r="1878" spans="1:10" x14ac:dyDescent="0.15">
      <c r="A1878" t="s">
        <v>2257</v>
      </c>
      <c r="B1878" t="s">
        <v>2257</v>
      </c>
      <c r="C1878" s="2" t="s">
        <v>2257</v>
      </c>
      <c r="D1878" t="s">
        <v>2257</v>
      </c>
      <c r="E1878" s="2" t="s">
        <v>2257</v>
      </c>
      <c r="F1878" s="8" t="s">
        <v>2257</v>
      </c>
      <c r="G1878" s="2" t="s">
        <v>2257</v>
      </c>
      <c r="H1878" s="2" t="s">
        <v>2257</v>
      </c>
      <c r="I1878" s="2" t="s">
        <v>2257</v>
      </c>
      <c r="J1878" t="str">
        <f t="shared" si="51"/>
        <v/>
      </c>
    </row>
    <row r="1879" spans="1:10" x14ac:dyDescent="0.15">
      <c r="A1879" t="s">
        <v>2257</v>
      </c>
      <c r="B1879" t="s">
        <v>2257</v>
      </c>
      <c r="C1879" s="2" t="s">
        <v>2257</v>
      </c>
      <c r="D1879" t="s">
        <v>2257</v>
      </c>
      <c r="E1879" s="2" t="s">
        <v>2257</v>
      </c>
      <c r="F1879" s="8" t="s">
        <v>2257</v>
      </c>
      <c r="G1879" s="2" t="s">
        <v>2257</v>
      </c>
      <c r="H1879" s="2" t="s">
        <v>2257</v>
      </c>
      <c r="I1879" s="2" t="s">
        <v>2257</v>
      </c>
      <c r="J1879" t="str">
        <f t="shared" si="51"/>
        <v/>
      </c>
    </row>
    <row r="1880" spans="1:10" x14ac:dyDescent="0.15">
      <c r="A1880" t="s">
        <v>2257</v>
      </c>
      <c r="B1880" t="s">
        <v>2257</v>
      </c>
      <c r="C1880" s="2" t="s">
        <v>2257</v>
      </c>
      <c r="D1880" t="s">
        <v>2257</v>
      </c>
      <c r="E1880" s="2" t="s">
        <v>2257</v>
      </c>
      <c r="F1880" s="8" t="s">
        <v>2257</v>
      </c>
      <c r="G1880" s="2" t="s">
        <v>2257</v>
      </c>
      <c r="H1880" s="2" t="s">
        <v>2257</v>
      </c>
      <c r="I1880" s="2" t="s">
        <v>2257</v>
      </c>
      <c r="J1880" t="str">
        <f t="shared" si="51"/>
        <v/>
      </c>
    </row>
    <row r="1881" spans="1:10" x14ac:dyDescent="0.15">
      <c r="A1881" t="s">
        <v>2257</v>
      </c>
      <c r="B1881" t="s">
        <v>2257</v>
      </c>
      <c r="C1881" s="2" t="s">
        <v>2257</v>
      </c>
      <c r="D1881" t="s">
        <v>2257</v>
      </c>
      <c r="E1881" s="2" t="s">
        <v>2257</v>
      </c>
      <c r="F1881" s="8" t="s">
        <v>2257</v>
      </c>
      <c r="G1881" s="2" t="s">
        <v>2257</v>
      </c>
      <c r="H1881" s="2" t="s">
        <v>2257</v>
      </c>
      <c r="I1881" s="2" t="s">
        <v>2257</v>
      </c>
      <c r="J1881" t="str">
        <f t="shared" si="51"/>
        <v/>
      </c>
    </row>
    <row r="1882" spans="1:10" x14ac:dyDescent="0.15">
      <c r="A1882" t="s">
        <v>2257</v>
      </c>
      <c r="B1882" t="s">
        <v>2257</v>
      </c>
      <c r="C1882" s="2" t="s">
        <v>2257</v>
      </c>
      <c r="D1882" t="s">
        <v>2257</v>
      </c>
      <c r="E1882" s="2" t="s">
        <v>2257</v>
      </c>
      <c r="F1882" s="8" t="s">
        <v>2257</v>
      </c>
      <c r="G1882" s="2" t="s">
        <v>2257</v>
      </c>
      <c r="H1882" s="2" t="s">
        <v>2257</v>
      </c>
      <c r="I1882" s="2" t="s">
        <v>2257</v>
      </c>
      <c r="J1882" t="str">
        <f t="shared" si="51"/>
        <v/>
      </c>
    </row>
    <row r="1883" spans="1:10" x14ac:dyDescent="0.15">
      <c r="A1883" t="s">
        <v>2257</v>
      </c>
      <c r="B1883" t="s">
        <v>2257</v>
      </c>
      <c r="C1883" s="2" t="s">
        <v>2257</v>
      </c>
      <c r="D1883" t="s">
        <v>2257</v>
      </c>
      <c r="E1883" s="2" t="s">
        <v>2257</v>
      </c>
      <c r="F1883" s="8" t="s">
        <v>2257</v>
      </c>
      <c r="G1883" s="2" t="s">
        <v>2257</v>
      </c>
      <c r="H1883" s="2" t="s">
        <v>2257</v>
      </c>
      <c r="I1883" s="2" t="s">
        <v>2257</v>
      </c>
      <c r="J1883" t="str">
        <f t="shared" si="51"/>
        <v/>
      </c>
    </row>
    <row r="1884" spans="1:10" x14ac:dyDescent="0.15">
      <c r="A1884" t="s">
        <v>2257</v>
      </c>
      <c r="B1884" t="s">
        <v>2257</v>
      </c>
      <c r="C1884" s="2" t="s">
        <v>2257</v>
      </c>
      <c r="D1884" t="s">
        <v>2257</v>
      </c>
      <c r="E1884" s="2" t="s">
        <v>2257</v>
      </c>
      <c r="F1884" s="8" t="s">
        <v>2257</v>
      </c>
      <c r="G1884" s="2" t="s">
        <v>2257</v>
      </c>
      <c r="H1884" s="2" t="s">
        <v>2257</v>
      </c>
      <c r="I1884" s="2" t="s">
        <v>2257</v>
      </c>
      <c r="J1884" t="str">
        <f t="shared" si="51"/>
        <v/>
      </c>
    </row>
    <row r="1885" spans="1:10" x14ac:dyDescent="0.15">
      <c r="A1885" t="s">
        <v>2257</v>
      </c>
      <c r="B1885" t="s">
        <v>2257</v>
      </c>
      <c r="C1885" s="2" t="s">
        <v>2257</v>
      </c>
      <c r="D1885" t="s">
        <v>2257</v>
      </c>
      <c r="E1885" s="2" t="s">
        <v>2257</v>
      </c>
      <c r="F1885" s="8" t="s">
        <v>2257</v>
      </c>
      <c r="G1885" s="2" t="s">
        <v>2257</v>
      </c>
      <c r="H1885" s="2" t="s">
        <v>2257</v>
      </c>
      <c r="I1885" s="2" t="s">
        <v>2257</v>
      </c>
      <c r="J1885" t="str">
        <f t="shared" si="51"/>
        <v/>
      </c>
    </row>
    <row r="1886" spans="1:10" x14ac:dyDescent="0.15">
      <c r="A1886" t="s">
        <v>2257</v>
      </c>
      <c r="B1886" t="s">
        <v>2257</v>
      </c>
      <c r="C1886" s="2" t="s">
        <v>2257</v>
      </c>
      <c r="D1886" t="s">
        <v>2257</v>
      </c>
      <c r="E1886" s="2" t="s">
        <v>2257</v>
      </c>
      <c r="F1886" s="8" t="s">
        <v>2257</v>
      </c>
      <c r="G1886" s="2" t="s">
        <v>2257</v>
      </c>
      <c r="H1886" s="2" t="s">
        <v>2257</v>
      </c>
      <c r="I1886" s="2" t="s">
        <v>2257</v>
      </c>
      <c r="J1886" t="str">
        <f t="shared" si="51"/>
        <v/>
      </c>
    </row>
    <row r="1887" spans="1:10" x14ac:dyDescent="0.15">
      <c r="A1887" t="s">
        <v>2257</v>
      </c>
      <c r="B1887" t="s">
        <v>2257</v>
      </c>
      <c r="C1887" s="2" t="s">
        <v>2257</v>
      </c>
      <c r="D1887" t="s">
        <v>2257</v>
      </c>
      <c r="E1887" s="2" t="s">
        <v>2257</v>
      </c>
      <c r="F1887" s="8" t="s">
        <v>2257</v>
      </c>
      <c r="G1887" s="2" t="s">
        <v>2257</v>
      </c>
      <c r="H1887" s="2" t="s">
        <v>2257</v>
      </c>
      <c r="I1887" s="2" t="s">
        <v>2257</v>
      </c>
      <c r="J1887" t="str">
        <f t="shared" si="51"/>
        <v/>
      </c>
    </row>
    <row r="1888" spans="1:10" x14ac:dyDescent="0.15">
      <c r="A1888" t="s">
        <v>2257</v>
      </c>
      <c r="B1888" t="s">
        <v>2257</v>
      </c>
      <c r="C1888" s="2" t="s">
        <v>2257</v>
      </c>
      <c r="D1888" t="s">
        <v>2257</v>
      </c>
      <c r="E1888" s="2" t="s">
        <v>2257</v>
      </c>
      <c r="F1888" s="8" t="s">
        <v>2257</v>
      </c>
      <c r="G1888" s="2" t="s">
        <v>2257</v>
      </c>
      <c r="H1888" s="2" t="s">
        <v>2257</v>
      </c>
      <c r="I1888" s="2" t="s">
        <v>2257</v>
      </c>
      <c r="J1888" t="str">
        <f t="shared" si="51"/>
        <v/>
      </c>
    </row>
    <row r="1889" spans="1:10" x14ac:dyDescent="0.15">
      <c r="A1889" t="s">
        <v>2257</v>
      </c>
      <c r="B1889" t="s">
        <v>2257</v>
      </c>
      <c r="C1889" s="2" t="s">
        <v>2257</v>
      </c>
      <c r="D1889" t="s">
        <v>2257</v>
      </c>
      <c r="E1889" s="2" t="s">
        <v>2257</v>
      </c>
      <c r="F1889" s="8" t="s">
        <v>2257</v>
      </c>
      <c r="G1889" s="2" t="s">
        <v>2257</v>
      </c>
      <c r="H1889" s="2" t="s">
        <v>2257</v>
      </c>
      <c r="I1889" s="2" t="s">
        <v>2257</v>
      </c>
      <c r="J1889" t="str">
        <f t="shared" si="51"/>
        <v/>
      </c>
    </row>
    <row r="1890" spans="1:10" x14ac:dyDescent="0.15">
      <c r="A1890" t="s">
        <v>2257</v>
      </c>
      <c r="B1890" t="s">
        <v>2257</v>
      </c>
      <c r="C1890" s="2" t="s">
        <v>2257</v>
      </c>
      <c r="D1890" t="s">
        <v>2257</v>
      </c>
      <c r="E1890" s="2" t="s">
        <v>2257</v>
      </c>
      <c r="F1890" s="8" t="s">
        <v>2257</v>
      </c>
      <c r="G1890" s="2" t="s">
        <v>2257</v>
      </c>
      <c r="H1890" s="2" t="s">
        <v>2257</v>
      </c>
      <c r="I1890" s="2" t="s">
        <v>2257</v>
      </c>
      <c r="J1890" t="str">
        <f t="shared" si="51"/>
        <v/>
      </c>
    </row>
    <row r="1891" spans="1:10" x14ac:dyDescent="0.15">
      <c r="A1891" t="s">
        <v>2257</v>
      </c>
      <c r="B1891" t="s">
        <v>2257</v>
      </c>
      <c r="C1891" s="2" t="s">
        <v>2257</v>
      </c>
      <c r="D1891" t="s">
        <v>2257</v>
      </c>
      <c r="E1891" s="2" t="s">
        <v>2257</v>
      </c>
      <c r="F1891" s="8" t="s">
        <v>2257</v>
      </c>
      <c r="G1891" s="2" t="s">
        <v>2257</v>
      </c>
      <c r="H1891" s="2" t="s">
        <v>2257</v>
      </c>
      <c r="I1891" s="2" t="s">
        <v>2257</v>
      </c>
      <c r="J1891" t="str">
        <f t="shared" si="51"/>
        <v/>
      </c>
    </row>
    <row r="1892" spans="1:10" x14ac:dyDescent="0.15">
      <c r="A1892" t="s">
        <v>2257</v>
      </c>
      <c r="B1892" t="s">
        <v>2257</v>
      </c>
      <c r="C1892" s="2" t="s">
        <v>2257</v>
      </c>
      <c r="D1892" t="s">
        <v>2257</v>
      </c>
      <c r="E1892" s="2" t="s">
        <v>2257</v>
      </c>
      <c r="F1892" s="8" t="s">
        <v>2257</v>
      </c>
      <c r="G1892" s="2" t="s">
        <v>2257</v>
      </c>
      <c r="H1892" s="2" t="s">
        <v>2257</v>
      </c>
      <c r="I1892" s="2" t="s">
        <v>2257</v>
      </c>
      <c r="J1892" t="str">
        <f t="shared" si="51"/>
        <v/>
      </c>
    </row>
    <row r="1893" spans="1:10" x14ac:dyDescent="0.15">
      <c r="A1893" t="s">
        <v>2257</v>
      </c>
      <c r="B1893" t="s">
        <v>2257</v>
      </c>
      <c r="C1893" s="2" t="s">
        <v>2257</v>
      </c>
      <c r="D1893" t="s">
        <v>2257</v>
      </c>
      <c r="E1893" s="2" t="s">
        <v>2257</v>
      </c>
      <c r="F1893" s="8" t="s">
        <v>2257</v>
      </c>
      <c r="G1893" s="2" t="s">
        <v>2257</v>
      </c>
      <c r="H1893" s="2" t="s">
        <v>2257</v>
      </c>
      <c r="I1893" s="2" t="s">
        <v>2257</v>
      </c>
      <c r="J1893" t="str">
        <f t="shared" si="51"/>
        <v/>
      </c>
    </row>
    <row r="1894" spans="1:10" x14ac:dyDescent="0.15">
      <c r="A1894" t="s">
        <v>2257</v>
      </c>
      <c r="B1894" t="s">
        <v>2257</v>
      </c>
      <c r="C1894" s="2" t="s">
        <v>2257</v>
      </c>
      <c r="D1894" t="s">
        <v>2257</v>
      </c>
      <c r="E1894" s="2" t="s">
        <v>2257</v>
      </c>
      <c r="F1894" s="8" t="s">
        <v>2257</v>
      </c>
      <c r="G1894" s="2" t="s">
        <v>2257</v>
      </c>
      <c r="H1894" s="2" t="s">
        <v>2257</v>
      </c>
      <c r="I1894" s="2" t="s">
        <v>2257</v>
      </c>
      <c r="J1894" t="str">
        <f t="shared" si="51"/>
        <v/>
      </c>
    </row>
    <row r="1895" spans="1:10" x14ac:dyDescent="0.15">
      <c r="A1895" t="s">
        <v>2257</v>
      </c>
      <c r="B1895" t="s">
        <v>2257</v>
      </c>
      <c r="C1895" s="2" t="s">
        <v>2257</v>
      </c>
      <c r="D1895" t="s">
        <v>2257</v>
      </c>
      <c r="E1895" s="2" t="s">
        <v>2257</v>
      </c>
      <c r="F1895" s="8" t="s">
        <v>2257</v>
      </c>
      <c r="G1895" s="2" t="s">
        <v>2257</v>
      </c>
      <c r="H1895" s="2" t="s">
        <v>2257</v>
      </c>
      <c r="I1895" s="2" t="s">
        <v>2257</v>
      </c>
      <c r="J1895" t="str">
        <f t="shared" si="51"/>
        <v/>
      </c>
    </row>
    <row r="1896" spans="1:10" x14ac:dyDescent="0.15">
      <c r="A1896" t="s">
        <v>2257</v>
      </c>
      <c r="B1896" t="s">
        <v>2257</v>
      </c>
      <c r="C1896" s="2" t="s">
        <v>2257</v>
      </c>
      <c r="D1896" t="s">
        <v>2257</v>
      </c>
      <c r="E1896" s="2" t="s">
        <v>2257</v>
      </c>
      <c r="F1896" s="8" t="s">
        <v>2257</v>
      </c>
      <c r="G1896" s="2" t="s">
        <v>2257</v>
      </c>
      <c r="H1896" s="2" t="s">
        <v>2257</v>
      </c>
      <c r="I1896" s="2" t="s">
        <v>2257</v>
      </c>
      <c r="J1896" t="str">
        <f t="shared" si="51"/>
        <v/>
      </c>
    </row>
    <row r="1897" spans="1:10" x14ac:dyDescent="0.15">
      <c r="A1897" t="s">
        <v>2257</v>
      </c>
      <c r="B1897" t="s">
        <v>2257</v>
      </c>
      <c r="C1897" s="2" t="s">
        <v>2257</v>
      </c>
      <c r="D1897" t="s">
        <v>2257</v>
      </c>
      <c r="E1897" s="2" t="s">
        <v>2257</v>
      </c>
      <c r="F1897" s="8" t="s">
        <v>2257</v>
      </c>
      <c r="G1897" s="2" t="s">
        <v>2257</v>
      </c>
      <c r="H1897" s="2" t="s">
        <v>2257</v>
      </c>
      <c r="I1897" s="2" t="s">
        <v>2257</v>
      </c>
      <c r="J1897" t="str">
        <f t="shared" si="51"/>
        <v/>
      </c>
    </row>
    <row r="1898" spans="1:10" x14ac:dyDescent="0.15">
      <c r="A1898" t="s">
        <v>2257</v>
      </c>
      <c r="B1898" t="s">
        <v>2257</v>
      </c>
      <c r="C1898" s="2" t="s">
        <v>2257</v>
      </c>
      <c r="D1898" t="s">
        <v>2257</v>
      </c>
      <c r="E1898" s="2" t="s">
        <v>2257</v>
      </c>
      <c r="F1898" s="8" t="s">
        <v>2257</v>
      </c>
      <c r="G1898" s="2" t="s">
        <v>2257</v>
      </c>
      <c r="H1898" s="2" t="s">
        <v>2257</v>
      </c>
      <c r="I1898" s="2" t="s">
        <v>2257</v>
      </c>
      <c r="J1898" t="str">
        <f t="shared" si="51"/>
        <v/>
      </c>
    </row>
    <row r="1899" spans="1:10" x14ac:dyDescent="0.15">
      <c r="A1899" t="s">
        <v>2257</v>
      </c>
      <c r="B1899" t="s">
        <v>2257</v>
      </c>
      <c r="C1899" s="2" t="s">
        <v>2257</v>
      </c>
      <c r="D1899" t="s">
        <v>2257</v>
      </c>
      <c r="E1899" s="2" t="s">
        <v>2257</v>
      </c>
      <c r="F1899" s="8" t="s">
        <v>2257</v>
      </c>
      <c r="G1899" s="2" t="s">
        <v>2257</v>
      </c>
      <c r="H1899" s="2" t="s">
        <v>2257</v>
      </c>
      <c r="I1899" s="2" t="s">
        <v>2257</v>
      </c>
      <c r="J1899" t="str">
        <f t="shared" si="51"/>
        <v/>
      </c>
    </row>
    <row r="1900" spans="1:10" x14ac:dyDescent="0.15">
      <c r="A1900" t="s">
        <v>2257</v>
      </c>
      <c r="B1900" t="s">
        <v>2257</v>
      </c>
      <c r="C1900" s="2" t="s">
        <v>2257</v>
      </c>
      <c r="D1900" t="s">
        <v>2257</v>
      </c>
      <c r="E1900" s="2" t="s">
        <v>2257</v>
      </c>
      <c r="F1900" s="8" t="s">
        <v>2257</v>
      </c>
      <c r="G1900" s="2" t="s">
        <v>2257</v>
      </c>
      <c r="H1900" s="2" t="s">
        <v>2257</v>
      </c>
      <c r="I1900" s="2" t="s">
        <v>2257</v>
      </c>
      <c r="J1900" t="str">
        <f t="shared" si="51"/>
        <v/>
      </c>
    </row>
    <row r="1901" spans="1:10" x14ac:dyDescent="0.15">
      <c r="A1901" t="s">
        <v>2257</v>
      </c>
      <c r="B1901" t="s">
        <v>2257</v>
      </c>
      <c r="C1901" s="2" t="s">
        <v>2257</v>
      </c>
      <c r="D1901" t="s">
        <v>2257</v>
      </c>
      <c r="E1901" s="2" t="s">
        <v>2257</v>
      </c>
      <c r="F1901" s="8" t="s">
        <v>2257</v>
      </c>
      <c r="G1901" s="2" t="s">
        <v>2257</v>
      </c>
      <c r="H1901" s="2" t="s">
        <v>2257</v>
      </c>
      <c r="I1901" s="2" t="s">
        <v>2257</v>
      </c>
      <c r="J1901" t="str">
        <f t="shared" si="51"/>
        <v/>
      </c>
    </row>
    <row r="1902" spans="1:10" x14ac:dyDescent="0.15">
      <c r="A1902" t="s">
        <v>2257</v>
      </c>
      <c r="B1902" t="s">
        <v>2257</v>
      </c>
      <c r="C1902" s="2" t="s">
        <v>2257</v>
      </c>
      <c r="D1902" t="s">
        <v>2257</v>
      </c>
      <c r="E1902" s="2" t="s">
        <v>2257</v>
      </c>
      <c r="F1902" s="8" t="s">
        <v>2257</v>
      </c>
      <c r="G1902" s="2" t="s">
        <v>2257</v>
      </c>
      <c r="H1902" s="2" t="s">
        <v>2257</v>
      </c>
      <c r="I1902" s="2" t="s">
        <v>2257</v>
      </c>
      <c r="J1902" t="str">
        <f t="shared" si="51"/>
        <v/>
      </c>
    </row>
    <row r="1903" spans="1:10" x14ac:dyDescent="0.15">
      <c r="A1903" t="s">
        <v>2257</v>
      </c>
      <c r="B1903" t="s">
        <v>2257</v>
      </c>
      <c r="C1903" s="2" t="s">
        <v>2257</v>
      </c>
      <c r="D1903" t="s">
        <v>2257</v>
      </c>
      <c r="E1903" s="2" t="s">
        <v>2257</v>
      </c>
      <c r="F1903" s="8" t="s">
        <v>2257</v>
      </c>
      <c r="G1903" s="2" t="s">
        <v>2257</v>
      </c>
      <c r="H1903" s="2" t="s">
        <v>2257</v>
      </c>
      <c r="I1903" s="2" t="s">
        <v>2257</v>
      </c>
      <c r="J1903" t="str">
        <f t="shared" si="51"/>
        <v/>
      </c>
    </row>
    <row r="1904" spans="1:10" x14ac:dyDescent="0.15">
      <c r="A1904" t="s">
        <v>2257</v>
      </c>
      <c r="B1904" t="s">
        <v>2257</v>
      </c>
      <c r="C1904" s="2" t="s">
        <v>2257</v>
      </c>
      <c r="D1904" t="s">
        <v>2257</v>
      </c>
      <c r="E1904" s="2" t="s">
        <v>2257</v>
      </c>
      <c r="F1904" s="8" t="s">
        <v>2257</v>
      </c>
      <c r="G1904" s="2" t="s">
        <v>2257</v>
      </c>
      <c r="H1904" s="2" t="s">
        <v>2257</v>
      </c>
      <c r="I1904" s="2" t="s">
        <v>2257</v>
      </c>
      <c r="J1904" t="str">
        <f t="shared" si="51"/>
        <v/>
      </c>
    </row>
    <row r="1905" spans="1:10" x14ac:dyDescent="0.15">
      <c r="A1905" t="s">
        <v>2257</v>
      </c>
      <c r="B1905" t="s">
        <v>2257</v>
      </c>
      <c r="C1905" s="2" t="s">
        <v>2257</v>
      </c>
      <c r="D1905" t="s">
        <v>2257</v>
      </c>
      <c r="E1905" s="2" t="s">
        <v>2257</v>
      </c>
      <c r="F1905" s="8" t="s">
        <v>2257</v>
      </c>
      <c r="G1905" s="2" t="s">
        <v>2257</v>
      </c>
      <c r="H1905" s="2" t="s">
        <v>2257</v>
      </c>
      <c r="I1905" s="2" t="s">
        <v>2257</v>
      </c>
      <c r="J1905" t="str">
        <f t="shared" si="51"/>
        <v/>
      </c>
    </row>
    <row r="1906" spans="1:10" x14ac:dyDescent="0.15">
      <c r="A1906" t="s">
        <v>2257</v>
      </c>
      <c r="B1906" t="s">
        <v>2257</v>
      </c>
      <c r="C1906" s="2" t="s">
        <v>2257</v>
      </c>
      <c r="D1906" t="s">
        <v>2257</v>
      </c>
      <c r="E1906" s="2" t="s">
        <v>2257</v>
      </c>
      <c r="F1906" s="8" t="s">
        <v>2257</v>
      </c>
      <c r="G1906" s="2" t="s">
        <v>2257</v>
      </c>
      <c r="H1906" s="2" t="s">
        <v>2257</v>
      </c>
      <c r="I1906" s="2" t="s">
        <v>2257</v>
      </c>
      <c r="J1906" t="str">
        <f t="shared" si="51"/>
        <v/>
      </c>
    </row>
    <row r="1907" spans="1:10" x14ac:dyDescent="0.15">
      <c r="A1907" t="s">
        <v>2257</v>
      </c>
      <c r="B1907" t="s">
        <v>2257</v>
      </c>
      <c r="C1907" s="2" t="s">
        <v>2257</v>
      </c>
      <c r="D1907" t="s">
        <v>2257</v>
      </c>
      <c r="E1907" s="2" t="s">
        <v>2257</v>
      </c>
      <c r="F1907" s="8" t="s">
        <v>2257</v>
      </c>
      <c r="G1907" s="2" t="s">
        <v>2257</v>
      </c>
      <c r="H1907" s="2" t="s">
        <v>2257</v>
      </c>
      <c r="I1907" s="2" t="s">
        <v>2257</v>
      </c>
      <c r="J1907" t="str">
        <f t="shared" si="51"/>
        <v/>
      </c>
    </row>
    <row r="1908" spans="1:10" x14ac:dyDescent="0.15">
      <c r="A1908" t="s">
        <v>2257</v>
      </c>
      <c r="B1908" t="s">
        <v>2257</v>
      </c>
      <c r="C1908" s="2" t="s">
        <v>2257</v>
      </c>
      <c r="D1908" t="s">
        <v>2257</v>
      </c>
      <c r="E1908" s="2" t="s">
        <v>2257</v>
      </c>
      <c r="F1908" s="8" t="s">
        <v>2257</v>
      </c>
      <c r="G1908" s="2" t="s">
        <v>2257</v>
      </c>
      <c r="H1908" s="2" t="s">
        <v>2257</v>
      </c>
      <c r="I1908" s="2" t="s">
        <v>2257</v>
      </c>
      <c r="J1908" t="str">
        <f t="shared" si="51"/>
        <v/>
      </c>
    </row>
    <row r="1909" spans="1:10" x14ac:dyDescent="0.15">
      <c r="A1909" t="s">
        <v>2257</v>
      </c>
      <c r="B1909" t="s">
        <v>2257</v>
      </c>
      <c r="C1909" s="2" t="s">
        <v>2257</v>
      </c>
      <c r="D1909" t="s">
        <v>2257</v>
      </c>
      <c r="E1909" s="2" t="s">
        <v>2257</v>
      </c>
      <c r="F1909" s="8" t="s">
        <v>2257</v>
      </c>
      <c r="G1909" s="2" t="s">
        <v>2257</v>
      </c>
      <c r="H1909" s="2" t="s">
        <v>2257</v>
      </c>
      <c r="I1909" s="2" t="s">
        <v>2257</v>
      </c>
      <c r="J1909" t="str">
        <f t="shared" si="51"/>
        <v/>
      </c>
    </row>
    <row r="1910" spans="1:10" x14ac:dyDescent="0.15">
      <c r="A1910" t="s">
        <v>2257</v>
      </c>
      <c r="B1910" t="s">
        <v>2257</v>
      </c>
      <c r="C1910" s="2" t="s">
        <v>2257</v>
      </c>
      <c r="D1910" t="s">
        <v>2257</v>
      </c>
      <c r="E1910" s="2" t="s">
        <v>2257</v>
      </c>
      <c r="F1910" s="8" t="s">
        <v>2257</v>
      </c>
      <c r="G1910" s="2" t="s">
        <v>2257</v>
      </c>
      <c r="H1910" s="2" t="s">
        <v>2257</v>
      </c>
      <c r="I1910" s="2" t="s">
        <v>2257</v>
      </c>
      <c r="J1910" t="str">
        <f t="shared" si="51"/>
        <v/>
      </c>
    </row>
    <row r="1911" spans="1:10" x14ac:dyDescent="0.15">
      <c r="A1911" t="s">
        <v>2257</v>
      </c>
      <c r="B1911" t="s">
        <v>2257</v>
      </c>
      <c r="C1911" s="2" t="s">
        <v>2257</v>
      </c>
      <c r="D1911" t="s">
        <v>2257</v>
      </c>
      <c r="E1911" s="2" t="s">
        <v>2257</v>
      </c>
      <c r="F1911" s="8" t="s">
        <v>2257</v>
      </c>
      <c r="G1911" s="2" t="s">
        <v>2257</v>
      </c>
      <c r="H1911" s="2" t="s">
        <v>2257</v>
      </c>
      <c r="I1911" s="2" t="s">
        <v>2257</v>
      </c>
      <c r="J1911" t="str">
        <f t="shared" si="51"/>
        <v/>
      </c>
    </row>
    <row r="1912" spans="1:10" x14ac:dyDescent="0.15">
      <c r="A1912" t="s">
        <v>2257</v>
      </c>
      <c r="B1912" t="s">
        <v>2257</v>
      </c>
      <c r="C1912" s="2" t="s">
        <v>2257</v>
      </c>
      <c r="D1912" t="s">
        <v>2257</v>
      </c>
      <c r="E1912" s="2" t="s">
        <v>2257</v>
      </c>
      <c r="F1912" s="8" t="s">
        <v>2257</v>
      </c>
      <c r="G1912" s="2" t="s">
        <v>2257</v>
      </c>
      <c r="H1912" s="2" t="s">
        <v>2257</v>
      </c>
      <c r="I1912" s="2" t="s">
        <v>2257</v>
      </c>
      <c r="J1912" t="str">
        <f t="shared" si="51"/>
        <v/>
      </c>
    </row>
    <row r="1913" spans="1:10" x14ac:dyDescent="0.15">
      <c r="A1913" t="s">
        <v>2257</v>
      </c>
      <c r="B1913" t="s">
        <v>2257</v>
      </c>
      <c r="C1913" s="2" t="s">
        <v>2257</v>
      </c>
      <c r="D1913" t="s">
        <v>2257</v>
      </c>
      <c r="E1913" s="2" t="s">
        <v>2257</v>
      </c>
      <c r="F1913" s="8" t="s">
        <v>2257</v>
      </c>
      <c r="G1913" s="2" t="s">
        <v>2257</v>
      </c>
      <c r="H1913" s="2" t="s">
        <v>2257</v>
      </c>
      <c r="I1913" s="2" t="s">
        <v>2257</v>
      </c>
      <c r="J1913" t="str">
        <f t="shared" si="51"/>
        <v/>
      </c>
    </row>
    <row r="1914" spans="1:10" x14ac:dyDescent="0.15">
      <c r="A1914" t="s">
        <v>2257</v>
      </c>
      <c r="B1914" t="s">
        <v>2257</v>
      </c>
      <c r="C1914" s="2" t="s">
        <v>2257</v>
      </c>
      <c r="D1914" t="s">
        <v>2257</v>
      </c>
      <c r="E1914" s="2" t="s">
        <v>2257</v>
      </c>
      <c r="F1914" s="8" t="s">
        <v>2257</v>
      </c>
      <c r="G1914" s="2" t="s">
        <v>2257</v>
      </c>
      <c r="H1914" s="2" t="s">
        <v>2257</v>
      </c>
      <c r="I1914" s="2" t="s">
        <v>2257</v>
      </c>
      <c r="J1914" t="str">
        <f t="shared" si="51"/>
        <v/>
      </c>
    </row>
    <row r="1915" spans="1:10" x14ac:dyDescent="0.15">
      <c r="A1915" t="s">
        <v>2257</v>
      </c>
      <c r="B1915" t="s">
        <v>2257</v>
      </c>
      <c r="C1915" s="2" t="s">
        <v>2257</v>
      </c>
      <c r="D1915" t="s">
        <v>2257</v>
      </c>
      <c r="E1915" s="2" t="s">
        <v>2257</v>
      </c>
      <c r="F1915" s="8" t="s">
        <v>2257</v>
      </c>
      <c r="G1915" s="2" t="s">
        <v>2257</v>
      </c>
      <c r="H1915" s="2" t="s">
        <v>2257</v>
      </c>
      <c r="I1915" s="2" t="s">
        <v>2257</v>
      </c>
      <c r="J1915" t="str">
        <f t="shared" si="51"/>
        <v/>
      </c>
    </row>
    <row r="1916" spans="1:10" x14ac:dyDescent="0.15">
      <c r="A1916" t="s">
        <v>2257</v>
      </c>
      <c r="B1916" t="s">
        <v>2257</v>
      </c>
      <c r="C1916" s="2" t="s">
        <v>2257</v>
      </c>
      <c r="D1916" t="s">
        <v>2257</v>
      </c>
      <c r="E1916" s="2" t="s">
        <v>2257</v>
      </c>
      <c r="F1916" s="8" t="s">
        <v>2257</v>
      </c>
      <c r="G1916" s="2" t="s">
        <v>2257</v>
      </c>
      <c r="H1916" s="2" t="s">
        <v>2257</v>
      </c>
      <c r="I1916" s="2" t="s">
        <v>2257</v>
      </c>
      <c r="J1916" t="str">
        <f t="shared" si="51"/>
        <v/>
      </c>
    </row>
    <row r="1917" spans="1:10" x14ac:dyDescent="0.15">
      <c r="A1917" t="s">
        <v>2257</v>
      </c>
      <c r="B1917" t="s">
        <v>2257</v>
      </c>
      <c r="C1917" s="2" t="s">
        <v>2257</v>
      </c>
      <c r="D1917" t="s">
        <v>2257</v>
      </c>
      <c r="E1917" s="2" t="s">
        <v>2257</v>
      </c>
      <c r="F1917" s="8" t="s">
        <v>2257</v>
      </c>
      <c r="G1917" s="2" t="s">
        <v>2257</v>
      </c>
      <c r="H1917" s="2" t="s">
        <v>2257</v>
      </c>
      <c r="I1917" s="2" t="s">
        <v>2257</v>
      </c>
      <c r="J1917" t="str">
        <f t="shared" si="51"/>
        <v/>
      </c>
    </row>
    <row r="1918" spans="1:10" x14ac:dyDescent="0.15">
      <c r="A1918" t="s">
        <v>2257</v>
      </c>
      <c r="B1918" t="s">
        <v>2257</v>
      </c>
      <c r="C1918" s="2" t="s">
        <v>2257</v>
      </c>
      <c r="D1918" t="s">
        <v>2257</v>
      </c>
      <c r="E1918" s="2" t="s">
        <v>2257</v>
      </c>
      <c r="F1918" s="8" t="s">
        <v>2257</v>
      </c>
      <c r="G1918" s="2" t="s">
        <v>2257</v>
      </c>
      <c r="H1918" s="2" t="s">
        <v>2257</v>
      </c>
      <c r="I1918" s="2" t="s">
        <v>2257</v>
      </c>
      <c r="J1918" t="str">
        <f t="shared" si="51"/>
        <v/>
      </c>
    </row>
    <row r="1919" spans="1:10" x14ac:dyDescent="0.15">
      <c r="A1919" t="s">
        <v>2257</v>
      </c>
      <c r="B1919" t="s">
        <v>2257</v>
      </c>
      <c r="C1919" s="2" t="s">
        <v>2257</v>
      </c>
      <c r="D1919" t="s">
        <v>2257</v>
      </c>
      <c r="E1919" s="2" t="s">
        <v>2257</v>
      </c>
      <c r="F1919" s="8" t="s">
        <v>2257</v>
      </c>
      <c r="G1919" s="2" t="s">
        <v>2257</v>
      </c>
      <c r="H1919" s="2" t="s">
        <v>2257</v>
      </c>
      <c r="I1919" s="2" t="s">
        <v>2257</v>
      </c>
      <c r="J1919" t="str">
        <f t="shared" si="51"/>
        <v/>
      </c>
    </row>
    <row r="1920" spans="1:10" x14ac:dyDescent="0.15">
      <c r="A1920" t="s">
        <v>2257</v>
      </c>
      <c r="B1920" t="s">
        <v>2257</v>
      </c>
      <c r="C1920" s="2" t="s">
        <v>2257</v>
      </c>
      <c r="D1920" t="s">
        <v>2257</v>
      </c>
      <c r="E1920" s="2" t="s">
        <v>2257</v>
      </c>
      <c r="F1920" s="8" t="s">
        <v>2257</v>
      </c>
      <c r="G1920" s="2" t="s">
        <v>2257</v>
      </c>
      <c r="H1920" s="2" t="s">
        <v>2257</v>
      </c>
      <c r="I1920" s="2" t="s">
        <v>2257</v>
      </c>
      <c r="J1920" t="str">
        <f t="shared" si="51"/>
        <v/>
      </c>
    </row>
    <row r="1921" spans="1:10" x14ac:dyDescent="0.15">
      <c r="A1921" t="s">
        <v>2257</v>
      </c>
      <c r="B1921" t="s">
        <v>2257</v>
      </c>
      <c r="C1921" s="2" t="s">
        <v>2257</v>
      </c>
      <c r="D1921" t="s">
        <v>2257</v>
      </c>
      <c r="E1921" s="2" t="s">
        <v>2257</v>
      </c>
      <c r="F1921" s="8" t="s">
        <v>2257</v>
      </c>
      <c r="G1921" s="2" t="s">
        <v>2257</v>
      </c>
      <c r="H1921" s="2" t="s">
        <v>2257</v>
      </c>
      <c r="I1921" s="2" t="s">
        <v>2257</v>
      </c>
      <c r="J1921" t="str">
        <f t="shared" si="51"/>
        <v/>
      </c>
    </row>
    <row r="1922" spans="1:10" x14ac:dyDescent="0.15">
      <c r="A1922" t="s">
        <v>2257</v>
      </c>
      <c r="B1922" t="s">
        <v>2257</v>
      </c>
      <c r="C1922" s="2" t="s">
        <v>2257</v>
      </c>
      <c r="D1922" t="s">
        <v>2257</v>
      </c>
      <c r="E1922" s="2" t="s">
        <v>2257</v>
      </c>
      <c r="F1922" s="8" t="s">
        <v>2257</v>
      </c>
      <c r="G1922" s="2" t="s">
        <v>2257</v>
      </c>
      <c r="H1922" s="2" t="s">
        <v>2257</v>
      </c>
      <c r="I1922" s="2" t="s">
        <v>2257</v>
      </c>
      <c r="J1922" t="str">
        <f t="shared" si="51"/>
        <v/>
      </c>
    </row>
    <row r="1923" spans="1:10" x14ac:dyDescent="0.15">
      <c r="A1923" t="s">
        <v>2257</v>
      </c>
      <c r="B1923" t="s">
        <v>2257</v>
      </c>
      <c r="C1923" s="2" t="s">
        <v>2257</v>
      </c>
      <c r="D1923" t="s">
        <v>2257</v>
      </c>
      <c r="E1923" s="2" t="s">
        <v>2257</v>
      </c>
      <c r="F1923" s="8" t="s">
        <v>2257</v>
      </c>
      <c r="G1923" s="2" t="s">
        <v>2257</v>
      </c>
      <c r="H1923" s="2" t="s">
        <v>2257</v>
      </c>
      <c r="I1923" s="2" t="s">
        <v>2257</v>
      </c>
      <c r="J1923" t="str">
        <f t="shared" si="51"/>
        <v/>
      </c>
    </row>
    <row r="1924" spans="1:10" x14ac:dyDescent="0.15">
      <c r="A1924" t="s">
        <v>2257</v>
      </c>
      <c r="B1924" t="s">
        <v>2257</v>
      </c>
      <c r="C1924" s="2" t="s">
        <v>2257</v>
      </c>
      <c r="D1924" t="s">
        <v>2257</v>
      </c>
      <c r="E1924" s="2" t="s">
        <v>2257</v>
      </c>
      <c r="F1924" s="8" t="s">
        <v>2257</v>
      </c>
      <c r="G1924" s="2" t="s">
        <v>2257</v>
      </c>
      <c r="H1924" s="2" t="s">
        <v>2257</v>
      </c>
      <c r="I1924" s="2" t="s">
        <v>2257</v>
      </c>
      <c r="J1924" t="str">
        <f t="shared" si="51"/>
        <v/>
      </c>
    </row>
    <row r="1925" spans="1:10" x14ac:dyDescent="0.15">
      <c r="A1925" t="s">
        <v>2257</v>
      </c>
      <c r="B1925" t="s">
        <v>2257</v>
      </c>
      <c r="C1925" s="2" t="s">
        <v>2257</v>
      </c>
      <c r="D1925" t="s">
        <v>2257</v>
      </c>
      <c r="E1925" s="2" t="s">
        <v>2257</v>
      </c>
      <c r="F1925" s="8" t="s">
        <v>2257</v>
      </c>
      <c r="G1925" s="2" t="s">
        <v>2257</v>
      </c>
      <c r="H1925" s="2" t="s">
        <v>2257</v>
      </c>
      <c r="I1925" s="2" t="s">
        <v>2257</v>
      </c>
      <c r="J1925" t="str">
        <f t="shared" si="51"/>
        <v/>
      </c>
    </row>
    <row r="1926" spans="1:10" x14ac:dyDescent="0.15">
      <c r="A1926" t="s">
        <v>2257</v>
      </c>
      <c r="B1926" t="s">
        <v>2257</v>
      </c>
      <c r="C1926" s="2" t="s">
        <v>2257</v>
      </c>
      <c r="D1926" t="s">
        <v>2257</v>
      </c>
      <c r="E1926" s="2" t="s">
        <v>2257</v>
      </c>
      <c r="F1926" s="8" t="s">
        <v>2257</v>
      </c>
      <c r="G1926" s="2" t="s">
        <v>2257</v>
      </c>
      <c r="H1926" s="2" t="s">
        <v>2257</v>
      </c>
      <c r="I1926" s="2" t="s">
        <v>2257</v>
      </c>
      <c r="J1926" t="str">
        <f t="shared" si="51"/>
        <v/>
      </c>
    </row>
    <row r="1927" spans="1:10" x14ac:dyDescent="0.15">
      <c r="A1927" t="s">
        <v>2257</v>
      </c>
      <c r="B1927" t="s">
        <v>2257</v>
      </c>
      <c r="C1927" s="2" t="s">
        <v>2257</v>
      </c>
      <c r="D1927" t="s">
        <v>2257</v>
      </c>
      <c r="E1927" s="2" t="s">
        <v>2257</v>
      </c>
      <c r="F1927" s="8" t="s">
        <v>2257</v>
      </c>
      <c r="G1927" s="2" t="s">
        <v>2257</v>
      </c>
      <c r="H1927" s="2" t="s">
        <v>2257</v>
      </c>
      <c r="I1927" s="2" t="s">
        <v>2257</v>
      </c>
      <c r="J1927" t="str">
        <f t="shared" si="51"/>
        <v/>
      </c>
    </row>
    <row r="1928" spans="1:10" x14ac:dyDescent="0.15">
      <c r="A1928" t="s">
        <v>2257</v>
      </c>
      <c r="B1928" t="s">
        <v>2257</v>
      </c>
      <c r="C1928" s="2" t="s">
        <v>2257</v>
      </c>
      <c r="D1928" t="s">
        <v>2257</v>
      </c>
      <c r="E1928" s="2" t="s">
        <v>2257</v>
      </c>
      <c r="F1928" s="8" t="s">
        <v>2257</v>
      </c>
      <c r="G1928" s="2" t="s">
        <v>2257</v>
      </c>
      <c r="H1928" s="2" t="s">
        <v>2257</v>
      </c>
      <c r="I1928" s="2" t="s">
        <v>2257</v>
      </c>
      <c r="J1928" t="str">
        <f t="shared" si="51"/>
        <v/>
      </c>
    </row>
    <row r="1929" spans="1:10" x14ac:dyDescent="0.15">
      <c r="A1929" t="s">
        <v>2257</v>
      </c>
      <c r="B1929" t="s">
        <v>2257</v>
      </c>
      <c r="C1929" s="2" t="s">
        <v>2257</v>
      </c>
      <c r="D1929" t="s">
        <v>2257</v>
      </c>
      <c r="E1929" s="2" t="s">
        <v>2257</v>
      </c>
      <c r="F1929" s="8" t="s">
        <v>2257</v>
      </c>
      <c r="G1929" s="2" t="s">
        <v>2257</v>
      </c>
      <c r="H1929" s="2" t="s">
        <v>2257</v>
      </c>
      <c r="I1929" s="2" t="s">
        <v>2257</v>
      </c>
      <c r="J1929" t="str">
        <f t="shared" si="51"/>
        <v/>
      </c>
    </row>
    <row r="1930" spans="1:10" x14ac:dyDescent="0.15">
      <c r="A1930" t="s">
        <v>2257</v>
      </c>
      <c r="B1930" t="s">
        <v>2257</v>
      </c>
      <c r="C1930" s="2" t="s">
        <v>2257</v>
      </c>
      <c r="D1930" t="s">
        <v>2257</v>
      </c>
      <c r="E1930" s="2" t="s">
        <v>2257</v>
      </c>
      <c r="F1930" s="8" t="s">
        <v>2257</v>
      </c>
      <c r="G1930" s="2" t="s">
        <v>2257</v>
      </c>
      <c r="H1930" s="2" t="s">
        <v>2257</v>
      </c>
      <c r="I1930" s="2" t="s">
        <v>2257</v>
      </c>
      <c r="J1930" t="str">
        <f t="shared" si="51"/>
        <v/>
      </c>
    </row>
    <row r="1931" spans="1:10" x14ac:dyDescent="0.15">
      <c r="A1931" t="s">
        <v>2257</v>
      </c>
      <c r="B1931" t="s">
        <v>2257</v>
      </c>
      <c r="C1931" s="2" t="s">
        <v>2257</v>
      </c>
      <c r="D1931" t="s">
        <v>2257</v>
      </c>
      <c r="E1931" s="2" t="s">
        <v>2257</v>
      </c>
      <c r="F1931" s="8" t="s">
        <v>2257</v>
      </c>
      <c r="G1931" s="2" t="s">
        <v>2257</v>
      </c>
      <c r="H1931" s="2" t="s">
        <v>2257</v>
      </c>
      <c r="I1931" s="2" t="s">
        <v>2257</v>
      </c>
      <c r="J1931" t="str">
        <f t="shared" ref="J1931:J1994" si="52">IF(A1931="","",IF(AND(C1931="",D1931&lt;&gt;"UNS",I1931=""),"Open","Closed"))</f>
        <v/>
      </c>
    </row>
    <row r="1932" spans="1:10" x14ac:dyDescent="0.15">
      <c r="A1932" t="s">
        <v>2257</v>
      </c>
      <c r="B1932" t="s">
        <v>2257</v>
      </c>
      <c r="C1932" s="2" t="s">
        <v>2257</v>
      </c>
      <c r="D1932" t="s">
        <v>2257</v>
      </c>
      <c r="E1932" s="2" t="s">
        <v>2257</v>
      </c>
      <c r="F1932" s="8" t="s">
        <v>2257</v>
      </c>
      <c r="G1932" s="2" t="s">
        <v>2257</v>
      </c>
      <c r="H1932" s="2" t="s">
        <v>2257</v>
      </c>
      <c r="I1932" s="2" t="s">
        <v>2257</v>
      </c>
      <c r="J1932" t="str">
        <f t="shared" si="52"/>
        <v/>
      </c>
    </row>
    <row r="1933" spans="1:10" x14ac:dyDescent="0.15">
      <c r="A1933" t="s">
        <v>2257</v>
      </c>
      <c r="B1933" t="s">
        <v>2257</v>
      </c>
      <c r="C1933" s="2" t="s">
        <v>2257</v>
      </c>
      <c r="D1933" t="s">
        <v>2257</v>
      </c>
      <c r="E1933" s="2" t="s">
        <v>2257</v>
      </c>
      <c r="F1933" s="8" t="s">
        <v>2257</v>
      </c>
      <c r="G1933" s="2" t="s">
        <v>2257</v>
      </c>
      <c r="H1933" s="2" t="s">
        <v>2257</v>
      </c>
      <c r="I1933" s="2" t="s">
        <v>2257</v>
      </c>
      <c r="J1933" t="str">
        <f t="shared" si="52"/>
        <v/>
      </c>
    </row>
    <row r="1934" spans="1:10" x14ac:dyDescent="0.15">
      <c r="A1934" t="s">
        <v>2257</v>
      </c>
      <c r="B1934" t="s">
        <v>2257</v>
      </c>
      <c r="C1934" s="2" t="s">
        <v>2257</v>
      </c>
      <c r="D1934" t="s">
        <v>2257</v>
      </c>
      <c r="E1934" s="2" t="s">
        <v>2257</v>
      </c>
      <c r="F1934" s="8" t="s">
        <v>2257</v>
      </c>
      <c r="G1934" s="2" t="s">
        <v>2257</v>
      </c>
      <c r="H1934" s="2" t="s">
        <v>2257</v>
      </c>
      <c r="I1934" s="2" t="s">
        <v>2257</v>
      </c>
      <c r="J1934" t="str">
        <f t="shared" si="52"/>
        <v/>
      </c>
    </row>
    <row r="1935" spans="1:10" x14ac:dyDescent="0.15">
      <c r="A1935" t="s">
        <v>2257</v>
      </c>
      <c r="B1935" t="s">
        <v>2257</v>
      </c>
      <c r="C1935" s="2" t="s">
        <v>2257</v>
      </c>
      <c r="D1935" t="s">
        <v>2257</v>
      </c>
      <c r="E1935" s="2" t="s">
        <v>2257</v>
      </c>
      <c r="F1935" s="8" t="s">
        <v>2257</v>
      </c>
      <c r="G1935" s="2" t="s">
        <v>2257</v>
      </c>
      <c r="H1935" s="2" t="s">
        <v>2257</v>
      </c>
      <c r="I1935" s="2" t="s">
        <v>2257</v>
      </c>
      <c r="J1935" t="str">
        <f t="shared" si="52"/>
        <v/>
      </c>
    </row>
    <row r="1936" spans="1:10" x14ac:dyDescent="0.15">
      <c r="A1936" t="s">
        <v>2257</v>
      </c>
      <c r="B1936" t="s">
        <v>2257</v>
      </c>
      <c r="C1936" s="2" t="s">
        <v>2257</v>
      </c>
      <c r="D1936" t="s">
        <v>2257</v>
      </c>
      <c r="E1936" s="2" t="s">
        <v>2257</v>
      </c>
      <c r="F1936" s="8" t="s">
        <v>2257</v>
      </c>
      <c r="G1936" s="2" t="s">
        <v>2257</v>
      </c>
      <c r="H1936" s="2" t="s">
        <v>2257</v>
      </c>
      <c r="I1936" s="2" t="s">
        <v>2257</v>
      </c>
      <c r="J1936" t="str">
        <f t="shared" si="52"/>
        <v/>
      </c>
    </row>
    <row r="1937" spans="1:10" x14ac:dyDescent="0.15">
      <c r="A1937" t="s">
        <v>2257</v>
      </c>
      <c r="B1937" t="s">
        <v>2257</v>
      </c>
      <c r="C1937" s="2" t="s">
        <v>2257</v>
      </c>
      <c r="D1937" t="s">
        <v>2257</v>
      </c>
      <c r="E1937" s="2" t="s">
        <v>2257</v>
      </c>
      <c r="F1937" s="8" t="s">
        <v>2257</v>
      </c>
      <c r="G1937" s="2" t="s">
        <v>2257</v>
      </c>
      <c r="H1937" s="2" t="s">
        <v>2257</v>
      </c>
      <c r="I1937" s="2" t="s">
        <v>2257</v>
      </c>
      <c r="J1937" t="str">
        <f t="shared" si="52"/>
        <v/>
      </c>
    </row>
    <row r="1938" spans="1:10" x14ac:dyDescent="0.15">
      <c r="A1938" t="s">
        <v>2257</v>
      </c>
      <c r="B1938" t="s">
        <v>2257</v>
      </c>
      <c r="C1938" s="2" t="s">
        <v>2257</v>
      </c>
      <c r="D1938" t="s">
        <v>2257</v>
      </c>
      <c r="E1938" s="2" t="s">
        <v>2257</v>
      </c>
      <c r="F1938" s="8" t="s">
        <v>2257</v>
      </c>
      <c r="G1938" s="2" t="s">
        <v>2257</v>
      </c>
      <c r="H1938" s="2" t="s">
        <v>2257</v>
      </c>
      <c r="I1938" s="2" t="s">
        <v>2257</v>
      </c>
      <c r="J1938" t="str">
        <f t="shared" si="52"/>
        <v/>
      </c>
    </row>
    <row r="1939" spans="1:10" x14ac:dyDescent="0.15">
      <c r="A1939" t="s">
        <v>2257</v>
      </c>
      <c r="B1939" t="s">
        <v>2257</v>
      </c>
      <c r="C1939" s="2" t="s">
        <v>2257</v>
      </c>
      <c r="D1939" t="s">
        <v>2257</v>
      </c>
      <c r="E1939" s="2" t="s">
        <v>2257</v>
      </c>
      <c r="F1939" s="8" t="s">
        <v>2257</v>
      </c>
      <c r="G1939" s="2" t="s">
        <v>2257</v>
      </c>
      <c r="H1939" s="2" t="s">
        <v>2257</v>
      </c>
      <c r="I1939" s="2" t="s">
        <v>2257</v>
      </c>
      <c r="J1939" t="str">
        <f t="shared" si="52"/>
        <v/>
      </c>
    </row>
    <row r="1940" spans="1:10" x14ac:dyDescent="0.15">
      <c r="A1940" t="s">
        <v>2257</v>
      </c>
      <c r="B1940" t="s">
        <v>2257</v>
      </c>
      <c r="C1940" s="2" t="s">
        <v>2257</v>
      </c>
      <c r="D1940" t="s">
        <v>2257</v>
      </c>
      <c r="E1940" s="2" t="s">
        <v>2257</v>
      </c>
      <c r="F1940" s="8" t="s">
        <v>2257</v>
      </c>
      <c r="G1940" s="2" t="s">
        <v>2257</v>
      </c>
      <c r="H1940" s="2" t="s">
        <v>2257</v>
      </c>
      <c r="I1940" s="2" t="s">
        <v>2257</v>
      </c>
      <c r="J1940" t="str">
        <f t="shared" si="52"/>
        <v/>
      </c>
    </row>
    <row r="1941" spans="1:10" x14ac:dyDescent="0.15">
      <c r="A1941" t="s">
        <v>2257</v>
      </c>
      <c r="B1941" t="s">
        <v>2257</v>
      </c>
      <c r="C1941" s="2" t="s">
        <v>2257</v>
      </c>
      <c r="D1941" t="s">
        <v>2257</v>
      </c>
      <c r="E1941" s="2" t="s">
        <v>2257</v>
      </c>
      <c r="F1941" s="8" t="s">
        <v>2257</v>
      </c>
      <c r="G1941" s="2" t="s">
        <v>2257</v>
      </c>
      <c r="H1941" s="2" t="s">
        <v>2257</v>
      </c>
      <c r="I1941" s="2" t="s">
        <v>2257</v>
      </c>
      <c r="J1941" t="str">
        <f t="shared" si="52"/>
        <v/>
      </c>
    </row>
    <row r="1942" spans="1:10" x14ac:dyDescent="0.15">
      <c r="A1942" t="s">
        <v>2257</v>
      </c>
      <c r="B1942" t="s">
        <v>2257</v>
      </c>
      <c r="C1942" s="2" t="s">
        <v>2257</v>
      </c>
      <c r="D1942" t="s">
        <v>2257</v>
      </c>
      <c r="E1942" s="2" t="s">
        <v>2257</v>
      </c>
      <c r="F1942" s="8" t="s">
        <v>2257</v>
      </c>
      <c r="G1942" s="2" t="s">
        <v>2257</v>
      </c>
      <c r="H1942" s="2" t="s">
        <v>2257</v>
      </c>
      <c r="I1942" s="2" t="s">
        <v>2257</v>
      </c>
      <c r="J1942" t="str">
        <f t="shared" si="52"/>
        <v/>
      </c>
    </row>
    <row r="1943" spans="1:10" x14ac:dyDescent="0.15">
      <c r="A1943" t="s">
        <v>2257</v>
      </c>
      <c r="B1943" t="s">
        <v>2257</v>
      </c>
      <c r="C1943" s="2" t="s">
        <v>2257</v>
      </c>
      <c r="D1943" t="s">
        <v>2257</v>
      </c>
      <c r="E1943" s="2" t="s">
        <v>2257</v>
      </c>
      <c r="F1943" s="8" t="s">
        <v>2257</v>
      </c>
      <c r="G1943" s="2" t="s">
        <v>2257</v>
      </c>
      <c r="H1943" s="2" t="s">
        <v>2257</v>
      </c>
      <c r="I1943" s="2" t="s">
        <v>2257</v>
      </c>
      <c r="J1943" t="str">
        <f t="shared" si="52"/>
        <v/>
      </c>
    </row>
    <row r="1944" spans="1:10" x14ac:dyDescent="0.15">
      <c r="A1944" t="s">
        <v>2257</v>
      </c>
      <c r="B1944" t="s">
        <v>2257</v>
      </c>
      <c r="C1944" s="2" t="s">
        <v>2257</v>
      </c>
      <c r="D1944" t="s">
        <v>2257</v>
      </c>
      <c r="E1944" s="2" t="s">
        <v>2257</v>
      </c>
      <c r="F1944" s="8" t="s">
        <v>2257</v>
      </c>
      <c r="G1944" s="2" t="s">
        <v>2257</v>
      </c>
      <c r="H1944" s="2" t="s">
        <v>2257</v>
      </c>
      <c r="I1944" s="2" t="s">
        <v>2257</v>
      </c>
      <c r="J1944" t="str">
        <f t="shared" si="52"/>
        <v/>
      </c>
    </row>
    <row r="1945" spans="1:10" x14ac:dyDescent="0.15">
      <c r="A1945" t="s">
        <v>2257</v>
      </c>
      <c r="B1945" t="s">
        <v>2257</v>
      </c>
      <c r="C1945" s="2" t="s">
        <v>2257</v>
      </c>
      <c r="D1945" t="s">
        <v>2257</v>
      </c>
      <c r="E1945" s="2" t="s">
        <v>2257</v>
      </c>
      <c r="F1945" s="8" t="s">
        <v>2257</v>
      </c>
      <c r="G1945" s="2" t="s">
        <v>2257</v>
      </c>
      <c r="H1945" s="2" t="s">
        <v>2257</v>
      </c>
      <c r="I1945" s="2" t="s">
        <v>2257</v>
      </c>
      <c r="J1945" t="str">
        <f t="shared" si="52"/>
        <v/>
      </c>
    </row>
    <row r="1946" spans="1:10" x14ac:dyDescent="0.15">
      <c r="A1946" t="s">
        <v>2257</v>
      </c>
      <c r="B1946" t="s">
        <v>2257</v>
      </c>
      <c r="C1946" s="2" t="s">
        <v>2257</v>
      </c>
      <c r="D1946" t="s">
        <v>2257</v>
      </c>
      <c r="E1946" s="2" t="s">
        <v>2257</v>
      </c>
      <c r="F1946" s="8" t="s">
        <v>2257</v>
      </c>
      <c r="G1946" s="2" t="s">
        <v>2257</v>
      </c>
      <c r="H1946" s="2" t="s">
        <v>2257</v>
      </c>
      <c r="I1946" s="2" t="s">
        <v>2257</v>
      </c>
      <c r="J1946" t="str">
        <f t="shared" si="52"/>
        <v/>
      </c>
    </row>
    <row r="1947" spans="1:10" x14ac:dyDescent="0.15">
      <c r="A1947" t="s">
        <v>2257</v>
      </c>
      <c r="B1947" t="s">
        <v>2257</v>
      </c>
      <c r="C1947" s="2" t="s">
        <v>2257</v>
      </c>
      <c r="D1947" t="s">
        <v>2257</v>
      </c>
      <c r="E1947" s="2" t="s">
        <v>2257</v>
      </c>
      <c r="F1947" s="8" t="s">
        <v>2257</v>
      </c>
      <c r="G1947" s="2" t="s">
        <v>2257</v>
      </c>
      <c r="H1947" s="2" t="s">
        <v>2257</v>
      </c>
      <c r="I1947" s="2" t="s">
        <v>2257</v>
      </c>
      <c r="J1947" t="str">
        <f t="shared" si="52"/>
        <v/>
      </c>
    </row>
    <row r="1948" spans="1:10" x14ac:dyDescent="0.15">
      <c r="A1948" t="s">
        <v>2257</v>
      </c>
      <c r="B1948" t="s">
        <v>2257</v>
      </c>
      <c r="C1948" s="2" t="s">
        <v>2257</v>
      </c>
      <c r="D1948" t="s">
        <v>2257</v>
      </c>
      <c r="E1948" s="2" t="s">
        <v>2257</v>
      </c>
      <c r="F1948" s="8" t="s">
        <v>2257</v>
      </c>
      <c r="G1948" s="2" t="s">
        <v>2257</v>
      </c>
      <c r="H1948" s="2" t="s">
        <v>2257</v>
      </c>
      <c r="I1948" s="2" t="s">
        <v>2257</v>
      </c>
      <c r="J1948" t="str">
        <f t="shared" si="52"/>
        <v/>
      </c>
    </row>
    <row r="1949" spans="1:10" x14ac:dyDescent="0.15">
      <c r="A1949" t="s">
        <v>2257</v>
      </c>
      <c r="B1949" t="s">
        <v>2257</v>
      </c>
      <c r="C1949" s="2" t="s">
        <v>2257</v>
      </c>
      <c r="D1949" t="s">
        <v>2257</v>
      </c>
      <c r="E1949" s="2" t="s">
        <v>2257</v>
      </c>
      <c r="F1949" s="8" t="s">
        <v>2257</v>
      </c>
      <c r="G1949" s="2" t="s">
        <v>2257</v>
      </c>
      <c r="H1949" s="2" t="s">
        <v>2257</v>
      </c>
      <c r="I1949" s="2" t="s">
        <v>2257</v>
      </c>
      <c r="J1949" t="str">
        <f t="shared" si="52"/>
        <v/>
      </c>
    </row>
    <row r="1950" spans="1:10" x14ac:dyDescent="0.15">
      <c r="A1950" t="s">
        <v>2257</v>
      </c>
      <c r="B1950" t="s">
        <v>2257</v>
      </c>
      <c r="C1950" s="2" t="s">
        <v>2257</v>
      </c>
      <c r="D1950" t="s">
        <v>2257</v>
      </c>
      <c r="E1950" s="2" t="s">
        <v>2257</v>
      </c>
      <c r="F1950" s="8" t="s">
        <v>2257</v>
      </c>
      <c r="G1950" s="2" t="s">
        <v>2257</v>
      </c>
      <c r="H1950" s="2" t="s">
        <v>2257</v>
      </c>
      <c r="I1950" s="2" t="s">
        <v>2257</v>
      </c>
      <c r="J1950" t="str">
        <f t="shared" si="52"/>
        <v/>
      </c>
    </row>
    <row r="1951" spans="1:10" x14ac:dyDescent="0.15">
      <c r="A1951" t="s">
        <v>2257</v>
      </c>
      <c r="B1951" t="s">
        <v>2257</v>
      </c>
      <c r="C1951" s="2" t="s">
        <v>2257</v>
      </c>
      <c r="D1951" t="s">
        <v>2257</v>
      </c>
      <c r="E1951" s="2" t="s">
        <v>2257</v>
      </c>
      <c r="F1951" s="8" t="s">
        <v>2257</v>
      </c>
      <c r="G1951" s="2" t="s">
        <v>2257</v>
      </c>
      <c r="H1951" s="2" t="s">
        <v>2257</v>
      </c>
      <c r="I1951" s="2" t="s">
        <v>2257</v>
      </c>
      <c r="J1951" t="str">
        <f t="shared" si="52"/>
        <v/>
      </c>
    </row>
    <row r="1952" spans="1:10" x14ac:dyDescent="0.15">
      <c r="A1952" t="s">
        <v>2257</v>
      </c>
      <c r="B1952" t="s">
        <v>2257</v>
      </c>
      <c r="C1952" s="2" t="s">
        <v>2257</v>
      </c>
      <c r="D1952" t="s">
        <v>2257</v>
      </c>
      <c r="E1952" s="2" t="s">
        <v>2257</v>
      </c>
      <c r="F1952" s="8" t="s">
        <v>2257</v>
      </c>
      <c r="G1952" s="2" t="s">
        <v>2257</v>
      </c>
      <c r="H1952" s="2" t="s">
        <v>2257</v>
      </c>
      <c r="I1952" s="2" t="s">
        <v>2257</v>
      </c>
      <c r="J1952" t="str">
        <f t="shared" si="52"/>
        <v/>
      </c>
    </row>
    <row r="1953" spans="1:10" x14ac:dyDescent="0.15">
      <c r="A1953" t="s">
        <v>2257</v>
      </c>
      <c r="B1953" t="s">
        <v>2257</v>
      </c>
      <c r="C1953" s="2" t="s">
        <v>2257</v>
      </c>
      <c r="D1953" t="s">
        <v>2257</v>
      </c>
      <c r="E1953" s="2" t="s">
        <v>2257</v>
      </c>
      <c r="F1953" s="8" t="s">
        <v>2257</v>
      </c>
      <c r="G1953" s="2" t="s">
        <v>2257</v>
      </c>
      <c r="H1953" s="2" t="s">
        <v>2257</v>
      </c>
      <c r="I1953" s="2" t="s">
        <v>2257</v>
      </c>
      <c r="J1953" t="str">
        <f t="shared" si="52"/>
        <v/>
      </c>
    </row>
    <row r="1954" spans="1:10" x14ac:dyDescent="0.15">
      <c r="A1954" t="s">
        <v>2257</v>
      </c>
      <c r="B1954" t="s">
        <v>2257</v>
      </c>
      <c r="C1954" s="2" t="s">
        <v>2257</v>
      </c>
      <c r="D1954" t="s">
        <v>2257</v>
      </c>
      <c r="E1954" s="2" t="s">
        <v>2257</v>
      </c>
      <c r="F1954" s="8" t="s">
        <v>2257</v>
      </c>
      <c r="G1954" s="2" t="s">
        <v>2257</v>
      </c>
      <c r="H1954" s="2" t="s">
        <v>2257</v>
      </c>
      <c r="I1954" s="2" t="s">
        <v>2257</v>
      </c>
      <c r="J1954" t="str">
        <f t="shared" si="52"/>
        <v/>
      </c>
    </row>
    <row r="1955" spans="1:10" x14ac:dyDescent="0.15">
      <c r="A1955" t="s">
        <v>2257</v>
      </c>
      <c r="B1955" t="s">
        <v>2257</v>
      </c>
      <c r="C1955" s="2" t="s">
        <v>2257</v>
      </c>
      <c r="D1955" t="s">
        <v>2257</v>
      </c>
      <c r="E1955" s="2" t="s">
        <v>2257</v>
      </c>
      <c r="F1955" s="8" t="s">
        <v>2257</v>
      </c>
      <c r="G1955" s="2" t="s">
        <v>2257</v>
      </c>
      <c r="H1955" s="2" t="s">
        <v>2257</v>
      </c>
      <c r="I1955" s="2" t="s">
        <v>2257</v>
      </c>
      <c r="J1955" t="str">
        <f t="shared" si="52"/>
        <v/>
      </c>
    </row>
    <row r="1956" spans="1:10" x14ac:dyDescent="0.15">
      <c r="A1956" t="s">
        <v>2257</v>
      </c>
      <c r="B1956" t="s">
        <v>2257</v>
      </c>
      <c r="C1956" s="2" t="s">
        <v>2257</v>
      </c>
      <c r="D1956" t="s">
        <v>2257</v>
      </c>
      <c r="E1956" s="2" t="s">
        <v>2257</v>
      </c>
      <c r="F1956" s="8" t="s">
        <v>2257</v>
      </c>
      <c r="G1956" s="2" t="s">
        <v>2257</v>
      </c>
      <c r="H1956" s="2" t="s">
        <v>2257</v>
      </c>
      <c r="I1956" s="2" t="s">
        <v>2257</v>
      </c>
      <c r="J1956" t="str">
        <f t="shared" si="52"/>
        <v/>
      </c>
    </row>
    <row r="1957" spans="1:10" x14ac:dyDescent="0.15">
      <c r="A1957" t="s">
        <v>2257</v>
      </c>
      <c r="B1957" t="s">
        <v>2257</v>
      </c>
      <c r="C1957" s="2" t="s">
        <v>2257</v>
      </c>
      <c r="D1957" t="s">
        <v>2257</v>
      </c>
      <c r="E1957" s="2" t="s">
        <v>2257</v>
      </c>
      <c r="F1957" s="8" t="s">
        <v>2257</v>
      </c>
      <c r="G1957" s="2" t="s">
        <v>2257</v>
      </c>
      <c r="H1957" s="2" t="s">
        <v>2257</v>
      </c>
      <c r="I1957" s="2" t="s">
        <v>2257</v>
      </c>
      <c r="J1957" t="str">
        <f t="shared" si="52"/>
        <v/>
      </c>
    </row>
    <row r="1958" spans="1:10" x14ac:dyDescent="0.15">
      <c r="A1958" t="s">
        <v>2257</v>
      </c>
      <c r="B1958" t="s">
        <v>2257</v>
      </c>
      <c r="C1958" s="2" t="s">
        <v>2257</v>
      </c>
      <c r="D1958" t="s">
        <v>2257</v>
      </c>
      <c r="E1958" s="2" t="s">
        <v>2257</v>
      </c>
      <c r="F1958" s="8" t="s">
        <v>2257</v>
      </c>
      <c r="G1958" s="2" t="s">
        <v>2257</v>
      </c>
      <c r="H1958" s="2" t="s">
        <v>2257</v>
      </c>
      <c r="I1958" s="2" t="s">
        <v>2257</v>
      </c>
      <c r="J1958" t="str">
        <f t="shared" si="52"/>
        <v/>
      </c>
    </row>
    <row r="1959" spans="1:10" x14ac:dyDescent="0.15">
      <c r="A1959" t="s">
        <v>2257</v>
      </c>
      <c r="B1959" t="s">
        <v>2257</v>
      </c>
      <c r="C1959" s="2" t="s">
        <v>2257</v>
      </c>
      <c r="D1959" t="s">
        <v>2257</v>
      </c>
      <c r="E1959" s="2" t="s">
        <v>2257</v>
      </c>
      <c r="F1959" s="8" t="s">
        <v>2257</v>
      </c>
      <c r="G1959" s="2" t="s">
        <v>2257</v>
      </c>
      <c r="H1959" s="2" t="s">
        <v>2257</v>
      </c>
      <c r="I1959" s="2" t="s">
        <v>2257</v>
      </c>
      <c r="J1959" t="str">
        <f t="shared" si="52"/>
        <v/>
      </c>
    </row>
    <row r="1960" spans="1:10" x14ac:dyDescent="0.15">
      <c r="A1960" t="s">
        <v>2257</v>
      </c>
      <c r="B1960" t="s">
        <v>2257</v>
      </c>
      <c r="C1960" s="2" t="s">
        <v>2257</v>
      </c>
      <c r="D1960" t="s">
        <v>2257</v>
      </c>
      <c r="E1960" s="2" t="s">
        <v>2257</v>
      </c>
      <c r="F1960" s="8" t="s">
        <v>2257</v>
      </c>
      <c r="G1960" s="2" t="s">
        <v>2257</v>
      </c>
      <c r="H1960" s="2" t="s">
        <v>2257</v>
      </c>
      <c r="I1960" s="2" t="s">
        <v>2257</v>
      </c>
      <c r="J1960" t="str">
        <f t="shared" si="52"/>
        <v/>
      </c>
    </row>
    <row r="1961" spans="1:10" x14ac:dyDescent="0.15">
      <c r="A1961" t="s">
        <v>2257</v>
      </c>
      <c r="B1961" t="s">
        <v>2257</v>
      </c>
      <c r="C1961" s="2" t="s">
        <v>2257</v>
      </c>
      <c r="D1961" t="s">
        <v>2257</v>
      </c>
      <c r="E1961" s="2" t="s">
        <v>2257</v>
      </c>
      <c r="F1961" s="8" t="s">
        <v>2257</v>
      </c>
      <c r="G1961" s="2" t="s">
        <v>2257</v>
      </c>
      <c r="H1961" s="2" t="s">
        <v>2257</v>
      </c>
      <c r="I1961" s="2" t="s">
        <v>2257</v>
      </c>
      <c r="J1961" t="str">
        <f t="shared" si="52"/>
        <v/>
      </c>
    </row>
    <row r="1962" spans="1:10" x14ac:dyDescent="0.15">
      <c r="A1962" t="s">
        <v>2257</v>
      </c>
      <c r="B1962" t="s">
        <v>2257</v>
      </c>
      <c r="C1962" s="2" t="s">
        <v>2257</v>
      </c>
      <c r="D1962" t="s">
        <v>2257</v>
      </c>
      <c r="E1962" s="2" t="s">
        <v>2257</v>
      </c>
      <c r="F1962" s="8" t="s">
        <v>2257</v>
      </c>
      <c r="G1962" s="2" t="s">
        <v>2257</v>
      </c>
      <c r="H1962" s="2" t="s">
        <v>2257</v>
      </c>
      <c r="I1962" s="2" t="s">
        <v>2257</v>
      </c>
      <c r="J1962" t="str">
        <f t="shared" si="52"/>
        <v/>
      </c>
    </row>
    <row r="1963" spans="1:10" x14ac:dyDescent="0.15">
      <c r="A1963" t="s">
        <v>2257</v>
      </c>
      <c r="B1963" t="s">
        <v>2257</v>
      </c>
      <c r="C1963" s="2" t="s">
        <v>2257</v>
      </c>
      <c r="D1963" t="s">
        <v>2257</v>
      </c>
      <c r="E1963" s="2" t="s">
        <v>2257</v>
      </c>
      <c r="F1963" s="8" t="s">
        <v>2257</v>
      </c>
      <c r="G1963" s="2" t="s">
        <v>2257</v>
      </c>
      <c r="H1963" s="2" t="s">
        <v>2257</v>
      </c>
      <c r="I1963" s="2" t="s">
        <v>2257</v>
      </c>
      <c r="J1963" t="str">
        <f t="shared" si="52"/>
        <v/>
      </c>
    </row>
    <row r="1964" spans="1:10" x14ac:dyDescent="0.15">
      <c r="A1964" t="s">
        <v>2257</v>
      </c>
      <c r="B1964" t="s">
        <v>2257</v>
      </c>
      <c r="C1964" s="2" t="s">
        <v>2257</v>
      </c>
      <c r="D1964" t="s">
        <v>2257</v>
      </c>
      <c r="E1964" s="2" t="s">
        <v>2257</v>
      </c>
      <c r="F1964" s="8" t="s">
        <v>2257</v>
      </c>
      <c r="G1964" s="2" t="s">
        <v>2257</v>
      </c>
      <c r="H1964" s="2" t="s">
        <v>2257</v>
      </c>
      <c r="I1964" s="2" t="s">
        <v>2257</v>
      </c>
      <c r="J1964" t="str">
        <f t="shared" si="52"/>
        <v/>
      </c>
    </row>
    <row r="1965" spans="1:10" x14ac:dyDescent="0.15">
      <c r="A1965" t="s">
        <v>2257</v>
      </c>
      <c r="B1965" t="s">
        <v>2257</v>
      </c>
      <c r="C1965" s="2" t="s">
        <v>2257</v>
      </c>
      <c r="D1965" t="s">
        <v>2257</v>
      </c>
      <c r="E1965" s="2" t="s">
        <v>2257</v>
      </c>
      <c r="F1965" s="8" t="s">
        <v>2257</v>
      </c>
      <c r="G1965" s="2" t="s">
        <v>2257</v>
      </c>
      <c r="H1965" s="2" t="s">
        <v>2257</v>
      </c>
      <c r="I1965" s="2" t="s">
        <v>2257</v>
      </c>
      <c r="J1965" t="str">
        <f t="shared" si="52"/>
        <v/>
      </c>
    </row>
    <row r="1966" spans="1:10" x14ac:dyDescent="0.15">
      <c r="A1966" t="s">
        <v>2257</v>
      </c>
      <c r="B1966" t="s">
        <v>2257</v>
      </c>
      <c r="C1966" s="2" t="s">
        <v>2257</v>
      </c>
      <c r="D1966" t="s">
        <v>2257</v>
      </c>
      <c r="E1966" s="2" t="s">
        <v>2257</v>
      </c>
      <c r="F1966" s="8" t="s">
        <v>2257</v>
      </c>
      <c r="G1966" s="2" t="s">
        <v>2257</v>
      </c>
      <c r="H1966" s="2" t="s">
        <v>2257</v>
      </c>
      <c r="I1966" s="2" t="s">
        <v>2257</v>
      </c>
      <c r="J1966" t="str">
        <f t="shared" si="52"/>
        <v/>
      </c>
    </row>
    <row r="1967" spans="1:10" x14ac:dyDescent="0.15">
      <c r="A1967" t="s">
        <v>2257</v>
      </c>
      <c r="B1967" t="s">
        <v>2257</v>
      </c>
      <c r="C1967" s="2" t="s">
        <v>2257</v>
      </c>
      <c r="D1967" t="s">
        <v>2257</v>
      </c>
      <c r="E1967" s="2" t="s">
        <v>2257</v>
      </c>
      <c r="F1967" s="8" t="s">
        <v>2257</v>
      </c>
      <c r="G1967" s="2" t="s">
        <v>2257</v>
      </c>
      <c r="H1967" s="2" t="s">
        <v>2257</v>
      </c>
      <c r="I1967" s="2" t="s">
        <v>2257</v>
      </c>
      <c r="J1967" t="str">
        <f t="shared" si="52"/>
        <v/>
      </c>
    </row>
    <row r="1968" spans="1:10" x14ac:dyDescent="0.15">
      <c r="A1968" t="s">
        <v>2257</v>
      </c>
      <c r="B1968" t="s">
        <v>2257</v>
      </c>
      <c r="C1968" s="2" t="s">
        <v>2257</v>
      </c>
      <c r="D1968" t="s">
        <v>2257</v>
      </c>
      <c r="E1968" s="2" t="s">
        <v>2257</v>
      </c>
      <c r="F1968" s="8" t="s">
        <v>2257</v>
      </c>
      <c r="G1968" s="2" t="s">
        <v>2257</v>
      </c>
      <c r="H1968" s="2" t="s">
        <v>2257</v>
      </c>
      <c r="I1968" s="2" t="s">
        <v>2257</v>
      </c>
      <c r="J1968" t="str">
        <f t="shared" si="52"/>
        <v/>
      </c>
    </row>
    <row r="1969" spans="1:10" x14ac:dyDescent="0.15">
      <c r="A1969" t="s">
        <v>2257</v>
      </c>
      <c r="B1969" t="s">
        <v>2257</v>
      </c>
      <c r="C1969" s="2" t="s">
        <v>2257</v>
      </c>
      <c r="D1969" t="s">
        <v>2257</v>
      </c>
      <c r="E1969" s="2" t="s">
        <v>2257</v>
      </c>
      <c r="F1969" s="8" t="s">
        <v>2257</v>
      </c>
      <c r="G1969" s="2" t="s">
        <v>2257</v>
      </c>
      <c r="H1969" s="2" t="s">
        <v>2257</v>
      </c>
      <c r="I1969" s="2" t="s">
        <v>2257</v>
      </c>
      <c r="J1969" t="str">
        <f t="shared" si="52"/>
        <v/>
      </c>
    </row>
    <row r="1970" spans="1:10" x14ac:dyDescent="0.15">
      <c r="A1970" t="s">
        <v>2257</v>
      </c>
      <c r="B1970" t="s">
        <v>2257</v>
      </c>
      <c r="C1970" s="2" t="s">
        <v>2257</v>
      </c>
      <c r="D1970" t="s">
        <v>2257</v>
      </c>
      <c r="E1970" s="2" t="s">
        <v>2257</v>
      </c>
      <c r="F1970" s="8" t="s">
        <v>2257</v>
      </c>
      <c r="G1970" s="2" t="s">
        <v>2257</v>
      </c>
      <c r="H1970" s="2" t="s">
        <v>2257</v>
      </c>
      <c r="I1970" s="2" t="s">
        <v>2257</v>
      </c>
      <c r="J1970" t="str">
        <f t="shared" si="52"/>
        <v/>
      </c>
    </row>
    <row r="1971" spans="1:10" x14ac:dyDescent="0.15">
      <c r="A1971" t="s">
        <v>2257</v>
      </c>
      <c r="B1971" t="s">
        <v>2257</v>
      </c>
      <c r="C1971" s="2" t="s">
        <v>2257</v>
      </c>
      <c r="D1971" t="s">
        <v>2257</v>
      </c>
      <c r="E1971" s="2" t="s">
        <v>2257</v>
      </c>
      <c r="F1971" s="8" t="s">
        <v>2257</v>
      </c>
      <c r="G1971" s="2" t="s">
        <v>2257</v>
      </c>
      <c r="H1971" s="2" t="s">
        <v>2257</v>
      </c>
      <c r="I1971" s="2" t="s">
        <v>2257</v>
      </c>
      <c r="J1971" t="str">
        <f t="shared" si="52"/>
        <v/>
      </c>
    </row>
    <row r="1972" spans="1:10" x14ac:dyDescent="0.15">
      <c r="A1972" t="s">
        <v>2257</v>
      </c>
      <c r="B1972" t="s">
        <v>2257</v>
      </c>
      <c r="C1972" s="2" t="s">
        <v>2257</v>
      </c>
      <c r="D1972" t="s">
        <v>2257</v>
      </c>
      <c r="E1972" s="2" t="s">
        <v>2257</v>
      </c>
      <c r="F1972" s="8" t="s">
        <v>2257</v>
      </c>
      <c r="G1972" s="2" t="s">
        <v>2257</v>
      </c>
      <c r="H1972" s="2" t="s">
        <v>2257</v>
      </c>
      <c r="I1972" s="2" t="s">
        <v>2257</v>
      </c>
      <c r="J1972" t="str">
        <f t="shared" si="52"/>
        <v/>
      </c>
    </row>
    <row r="1973" spans="1:10" x14ac:dyDescent="0.15">
      <c r="A1973" t="s">
        <v>2257</v>
      </c>
      <c r="B1973" t="s">
        <v>2257</v>
      </c>
      <c r="C1973" s="2" t="s">
        <v>2257</v>
      </c>
      <c r="D1973" t="s">
        <v>2257</v>
      </c>
      <c r="E1973" s="2" t="s">
        <v>2257</v>
      </c>
      <c r="F1973" s="8" t="s">
        <v>2257</v>
      </c>
      <c r="G1973" s="2" t="s">
        <v>2257</v>
      </c>
      <c r="H1973" s="2" t="s">
        <v>2257</v>
      </c>
      <c r="I1973" s="2" t="s">
        <v>2257</v>
      </c>
      <c r="J1973" t="str">
        <f t="shared" si="52"/>
        <v/>
      </c>
    </row>
    <row r="1974" spans="1:10" x14ac:dyDescent="0.15">
      <c r="A1974" t="s">
        <v>2257</v>
      </c>
      <c r="B1974" t="s">
        <v>2257</v>
      </c>
      <c r="C1974" s="2" t="s">
        <v>2257</v>
      </c>
      <c r="D1974" t="s">
        <v>2257</v>
      </c>
      <c r="E1974" s="2" t="s">
        <v>2257</v>
      </c>
      <c r="F1974" s="8" t="s">
        <v>2257</v>
      </c>
      <c r="G1974" s="2" t="s">
        <v>2257</v>
      </c>
      <c r="H1974" s="2" t="s">
        <v>2257</v>
      </c>
      <c r="I1974" s="2" t="s">
        <v>2257</v>
      </c>
      <c r="J1974" t="str">
        <f t="shared" si="52"/>
        <v/>
      </c>
    </row>
    <row r="1975" spans="1:10" x14ac:dyDescent="0.15">
      <c r="A1975" t="s">
        <v>2257</v>
      </c>
      <c r="B1975" t="s">
        <v>2257</v>
      </c>
      <c r="C1975" s="2" t="s">
        <v>2257</v>
      </c>
      <c r="D1975" t="s">
        <v>2257</v>
      </c>
      <c r="E1975" s="2" t="s">
        <v>2257</v>
      </c>
      <c r="F1975" s="8" t="s">
        <v>2257</v>
      </c>
      <c r="G1975" s="2" t="s">
        <v>2257</v>
      </c>
      <c r="H1975" s="2" t="s">
        <v>2257</v>
      </c>
      <c r="I1975" s="2" t="s">
        <v>2257</v>
      </c>
      <c r="J1975" t="str">
        <f t="shared" si="52"/>
        <v/>
      </c>
    </row>
    <row r="1976" spans="1:10" x14ac:dyDescent="0.15">
      <c r="A1976" t="s">
        <v>2257</v>
      </c>
      <c r="B1976" t="s">
        <v>2257</v>
      </c>
      <c r="C1976" s="2" t="s">
        <v>2257</v>
      </c>
      <c r="D1976" t="s">
        <v>2257</v>
      </c>
      <c r="E1976" s="2" t="s">
        <v>2257</v>
      </c>
      <c r="F1976" s="8" t="s">
        <v>2257</v>
      </c>
      <c r="G1976" s="2" t="s">
        <v>2257</v>
      </c>
      <c r="H1976" s="2" t="s">
        <v>2257</v>
      </c>
      <c r="I1976" s="2" t="s">
        <v>2257</v>
      </c>
      <c r="J1976" t="str">
        <f t="shared" si="52"/>
        <v/>
      </c>
    </row>
    <row r="1977" spans="1:10" x14ac:dyDescent="0.15">
      <c r="A1977" t="s">
        <v>2257</v>
      </c>
      <c r="B1977" t="s">
        <v>2257</v>
      </c>
      <c r="C1977" s="2" t="s">
        <v>2257</v>
      </c>
      <c r="D1977" t="s">
        <v>2257</v>
      </c>
      <c r="E1977" s="2" t="s">
        <v>2257</v>
      </c>
      <c r="F1977" s="8" t="s">
        <v>2257</v>
      </c>
      <c r="G1977" s="2" t="s">
        <v>2257</v>
      </c>
      <c r="H1977" s="2" t="s">
        <v>2257</v>
      </c>
      <c r="I1977" s="2" t="s">
        <v>2257</v>
      </c>
      <c r="J1977" t="str">
        <f t="shared" si="52"/>
        <v/>
      </c>
    </row>
    <row r="1978" spans="1:10" x14ac:dyDescent="0.15">
      <c r="A1978" t="s">
        <v>2257</v>
      </c>
      <c r="B1978" t="s">
        <v>2257</v>
      </c>
      <c r="C1978" s="2" t="s">
        <v>2257</v>
      </c>
      <c r="D1978" t="s">
        <v>2257</v>
      </c>
      <c r="E1978" s="2" t="s">
        <v>2257</v>
      </c>
      <c r="F1978" s="8" t="s">
        <v>2257</v>
      </c>
      <c r="G1978" s="2" t="s">
        <v>2257</v>
      </c>
      <c r="H1978" s="2" t="s">
        <v>2257</v>
      </c>
      <c r="I1978" s="2" t="s">
        <v>2257</v>
      </c>
      <c r="J1978" t="str">
        <f t="shared" si="52"/>
        <v/>
      </c>
    </row>
    <row r="1979" spans="1:10" x14ac:dyDescent="0.15">
      <c r="A1979" t="s">
        <v>2257</v>
      </c>
      <c r="B1979" t="s">
        <v>2257</v>
      </c>
      <c r="C1979" s="2" t="s">
        <v>2257</v>
      </c>
      <c r="D1979" t="s">
        <v>2257</v>
      </c>
      <c r="E1979" s="2" t="s">
        <v>2257</v>
      </c>
      <c r="F1979" s="8" t="s">
        <v>2257</v>
      </c>
      <c r="G1979" s="2" t="s">
        <v>2257</v>
      </c>
      <c r="H1979" s="2" t="s">
        <v>2257</v>
      </c>
      <c r="I1979" s="2" t="s">
        <v>2257</v>
      </c>
      <c r="J1979" t="str">
        <f t="shared" si="52"/>
        <v/>
      </c>
    </row>
    <row r="1980" spans="1:10" x14ac:dyDescent="0.15">
      <c r="A1980" t="s">
        <v>2257</v>
      </c>
      <c r="B1980" t="s">
        <v>2257</v>
      </c>
      <c r="C1980" s="2" t="s">
        <v>2257</v>
      </c>
      <c r="D1980" t="s">
        <v>2257</v>
      </c>
      <c r="E1980" s="2" t="s">
        <v>2257</v>
      </c>
      <c r="F1980" s="8" t="s">
        <v>2257</v>
      </c>
      <c r="G1980" s="2" t="s">
        <v>2257</v>
      </c>
      <c r="H1980" s="2" t="s">
        <v>2257</v>
      </c>
      <c r="I1980" s="2" t="s">
        <v>2257</v>
      </c>
      <c r="J1980" t="str">
        <f t="shared" si="52"/>
        <v/>
      </c>
    </row>
    <row r="1981" spans="1:10" x14ac:dyDescent="0.15">
      <c r="A1981" t="s">
        <v>2257</v>
      </c>
      <c r="B1981" t="s">
        <v>2257</v>
      </c>
      <c r="C1981" s="2" t="s">
        <v>2257</v>
      </c>
      <c r="D1981" t="s">
        <v>2257</v>
      </c>
      <c r="E1981" s="2" t="s">
        <v>2257</v>
      </c>
      <c r="F1981" s="8" t="s">
        <v>2257</v>
      </c>
      <c r="G1981" s="2" t="s">
        <v>2257</v>
      </c>
      <c r="H1981" s="2" t="s">
        <v>2257</v>
      </c>
      <c r="I1981" s="2" t="s">
        <v>2257</v>
      </c>
      <c r="J1981" t="str">
        <f t="shared" si="52"/>
        <v/>
      </c>
    </row>
    <row r="1982" spans="1:10" x14ac:dyDescent="0.15">
      <c r="A1982" t="s">
        <v>2257</v>
      </c>
      <c r="B1982" t="s">
        <v>2257</v>
      </c>
      <c r="C1982" s="2" t="s">
        <v>2257</v>
      </c>
      <c r="D1982" t="s">
        <v>2257</v>
      </c>
      <c r="E1982" s="2" t="s">
        <v>2257</v>
      </c>
      <c r="F1982" s="8" t="s">
        <v>2257</v>
      </c>
      <c r="G1982" s="2" t="s">
        <v>2257</v>
      </c>
      <c r="H1982" s="2" t="s">
        <v>2257</v>
      </c>
      <c r="I1982" s="2" t="s">
        <v>2257</v>
      </c>
      <c r="J1982" t="str">
        <f t="shared" si="52"/>
        <v/>
      </c>
    </row>
    <row r="1983" spans="1:10" x14ac:dyDescent="0.15">
      <c r="A1983" t="s">
        <v>2257</v>
      </c>
      <c r="B1983" t="s">
        <v>2257</v>
      </c>
      <c r="C1983" s="2" t="s">
        <v>2257</v>
      </c>
      <c r="D1983" t="s">
        <v>2257</v>
      </c>
      <c r="E1983" s="2" t="s">
        <v>2257</v>
      </c>
      <c r="F1983" s="8" t="s">
        <v>2257</v>
      </c>
      <c r="G1983" s="2" t="s">
        <v>2257</v>
      </c>
      <c r="H1983" s="2" t="s">
        <v>2257</v>
      </c>
      <c r="I1983" s="2" t="s">
        <v>2257</v>
      </c>
      <c r="J1983" t="str">
        <f t="shared" si="52"/>
        <v/>
      </c>
    </row>
    <row r="1984" spans="1:10" x14ac:dyDescent="0.15">
      <c r="A1984" t="s">
        <v>2257</v>
      </c>
      <c r="B1984" t="s">
        <v>2257</v>
      </c>
      <c r="C1984" s="2" t="s">
        <v>2257</v>
      </c>
      <c r="D1984" t="s">
        <v>2257</v>
      </c>
      <c r="E1984" s="2" t="s">
        <v>2257</v>
      </c>
      <c r="F1984" s="8" t="s">
        <v>2257</v>
      </c>
      <c r="G1984" s="2" t="s">
        <v>2257</v>
      </c>
      <c r="H1984" s="2" t="s">
        <v>2257</v>
      </c>
      <c r="I1984" s="2" t="s">
        <v>2257</v>
      </c>
      <c r="J1984" t="str">
        <f t="shared" si="52"/>
        <v/>
      </c>
    </row>
    <row r="1985" spans="1:10" x14ac:dyDescent="0.15">
      <c r="A1985" t="s">
        <v>2257</v>
      </c>
      <c r="B1985" t="s">
        <v>2257</v>
      </c>
      <c r="C1985" s="2" t="s">
        <v>2257</v>
      </c>
      <c r="D1985" t="s">
        <v>2257</v>
      </c>
      <c r="E1985" s="2" t="s">
        <v>2257</v>
      </c>
      <c r="F1985" s="8" t="s">
        <v>2257</v>
      </c>
      <c r="G1985" s="2" t="s">
        <v>2257</v>
      </c>
      <c r="H1985" s="2" t="s">
        <v>2257</v>
      </c>
      <c r="I1985" s="2" t="s">
        <v>2257</v>
      </c>
      <c r="J1985" t="str">
        <f t="shared" si="52"/>
        <v/>
      </c>
    </row>
    <row r="1986" spans="1:10" x14ac:dyDescent="0.15">
      <c r="A1986" t="s">
        <v>2257</v>
      </c>
      <c r="B1986" t="s">
        <v>2257</v>
      </c>
      <c r="C1986" s="2" t="s">
        <v>2257</v>
      </c>
      <c r="D1986" t="s">
        <v>2257</v>
      </c>
      <c r="E1986" s="2" t="s">
        <v>2257</v>
      </c>
      <c r="F1986" s="8" t="s">
        <v>2257</v>
      </c>
      <c r="G1986" s="2" t="s">
        <v>2257</v>
      </c>
      <c r="H1986" s="2" t="s">
        <v>2257</v>
      </c>
      <c r="I1986" s="2" t="s">
        <v>2257</v>
      </c>
      <c r="J1986" t="str">
        <f t="shared" si="52"/>
        <v/>
      </c>
    </row>
    <row r="1987" spans="1:10" x14ac:dyDescent="0.15">
      <c r="A1987" t="s">
        <v>2257</v>
      </c>
      <c r="B1987" t="s">
        <v>2257</v>
      </c>
      <c r="C1987" s="2" t="s">
        <v>2257</v>
      </c>
      <c r="D1987" t="s">
        <v>2257</v>
      </c>
      <c r="E1987" s="2" t="s">
        <v>2257</v>
      </c>
      <c r="F1987" s="8" t="s">
        <v>2257</v>
      </c>
      <c r="G1987" s="2" t="s">
        <v>2257</v>
      </c>
      <c r="H1987" s="2" t="s">
        <v>2257</v>
      </c>
      <c r="I1987" s="2" t="s">
        <v>2257</v>
      </c>
      <c r="J1987" t="str">
        <f t="shared" si="52"/>
        <v/>
      </c>
    </row>
    <row r="1988" spans="1:10" x14ac:dyDescent="0.15">
      <c r="A1988" t="s">
        <v>2257</v>
      </c>
      <c r="B1988" t="s">
        <v>2257</v>
      </c>
      <c r="C1988" s="2" t="s">
        <v>2257</v>
      </c>
      <c r="D1988" t="s">
        <v>2257</v>
      </c>
      <c r="E1988" s="2" t="s">
        <v>2257</v>
      </c>
      <c r="F1988" s="8" t="s">
        <v>2257</v>
      </c>
      <c r="G1988" s="2" t="s">
        <v>2257</v>
      </c>
      <c r="H1988" s="2" t="s">
        <v>2257</v>
      </c>
      <c r="I1988" s="2" t="s">
        <v>2257</v>
      </c>
      <c r="J1988" t="str">
        <f t="shared" si="52"/>
        <v/>
      </c>
    </row>
    <row r="1989" spans="1:10" x14ac:dyDescent="0.15">
      <c r="A1989" t="s">
        <v>2257</v>
      </c>
      <c r="B1989" t="s">
        <v>2257</v>
      </c>
      <c r="C1989" s="2" t="s">
        <v>2257</v>
      </c>
      <c r="D1989" t="s">
        <v>2257</v>
      </c>
      <c r="E1989" s="2" t="s">
        <v>2257</v>
      </c>
      <c r="F1989" s="8" t="s">
        <v>2257</v>
      </c>
      <c r="G1989" s="2" t="s">
        <v>2257</v>
      </c>
      <c r="H1989" s="2" t="s">
        <v>2257</v>
      </c>
      <c r="I1989" s="2" t="s">
        <v>2257</v>
      </c>
      <c r="J1989" t="str">
        <f t="shared" si="52"/>
        <v/>
      </c>
    </row>
    <row r="1990" spans="1:10" x14ac:dyDescent="0.15">
      <c r="A1990" t="s">
        <v>2257</v>
      </c>
      <c r="B1990" t="s">
        <v>2257</v>
      </c>
      <c r="C1990" s="2" t="s">
        <v>2257</v>
      </c>
      <c r="D1990" t="s">
        <v>2257</v>
      </c>
      <c r="E1990" s="2" t="s">
        <v>2257</v>
      </c>
      <c r="F1990" s="8" t="s">
        <v>2257</v>
      </c>
      <c r="G1990" s="2" t="s">
        <v>2257</v>
      </c>
      <c r="H1990" s="2" t="s">
        <v>2257</v>
      </c>
      <c r="I1990" s="2" t="s">
        <v>2257</v>
      </c>
      <c r="J1990" t="str">
        <f t="shared" si="52"/>
        <v/>
      </c>
    </row>
    <row r="1991" spans="1:10" x14ac:dyDescent="0.15">
      <c r="A1991" t="s">
        <v>2257</v>
      </c>
      <c r="B1991" t="s">
        <v>2257</v>
      </c>
      <c r="C1991" s="2" t="s">
        <v>2257</v>
      </c>
      <c r="D1991" t="s">
        <v>2257</v>
      </c>
      <c r="E1991" s="2" t="s">
        <v>2257</v>
      </c>
      <c r="F1991" s="8" t="s">
        <v>2257</v>
      </c>
      <c r="G1991" s="2" t="s">
        <v>2257</v>
      </c>
      <c r="H1991" s="2" t="s">
        <v>2257</v>
      </c>
      <c r="I1991" s="2" t="s">
        <v>2257</v>
      </c>
      <c r="J1991" t="str">
        <f t="shared" si="52"/>
        <v/>
      </c>
    </row>
    <row r="1992" spans="1:10" x14ac:dyDescent="0.15">
      <c r="A1992" t="s">
        <v>2257</v>
      </c>
      <c r="B1992" t="s">
        <v>2257</v>
      </c>
      <c r="C1992" s="2" t="s">
        <v>2257</v>
      </c>
      <c r="D1992" t="s">
        <v>2257</v>
      </c>
      <c r="E1992" s="2" t="s">
        <v>2257</v>
      </c>
      <c r="F1992" s="8" t="s">
        <v>2257</v>
      </c>
      <c r="G1992" s="2" t="s">
        <v>2257</v>
      </c>
      <c r="H1992" s="2" t="s">
        <v>2257</v>
      </c>
      <c r="I1992" s="2" t="s">
        <v>2257</v>
      </c>
      <c r="J1992" t="str">
        <f t="shared" si="52"/>
        <v/>
      </c>
    </row>
    <row r="1993" spans="1:10" x14ac:dyDescent="0.15">
      <c r="A1993" t="s">
        <v>2257</v>
      </c>
      <c r="B1993" t="s">
        <v>2257</v>
      </c>
      <c r="C1993" s="2" t="s">
        <v>2257</v>
      </c>
      <c r="D1993" t="s">
        <v>2257</v>
      </c>
      <c r="E1993" s="2" t="s">
        <v>2257</v>
      </c>
      <c r="F1993" s="8" t="s">
        <v>2257</v>
      </c>
      <c r="G1993" s="2" t="s">
        <v>2257</v>
      </c>
      <c r="H1993" s="2" t="s">
        <v>2257</v>
      </c>
      <c r="I1993" s="2" t="s">
        <v>2257</v>
      </c>
      <c r="J1993" t="str">
        <f t="shared" si="52"/>
        <v/>
      </c>
    </row>
    <row r="1994" spans="1:10" x14ac:dyDescent="0.15">
      <c r="A1994" t="s">
        <v>2257</v>
      </c>
      <c r="B1994" t="s">
        <v>2257</v>
      </c>
      <c r="C1994" s="2" t="s">
        <v>2257</v>
      </c>
      <c r="D1994" t="s">
        <v>2257</v>
      </c>
      <c r="E1994" s="2" t="s">
        <v>2257</v>
      </c>
      <c r="F1994" s="8" t="s">
        <v>2257</v>
      </c>
      <c r="G1994" s="2" t="s">
        <v>2257</v>
      </c>
      <c r="H1994" s="2" t="s">
        <v>2257</v>
      </c>
      <c r="I1994" s="2" t="s">
        <v>2257</v>
      </c>
      <c r="J1994" t="str">
        <f t="shared" si="52"/>
        <v/>
      </c>
    </row>
    <row r="1995" spans="1:10" x14ac:dyDescent="0.15">
      <c r="A1995" t="s">
        <v>2257</v>
      </c>
      <c r="B1995" t="s">
        <v>2257</v>
      </c>
      <c r="C1995" s="2" t="s">
        <v>2257</v>
      </c>
      <c r="D1995" t="s">
        <v>2257</v>
      </c>
      <c r="E1995" s="2" t="s">
        <v>2257</v>
      </c>
      <c r="F1995" s="8" t="s">
        <v>2257</v>
      </c>
      <c r="G1995" s="2" t="s">
        <v>2257</v>
      </c>
      <c r="H1995" s="2" t="s">
        <v>2257</v>
      </c>
      <c r="I1995" s="2" t="s">
        <v>2257</v>
      </c>
      <c r="J1995" t="str">
        <f t="shared" ref="J1995:J2058" si="53">IF(A1995="","",IF(AND(C1995="",D1995&lt;&gt;"UNS",I1995=""),"Open","Closed"))</f>
        <v/>
      </c>
    </row>
    <row r="1996" spans="1:10" x14ac:dyDescent="0.15">
      <c r="A1996" t="s">
        <v>2257</v>
      </c>
      <c r="B1996" t="s">
        <v>2257</v>
      </c>
      <c r="C1996" s="2" t="s">
        <v>2257</v>
      </c>
      <c r="D1996" t="s">
        <v>2257</v>
      </c>
      <c r="E1996" s="2" t="s">
        <v>2257</v>
      </c>
      <c r="F1996" s="8" t="s">
        <v>2257</v>
      </c>
      <c r="G1996" s="2" t="s">
        <v>2257</v>
      </c>
      <c r="H1996" s="2" t="s">
        <v>2257</v>
      </c>
      <c r="I1996" s="2" t="s">
        <v>2257</v>
      </c>
      <c r="J1996" t="str">
        <f t="shared" si="53"/>
        <v/>
      </c>
    </row>
    <row r="1997" spans="1:10" x14ac:dyDescent="0.15">
      <c r="A1997" t="s">
        <v>2257</v>
      </c>
      <c r="B1997" t="s">
        <v>2257</v>
      </c>
      <c r="C1997" s="2" t="s">
        <v>2257</v>
      </c>
      <c r="D1997" t="s">
        <v>2257</v>
      </c>
      <c r="E1997" s="2" t="s">
        <v>2257</v>
      </c>
      <c r="F1997" s="8" t="s">
        <v>2257</v>
      </c>
      <c r="G1997" s="2" t="s">
        <v>2257</v>
      </c>
      <c r="H1997" s="2" t="s">
        <v>2257</v>
      </c>
      <c r="I1997" s="2" t="s">
        <v>2257</v>
      </c>
      <c r="J1997" t="str">
        <f t="shared" si="53"/>
        <v/>
      </c>
    </row>
    <row r="1998" spans="1:10" x14ac:dyDescent="0.15">
      <c r="A1998" t="s">
        <v>2257</v>
      </c>
      <c r="B1998" t="s">
        <v>2257</v>
      </c>
      <c r="C1998" s="2" t="s">
        <v>2257</v>
      </c>
      <c r="D1998" t="s">
        <v>2257</v>
      </c>
      <c r="E1998" s="2" t="s">
        <v>2257</v>
      </c>
      <c r="F1998" s="8" t="s">
        <v>2257</v>
      </c>
      <c r="G1998" s="2" t="s">
        <v>2257</v>
      </c>
      <c r="H1998" s="2" t="s">
        <v>2257</v>
      </c>
      <c r="I1998" s="2" t="s">
        <v>2257</v>
      </c>
      <c r="J1998" t="str">
        <f t="shared" si="53"/>
        <v/>
      </c>
    </row>
    <row r="1999" spans="1:10" x14ac:dyDescent="0.15">
      <c r="A1999" t="s">
        <v>2257</v>
      </c>
      <c r="B1999" t="s">
        <v>2257</v>
      </c>
      <c r="C1999" s="2" t="s">
        <v>2257</v>
      </c>
      <c r="D1999" t="s">
        <v>2257</v>
      </c>
      <c r="E1999" s="2" t="s">
        <v>2257</v>
      </c>
      <c r="F1999" s="8" t="s">
        <v>2257</v>
      </c>
      <c r="G1999" s="2" t="s">
        <v>2257</v>
      </c>
      <c r="H1999" s="2" t="s">
        <v>2257</v>
      </c>
      <c r="I1999" s="2" t="s">
        <v>2257</v>
      </c>
      <c r="J1999" t="str">
        <f t="shared" si="53"/>
        <v/>
      </c>
    </row>
    <row r="2000" spans="1:10" x14ac:dyDescent="0.15">
      <c r="A2000" t="s">
        <v>2257</v>
      </c>
      <c r="B2000" t="s">
        <v>2257</v>
      </c>
      <c r="C2000" s="2" t="s">
        <v>2257</v>
      </c>
      <c r="D2000" t="s">
        <v>2257</v>
      </c>
      <c r="E2000" s="2" t="s">
        <v>2257</v>
      </c>
      <c r="F2000" s="8" t="s">
        <v>2257</v>
      </c>
      <c r="G2000" s="2" t="s">
        <v>2257</v>
      </c>
      <c r="H2000" s="2" t="s">
        <v>2257</v>
      </c>
      <c r="I2000" s="2" t="s">
        <v>2257</v>
      </c>
      <c r="J2000" t="str">
        <f t="shared" si="53"/>
        <v/>
      </c>
    </row>
    <row r="2001" spans="1:10" x14ac:dyDescent="0.15">
      <c r="A2001" t="s">
        <v>2257</v>
      </c>
      <c r="B2001" t="s">
        <v>2257</v>
      </c>
      <c r="C2001" s="2" t="s">
        <v>2257</v>
      </c>
      <c r="D2001" t="s">
        <v>2257</v>
      </c>
      <c r="E2001" s="2" t="s">
        <v>2257</v>
      </c>
      <c r="F2001" s="8" t="s">
        <v>2257</v>
      </c>
      <c r="G2001" s="2" t="s">
        <v>2257</v>
      </c>
      <c r="H2001" s="2" t="s">
        <v>2257</v>
      </c>
      <c r="I2001" s="2" t="s">
        <v>2257</v>
      </c>
      <c r="J2001" t="str">
        <f t="shared" si="53"/>
        <v/>
      </c>
    </row>
    <row r="2002" spans="1:10" x14ac:dyDescent="0.15">
      <c r="A2002" t="s">
        <v>2257</v>
      </c>
      <c r="B2002" t="s">
        <v>2257</v>
      </c>
      <c r="C2002" s="2" t="s">
        <v>2257</v>
      </c>
      <c r="D2002" t="s">
        <v>2257</v>
      </c>
      <c r="E2002" s="2" t="s">
        <v>2257</v>
      </c>
      <c r="F2002" s="8" t="s">
        <v>2257</v>
      </c>
      <c r="G2002" s="2" t="s">
        <v>2257</v>
      </c>
      <c r="H2002" s="2" t="s">
        <v>2257</v>
      </c>
      <c r="I2002" s="2" t="s">
        <v>2257</v>
      </c>
      <c r="J2002" t="str">
        <f t="shared" si="53"/>
        <v/>
      </c>
    </row>
    <row r="2003" spans="1:10" x14ac:dyDescent="0.15">
      <c r="A2003" t="s">
        <v>2257</v>
      </c>
      <c r="B2003" t="s">
        <v>2257</v>
      </c>
      <c r="C2003" s="2" t="s">
        <v>2257</v>
      </c>
      <c r="D2003" t="s">
        <v>2257</v>
      </c>
      <c r="E2003" s="2" t="s">
        <v>2257</v>
      </c>
      <c r="F2003" s="8" t="s">
        <v>2257</v>
      </c>
      <c r="G2003" s="2" t="s">
        <v>2257</v>
      </c>
      <c r="H2003" s="2" t="s">
        <v>2257</v>
      </c>
      <c r="I2003" s="2" t="s">
        <v>2257</v>
      </c>
      <c r="J2003" t="str">
        <f t="shared" si="53"/>
        <v/>
      </c>
    </row>
    <row r="2004" spans="1:10" x14ac:dyDescent="0.15">
      <c r="A2004" t="s">
        <v>2257</v>
      </c>
      <c r="B2004" t="s">
        <v>2257</v>
      </c>
      <c r="C2004" s="2" t="s">
        <v>2257</v>
      </c>
      <c r="D2004" t="s">
        <v>2257</v>
      </c>
      <c r="E2004" s="2" t="s">
        <v>2257</v>
      </c>
      <c r="F2004" s="8" t="s">
        <v>2257</v>
      </c>
      <c r="G2004" s="2" t="s">
        <v>2257</v>
      </c>
      <c r="H2004" s="2" t="s">
        <v>2257</v>
      </c>
      <c r="I2004" s="2" t="s">
        <v>2257</v>
      </c>
      <c r="J2004" t="str">
        <f t="shared" si="53"/>
        <v/>
      </c>
    </row>
    <row r="2005" spans="1:10" x14ac:dyDescent="0.15">
      <c r="A2005" t="s">
        <v>2257</v>
      </c>
      <c r="B2005" t="s">
        <v>2257</v>
      </c>
      <c r="C2005" s="2" t="s">
        <v>2257</v>
      </c>
      <c r="D2005" t="s">
        <v>2257</v>
      </c>
      <c r="E2005" s="2" t="s">
        <v>2257</v>
      </c>
      <c r="F2005" s="8" t="s">
        <v>2257</v>
      </c>
      <c r="G2005" s="2" t="s">
        <v>2257</v>
      </c>
      <c r="H2005" s="2" t="s">
        <v>2257</v>
      </c>
      <c r="I2005" s="2" t="s">
        <v>2257</v>
      </c>
      <c r="J2005" t="str">
        <f t="shared" si="53"/>
        <v/>
      </c>
    </row>
    <row r="2006" spans="1:10" x14ac:dyDescent="0.15">
      <c r="A2006" t="s">
        <v>2257</v>
      </c>
      <c r="B2006" t="s">
        <v>2257</v>
      </c>
      <c r="C2006" s="2" t="s">
        <v>2257</v>
      </c>
      <c r="D2006" t="s">
        <v>2257</v>
      </c>
      <c r="E2006" s="2" t="s">
        <v>2257</v>
      </c>
      <c r="F2006" s="8" t="s">
        <v>2257</v>
      </c>
      <c r="G2006" s="2" t="s">
        <v>2257</v>
      </c>
      <c r="H2006" s="2" t="s">
        <v>2257</v>
      </c>
      <c r="I2006" s="2" t="s">
        <v>2257</v>
      </c>
      <c r="J2006" t="str">
        <f t="shared" si="53"/>
        <v/>
      </c>
    </row>
    <row r="2007" spans="1:10" x14ac:dyDescent="0.15">
      <c r="A2007" t="s">
        <v>2257</v>
      </c>
      <c r="B2007" t="s">
        <v>2257</v>
      </c>
      <c r="C2007" s="2" t="s">
        <v>2257</v>
      </c>
      <c r="D2007" t="s">
        <v>2257</v>
      </c>
      <c r="E2007" s="2" t="s">
        <v>2257</v>
      </c>
      <c r="F2007" s="8" t="s">
        <v>2257</v>
      </c>
      <c r="G2007" s="2" t="s">
        <v>2257</v>
      </c>
      <c r="H2007" s="2" t="s">
        <v>2257</v>
      </c>
      <c r="I2007" s="2" t="s">
        <v>2257</v>
      </c>
      <c r="J2007" t="str">
        <f t="shared" si="53"/>
        <v/>
      </c>
    </row>
    <row r="2008" spans="1:10" x14ac:dyDescent="0.15">
      <c r="A2008" t="s">
        <v>2257</v>
      </c>
      <c r="B2008" t="s">
        <v>2257</v>
      </c>
      <c r="C2008" s="2" t="s">
        <v>2257</v>
      </c>
      <c r="D2008" t="s">
        <v>2257</v>
      </c>
      <c r="E2008" s="2" t="s">
        <v>2257</v>
      </c>
      <c r="F2008" s="8" t="s">
        <v>2257</v>
      </c>
      <c r="G2008" s="2" t="s">
        <v>2257</v>
      </c>
      <c r="H2008" s="2" t="s">
        <v>2257</v>
      </c>
      <c r="I2008" s="2" t="s">
        <v>2257</v>
      </c>
      <c r="J2008" t="str">
        <f t="shared" si="53"/>
        <v/>
      </c>
    </row>
    <row r="2009" spans="1:10" x14ac:dyDescent="0.15">
      <c r="A2009" t="s">
        <v>2257</v>
      </c>
      <c r="B2009" t="s">
        <v>2257</v>
      </c>
      <c r="C2009" s="2" t="s">
        <v>2257</v>
      </c>
      <c r="D2009" t="s">
        <v>2257</v>
      </c>
      <c r="E2009" s="2" t="s">
        <v>2257</v>
      </c>
      <c r="F2009" s="8" t="s">
        <v>2257</v>
      </c>
      <c r="G2009" s="2" t="s">
        <v>2257</v>
      </c>
      <c r="H2009" s="2" t="s">
        <v>2257</v>
      </c>
      <c r="I2009" s="2" t="s">
        <v>2257</v>
      </c>
      <c r="J2009" t="str">
        <f t="shared" si="53"/>
        <v/>
      </c>
    </row>
    <row r="2010" spans="1:10" x14ac:dyDescent="0.15">
      <c r="A2010" t="s">
        <v>2257</v>
      </c>
      <c r="B2010" t="s">
        <v>2257</v>
      </c>
      <c r="C2010" s="2" t="s">
        <v>2257</v>
      </c>
      <c r="D2010" t="s">
        <v>2257</v>
      </c>
      <c r="E2010" s="2" t="s">
        <v>2257</v>
      </c>
      <c r="F2010" s="8" t="s">
        <v>2257</v>
      </c>
      <c r="G2010" s="2" t="s">
        <v>2257</v>
      </c>
      <c r="H2010" s="2" t="s">
        <v>2257</v>
      </c>
      <c r="I2010" s="2" t="s">
        <v>2257</v>
      </c>
      <c r="J2010" t="str">
        <f t="shared" si="53"/>
        <v/>
      </c>
    </row>
    <row r="2011" spans="1:10" x14ac:dyDescent="0.15">
      <c r="A2011" t="s">
        <v>2257</v>
      </c>
      <c r="B2011" t="s">
        <v>2257</v>
      </c>
      <c r="C2011" s="2" t="s">
        <v>2257</v>
      </c>
      <c r="D2011" t="s">
        <v>2257</v>
      </c>
      <c r="E2011" s="2" t="s">
        <v>2257</v>
      </c>
      <c r="F2011" s="8" t="s">
        <v>2257</v>
      </c>
      <c r="G2011" s="2" t="s">
        <v>2257</v>
      </c>
      <c r="H2011" s="2" t="s">
        <v>2257</v>
      </c>
      <c r="I2011" s="2" t="s">
        <v>2257</v>
      </c>
      <c r="J2011" t="str">
        <f t="shared" si="53"/>
        <v/>
      </c>
    </row>
    <row r="2012" spans="1:10" x14ac:dyDescent="0.15">
      <c r="A2012" t="s">
        <v>2257</v>
      </c>
      <c r="B2012" t="s">
        <v>2257</v>
      </c>
      <c r="C2012" s="2" t="s">
        <v>2257</v>
      </c>
      <c r="D2012" t="s">
        <v>2257</v>
      </c>
      <c r="E2012" s="2" t="s">
        <v>2257</v>
      </c>
      <c r="F2012" s="8" t="s">
        <v>2257</v>
      </c>
      <c r="G2012" s="2" t="s">
        <v>2257</v>
      </c>
      <c r="H2012" s="2" t="s">
        <v>2257</v>
      </c>
      <c r="I2012" s="2" t="s">
        <v>2257</v>
      </c>
      <c r="J2012" t="str">
        <f t="shared" si="53"/>
        <v/>
      </c>
    </row>
    <row r="2013" spans="1:10" x14ac:dyDescent="0.15">
      <c r="A2013" t="s">
        <v>2257</v>
      </c>
      <c r="B2013" t="s">
        <v>2257</v>
      </c>
      <c r="C2013" s="2" t="s">
        <v>2257</v>
      </c>
      <c r="D2013" t="s">
        <v>2257</v>
      </c>
      <c r="E2013" s="2" t="s">
        <v>2257</v>
      </c>
      <c r="F2013" s="8" t="s">
        <v>2257</v>
      </c>
      <c r="G2013" s="2" t="s">
        <v>2257</v>
      </c>
      <c r="H2013" s="2" t="s">
        <v>2257</v>
      </c>
      <c r="I2013" s="2" t="s">
        <v>2257</v>
      </c>
      <c r="J2013" t="str">
        <f t="shared" si="53"/>
        <v/>
      </c>
    </row>
    <row r="2014" spans="1:10" x14ac:dyDescent="0.15">
      <c r="A2014" t="s">
        <v>2257</v>
      </c>
      <c r="B2014" t="s">
        <v>2257</v>
      </c>
      <c r="C2014" s="2" t="s">
        <v>2257</v>
      </c>
      <c r="D2014" t="s">
        <v>2257</v>
      </c>
      <c r="E2014" s="2" t="s">
        <v>2257</v>
      </c>
      <c r="F2014" s="8" t="s">
        <v>2257</v>
      </c>
      <c r="G2014" s="2" t="s">
        <v>2257</v>
      </c>
      <c r="H2014" s="2" t="s">
        <v>2257</v>
      </c>
      <c r="I2014" s="2" t="s">
        <v>2257</v>
      </c>
      <c r="J2014" t="str">
        <f t="shared" si="53"/>
        <v/>
      </c>
    </row>
    <row r="2015" spans="1:10" x14ac:dyDescent="0.15">
      <c r="A2015" t="s">
        <v>2257</v>
      </c>
      <c r="B2015" t="s">
        <v>2257</v>
      </c>
      <c r="C2015" s="2" t="s">
        <v>2257</v>
      </c>
      <c r="D2015" t="s">
        <v>2257</v>
      </c>
      <c r="E2015" s="2" t="s">
        <v>2257</v>
      </c>
      <c r="F2015" s="8" t="s">
        <v>2257</v>
      </c>
      <c r="G2015" s="2" t="s">
        <v>2257</v>
      </c>
      <c r="H2015" s="2" t="s">
        <v>2257</v>
      </c>
      <c r="I2015" s="2" t="s">
        <v>2257</v>
      </c>
      <c r="J2015" t="str">
        <f t="shared" si="53"/>
        <v/>
      </c>
    </row>
    <row r="2016" spans="1:10" x14ac:dyDescent="0.15">
      <c r="A2016" t="s">
        <v>2257</v>
      </c>
      <c r="B2016" t="s">
        <v>2257</v>
      </c>
      <c r="C2016" s="2" t="s">
        <v>2257</v>
      </c>
      <c r="D2016" t="s">
        <v>2257</v>
      </c>
      <c r="E2016" s="2" t="s">
        <v>2257</v>
      </c>
      <c r="F2016" s="8" t="s">
        <v>2257</v>
      </c>
      <c r="G2016" s="2" t="s">
        <v>2257</v>
      </c>
      <c r="H2016" s="2" t="s">
        <v>2257</v>
      </c>
      <c r="I2016" s="2" t="s">
        <v>2257</v>
      </c>
      <c r="J2016" t="str">
        <f t="shared" si="53"/>
        <v/>
      </c>
    </row>
    <row r="2017" spans="1:10" x14ac:dyDescent="0.15">
      <c r="A2017" t="s">
        <v>2257</v>
      </c>
      <c r="B2017" t="s">
        <v>2257</v>
      </c>
      <c r="C2017" s="2" t="s">
        <v>2257</v>
      </c>
      <c r="D2017" t="s">
        <v>2257</v>
      </c>
      <c r="E2017" s="2" t="s">
        <v>2257</v>
      </c>
      <c r="F2017" s="8" t="s">
        <v>2257</v>
      </c>
      <c r="G2017" s="2" t="s">
        <v>2257</v>
      </c>
      <c r="H2017" s="2" t="s">
        <v>2257</v>
      </c>
      <c r="I2017" s="2" t="s">
        <v>2257</v>
      </c>
      <c r="J2017" t="str">
        <f t="shared" si="53"/>
        <v/>
      </c>
    </row>
    <row r="2018" spans="1:10" x14ac:dyDescent="0.15">
      <c r="A2018" t="s">
        <v>2257</v>
      </c>
      <c r="B2018" t="s">
        <v>2257</v>
      </c>
      <c r="C2018" s="2" t="s">
        <v>2257</v>
      </c>
      <c r="D2018" t="s">
        <v>2257</v>
      </c>
      <c r="E2018" s="2" t="s">
        <v>2257</v>
      </c>
      <c r="F2018" s="8" t="s">
        <v>2257</v>
      </c>
      <c r="G2018" s="2" t="s">
        <v>2257</v>
      </c>
      <c r="H2018" s="2" t="s">
        <v>2257</v>
      </c>
      <c r="I2018" s="2" t="s">
        <v>2257</v>
      </c>
      <c r="J2018" t="str">
        <f t="shared" si="53"/>
        <v/>
      </c>
    </row>
    <row r="2019" spans="1:10" x14ac:dyDescent="0.15">
      <c r="A2019" t="s">
        <v>2257</v>
      </c>
      <c r="B2019" t="s">
        <v>2257</v>
      </c>
      <c r="C2019" s="2" t="s">
        <v>2257</v>
      </c>
      <c r="D2019" t="s">
        <v>2257</v>
      </c>
      <c r="E2019" s="2" t="s">
        <v>2257</v>
      </c>
      <c r="F2019" s="8" t="s">
        <v>2257</v>
      </c>
      <c r="G2019" s="2" t="s">
        <v>2257</v>
      </c>
      <c r="H2019" s="2" t="s">
        <v>2257</v>
      </c>
      <c r="I2019" s="2" t="s">
        <v>2257</v>
      </c>
      <c r="J2019" t="str">
        <f t="shared" si="53"/>
        <v/>
      </c>
    </row>
    <row r="2020" spans="1:10" x14ac:dyDescent="0.15">
      <c r="A2020" t="s">
        <v>2257</v>
      </c>
      <c r="B2020" t="s">
        <v>2257</v>
      </c>
      <c r="C2020" s="2" t="s">
        <v>2257</v>
      </c>
      <c r="D2020" t="s">
        <v>2257</v>
      </c>
      <c r="E2020" s="2" t="s">
        <v>2257</v>
      </c>
      <c r="F2020" s="8" t="s">
        <v>2257</v>
      </c>
      <c r="G2020" s="2" t="s">
        <v>2257</v>
      </c>
      <c r="H2020" s="2" t="s">
        <v>2257</v>
      </c>
      <c r="I2020" s="2" t="s">
        <v>2257</v>
      </c>
      <c r="J2020" t="str">
        <f t="shared" si="53"/>
        <v/>
      </c>
    </row>
    <row r="2021" spans="1:10" x14ac:dyDescent="0.15">
      <c r="A2021" t="s">
        <v>2257</v>
      </c>
      <c r="B2021" t="s">
        <v>2257</v>
      </c>
      <c r="C2021" s="2" t="s">
        <v>2257</v>
      </c>
      <c r="D2021" t="s">
        <v>2257</v>
      </c>
      <c r="E2021" s="2" t="s">
        <v>2257</v>
      </c>
      <c r="F2021" s="8" t="s">
        <v>2257</v>
      </c>
      <c r="G2021" s="2" t="s">
        <v>2257</v>
      </c>
      <c r="H2021" s="2" t="s">
        <v>2257</v>
      </c>
      <c r="I2021" s="2" t="s">
        <v>2257</v>
      </c>
      <c r="J2021" t="str">
        <f t="shared" si="53"/>
        <v/>
      </c>
    </row>
    <row r="2022" spans="1:10" x14ac:dyDescent="0.15">
      <c r="A2022" t="s">
        <v>2257</v>
      </c>
      <c r="B2022" t="s">
        <v>2257</v>
      </c>
      <c r="C2022" s="2" t="s">
        <v>2257</v>
      </c>
      <c r="D2022" t="s">
        <v>2257</v>
      </c>
      <c r="E2022" s="2" t="s">
        <v>2257</v>
      </c>
      <c r="F2022" s="8" t="s">
        <v>2257</v>
      </c>
      <c r="G2022" s="2" t="s">
        <v>2257</v>
      </c>
      <c r="H2022" s="2" t="s">
        <v>2257</v>
      </c>
      <c r="I2022" s="2" t="s">
        <v>2257</v>
      </c>
      <c r="J2022" t="str">
        <f t="shared" si="53"/>
        <v/>
      </c>
    </row>
    <row r="2023" spans="1:10" x14ac:dyDescent="0.15">
      <c r="A2023" t="s">
        <v>2257</v>
      </c>
      <c r="B2023" t="s">
        <v>2257</v>
      </c>
      <c r="C2023" s="2" t="s">
        <v>2257</v>
      </c>
      <c r="D2023" t="s">
        <v>2257</v>
      </c>
      <c r="E2023" s="2" t="s">
        <v>2257</v>
      </c>
      <c r="F2023" s="8" t="s">
        <v>2257</v>
      </c>
      <c r="G2023" s="2" t="s">
        <v>2257</v>
      </c>
      <c r="H2023" s="2" t="s">
        <v>2257</v>
      </c>
      <c r="I2023" s="2" t="s">
        <v>2257</v>
      </c>
      <c r="J2023" t="str">
        <f t="shared" si="53"/>
        <v/>
      </c>
    </row>
    <row r="2024" spans="1:10" x14ac:dyDescent="0.15">
      <c r="A2024" t="s">
        <v>2257</v>
      </c>
      <c r="B2024" t="s">
        <v>2257</v>
      </c>
      <c r="C2024" s="2" t="s">
        <v>2257</v>
      </c>
      <c r="D2024" t="s">
        <v>2257</v>
      </c>
      <c r="E2024" s="2" t="s">
        <v>2257</v>
      </c>
      <c r="F2024" s="8" t="s">
        <v>2257</v>
      </c>
      <c r="G2024" s="2" t="s">
        <v>2257</v>
      </c>
      <c r="H2024" s="2" t="s">
        <v>2257</v>
      </c>
      <c r="I2024" s="2" t="s">
        <v>2257</v>
      </c>
      <c r="J2024" t="str">
        <f t="shared" si="53"/>
        <v/>
      </c>
    </row>
    <row r="2025" spans="1:10" x14ac:dyDescent="0.15">
      <c r="A2025" t="s">
        <v>2257</v>
      </c>
      <c r="B2025" t="s">
        <v>2257</v>
      </c>
      <c r="C2025" s="2" t="s">
        <v>2257</v>
      </c>
      <c r="D2025" t="s">
        <v>2257</v>
      </c>
      <c r="E2025" s="2" t="s">
        <v>2257</v>
      </c>
      <c r="F2025" s="8" t="s">
        <v>2257</v>
      </c>
      <c r="G2025" s="2" t="s">
        <v>2257</v>
      </c>
      <c r="H2025" s="2" t="s">
        <v>2257</v>
      </c>
      <c r="I2025" s="2" t="s">
        <v>2257</v>
      </c>
      <c r="J2025" t="str">
        <f t="shared" si="53"/>
        <v/>
      </c>
    </row>
    <row r="2026" spans="1:10" x14ac:dyDescent="0.15">
      <c r="A2026" t="s">
        <v>2257</v>
      </c>
      <c r="B2026" t="s">
        <v>2257</v>
      </c>
      <c r="C2026" s="2" t="s">
        <v>2257</v>
      </c>
      <c r="D2026" t="s">
        <v>2257</v>
      </c>
      <c r="E2026" s="2" t="s">
        <v>2257</v>
      </c>
      <c r="F2026" s="8" t="s">
        <v>2257</v>
      </c>
      <c r="G2026" s="2" t="s">
        <v>2257</v>
      </c>
      <c r="H2026" s="2" t="s">
        <v>2257</v>
      </c>
      <c r="I2026" s="2" t="s">
        <v>2257</v>
      </c>
      <c r="J2026" t="str">
        <f t="shared" si="53"/>
        <v/>
      </c>
    </row>
    <row r="2027" spans="1:10" x14ac:dyDescent="0.15">
      <c r="A2027" t="s">
        <v>2257</v>
      </c>
      <c r="B2027" t="s">
        <v>2257</v>
      </c>
      <c r="C2027" s="2" t="s">
        <v>2257</v>
      </c>
      <c r="D2027" t="s">
        <v>2257</v>
      </c>
      <c r="E2027" s="2" t="s">
        <v>2257</v>
      </c>
      <c r="F2027" s="8" t="s">
        <v>2257</v>
      </c>
      <c r="G2027" s="2" t="s">
        <v>2257</v>
      </c>
      <c r="H2027" s="2" t="s">
        <v>2257</v>
      </c>
      <c r="I2027" s="2" t="s">
        <v>2257</v>
      </c>
      <c r="J2027" t="str">
        <f t="shared" si="53"/>
        <v/>
      </c>
    </row>
    <row r="2028" spans="1:10" x14ac:dyDescent="0.15">
      <c r="A2028" t="s">
        <v>2257</v>
      </c>
      <c r="B2028" t="s">
        <v>2257</v>
      </c>
      <c r="C2028" s="2" t="s">
        <v>2257</v>
      </c>
      <c r="D2028" t="s">
        <v>2257</v>
      </c>
      <c r="E2028" s="2" t="s">
        <v>2257</v>
      </c>
      <c r="F2028" s="8" t="s">
        <v>2257</v>
      </c>
      <c r="G2028" s="2" t="s">
        <v>2257</v>
      </c>
      <c r="H2028" s="2" t="s">
        <v>2257</v>
      </c>
      <c r="I2028" s="2" t="s">
        <v>2257</v>
      </c>
      <c r="J2028" t="str">
        <f t="shared" si="53"/>
        <v/>
      </c>
    </row>
    <row r="2029" spans="1:10" x14ac:dyDescent="0.15">
      <c r="A2029" t="s">
        <v>2257</v>
      </c>
      <c r="B2029" t="s">
        <v>2257</v>
      </c>
      <c r="C2029" s="2" t="s">
        <v>2257</v>
      </c>
      <c r="D2029" t="s">
        <v>2257</v>
      </c>
      <c r="E2029" s="2" t="s">
        <v>2257</v>
      </c>
      <c r="F2029" s="8" t="s">
        <v>2257</v>
      </c>
      <c r="G2029" s="2" t="s">
        <v>2257</v>
      </c>
      <c r="H2029" s="2" t="s">
        <v>2257</v>
      </c>
      <c r="I2029" s="2" t="s">
        <v>2257</v>
      </c>
      <c r="J2029" t="str">
        <f t="shared" si="53"/>
        <v/>
      </c>
    </row>
    <row r="2030" spans="1:10" x14ac:dyDescent="0.15">
      <c r="A2030" t="s">
        <v>2257</v>
      </c>
      <c r="B2030" t="s">
        <v>2257</v>
      </c>
      <c r="C2030" s="2" t="s">
        <v>2257</v>
      </c>
      <c r="D2030" t="s">
        <v>2257</v>
      </c>
      <c r="E2030" s="2" t="s">
        <v>2257</v>
      </c>
      <c r="F2030" s="8" t="s">
        <v>2257</v>
      </c>
      <c r="G2030" s="2" t="s">
        <v>2257</v>
      </c>
      <c r="H2030" s="2" t="s">
        <v>2257</v>
      </c>
      <c r="I2030" s="2" t="s">
        <v>2257</v>
      </c>
      <c r="J2030" t="str">
        <f t="shared" si="53"/>
        <v/>
      </c>
    </row>
    <row r="2031" spans="1:10" x14ac:dyDescent="0.15">
      <c r="A2031" t="s">
        <v>2257</v>
      </c>
      <c r="B2031" t="s">
        <v>2257</v>
      </c>
      <c r="C2031" s="2" t="s">
        <v>2257</v>
      </c>
      <c r="D2031" t="s">
        <v>2257</v>
      </c>
      <c r="E2031" s="2" t="s">
        <v>2257</v>
      </c>
      <c r="F2031" s="8" t="s">
        <v>2257</v>
      </c>
      <c r="G2031" s="2" t="s">
        <v>2257</v>
      </c>
      <c r="H2031" s="2" t="s">
        <v>2257</v>
      </c>
      <c r="I2031" s="2" t="s">
        <v>2257</v>
      </c>
      <c r="J2031" t="str">
        <f t="shared" si="53"/>
        <v/>
      </c>
    </row>
    <row r="2032" spans="1:10" x14ac:dyDescent="0.15">
      <c r="A2032" t="s">
        <v>2257</v>
      </c>
      <c r="B2032" t="s">
        <v>2257</v>
      </c>
      <c r="C2032" s="2" t="s">
        <v>2257</v>
      </c>
      <c r="D2032" t="s">
        <v>2257</v>
      </c>
      <c r="E2032" s="2" t="s">
        <v>2257</v>
      </c>
      <c r="F2032" s="8" t="s">
        <v>2257</v>
      </c>
      <c r="G2032" s="2" t="s">
        <v>2257</v>
      </c>
      <c r="H2032" s="2" t="s">
        <v>2257</v>
      </c>
      <c r="I2032" s="2" t="s">
        <v>2257</v>
      </c>
      <c r="J2032" t="str">
        <f t="shared" si="53"/>
        <v/>
      </c>
    </row>
    <row r="2033" spans="1:10" x14ac:dyDescent="0.15">
      <c r="A2033" t="s">
        <v>2257</v>
      </c>
      <c r="B2033" t="s">
        <v>2257</v>
      </c>
      <c r="C2033" s="2" t="s">
        <v>2257</v>
      </c>
      <c r="D2033" t="s">
        <v>2257</v>
      </c>
      <c r="E2033" s="2" t="s">
        <v>2257</v>
      </c>
      <c r="F2033" s="8" t="s">
        <v>2257</v>
      </c>
      <c r="G2033" s="2" t="s">
        <v>2257</v>
      </c>
      <c r="H2033" s="2" t="s">
        <v>2257</v>
      </c>
      <c r="I2033" s="2" t="s">
        <v>2257</v>
      </c>
      <c r="J2033" t="str">
        <f t="shared" si="53"/>
        <v/>
      </c>
    </row>
    <row r="2034" spans="1:10" x14ac:dyDescent="0.15">
      <c r="A2034" t="s">
        <v>2257</v>
      </c>
      <c r="B2034" t="s">
        <v>2257</v>
      </c>
      <c r="C2034" s="2" t="s">
        <v>2257</v>
      </c>
      <c r="D2034" t="s">
        <v>2257</v>
      </c>
      <c r="E2034" s="2" t="s">
        <v>2257</v>
      </c>
      <c r="F2034" s="8" t="s">
        <v>2257</v>
      </c>
      <c r="G2034" s="2" t="s">
        <v>2257</v>
      </c>
      <c r="H2034" s="2" t="s">
        <v>2257</v>
      </c>
      <c r="I2034" s="2" t="s">
        <v>2257</v>
      </c>
      <c r="J2034" t="str">
        <f t="shared" si="53"/>
        <v/>
      </c>
    </row>
    <row r="2035" spans="1:10" x14ac:dyDescent="0.15">
      <c r="A2035" t="s">
        <v>2257</v>
      </c>
      <c r="B2035" t="s">
        <v>2257</v>
      </c>
      <c r="C2035" s="2" t="s">
        <v>2257</v>
      </c>
      <c r="D2035" t="s">
        <v>2257</v>
      </c>
      <c r="E2035" s="2" t="s">
        <v>2257</v>
      </c>
      <c r="F2035" s="8" t="s">
        <v>2257</v>
      </c>
      <c r="G2035" s="2" t="s">
        <v>2257</v>
      </c>
      <c r="H2035" s="2" t="s">
        <v>2257</v>
      </c>
      <c r="I2035" s="2" t="s">
        <v>2257</v>
      </c>
      <c r="J2035" t="str">
        <f t="shared" si="53"/>
        <v/>
      </c>
    </row>
    <row r="2036" spans="1:10" x14ac:dyDescent="0.15">
      <c r="A2036" t="s">
        <v>2257</v>
      </c>
      <c r="B2036" t="s">
        <v>2257</v>
      </c>
      <c r="C2036" s="2" t="s">
        <v>2257</v>
      </c>
      <c r="D2036" t="s">
        <v>2257</v>
      </c>
      <c r="E2036" s="2" t="s">
        <v>2257</v>
      </c>
      <c r="F2036" s="8" t="s">
        <v>2257</v>
      </c>
      <c r="G2036" s="2" t="s">
        <v>2257</v>
      </c>
      <c r="H2036" s="2" t="s">
        <v>2257</v>
      </c>
      <c r="I2036" s="2" t="s">
        <v>2257</v>
      </c>
      <c r="J2036" t="str">
        <f t="shared" si="53"/>
        <v/>
      </c>
    </row>
    <row r="2037" spans="1:10" x14ac:dyDescent="0.15">
      <c r="A2037" t="s">
        <v>2257</v>
      </c>
      <c r="B2037" t="s">
        <v>2257</v>
      </c>
      <c r="C2037" s="2" t="s">
        <v>2257</v>
      </c>
      <c r="D2037" t="s">
        <v>2257</v>
      </c>
      <c r="E2037" s="2" t="s">
        <v>2257</v>
      </c>
      <c r="F2037" s="8" t="s">
        <v>2257</v>
      </c>
      <c r="G2037" s="2" t="s">
        <v>2257</v>
      </c>
      <c r="H2037" s="2" t="s">
        <v>2257</v>
      </c>
      <c r="I2037" s="2" t="s">
        <v>2257</v>
      </c>
      <c r="J2037" t="str">
        <f t="shared" si="53"/>
        <v/>
      </c>
    </row>
    <row r="2038" spans="1:10" x14ac:dyDescent="0.15">
      <c r="A2038" t="s">
        <v>2257</v>
      </c>
      <c r="B2038" t="s">
        <v>2257</v>
      </c>
      <c r="C2038" s="2" t="s">
        <v>2257</v>
      </c>
      <c r="D2038" t="s">
        <v>2257</v>
      </c>
      <c r="E2038" s="2" t="s">
        <v>2257</v>
      </c>
      <c r="F2038" s="8" t="s">
        <v>2257</v>
      </c>
      <c r="G2038" s="2" t="s">
        <v>2257</v>
      </c>
      <c r="H2038" s="2" t="s">
        <v>2257</v>
      </c>
      <c r="I2038" s="2" t="s">
        <v>2257</v>
      </c>
      <c r="J2038" t="str">
        <f t="shared" si="53"/>
        <v/>
      </c>
    </row>
    <row r="2039" spans="1:10" x14ac:dyDescent="0.15">
      <c r="A2039" t="s">
        <v>2257</v>
      </c>
      <c r="B2039" t="s">
        <v>2257</v>
      </c>
      <c r="C2039" s="2" t="s">
        <v>2257</v>
      </c>
      <c r="D2039" t="s">
        <v>2257</v>
      </c>
      <c r="E2039" s="2" t="s">
        <v>2257</v>
      </c>
      <c r="F2039" s="8" t="s">
        <v>2257</v>
      </c>
      <c r="G2039" s="2" t="s">
        <v>2257</v>
      </c>
      <c r="H2039" s="2" t="s">
        <v>2257</v>
      </c>
      <c r="I2039" s="2" t="s">
        <v>2257</v>
      </c>
      <c r="J2039" t="str">
        <f t="shared" si="53"/>
        <v/>
      </c>
    </row>
    <row r="2040" spans="1:10" x14ac:dyDescent="0.15">
      <c r="A2040" t="s">
        <v>2257</v>
      </c>
      <c r="B2040" t="s">
        <v>2257</v>
      </c>
      <c r="C2040" s="2" t="s">
        <v>2257</v>
      </c>
      <c r="D2040" t="s">
        <v>2257</v>
      </c>
      <c r="E2040" s="2" t="s">
        <v>2257</v>
      </c>
      <c r="F2040" s="8" t="s">
        <v>2257</v>
      </c>
      <c r="G2040" s="2" t="s">
        <v>2257</v>
      </c>
      <c r="H2040" s="2" t="s">
        <v>2257</v>
      </c>
      <c r="I2040" s="2" t="s">
        <v>2257</v>
      </c>
      <c r="J2040" t="str">
        <f t="shared" si="53"/>
        <v/>
      </c>
    </row>
    <row r="2041" spans="1:10" x14ac:dyDescent="0.15">
      <c r="A2041" t="s">
        <v>2257</v>
      </c>
      <c r="B2041" t="s">
        <v>2257</v>
      </c>
      <c r="C2041" s="2" t="s">
        <v>2257</v>
      </c>
      <c r="D2041" t="s">
        <v>2257</v>
      </c>
      <c r="E2041" s="2" t="s">
        <v>2257</v>
      </c>
      <c r="F2041" s="8" t="s">
        <v>2257</v>
      </c>
      <c r="G2041" s="2" t="s">
        <v>2257</v>
      </c>
      <c r="H2041" s="2" t="s">
        <v>2257</v>
      </c>
      <c r="I2041" s="2" t="s">
        <v>2257</v>
      </c>
      <c r="J2041" t="str">
        <f t="shared" si="53"/>
        <v/>
      </c>
    </row>
    <row r="2042" spans="1:10" x14ac:dyDescent="0.15">
      <c r="A2042" t="s">
        <v>2257</v>
      </c>
      <c r="B2042" t="s">
        <v>2257</v>
      </c>
      <c r="C2042" s="2" t="s">
        <v>2257</v>
      </c>
      <c r="D2042" t="s">
        <v>2257</v>
      </c>
      <c r="E2042" s="2" t="s">
        <v>2257</v>
      </c>
      <c r="F2042" s="8" t="s">
        <v>2257</v>
      </c>
      <c r="G2042" s="2" t="s">
        <v>2257</v>
      </c>
      <c r="H2042" s="2" t="s">
        <v>2257</v>
      </c>
      <c r="I2042" s="2" t="s">
        <v>2257</v>
      </c>
      <c r="J2042" t="str">
        <f t="shared" si="53"/>
        <v/>
      </c>
    </row>
    <row r="2043" spans="1:10" x14ac:dyDescent="0.15">
      <c r="A2043" t="s">
        <v>2257</v>
      </c>
      <c r="B2043" t="s">
        <v>2257</v>
      </c>
      <c r="C2043" s="2" t="s">
        <v>2257</v>
      </c>
      <c r="D2043" t="s">
        <v>2257</v>
      </c>
      <c r="E2043" s="2" t="s">
        <v>2257</v>
      </c>
      <c r="F2043" s="8" t="s">
        <v>2257</v>
      </c>
      <c r="G2043" s="2" t="s">
        <v>2257</v>
      </c>
      <c r="H2043" s="2" t="s">
        <v>2257</v>
      </c>
      <c r="I2043" s="2" t="s">
        <v>2257</v>
      </c>
      <c r="J2043" t="str">
        <f t="shared" si="53"/>
        <v/>
      </c>
    </row>
    <row r="2044" spans="1:10" x14ac:dyDescent="0.15">
      <c r="A2044" t="s">
        <v>2257</v>
      </c>
      <c r="B2044" t="s">
        <v>2257</v>
      </c>
      <c r="C2044" s="2" t="s">
        <v>2257</v>
      </c>
      <c r="D2044" t="s">
        <v>2257</v>
      </c>
      <c r="E2044" s="2" t="s">
        <v>2257</v>
      </c>
      <c r="F2044" s="8" t="s">
        <v>2257</v>
      </c>
      <c r="G2044" s="2" t="s">
        <v>2257</v>
      </c>
      <c r="H2044" s="2" t="s">
        <v>2257</v>
      </c>
      <c r="I2044" s="2" t="s">
        <v>2257</v>
      </c>
      <c r="J2044" t="str">
        <f t="shared" si="53"/>
        <v/>
      </c>
    </row>
    <row r="2045" spans="1:10" x14ac:dyDescent="0.15">
      <c r="A2045" t="s">
        <v>2257</v>
      </c>
      <c r="B2045" t="s">
        <v>2257</v>
      </c>
      <c r="C2045" s="2" t="s">
        <v>2257</v>
      </c>
      <c r="D2045" t="s">
        <v>2257</v>
      </c>
      <c r="E2045" s="2" t="s">
        <v>2257</v>
      </c>
      <c r="F2045" s="8" t="s">
        <v>2257</v>
      </c>
      <c r="G2045" s="2" t="s">
        <v>2257</v>
      </c>
      <c r="H2045" s="2" t="s">
        <v>2257</v>
      </c>
      <c r="I2045" s="2" t="s">
        <v>2257</v>
      </c>
      <c r="J2045" t="str">
        <f t="shared" si="53"/>
        <v/>
      </c>
    </row>
    <row r="2046" spans="1:10" x14ac:dyDescent="0.15">
      <c r="A2046" t="s">
        <v>2257</v>
      </c>
      <c r="B2046" t="s">
        <v>2257</v>
      </c>
      <c r="C2046" s="2" t="s">
        <v>2257</v>
      </c>
      <c r="D2046" t="s">
        <v>2257</v>
      </c>
      <c r="E2046" s="2" t="s">
        <v>2257</v>
      </c>
      <c r="F2046" s="8" t="s">
        <v>2257</v>
      </c>
      <c r="G2046" s="2" t="s">
        <v>2257</v>
      </c>
      <c r="H2046" s="2" t="s">
        <v>2257</v>
      </c>
      <c r="I2046" s="2" t="s">
        <v>2257</v>
      </c>
      <c r="J2046" t="str">
        <f t="shared" si="53"/>
        <v/>
      </c>
    </row>
    <row r="2047" spans="1:10" x14ac:dyDescent="0.15">
      <c r="A2047" t="s">
        <v>2257</v>
      </c>
      <c r="B2047" t="s">
        <v>2257</v>
      </c>
      <c r="C2047" s="2" t="s">
        <v>2257</v>
      </c>
      <c r="D2047" t="s">
        <v>2257</v>
      </c>
      <c r="E2047" s="2" t="s">
        <v>2257</v>
      </c>
      <c r="F2047" s="8" t="s">
        <v>2257</v>
      </c>
      <c r="G2047" s="2" t="s">
        <v>2257</v>
      </c>
      <c r="H2047" s="2" t="s">
        <v>2257</v>
      </c>
      <c r="I2047" s="2" t="s">
        <v>2257</v>
      </c>
      <c r="J2047" t="str">
        <f t="shared" si="53"/>
        <v/>
      </c>
    </row>
    <row r="2048" spans="1:10" x14ac:dyDescent="0.15">
      <c r="A2048" t="s">
        <v>2257</v>
      </c>
      <c r="B2048" t="s">
        <v>2257</v>
      </c>
      <c r="C2048" s="2" t="s">
        <v>2257</v>
      </c>
      <c r="D2048" t="s">
        <v>2257</v>
      </c>
      <c r="E2048" s="2" t="s">
        <v>2257</v>
      </c>
      <c r="F2048" s="8" t="s">
        <v>2257</v>
      </c>
      <c r="G2048" s="2" t="s">
        <v>2257</v>
      </c>
      <c r="H2048" s="2" t="s">
        <v>2257</v>
      </c>
      <c r="I2048" s="2" t="s">
        <v>2257</v>
      </c>
      <c r="J2048" t="str">
        <f t="shared" si="53"/>
        <v/>
      </c>
    </row>
    <row r="2049" spans="1:10" x14ac:dyDescent="0.15">
      <c r="A2049" t="s">
        <v>2257</v>
      </c>
      <c r="B2049" t="s">
        <v>2257</v>
      </c>
      <c r="C2049" s="2" t="s">
        <v>2257</v>
      </c>
      <c r="D2049" t="s">
        <v>2257</v>
      </c>
      <c r="E2049" s="2" t="s">
        <v>2257</v>
      </c>
      <c r="F2049" s="8" t="s">
        <v>2257</v>
      </c>
      <c r="G2049" s="2" t="s">
        <v>2257</v>
      </c>
      <c r="H2049" s="2" t="s">
        <v>2257</v>
      </c>
      <c r="I2049" s="2" t="s">
        <v>2257</v>
      </c>
      <c r="J2049" t="str">
        <f t="shared" si="53"/>
        <v/>
      </c>
    </row>
    <row r="2050" spans="1:10" x14ac:dyDescent="0.15">
      <c r="A2050" t="s">
        <v>2257</v>
      </c>
      <c r="B2050" t="s">
        <v>2257</v>
      </c>
      <c r="C2050" s="2" t="s">
        <v>2257</v>
      </c>
      <c r="D2050" t="s">
        <v>2257</v>
      </c>
      <c r="E2050" s="2" t="s">
        <v>2257</v>
      </c>
      <c r="F2050" s="8" t="s">
        <v>2257</v>
      </c>
      <c r="G2050" s="2" t="s">
        <v>2257</v>
      </c>
      <c r="H2050" s="2" t="s">
        <v>2257</v>
      </c>
      <c r="I2050" s="2" t="s">
        <v>2257</v>
      </c>
      <c r="J2050" t="str">
        <f t="shared" si="53"/>
        <v/>
      </c>
    </row>
    <row r="2051" spans="1:10" x14ac:dyDescent="0.15">
      <c r="A2051" t="s">
        <v>2257</v>
      </c>
      <c r="B2051" t="s">
        <v>2257</v>
      </c>
      <c r="C2051" s="2" t="s">
        <v>2257</v>
      </c>
      <c r="D2051" t="s">
        <v>2257</v>
      </c>
      <c r="E2051" s="2" t="s">
        <v>2257</v>
      </c>
      <c r="F2051" s="8" t="s">
        <v>2257</v>
      </c>
      <c r="G2051" s="2" t="s">
        <v>2257</v>
      </c>
      <c r="H2051" s="2" t="s">
        <v>2257</v>
      </c>
      <c r="I2051" s="2" t="s">
        <v>2257</v>
      </c>
      <c r="J2051" t="str">
        <f t="shared" si="53"/>
        <v/>
      </c>
    </row>
    <row r="2052" spans="1:10" x14ac:dyDescent="0.15">
      <c r="A2052" t="s">
        <v>2257</v>
      </c>
      <c r="B2052" t="s">
        <v>2257</v>
      </c>
      <c r="C2052" s="2" t="s">
        <v>2257</v>
      </c>
      <c r="D2052" t="s">
        <v>2257</v>
      </c>
      <c r="E2052" s="2" t="s">
        <v>2257</v>
      </c>
      <c r="F2052" s="8" t="s">
        <v>2257</v>
      </c>
      <c r="G2052" s="2" t="s">
        <v>2257</v>
      </c>
      <c r="H2052" s="2" t="s">
        <v>2257</v>
      </c>
      <c r="I2052" s="2" t="s">
        <v>2257</v>
      </c>
      <c r="J2052" t="str">
        <f t="shared" si="53"/>
        <v/>
      </c>
    </row>
    <row r="2053" spans="1:10" x14ac:dyDescent="0.15">
      <c r="A2053" t="s">
        <v>2257</v>
      </c>
      <c r="B2053" t="s">
        <v>2257</v>
      </c>
      <c r="C2053" s="2" t="s">
        <v>2257</v>
      </c>
      <c r="D2053" t="s">
        <v>2257</v>
      </c>
      <c r="E2053" s="2" t="s">
        <v>2257</v>
      </c>
      <c r="F2053" s="8" t="s">
        <v>2257</v>
      </c>
      <c r="G2053" s="2" t="s">
        <v>2257</v>
      </c>
      <c r="H2053" s="2" t="s">
        <v>2257</v>
      </c>
      <c r="I2053" s="2" t="s">
        <v>2257</v>
      </c>
      <c r="J2053" t="str">
        <f t="shared" si="53"/>
        <v/>
      </c>
    </row>
    <row r="2054" spans="1:10" x14ac:dyDescent="0.15">
      <c r="A2054" t="s">
        <v>2257</v>
      </c>
      <c r="B2054" t="s">
        <v>2257</v>
      </c>
      <c r="C2054" s="2" t="s">
        <v>2257</v>
      </c>
      <c r="D2054" t="s">
        <v>2257</v>
      </c>
      <c r="E2054" s="2" t="s">
        <v>2257</v>
      </c>
      <c r="F2054" s="8" t="s">
        <v>2257</v>
      </c>
      <c r="G2054" s="2" t="s">
        <v>2257</v>
      </c>
      <c r="H2054" s="2" t="s">
        <v>2257</v>
      </c>
      <c r="I2054" s="2" t="s">
        <v>2257</v>
      </c>
      <c r="J2054" t="str">
        <f t="shared" si="53"/>
        <v/>
      </c>
    </row>
    <row r="2055" spans="1:10" x14ac:dyDescent="0.15">
      <c r="A2055" t="s">
        <v>2257</v>
      </c>
      <c r="B2055" t="s">
        <v>2257</v>
      </c>
      <c r="C2055" s="2" t="s">
        <v>2257</v>
      </c>
      <c r="D2055" t="s">
        <v>2257</v>
      </c>
      <c r="E2055" s="2" t="s">
        <v>2257</v>
      </c>
      <c r="F2055" s="8" t="s">
        <v>2257</v>
      </c>
      <c r="G2055" s="2" t="s">
        <v>2257</v>
      </c>
      <c r="H2055" s="2" t="s">
        <v>2257</v>
      </c>
      <c r="I2055" s="2" t="s">
        <v>2257</v>
      </c>
      <c r="J2055" t="str">
        <f t="shared" si="53"/>
        <v/>
      </c>
    </row>
    <row r="2056" spans="1:10" x14ac:dyDescent="0.15">
      <c r="A2056" t="s">
        <v>2257</v>
      </c>
      <c r="B2056" t="s">
        <v>2257</v>
      </c>
      <c r="C2056" s="2" t="s">
        <v>2257</v>
      </c>
      <c r="D2056" t="s">
        <v>2257</v>
      </c>
      <c r="E2056" s="2" t="s">
        <v>2257</v>
      </c>
      <c r="F2056" s="8" t="s">
        <v>2257</v>
      </c>
      <c r="G2056" s="2" t="s">
        <v>2257</v>
      </c>
      <c r="H2056" s="2" t="s">
        <v>2257</v>
      </c>
      <c r="I2056" s="2" t="s">
        <v>2257</v>
      </c>
      <c r="J2056" t="str">
        <f t="shared" si="53"/>
        <v/>
      </c>
    </row>
    <row r="2057" spans="1:10" x14ac:dyDescent="0.15">
      <c r="A2057" t="s">
        <v>2257</v>
      </c>
      <c r="B2057" t="s">
        <v>2257</v>
      </c>
      <c r="C2057" s="2" t="s">
        <v>2257</v>
      </c>
      <c r="D2057" t="s">
        <v>2257</v>
      </c>
      <c r="E2057" s="2" t="s">
        <v>2257</v>
      </c>
      <c r="F2057" s="8" t="s">
        <v>2257</v>
      </c>
      <c r="G2057" s="2" t="s">
        <v>2257</v>
      </c>
      <c r="H2057" s="2" t="s">
        <v>2257</v>
      </c>
      <c r="I2057" s="2" t="s">
        <v>2257</v>
      </c>
      <c r="J2057" t="str">
        <f t="shared" si="53"/>
        <v/>
      </c>
    </row>
    <row r="2058" spans="1:10" x14ac:dyDescent="0.15">
      <c r="A2058" t="s">
        <v>2257</v>
      </c>
      <c r="B2058" t="s">
        <v>2257</v>
      </c>
      <c r="C2058" s="2" t="s">
        <v>2257</v>
      </c>
      <c r="D2058" t="s">
        <v>2257</v>
      </c>
      <c r="E2058" s="2" t="s">
        <v>2257</v>
      </c>
      <c r="F2058" s="8" t="s">
        <v>2257</v>
      </c>
      <c r="G2058" s="2" t="s">
        <v>2257</v>
      </c>
      <c r="H2058" s="2" t="s">
        <v>2257</v>
      </c>
      <c r="I2058" s="2" t="s">
        <v>2257</v>
      </c>
      <c r="J2058" t="str">
        <f t="shared" si="53"/>
        <v/>
      </c>
    </row>
    <row r="2059" spans="1:10" x14ac:dyDescent="0.15">
      <c r="A2059" t="s">
        <v>2257</v>
      </c>
      <c r="B2059" t="s">
        <v>2257</v>
      </c>
      <c r="C2059" s="2" t="s">
        <v>2257</v>
      </c>
      <c r="D2059" t="s">
        <v>2257</v>
      </c>
      <c r="E2059" s="2" t="s">
        <v>2257</v>
      </c>
      <c r="F2059" s="8" t="s">
        <v>2257</v>
      </c>
      <c r="G2059" s="2" t="s">
        <v>2257</v>
      </c>
      <c r="H2059" s="2" t="s">
        <v>2257</v>
      </c>
      <c r="I2059" s="2" t="s">
        <v>2257</v>
      </c>
      <c r="J2059" t="str">
        <f t="shared" ref="J2059:J2122" si="54">IF(A2059="","",IF(AND(C2059="",D2059&lt;&gt;"UNS",I2059=""),"Open","Closed"))</f>
        <v/>
      </c>
    </row>
    <row r="2060" spans="1:10" x14ac:dyDescent="0.15">
      <c r="A2060" t="s">
        <v>2257</v>
      </c>
      <c r="B2060" t="s">
        <v>2257</v>
      </c>
      <c r="C2060" s="2" t="s">
        <v>2257</v>
      </c>
      <c r="D2060" t="s">
        <v>2257</v>
      </c>
      <c r="E2060" s="2" t="s">
        <v>2257</v>
      </c>
      <c r="F2060" s="8" t="s">
        <v>2257</v>
      </c>
      <c r="G2060" s="2" t="s">
        <v>2257</v>
      </c>
      <c r="H2060" s="2" t="s">
        <v>2257</v>
      </c>
      <c r="I2060" s="2" t="s">
        <v>2257</v>
      </c>
      <c r="J2060" t="str">
        <f t="shared" si="54"/>
        <v/>
      </c>
    </row>
    <row r="2061" spans="1:10" x14ac:dyDescent="0.15">
      <c r="A2061" t="s">
        <v>2257</v>
      </c>
      <c r="B2061" t="s">
        <v>2257</v>
      </c>
      <c r="C2061" s="2" t="s">
        <v>2257</v>
      </c>
      <c r="D2061" t="s">
        <v>2257</v>
      </c>
      <c r="E2061" s="2" t="s">
        <v>2257</v>
      </c>
      <c r="F2061" s="8" t="s">
        <v>2257</v>
      </c>
      <c r="G2061" s="2" t="s">
        <v>2257</v>
      </c>
      <c r="H2061" s="2" t="s">
        <v>2257</v>
      </c>
      <c r="I2061" s="2" t="s">
        <v>2257</v>
      </c>
      <c r="J2061" t="str">
        <f t="shared" si="54"/>
        <v/>
      </c>
    </row>
    <row r="2062" spans="1:10" x14ac:dyDescent="0.15">
      <c r="A2062" t="s">
        <v>2257</v>
      </c>
      <c r="B2062" t="s">
        <v>2257</v>
      </c>
      <c r="C2062" s="2" t="s">
        <v>2257</v>
      </c>
      <c r="D2062" t="s">
        <v>2257</v>
      </c>
      <c r="E2062" s="2" t="s">
        <v>2257</v>
      </c>
      <c r="F2062" s="8" t="s">
        <v>2257</v>
      </c>
      <c r="G2062" s="2" t="s">
        <v>2257</v>
      </c>
      <c r="H2062" s="2" t="s">
        <v>2257</v>
      </c>
      <c r="I2062" s="2" t="s">
        <v>2257</v>
      </c>
      <c r="J2062" t="str">
        <f t="shared" si="54"/>
        <v/>
      </c>
    </row>
    <row r="2063" spans="1:10" x14ac:dyDescent="0.15">
      <c r="A2063" t="s">
        <v>2257</v>
      </c>
      <c r="B2063" t="s">
        <v>2257</v>
      </c>
      <c r="C2063" s="2" t="s">
        <v>2257</v>
      </c>
      <c r="D2063" t="s">
        <v>2257</v>
      </c>
      <c r="E2063" s="2" t="s">
        <v>2257</v>
      </c>
      <c r="F2063" s="8" t="s">
        <v>2257</v>
      </c>
      <c r="G2063" s="2" t="s">
        <v>2257</v>
      </c>
      <c r="H2063" s="2" t="s">
        <v>2257</v>
      </c>
      <c r="I2063" s="2" t="s">
        <v>2257</v>
      </c>
      <c r="J2063" t="str">
        <f t="shared" si="54"/>
        <v/>
      </c>
    </row>
    <row r="2064" spans="1:10" x14ac:dyDescent="0.15">
      <c r="A2064" t="s">
        <v>2257</v>
      </c>
      <c r="B2064" t="s">
        <v>2257</v>
      </c>
      <c r="C2064" s="2" t="s">
        <v>2257</v>
      </c>
      <c r="D2064" t="s">
        <v>2257</v>
      </c>
      <c r="E2064" s="2" t="s">
        <v>2257</v>
      </c>
      <c r="F2064" s="8" t="s">
        <v>2257</v>
      </c>
      <c r="G2064" s="2" t="s">
        <v>2257</v>
      </c>
      <c r="H2064" s="2" t="s">
        <v>2257</v>
      </c>
      <c r="I2064" s="2" t="s">
        <v>2257</v>
      </c>
      <c r="J2064" t="str">
        <f t="shared" si="54"/>
        <v/>
      </c>
    </row>
    <row r="2065" spans="1:10" x14ac:dyDescent="0.15">
      <c r="A2065" t="s">
        <v>2257</v>
      </c>
      <c r="B2065" t="s">
        <v>2257</v>
      </c>
      <c r="C2065" s="2" t="s">
        <v>2257</v>
      </c>
      <c r="D2065" t="s">
        <v>2257</v>
      </c>
      <c r="E2065" s="2" t="s">
        <v>2257</v>
      </c>
      <c r="F2065" s="8" t="s">
        <v>2257</v>
      </c>
      <c r="G2065" s="2" t="s">
        <v>2257</v>
      </c>
      <c r="H2065" s="2" t="s">
        <v>2257</v>
      </c>
      <c r="I2065" s="2" t="s">
        <v>2257</v>
      </c>
      <c r="J2065" t="str">
        <f t="shared" si="54"/>
        <v/>
      </c>
    </row>
    <row r="2066" spans="1:10" x14ac:dyDescent="0.15">
      <c r="A2066" t="s">
        <v>2257</v>
      </c>
      <c r="B2066" t="s">
        <v>2257</v>
      </c>
      <c r="C2066" s="2" t="s">
        <v>2257</v>
      </c>
      <c r="D2066" t="s">
        <v>2257</v>
      </c>
      <c r="E2066" s="2" t="s">
        <v>2257</v>
      </c>
      <c r="F2066" s="8" t="s">
        <v>2257</v>
      </c>
      <c r="G2066" s="2" t="s">
        <v>2257</v>
      </c>
      <c r="H2066" s="2" t="s">
        <v>2257</v>
      </c>
      <c r="I2066" s="2" t="s">
        <v>2257</v>
      </c>
      <c r="J2066" t="str">
        <f t="shared" si="54"/>
        <v/>
      </c>
    </row>
    <row r="2067" spans="1:10" x14ac:dyDescent="0.15">
      <c r="A2067" t="s">
        <v>2257</v>
      </c>
      <c r="B2067" t="s">
        <v>2257</v>
      </c>
      <c r="C2067" s="2" t="s">
        <v>2257</v>
      </c>
      <c r="D2067" t="s">
        <v>2257</v>
      </c>
      <c r="E2067" s="2" t="s">
        <v>2257</v>
      </c>
      <c r="F2067" s="8" t="s">
        <v>2257</v>
      </c>
      <c r="G2067" s="2" t="s">
        <v>2257</v>
      </c>
      <c r="H2067" s="2" t="s">
        <v>2257</v>
      </c>
      <c r="I2067" s="2" t="s">
        <v>2257</v>
      </c>
      <c r="J2067" t="str">
        <f t="shared" si="54"/>
        <v/>
      </c>
    </row>
    <row r="2068" spans="1:10" x14ac:dyDescent="0.15">
      <c r="A2068" t="s">
        <v>2257</v>
      </c>
      <c r="B2068" t="s">
        <v>2257</v>
      </c>
      <c r="C2068" s="2" t="s">
        <v>2257</v>
      </c>
      <c r="D2068" t="s">
        <v>2257</v>
      </c>
      <c r="E2068" s="2" t="s">
        <v>2257</v>
      </c>
      <c r="F2068" s="8" t="s">
        <v>2257</v>
      </c>
      <c r="G2068" s="2" t="s">
        <v>2257</v>
      </c>
      <c r="H2068" s="2" t="s">
        <v>2257</v>
      </c>
      <c r="I2068" s="2" t="s">
        <v>2257</v>
      </c>
      <c r="J2068" t="str">
        <f t="shared" si="54"/>
        <v/>
      </c>
    </row>
    <row r="2069" spans="1:10" x14ac:dyDescent="0.15">
      <c r="A2069" t="s">
        <v>2257</v>
      </c>
      <c r="B2069" t="s">
        <v>2257</v>
      </c>
      <c r="C2069" s="2" t="s">
        <v>2257</v>
      </c>
      <c r="D2069" t="s">
        <v>2257</v>
      </c>
      <c r="E2069" s="2" t="s">
        <v>2257</v>
      </c>
      <c r="F2069" s="8" t="s">
        <v>2257</v>
      </c>
      <c r="G2069" s="2" t="s">
        <v>2257</v>
      </c>
      <c r="H2069" s="2" t="s">
        <v>2257</v>
      </c>
      <c r="I2069" s="2" t="s">
        <v>2257</v>
      </c>
      <c r="J2069" t="str">
        <f t="shared" si="54"/>
        <v/>
      </c>
    </row>
    <row r="2070" spans="1:10" x14ac:dyDescent="0.15">
      <c r="A2070" t="s">
        <v>2257</v>
      </c>
      <c r="B2070" t="s">
        <v>2257</v>
      </c>
      <c r="C2070" s="2" t="s">
        <v>2257</v>
      </c>
      <c r="D2070" t="s">
        <v>2257</v>
      </c>
      <c r="E2070" s="2" t="s">
        <v>2257</v>
      </c>
      <c r="F2070" s="8" t="s">
        <v>2257</v>
      </c>
      <c r="G2070" s="2" t="s">
        <v>2257</v>
      </c>
      <c r="H2070" s="2" t="s">
        <v>2257</v>
      </c>
      <c r="I2070" s="2" t="s">
        <v>2257</v>
      </c>
      <c r="J2070" t="str">
        <f t="shared" si="54"/>
        <v/>
      </c>
    </row>
    <row r="2071" spans="1:10" x14ac:dyDescent="0.15">
      <c r="A2071" t="s">
        <v>2257</v>
      </c>
      <c r="B2071" t="s">
        <v>2257</v>
      </c>
      <c r="C2071" s="2" t="s">
        <v>2257</v>
      </c>
      <c r="D2071" t="s">
        <v>2257</v>
      </c>
      <c r="E2071" s="2" t="s">
        <v>2257</v>
      </c>
      <c r="F2071" s="8" t="s">
        <v>2257</v>
      </c>
      <c r="G2071" s="2" t="s">
        <v>2257</v>
      </c>
      <c r="H2071" s="2" t="s">
        <v>2257</v>
      </c>
      <c r="I2071" s="2" t="s">
        <v>2257</v>
      </c>
      <c r="J2071" t="str">
        <f t="shared" si="54"/>
        <v/>
      </c>
    </row>
    <row r="2072" spans="1:10" x14ac:dyDescent="0.15">
      <c r="A2072" t="s">
        <v>2257</v>
      </c>
      <c r="B2072" t="s">
        <v>2257</v>
      </c>
      <c r="C2072" s="2" t="s">
        <v>2257</v>
      </c>
      <c r="D2072" t="s">
        <v>2257</v>
      </c>
      <c r="E2072" s="2" t="s">
        <v>2257</v>
      </c>
      <c r="F2072" s="8" t="s">
        <v>2257</v>
      </c>
      <c r="G2072" s="2" t="s">
        <v>2257</v>
      </c>
      <c r="H2072" s="2" t="s">
        <v>2257</v>
      </c>
      <c r="I2072" s="2" t="s">
        <v>2257</v>
      </c>
      <c r="J2072" t="str">
        <f t="shared" si="54"/>
        <v/>
      </c>
    </row>
    <row r="2073" spans="1:10" x14ac:dyDescent="0.15">
      <c r="A2073" t="s">
        <v>2257</v>
      </c>
      <c r="B2073" t="s">
        <v>2257</v>
      </c>
      <c r="C2073" s="2" t="s">
        <v>2257</v>
      </c>
      <c r="D2073" t="s">
        <v>2257</v>
      </c>
      <c r="E2073" s="2" t="s">
        <v>2257</v>
      </c>
      <c r="F2073" s="8" t="s">
        <v>2257</v>
      </c>
      <c r="G2073" s="2" t="s">
        <v>2257</v>
      </c>
      <c r="H2073" s="2" t="s">
        <v>2257</v>
      </c>
      <c r="I2073" s="2" t="s">
        <v>2257</v>
      </c>
      <c r="J2073" t="str">
        <f t="shared" si="54"/>
        <v/>
      </c>
    </row>
    <row r="2074" spans="1:10" x14ac:dyDescent="0.15">
      <c r="A2074" t="s">
        <v>2257</v>
      </c>
      <c r="B2074" t="s">
        <v>2257</v>
      </c>
      <c r="C2074" s="2" t="s">
        <v>2257</v>
      </c>
      <c r="D2074" t="s">
        <v>2257</v>
      </c>
      <c r="E2074" s="2" t="s">
        <v>2257</v>
      </c>
      <c r="F2074" s="8" t="s">
        <v>2257</v>
      </c>
      <c r="G2074" s="2" t="s">
        <v>2257</v>
      </c>
      <c r="H2074" s="2" t="s">
        <v>2257</v>
      </c>
      <c r="I2074" s="2" t="s">
        <v>2257</v>
      </c>
      <c r="J2074" t="str">
        <f t="shared" si="54"/>
        <v/>
      </c>
    </row>
    <row r="2075" spans="1:10" x14ac:dyDescent="0.15">
      <c r="A2075" t="s">
        <v>2257</v>
      </c>
      <c r="B2075" t="s">
        <v>2257</v>
      </c>
      <c r="C2075" s="2" t="s">
        <v>2257</v>
      </c>
      <c r="D2075" t="s">
        <v>2257</v>
      </c>
      <c r="E2075" s="2" t="s">
        <v>2257</v>
      </c>
      <c r="F2075" s="8" t="s">
        <v>2257</v>
      </c>
      <c r="G2075" s="2" t="s">
        <v>2257</v>
      </c>
      <c r="H2075" s="2" t="s">
        <v>2257</v>
      </c>
      <c r="I2075" s="2" t="s">
        <v>2257</v>
      </c>
      <c r="J2075" t="str">
        <f t="shared" si="54"/>
        <v/>
      </c>
    </row>
    <row r="2076" spans="1:10" x14ac:dyDescent="0.15">
      <c r="A2076" t="s">
        <v>2257</v>
      </c>
      <c r="B2076" t="s">
        <v>2257</v>
      </c>
      <c r="C2076" s="2" t="s">
        <v>2257</v>
      </c>
      <c r="D2076" t="s">
        <v>2257</v>
      </c>
      <c r="E2076" s="2" t="s">
        <v>2257</v>
      </c>
      <c r="F2076" s="8" t="s">
        <v>2257</v>
      </c>
      <c r="G2076" s="2" t="s">
        <v>2257</v>
      </c>
      <c r="H2076" s="2" t="s">
        <v>2257</v>
      </c>
      <c r="I2076" s="2" t="s">
        <v>2257</v>
      </c>
      <c r="J2076" t="str">
        <f t="shared" si="54"/>
        <v/>
      </c>
    </row>
    <row r="2077" spans="1:10" x14ac:dyDescent="0.15">
      <c r="A2077" t="s">
        <v>2257</v>
      </c>
      <c r="B2077" t="s">
        <v>2257</v>
      </c>
      <c r="C2077" s="2" t="s">
        <v>2257</v>
      </c>
      <c r="D2077" t="s">
        <v>2257</v>
      </c>
      <c r="E2077" s="2" t="s">
        <v>2257</v>
      </c>
      <c r="F2077" s="8" t="s">
        <v>2257</v>
      </c>
      <c r="G2077" s="2" t="s">
        <v>2257</v>
      </c>
      <c r="H2077" s="2" t="s">
        <v>2257</v>
      </c>
      <c r="I2077" s="2" t="s">
        <v>2257</v>
      </c>
      <c r="J2077" t="str">
        <f t="shared" si="54"/>
        <v/>
      </c>
    </row>
    <row r="2078" spans="1:10" x14ac:dyDescent="0.15">
      <c r="A2078" t="s">
        <v>2257</v>
      </c>
      <c r="B2078" t="s">
        <v>2257</v>
      </c>
      <c r="C2078" s="2" t="s">
        <v>2257</v>
      </c>
      <c r="D2078" t="s">
        <v>2257</v>
      </c>
      <c r="E2078" s="2" t="s">
        <v>2257</v>
      </c>
      <c r="F2078" s="8" t="s">
        <v>2257</v>
      </c>
      <c r="G2078" s="2" t="s">
        <v>2257</v>
      </c>
      <c r="H2078" s="2" t="s">
        <v>2257</v>
      </c>
      <c r="I2078" s="2" t="s">
        <v>2257</v>
      </c>
      <c r="J2078" t="str">
        <f t="shared" si="54"/>
        <v/>
      </c>
    </row>
    <row r="2079" spans="1:10" x14ac:dyDescent="0.15">
      <c r="A2079" t="s">
        <v>2257</v>
      </c>
      <c r="B2079" t="s">
        <v>2257</v>
      </c>
      <c r="C2079" s="2" t="s">
        <v>2257</v>
      </c>
      <c r="D2079" t="s">
        <v>2257</v>
      </c>
      <c r="E2079" s="2" t="s">
        <v>2257</v>
      </c>
      <c r="F2079" s="8" t="s">
        <v>2257</v>
      </c>
      <c r="G2079" s="2" t="s">
        <v>2257</v>
      </c>
      <c r="H2079" s="2" t="s">
        <v>2257</v>
      </c>
      <c r="I2079" s="2" t="s">
        <v>2257</v>
      </c>
      <c r="J2079" t="str">
        <f t="shared" si="54"/>
        <v/>
      </c>
    </row>
    <row r="2080" spans="1:10" x14ac:dyDescent="0.15">
      <c r="A2080" t="s">
        <v>2257</v>
      </c>
      <c r="B2080" t="s">
        <v>2257</v>
      </c>
      <c r="C2080" s="2" t="s">
        <v>2257</v>
      </c>
      <c r="D2080" t="s">
        <v>2257</v>
      </c>
      <c r="E2080" s="2" t="s">
        <v>2257</v>
      </c>
      <c r="F2080" s="8" t="s">
        <v>2257</v>
      </c>
      <c r="G2080" s="2" t="s">
        <v>2257</v>
      </c>
      <c r="H2080" s="2" t="s">
        <v>2257</v>
      </c>
      <c r="I2080" s="2" t="s">
        <v>2257</v>
      </c>
      <c r="J2080" t="str">
        <f t="shared" si="54"/>
        <v/>
      </c>
    </row>
    <row r="2081" spans="1:10" x14ac:dyDescent="0.15">
      <c r="A2081" t="s">
        <v>2257</v>
      </c>
      <c r="B2081" t="s">
        <v>2257</v>
      </c>
      <c r="C2081" s="2" t="s">
        <v>2257</v>
      </c>
      <c r="D2081" t="s">
        <v>2257</v>
      </c>
      <c r="E2081" s="2" t="s">
        <v>2257</v>
      </c>
      <c r="F2081" s="8" t="s">
        <v>2257</v>
      </c>
      <c r="G2081" s="2" t="s">
        <v>2257</v>
      </c>
      <c r="H2081" s="2" t="s">
        <v>2257</v>
      </c>
      <c r="I2081" s="2" t="s">
        <v>2257</v>
      </c>
      <c r="J2081" t="str">
        <f t="shared" si="54"/>
        <v/>
      </c>
    </row>
    <row r="2082" spans="1:10" x14ac:dyDescent="0.15">
      <c r="A2082" t="s">
        <v>2257</v>
      </c>
      <c r="B2082" t="s">
        <v>2257</v>
      </c>
      <c r="C2082" s="2" t="s">
        <v>2257</v>
      </c>
      <c r="D2082" t="s">
        <v>2257</v>
      </c>
      <c r="E2082" s="2" t="s">
        <v>2257</v>
      </c>
      <c r="F2082" s="8" t="s">
        <v>2257</v>
      </c>
      <c r="G2082" s="2" t="s">
        <v>2257</v>
      </c>
      <c r="H2082" s="2" t="s">
        <v>2257</v>
      </c>
      <c r="I2082" s="2" t="s">
        <v>2257</v>
      </c>
      <c r="J2082" t="str">
        <f t="shared" si="54"/>
        <v/>
      </c>
    </row>
    <row r="2083" spans="1:10" x14ac:dyDescent="0.15">
      <c r="A2083" t="s">
        <v>2257</v>
      </c>
      <c r="B2083" t="s">
        <v>2257</v>
      </c>
      <c r="C2083" s="2" t="s">
        <v>2257</v>
      </c>
      <c r="D2083" t="s">
        <v>2257</v>
      </c>
      <c r="E2083" s="2" t="s">
        <v>2257</v>
      </c>
      <c r="F2083" s="8" t="s">
        <v>2257</v>
      </c>
      <c r="G2083" s="2" t="s">
        <v>2257</v>
      </c>
      <c r="H2083" s="2" t="s">
        <v>2257</v>
      </c>
      <c r="I2083" s="2" t="s">
        <v>2257</v>
      </c>
      <c r="J2083" t="str">
        <f t="shared" si="54"/>
        <v/>
      </c>
    </row>
    <row r="2084" spans="1:10" x14ac:dyDescent="0.15">
      <c r="A2084" t="s">
        <v>2257</v>
      </c>
      <c r="B2084" t="s">
        <v>2257</v>
      </c>
      <c r="C2084" s="2" t="s">
        <v>2257</v>
      </c>
      <c r="D2084" t="s">
        <v>2257</v>
      </c>
      <c r="E2084" s="2" t="s">
        <v>2257</v>
      </c>
      <c r="F2084" s="8" t="s">
        <v>2257</v>
      </c>
      <c r="G2084" s="2" t="s">
        <v>2257</v>
      </c>
      <c r="H2084" s="2" t="s">
        <v>2257</v>
      </c>
      <c r="I2084" s="2" t="s">
        <v>2257</v>
      </c>
      <c r="J2084" t="str">
        <f t="shared" si="54"/>
        <v/>
      </c>
    </row>
    <row r="2085" spans="1:10" x14ac:dyDescent="0.15">
      <c r="A2085" t="s">
        <v>2257</v>
      </c>
      <c r="B2085" t="s">
        <v>2257</v>
      </c>
      <c r="C2085" s="2" t="s">
        <v>2257</v>
      </c>
      <c r="D2085" t="s">
        <v>2257</v>
      </c>
      <c r="E2085" s="2" t="s">
        <v>2257</v>
      </c>
      <c r="F2085" s="8" t="s">
        <v>2257</v>
      </c>
      <c r="G2085" s="2" t="s">
        <v>2257</v>
      </c>
      <c r="H2085" s="2" t="s">
        <v>2257</v>
      </c>
      <c r="I2085" s="2" t="s">
        <v>2257</v>
      </c>
      <c r="J2085" t="str">
        <f t="shared" si="54"/>
        <v/>
      </c>
    </row>
    <row r="2086" spans="1:10" x14ac:dyDescent="0.15">
      <c r="A2086" t="s">
        <v>2257</v>
      </c>
      <c r="B2086" t="s">
        <v>2257</v>
      </c>
      <c r="C2086" s="2" t="s">
        <v>2257</v>
      </c>
      <c r="D2086" t="s">
        <v>2257</v>
      </c>
      <c r="E2086" s="2" t="s">
        <v>2257</v>
      </c>
      <c r="F2086" s="8" t="s">
        <v>2257</v>
      </c>
      <c r="G2086" s="2" t="s">
        <v>2257</v>
      </c>
      <c r="H2086" s="2" t="s">
        <v>2257</v>
      </c>
      <c r="I2086" s="2" t="s">
        <v>2257</v>
      </c>
      <c r="J2086" t="str">
        <f t="shared" si="54"/>
        <v/>
      </c>
    </row>
    <row r="2087" spans="1:10" x14ac:dyDescent="0.15">
      <c r="A2087" t="s">
        <v>2257</v>
      </c>
      <c r="B2087" t="s">
        <v>2257</v>
      </c>
      <c r="C2087" s="2" t="s">
        <v>2257</v>
      </c>
      <c r="D2087" t="s">
        <v>2257</v>
      </c>
      <c r="E2087" s="2" t="s">
        <v>2257</v>
      </c>
      <c r="F2087" s="8" t="s">
        <v>2257</v>
      </c>
      <c r="G2087" s="2" t="s">
        <v>2257</v>
      </c>
      <c r="H2087" s="2" t="s">
        <v>2257</v>
      </c>
      <c r="I2087" s="2" t="s">
        <v>2257</v>
      </c>
      <c r="J2087" t="str">
        <f t="shared" si="54"/>
        <v/>
      </c>
    </row>
    <row r="2088" spans="1:10" x14ac:dyDescent="0.15">
      <c r="A2088" t="s">
        <v>2257</v>
      </c>
      <c r="B2088" t="s">
        <v>2257</v>
      </c>
      <c r="C2088" s="2" t="s">
        <v>2257</v>
      </c>
      <c r="D2088" t="s">
        <v>2257</v>
      </c>
      <c r="E2088" s="2" t="s">
        <v>2257</v>
      </c>
      <c r="F2088" s="8" t="s">
        <v>2257</v>
      </c>
      <c r="G2088" s="2" t="s">
        <v>2257</v>
      </c>
      <c r="H2088" s="2" t="s">
        <v>2257</v>
      </c>
      <c r="I2088" s="2" t="s">
        <v>2257</v>
      </c>
      <c r="J2088" t="str">
        <f t="shared" si="54"/>
        <v/>
      </c>
    </row>
    <row r="2089" spans="1:10" x14ac:dyDescent="0.15">
      <c r="A2089" t="s">
        <v>2257</v>
      </c>
      <c r="B2089" t="s">
        <v>2257</v>
      </c>
      <c r="C2089" s="2" t="s">
        <v>2257</v>
      </c>
      <c r="D2089" t="s">
        <v>2257</v>
      </c>
      <c r="E2089" s="2" t="s">
        <v>2257</v>
      </c>
      <c r="F2089" s="8" t="s">
        <v>2257</v>
      </c>
      <c r="G2089" s="2" t="s">
        <v>2257</v>
      </c>
      <c r="H2089" s="2" t="s">
        <v>2257</v>
      </c>
      <c r="I2089" s="2" t="s">
        <v>2257</v>
      </c>
      <c r="J2089" t="str">
        <f t="shared" si="54"/>
        <v/>
      </c>
    </row>
    <row r="2090" spans="1:10" x14ac:dyDescent="0.15">
      <c r="A2090" t="s">
        <v>2257</v>
      </c>
      <c r="B2090" t="s">
        <v>2257</v>
      </c>
      <c r="C2090" s="2" t="s">
        <v>2257</v>
      </c>
      <c r="D2090" t="s">
        <v>2257</v>
      </c>
      <c r="E2090" s="2" t="s">
        <v>2257</v>
      </c>
      <c r="F2090" s="8" t="s">
        <v>2257</v>
      </c>
      <c r="G2090" s="2" t="s">
        <v>2257</v>
      </c>
      <c r="H2090" s="2" t="s">
        <v>2257</v>
      </c>
      <c r="I2090" s="2" t="s">
        <v>2257</v>
      </c>
      <c r="J2090" t="str">
        <f t="shared" si="54"/>
        <v/>
      </c>
    </row>
    <row r="2091" spans="1:10" x14ac:dyDescent="0.15">
      <c r="A2091" t="s">
        <v>2257</v>
      </c>
      <c r="B2091" t="s">
        <v>2257</v>
      </c>
      <c r="C2091" s="2" t="s">
        <v>2257</v>
      </c>
      <c r="D2091" t="s">
        <v>2257</v>
      </c>
      <c r="E2091" s="2" t="s">
        <v>2257</v>
      </c>
      <c r="F2091" s="8" t="s">
        <v>2257</v>
      </c>
      <c r="G2091" s="2" t="s">
        <v>2257</v>
      </c>
      <c r="H2091" s="2" t="s">
        <v>2257</v>
      </c>
      <c r="I2091" s="2" t="s">
        <v>2257</v>
      </c>
      <c r="J2091" t="str">
        <f t="shared" si="54"/>
        <v/>
      </c>
    </row>
    <row r="2092" spans="1:10" x14ac:dyDescent="0.15">
      <c r="A2092" t="s">
        <v>2257</v>
      </c>
      <c r="B2092" t="s">
        <v>2257</v>
      </c>
      <c r="C2092" s="2" t="s">
        <v>2257</v>
      </c>
      <c r="D2092" t="s">
        <v>2257</v>
      </c>
      <c r="E2092" s="2" t="s">
        <v>2257</v>
      </c>
      <c r="F2092" s="8" t="s">
        <v>2257</v>
      </c>
      <c r="G2092" s="2" t="s">
        <v>2257</v>
      </c>
      <c r="H2092" s="2" t="s">
        <v>2257</v>
      </c>
      <c r="I2092" s="2" t="s">
        <v>2257</v>
      </c>
      <c r="J2092" t="str">
        <f t="shared" si="54"/>
        <v/>
      </c>
    </row>
    <row r="2093" spans="1:10" x14ac:dyDescent="0.15">
      <c r="A2093" t="s">
        <v>2257</v>
      </c>
      <c r="B2093" t="s">
        <v>2257</v>
      </c>
      <c r="C2093" s="2" t="s">
        <v>2257</v>
      </c>
      <c r="D2093" t="s">
        <v>2257</v>
      </c>
      <c r="E2093" s="2" t="s">
        <v>2257</v>
      </c>
      <c r="F2093" s="8" t="s">
        <v>2257</v>
      </c>
      <c r="G2093" s="2" t="s">
        <v>2257</v>
      </c>
      <c r="H2093" s="2" t="s">
        <v>2257</v>
      </c>
      <c r="I2093" s="2" t="s">
        <v>2257</v>
      </c>
      <c r="J2093" t="str">
        <f t="shared" si="54"/>
        <v/>
      </c>
    </row>
    <row r="2094" spans="1:10" x14ac:dyDescent="0.15">
      <c r="A2094" t="s">
        <v>2257</v>
      </c>
      <c r="B2094" t="s">
        <v>2257</v>
      </c>
      <c r="C2094" s="2" t="s">
        <v>2257</v>
      </c>
      <c r="D2094" t="s">
        <v>2257</v>
      </c>
      <c r="E2094" s="2" t="s">
        <v>2257</v>
      </c>
      <c r="F2094" s="8" t="s">
        <v>2257</v>
      </c>
      <c r="G2094" s="2" t="s">
        <v>2257</v>
      </c>
      <c r="H2094" s="2" t="s">
        <v>2257</v>
      </c>
      <c r="I2094" s="2" t="s">
        <v>2257</v>
      </c>
      <c r="J2094" t="str">
        <f t="shared" si="54"/>
        <v/>
      </c>
    </row>
    <row r="2095" spans="1:10" x14ac:dyDescent="0.15">
      <c r="A2095" t="s">
        <v>2257</v>
      </c>
      <c r="B2095" t="s">
        <v>2257</v>
      </c>
      <c r="C2095" s="2" t="s">
        <v>2257</v>
      </c>
      <c r="D2095" t="s">
        <v>2257</v>
      </c>
      <c r="E2095" s="2" t="s">
        <v>2257</v>
      </c>
      <c r="F2095" s="8" t="s">
        <v>2257</v>
      </c>
      <c r="G2095" s="2" t="s">
        <v>2257</v>
      </c>
      <c r="H2095" s="2" t="s">
        <v>2257</v>
      </c>
      <c r="I2095" s="2" t="s">
        <v>2257</v>
      </c>
      <c r="J2095" t="str">
        <f t="shared" si="54"/>
        <v/>
      </c>
    </row>
    <row r="2096" spans="1:10" x14ac:dyDescent="0.15">
      <c r="A2096" t="s">
        <v>2257</v>
      </c>
      <c r="B2096" t="s">
        <v>2257</v>
      </c>
      <c r="C2096" s="2" t="s">
        <v>2257</v>
      </c>
      <c r="D2096" t="s">
        <v>2257</v>
      </c>
      <c r="E2096" s="2" t="s">
        <v>2257</v>
      </c>
      <c r="F2096" s="8" t="s">
        <v>2257</v>
      </c>
      <c r="G2096" s="2" t="s">
        <v>2257</v>
      </c>
      <c r="H2096" s="2" t="s">
        <v>2257</v>
      </c>
      <c r="I2096" s="2" t="s">
        <v>2257</v>
      </c>
      <c r="J2096" t="str">
        <f t="shared" si="54"/>
        <v/>
      </c>
    </row>
    <row r="2097" spans="1:10" x14ac:dyDescent="0.15">
      <c r="A2097" t="s">
        <v>2257</v>
      </c>
      <c r="B2097" t="s">
        <v>2257</v>
      </c>
      <c r="C2097" s="2" t="s">
        <v>2257</v>
      </c>
      <c r="D2097" t="s">
        <v>2257</v>
      </c>
      <c r="E2097" s="2" t="s">
        <v>2257</v>
      </c>
      <c r="F2097" s="8" t="s">
        <v>2257</v>
      </c>
      <c r="G2097" s="2" t="s">
        <v>2257</v>
      </c>
      <c r="H2097" s="2" t="s">
        <v>2257</v>
      </c>
      <c r="I2097" s="2" t="s">
        <v>2257</v>
      </c>
      <c r="J2097" t="str">
        <f t="shared" si="54"/>
        <v/>
      </c>
    </row>
    <row r="2098" spans="1:10" x14ac:dyDescent="0.15">
      <c r="A2098" t="s">
        <v>2257</v>
      </c>
      <c r="B2098" t="s">
        <v>2257</v>
      </c>
      <c r="C2098" s="2" t="s">
        <v>2257</v>
      </c>
      <c r="D2098" t="s">
        <v>2257</v>
      </c>
      <c r="E2098" s="2" t="s">
        <v>2257</v>
      </c>
      <c r="F2098" s="8" t="s">
        <v>2257</v>
      </c>
      <c r="G2098" s="2" t="s">
        <v>2257</v>
      </c>
      <c r="H2098" s="2" t="s">
        <v>2257</v>
      </c>
      <c r="I2098" s="2" t="s">
        <v>2257</v>
      </c>
      <c r="J2098" t="str">
        <f t="shared" si="54"/>
        <v/>
      </c>
    </row>
    <row r="2099" spans="1:10" x14ac:dyDescent="0.15">
      <c r="A2099" t="s">
        <v>2257</v>
      </c>
      <c r="B2099" t="s">
        <v>2257</v>
      </c>
      <c r="C2099" s="2" t="s">
        <v>2257</v>
      </c>
      <c r="D2099" t="s">
        <v>2257</v>
      </c>
      <c r="E2099" s="2" t="s">
        <v>2257</v>
      </c>
      <c r="F2099" s="8" t="s">
        <v>2257</v>
      </c>
      <c r="G2099" s="2" t="s">
        <v>2257</v>
      </c>
      <c r="H2099" s="2" t="s">
        <v>2257</v>
      </c>
      <c r="I2099" s="2" t="s">
        <v>2257</v>
      </c>
      <c r="J2099" t="str">
        <f t="shared" si="54"/>
        <v/>
      </c>
    </row>
    <row r="2100" spans="1:10" x14ac:dyDescent="0.15">
      <c r="A2100" t="s">
        <v>2257</v>
      </c>
      <c r="B2100" t="s">
        <v>2257</v>
      </c>
      <c r="C2100" s="2" t="s">
        <v>2257</v>
      </c>
      <c r="D2100" t="s">
        <v>2257</v>
      </c>
      <c r="E2100" s="2" t="s">
        <v>2257</v>
      </c>
      <c r="F2100" s="8" t="s">
        <v>2257</v>
      </c>
      <c r="G2100" s="2" t="s">
        <v>2257</v>
      </c>
      <c r="H2100" s="2" t="s">
        <v>2257</v>
      </c>
      <c r="I2100" s="2" t="s">
        <v>2257</v>
      </c>
      <c r="J2100" t="str">
        <f t="shared" si="54"/>
        <v/>
      </c>
    </row>
    <row r="2101" spans="1:10" x14ac:dyDescent="0.15">
      <c r="A2101" t="s">
        <v>2257</v>
      </c>
      <c r="B2101" t="s">
        <v>2257</v>
      </c>
      <c r="C2101" s="2" t="s">
        <v>2257</v>
      </c>
      <c r="D2101" t="s">
        <v>2257</v>
      </c>
      <c r="E2101" s="2" t="s">
        <v>2257</v>
      </c>
      <c r="F2101" s="8" t="s">
        <v>2257</v>
      </c>
      <c r="G2101" s="2" t="s">
        <v>2257</v>
      </c>
      <c r="H2101" s="2" t="s">
        <v>2257</v>
      </c>
      <c r="I2101" s="2" t="s">
        <v>2257</v>
      </c>
      <c r="J2101" t="str">
        <f t="shared" si="54"/>
        <v/>
      </c>
    </row>
    <row r="2102" spans="1:10" x14ac:dyDescent="0.15">
      <c r="A2102" t="s">
        <v>2257</v>
      </c>
      <c r="B2102" t="s">
        <v>2257</v>
      </c>
      <c r="C2102" s="2" t="s">
        <v>2257</v>
      </c>
      <c r="D2102" t="s">
        <v>2257</v>
      </c>
      <c r="E2102" s="2" t="s">
        <v>2257</v>
      </c>
      <c r="F2102" s="8" t="s">
        <v>2257</v>
      </c>
      <c r="G2102" s="2" t="s">
        <v>2257</v>
      </c>
      <c r="H2102" s="2" t="s">
        <v>2257</v>
      </c>
      <c r="I2102" s="2" t="s">
        <v>2257</v>
      </c>
      <c r="J2102" t="str">
        <f t="shared" si="54"/>
        <v/>
      </c>
    </row>
    <row r="2103" spans="1:10" x14ac:dyDescent="0.15">
      <c r="A2103" t="s">
        <v>2257</v>
      </c>
      <c r="B2103" t="s">
        <v>2257</v>
      </c>
      <c r="C2103" s="2" t="s">
        <v>2257</v>
      </c>
      <c r="D2103" t="s">
        <v>2257</v>
      </c>
      <c r="E2103" s="2" t="s">
        <v>2257</v>
      </c>
      <c r="F2103" s="8" t="s">
        <v>2257</v>
      </c>
      <c r="G2103" s="2" t="s">
        <v>2257</v>
      </c>
      <c r="H2103" s="2" t="s">
        <v>2257</v>
      </c>
      <c r="I2103" s="2" t="s">
        <v>2257</v>
      </c>
      <c r="J2103" t="str">
        <f t="shared" si="54"/>
        <v/>
      </c>
    </row>
    <row r="2104" spans="1:10" x14ac:dyDescent="0.15">
      <c r="A2104" t="s">
        <v>2257</v>
      </c>
      <c r="B2104" t="s">
        <v>2257</v>
      </c>
      <c r="C2104" s="2" t="s">
        <v>2257</v>
      </c>
      <c r="D2104" t="s">
        <v>2257</v>
      </c>
      <c r="E2104" s="2" t="s">
        <v>2257</v>
      </c>
      <c r="F2104" s="8" t="s">
        <v>2257</v>
      </c>
      <c r="G2104" s="2" t="s">
        <v>2257</v>
      </c>
      <c r="H2104" s="2" t="s">
        <v>2257</v>
      </c>
      <c r="I2104" s="2" t="s">
        <v>2257</v>
      </c>
      <c r="J2104" t="str">
        <f t="shared" si="54"/>
        <v/>
      </c>
    </row>
    <row r="2105" spans="1:10" x14ac:dyDescent="0.15">
      <c r="A2105" t="s">
        <v>2257</v>
      </c>
      <c r="B2105" t="s">
        <v>2257</v>
      </c>
      <c r="C2105" s="2" t="s">
        <v>2257</v>
      </c>
      <c r="D2105" t="s">
        <v>2257</v>
      </c>
      <c r="E2105" s="2" t="s">
        <v>2257</v>
      </c>
      <c r="F2105" s="8" t="s">
        <v>2257</v>
      </c>
      <c r="G2105" s="2" t="s">
        <v>2257</v>
      </c>
      <c r="H2105" s="2" t="s">
        <v>2257</v>
      </c>
      <c r="I2105" s="2" t="s">
        <v>2257</v>
      </c>
      <c r="J2105" t="str">
        <f t="shared" si="54"/>
        <v/>
      </c>
    </row>
    <row r="2106" spans="1:10" x14ac:dyDescent="0.15">
      <c r="A2106" t="s">
        <v>2257</v>
      </c>
      <c r="B2106" t="s">
        <v>2257</v>
      </c>
      <c r="C2106" s="2" t="s">
        <v>2257</v>
      </c>
      <c r="D2106" t="s">
        <v>2257</v>
      </c>
      <c r="E2106" s="2" t="s">
        <v>2257</v>
      </c>
      <c r="F2106" s="8" t="s">
        <v>2257</v>
      </c>
      <c r="G2106" s="2" t="s">
        <v>2257</v>
      </c>
      <c r="H2106" s="2" t="s">
        <v>2257</v>
      </c>
      <c r="I2106" s="2" t="s">
        <v>2257</v>
      </c>
      <c r="J2106" t="str">
        <f t="shared" si="54"/>
        <v/>
      </c>
    </row>
    <row r="2107" spans="1:10" x14ac:dyDescent="0.15">
      <c r="A2107" t="s">
        <v>2257</v>
      </c>
      <c r="B2107" t="s">
        <v>2257</v>
      </c>
      <c r="C2107" s="2" t="s">
        <v>2257</v>
      </c>
      <c r="D2107" t="s">
        <v>2257</v>
      </c>
      <c r="E2107" s="2" t="s">
        <v>2257</v>
      </c>
      <c r="F2107" s="8" t="s">
        <v>2257</v>
      </c>
      <c r="G2107" s="2" t="s">
        <v>2257</v>
      </c>
      <c r="H2107" s="2" t="s">
        <v>2257</v>
      </c>
      <c r="I2107" s="2" t="s">
        <v>2257</v>
      </c>
      <c r="J2107" t="str">
        <f t="shared" si="54"/>
        <v/>
      </c>
    </row>
    <row r="2108" spans="1:10" x14ac:dyDescent="0.15">
      <c r="A2108" t="s">
        <v>2257</v>
      </c>
      <c r="B2108" t="s">
        <v>2257</v>
      </c>
      <c r="C2108" s="2" t="s">
        <v>2257</v>
      </c>
      <c r="D2108" t="s">
        <v>2257</v>
      </c>
      <c r="E2108" s="2" t="s">
        <v>2257</v>
      </c>
      <c r="F2108" s="8" t="s">
        <v>2257</v>
      </c>
      <c r="G2108" s="2" t="s">
        <v>2257</v>
      </c>
      <c r="H2108" s="2" t="s">
        <v>2257</v>
      </c>
      <c r="I2108" s="2" t="s">
        <v>2257</v>
      </c>
      <c r="J2108" t="str">
        <f t="shared" si="54"/>
        <v/>
      </c>
    </row>
    <row r="2109" spans="1:10" x14ac:dyDescent="0.15">
      <c r="A2109" t="s">
        <v>2257</v>
      </c>
      <c r="B2109" t="s">
        <v>2257</v>
      </c>
      <c r="C2109" s="2" t="s">
        <v>2257</v>
      </c>
      <c r="D2109" t="s">
        <v>2257</v>
      </c>
      <c r="E2109" s="2" t="s">
        <v>2257</v>
      </c>
      <c r="F2109" s="8" t="s">
        <v>2257</v>
      </c>
      <c r="G2109" s="2" t="s">
        <v>2257</v>
      </c>
      <c r="H2109" s="2" t="s">
        <v>2257</v>
      </c>
      <c r="I2109" s="2" t="s">
        <v>2257</v>
      </c>
      <c r="J2109" t="str">
        <f t="shared" si="54"/>
        <v/>
      </c>
    </row>
    <row r="2110" spans="1:10" x14ac:dyDescent="0.15">
      <c r="A2110" t="s">
        <v>2257</v>
      </c>
      <c r="B2110" t="s">
        <v>2257</v>
      </c>
      <c r="C2110" s="2" t="s">
        <v>2257</v>
      </c>
      <c r="D2110" t="s">
        <v>2257</v>
      </c>
      <c r="E2110" s="2" t="s">
        <v>2257</v>
      </c>
      <c r="F2110" s="8" t="s">
        <v>2257</v>
      </c>
      <c r="G2110" s="2" t="s">
        <v>2257</v>
      </c>
      <c r="H2110" s="2" t="s">
        <v>2257</v>
      </c>
      <c r="I2110" s="2" t="s">
        <v>2257</v>
      </c>
      <c r="J2110" t="str">
        <f t="shared" si="54"/>
        <v/>
      </c>
    </row>
    <row r="2111" spans="1:10" x14ac:dyDescent="0.15">
      <c r="A2111" t="s">
        <v>2257</v>
      </c>
      <c r="B2111" t="s">
        <v>2257</v>
      </c>
      <c r="C2111" s="2" t="s">
        <v>2257</v>
      </c>
      <c r="D2111" t="s">
        <v>2257</v>
      </c>
      <c r="E2111" s="2" t="s">
        <v>2257</v>
      </c>
      <c r="F2111" s="8" t="s">
        <v>2257</v>
      </c>
      <c r="G2111" s="2" t="s">
        <v>2257</v>
      </c>
      <c r="H2111" s="2" t="s">
        <v>2257</v>
      </c>
      <c r="I2111" s="2" t="s">
        <v>2257</v>
      </c>
      <c r="J2111" t="str">
        <f t="shared" si="54"/>
        <v/>
      </c>
    </row>
    <row r="2112" spans="1:10" x14ac:dyDescent="0.15">
      <c r="A2112" t="s">
        <v>2257</v>
      </c>
      <c r="B2112" t="s">
        <v>2257</v>
      </c>
      <c r="C2112" s="2" t="s">
        <v>2257</v>
      </c>
      <c r="D2112" t="s">
        <v>2257</v>
      </c>
      <c r="E2112" s="2" t="s">
        <v>2257</v>
      </c>
      <c r="F2112" s="8" t="s">
        <v>2257</v>
      </c>
      <c r="G2112" s="2" t="s">
        <v>2257</v>
      </c>
      <c r="H2112" s="2" t="s">
        <v>2257</v>
      </c>
      <c r="I2112" s="2" t="s">
        <v>2257</v>
      </c>
      <c r="J2112" t="str">
        <f t="shared" si="54"/>
        <v/>
      </c>
    </row>
    <row r="2113" spans="1:10" x14ac:dyDescent="0.15">
      <c r="A2113" t="s">
        <v>2257</v>
      </c>
      <c r="B2113" t="s">
        <v>2257</v>
      </c>
      <c r="C2113" s="2" t="s">
        <v>2257</v>
      </c>
      <c r="D2113" t="s">
        <v>2257</v>
      </c>
      <c r="E2113" s="2" t="s">
        <v>2257</v>
      </c>
      <c r="F2113" s="8" t="s">
        <v>2257</v>
      </c>
      <c r="G2113" s="2" t="s">
        <v>2257</v>
      </c>
      <c r="H2113" s="2" t="s">
        <v>2257</v>
      </c>
      <c r="I2113" s="2" t="s">
        <v>2257</v>
      </c>
      <c r="J2113" t="str">
        <f t="shared" si="54"/>
        <v/>
      </c>
    </row>
    <row r="2114" spans="1:10" x14ac:dyDescent="0.15">
      <c r="A2114" t="s">
        <v>2257</v>
      </c>
      <c r="B2114" t="s">
        <v>2257</v>
      </c>
      <c r="C2114" s="2" t="s">
        <v>2257</v>
      </c>
      <c r="D2114" t="s">
        <v>2257</v>
      </c>
      <c r="E2114" s="2" t="s">
        <v>2257</v>
      </c>
      <c r="F2114" s="8" t="s">
        <v>2257</v>
      </c>
      <c r="G2114" s="2" t="s">
        <v>2257</v>
      </c>
      <c r="H2114" s="2" t="s">
        <v>2257</v>
      </c>
      <c r="I2114" s="2" t="s">
        <v>2257</v>
      </c>
      <c r="J2114" t="str">
        <f t="shared" si="54"/>
        <v/>
      </c>
    </row>
    <row r="2115" spans="1:10" x14ac:dyDescent="0.15">
      <c r="A2115" t="s">
        <v>2257</v>
      </c>
      <c r="B2115" t="s">
        <v>2257</v>
      </c>
      <c r="C2115" s="2" t="s">
        <v>2257</v>
      </c>
      <c r="D2115" t="s">
        <v>2257</v>
      </c>
      <c r="E2115" s="2" t="s">
        <v>2257</v>
      </c>
      <c r="F2115" s="8" t="s">
        <v>2257</v>
      </c>
      <c r="G2115" s="2" t="s">
        <v>2257</v>
      </c>
      <c r="H2115" s="2" t="s">
        <v>2257</v>
      </c>
      <c r="I2115" s="2" t="s">
        <v>2257</v>
      </c>
      <c r="J2115" t="str">
        <f t="shared" si="54"/>
        <v/>
      </c>
    </row>
    <row r="2116" spans="1:10" x14ac:dyDescent="0.15">
      <c r="A2116" t="s">
        <v>2257</v>
      </c>
      <c r="B2116" t="s">
        <v>2257</v>
      </c>
      <c r="C2116" s="2" t="s">
        <v>2257</v>
      </c>
      <c r="D2116" t="s">
        <v>2257</v>
      </c>
      <c r="E2116" s="2" t="s">
        <v>2257</v>
      </c>
      <c r="F2116" s="8" t="s">
        <v>2257</v>
      </c>
      <c r="G2116" s="2" t="s">
        <v>2257</v>
      </c>
      <c r="H2116" s="2" t="s">
        <v>2257</v>
      </c>
      <c r="I2116" s="2" t="s">
        <v>2257</v>
      </c>
      <c r="J2116" t="str">
        <f t="shared" si="54"/>
        <v/>
      </c>
    </row>
    <row r="2117" spans="1:10" x14ac:dyDescent="0.15">
      <c r="A2117" t="s">
        <v>2257</v>
      </c>
      <c r="B2117" t="s">
        <v>2257</v>
      </c>
      <c r="C2117" s="2" t="s">
        <v>2257</v>
      </c>
      <c r="D2117" t="s">
        <v>2257</v>
      </c>
      <c r="E2117" s="2" t="s">
        <v>2257</v>
      </c>
      <c r="F2117" s="8" t="s">
        <v>2257</v>
      </c>
      <c r="G2117" s="2" t="s">
        <v>2257</v>
      </c>
      <c r="H2117" s="2" t="s">
        <v>2257</v>
      </c>
      <c r="I2117" s="2" t="s">
        <v>2257</v>
      </c>
      <c r="J2117" t="str">
        <f t="shared" si="54"/>
        <v/>
      </c>
    </row>
    <row r="2118" spans="1:10" x14ac:dyDescent="0.15">
      <c r="A2118" t="s">
        <v>2257</v>
      </c>
      <c r="B2118" t="s">
        <v>2257</v>
      </c>
      <c r="C2118" s="2" t="s">
        <v>2257</v>
      </c>
      <c r="D2118" t="s">
        <v>2257</v>
      </c>
      <c r="E2118" s="2" t="s">
        <v>2257</v>
      </c>
      <c r="F2118" s="8" t="s">
        <v>2257</v>
      </c>
      <c r="G2118" s="2" t="s">
        <v>2257</v>
      </c>
      <c r="H2118" s="2" t="s">
        <v>2257</v>
      </c>
      <c r="I2118" s="2" t="s">
        <v>2257</v>
      </c>
      <c r="J2118" t="str">
        <f t="shared" si="54"/>
        <v/>
      </c>
    </row>
    <row r="2119" spans="1:10" x14ac:dyDescent="0.15">
      <c r="A2119" t="s">
        <v>2257</v>
      </c>
      <c r="B2119" t="s">
        <v>2257</v>
      </c>
      <c r="C2119" s="2" t="s">
        <v>2257</v>
      </c>
      <c r="D2119" t="s">
        <v>2257</v>
      </c>
      <c r="E2119" s="2" t="s">
        <v>2257</v>
      </c>
      <c r="F2119" s="8" t="s">
        <v>2257</v>
      </c>
      <c r="G2119" s="2" t="s">
        <v>2257</v>
      </c>
      <c r="H2119" s="2" t="s">
        <v>2257</v>
      </c>
      <c r="I2119" s="2" t="s">
        <v>2257</v>
      </c>
      <c r="J2119" t="str">
        <f t="shared" si="54"/>
        <v/>
      </c>
    </row>
    <row r="2120" spans="1:10" x14ac:dyDescent="0.15">
      <c r="A2120" t="s">
        <v>2257</v>
      </c>
      <c r="B2120" t="s">
        <v>2257</v>
      </c>
      <c r="C2120" s="2" t="s">
        <v>2257</v>
      </c>
      <c r="D2120" t="s">
        <v>2257</v>
      </c>
      <c r="E2120" s="2" t="s">
        <v>2257</v>
      </c>
      <c r="F2120" s="8" t="s">
        <v>2257</v>
      </c>
      <c r="G2120" s="2" t="s">
        <v>2257</v>
      </c>
      <c r="H2120" s="2" t="s">
        <v>2257</v>
      </c>
      <c r="I2120" s="2" t="s">
        <v>2257</v>
      </c>
      <c r="J2120" t="str">
        <f t="shared" si="54"/>
        <v/>
      </c>
    </row>
    <row r="2121" spans="1:10" x14ac:dyDescent="0.15">
      <c r="A2121" t="s">
        <v>2257</v>
      </c>
      <c r="B2121" t="s">
        <v>2257</v>
      </c>
      <c r="C2121" s="2" t="s">
        <v>2257</v>
      </c>
      <c r="D2121" t="s">
        <v>2257</v>
      </c>
      <c r="E2121" s="2" t="s">
        <v>2257</v>
      </c>
      <c r="F2121" s="8" t="s">
        <v>2257</v>
      </c>
      <c r="G2121" s="2" t="s">
        <v>2257</v>
      </c>
      <c r="H2121" s="2" t="s">
        <v>2257</v>
      </c>
      <c r="I2121" s="2" t="s">
        <v>2257</v>
      </c>
      <c r="J2121" t="str">
        <f t="shared" si="54"/>
        <v/>
      </c>
    </row>
    <row r="2122" spans="1:10" x14ac:dyDescent="0.15">
      <c r="A2122" t="s">
        <v>2257</v>
      </c>
      <c r="B2122" t="s">
        <v>2257</v>
      </c>
      <c r="C2122" s="2" t="s">
        <v>2257</v>
      </c>
      <c r="D2122" t="s">
        <v>2257</v>
      </c>
      <c r="E2122" s="2" t="s">
        <v>2257</v>
      </c>
      <c r="F2122" s="8" t="s">
        <v>2257</v>
      </c>
      <c r="G2122" s="2" t="s">
        <v>2257</v>
      </c>
      <c r="H2122" s="2" t="s">
        <v>2257</v>
      </c>
      <c r="I2122" s="2" t="s">
        <v>2257</v>
      </c>
      <c r="J2122" t="str">
        <f t="shared" si="54"/>
        <v/>
      </c>
    </row>
    <row r="2123" spans="1:10" x14ac:dyDescent="0.15">
      <c r="A2123" t="s">
        <v>2257</v>
      </c>
      <c r="B2123" t="s">
        <v>2257</v>
      </c>
      <c r="C2123" s="2" t="s">
        <v>2257</v>
      </c>
      <c r="D2123" t="s">
        <v>2257</v>
      </c>
      <c r="E2123" s="2" t="s">
        <v>2257</v>
      </c>
      <c r="F2123" s="8" t="s">
        <v>2257</v>
      </c>
      <c r="G2123" s="2" t="s">
        <v>2257</v>
      </c>
      <c r="H2123" s="2" t="s">
        <v>2257</v>
      </c>
      <c r="I2123" s="2" t="s">
        <v>2257</v>
      </c>
      <c r="J2123" t="str">
        <f t="shared" ref="J2123:J2148" si="55">IF(A2123="","",IF(AND(C2123="",D2123&lt;&gt;"UNS",I2123=""),"Open","Closed"))</f>
        <v/>
      </c>
    </row>
    <row r="2124" spans="1:10" x14ac:dyDescent="0.15">
      <c r="A2124" t="s">
        <v>2257</v>
      </c>
      <c r="B2124" t="s">
        <v>2257</v>
      </c>
      <c r="C2124" s="2" t="s">
        <v>2257</v>
      </c>
      <c r="D2124" t="s">
        <v>2257</v>
      </c>
      <c r="E2124" s="2" t="s">
        <v>2257</v>
      </c>
      <c r="F2124" s="8" t="s">
        <v>2257</v>
      </c>
      <c r="G2124" s="2" t="s">
        <v>2257</v>
      </c>
      <c r="H2124" s="2" t="s">
        <v>2257</v>
      </c>
      <c r="I2124" s="2" t="s">
        <v>2257</v>
      </c>
      <c r="J2124" t="str">
        <f t="shared" si="55"/>
        <v/>
      </c>
    </row>
    <row r="2125" spans="1:10" x14ac:dyDescent="0.15">
      <c r="A2125" t="s">
        <v>2257</v>
      </c>
      <c r="B2125" t="s">
        <v>2257</v>
      </c>
      <c r="C2125" s="2" t="s">
        <v>2257</v>
      </c>
      <c r="D2125" t="s">
        <v>2257</v>
      </c>
      <c r="E2125" s="2" t="s">
        <v>2257</v>
      </c>
      <c r="F2125" s="8" t="s">
        <v>2257</v>
      </c>
      <c r="G2125" s="2" t="s">
        <v>2257</v>
      </c>
      <c r="H2125" s="2" t="s">
        <v>2257</v>
      </c>
      <c r="I2125" s="2" t="s">
        <v>2257</v>
      </c>
      <c r="J2125" t="str">
        <f t="shared" si="55"/>
        <v/>
      </c>
    </row>
    <row r="2126" spans="1:10" x14ac:dyDescent="0.15">
      <c r="A2126" t="s">
        <v>2257</v>
      </c>
      <c r="B2126" t="s">
        <v>2257</v>
      </c>
      <c r="C2126" s="2" t="s">
        <v>2257</v>
      </c>
      <c r="D2126" t="s">
        <v>2257</v>
      </c>
      <c r="E2126" s="2" t="s">
        <v>2257</v>
      </c>
      <c r="F2126" s="8" t="s">
        <v>2257</v>
      </c>
      <c r="G2126" s="2" t="s">
        <v>2257</v>
      </c>
      <c r="H2126" s="2" t="s">
        <v>2257</v>
      </c>
      <c r="I2126" s="2" t="s">
        <v>2257</v>
      </c>
      <c r="J2126" t="str">
        <f t="shared" si="55"/>
        <v/>
      </c>
    </row>
    <row r="2127" spans="1:10" x14ac:dyDescent="0.15">
      <c r="A2127" t="s">
        <v>2257</v>
      </c>
      <c r="B2127" t="s">
        <v>2257</v>
      </c>
      <c r="C2127" s="2" t="s">
        <v>2257</v>
      </c>
      <c r="D2127" t="s">
        <v>2257</v>
      </c>
      <c r="E2127" s="2" t="s">
        <v>2257</v>
      </c>
      <c r="F2127" s="8" t="s">
        <v>2257</v>
      </c>
      <c r="G2127" s="2" t="s">
        <v>2257</v>
      </c>
      <c r="H2127" s="2" t="s">
        <v>2257</v>
      </c>
      <c r="I2127" s="2" t="s">
        <v>2257</v>
      </c>
      <c r="J2127" t="str">
        <f t="shared" si="55"/>
        <v/>
      </c>
    </row>
    <row r="2128" spans="1:10" x14ac:dyDescent="0.15">
      <c r="A2128" t="s">
        <v>2257</v>
      </c>
      <c r="B2128" t="s">
        <v>2257</v>
      </c>
      <c r="C2128" s="2" t="s">
        <v>2257</v>
      </c>
      <c r="D2128" t="s">
        <v>2257</v>
      </c>
      <c r="E2128" s="2" t="s">
        <v>2257</v>
      </c>
      <c r="F2128" s="8" t="s">
        <v>2257</v>
      </c>
      <c r="G2128" s="2" t="s">
        <v>2257</v>
      </c>
      <c r="H2128" s="2" t="s">
        <v>2257</v>
      </c>
      <c r="I2128" s="2" t="s">
        <v>2257</v>
      </c>
      <c r="J2128" t="str">
        <f t="shared" si="55"/>
        <v/>
      </c>
    </row>
    <row r="2129" spans="1:10" x14ac:dyDescent="0.15">
      <c r="A2129" t="s">
        <v>2257</v>
      </c>
      <c r="B2129" t="s">
        <v>2257</v>
      </c>
      <c r="C2129" s="2" t="s">
        <v>2257</v>
      </c>
      <c r="D2129" t="s">
        <v>2257</v>
      </c>
      <c r="E2129" s="2" t="s">
        <v>2257</v>
      </c>
      <c r="F2129" s="8" t="s">
        <v>2257</v>
      </c>
      <c r="G2129" s="2" t="s">
        <v>2257</v>
      </c>
      <c r="H2129" s="2" t="s">
        <v>2257</v>
      </c>
      <c r="I2129" s="2" t="s">
        <v>2257</v>
      </c>
      <c r="J2129" t="str">
        <f t="shared" si="55"/>
        <v/>
      </c>
    </row>
    <row r="2130" spans="1:10" x14ac:dyDescent="0.15">
      <c r="A2130" t="s">
        <v>2257</v>
      </c>
      <c r="B2130" t="s">
        <v>2257</v>
      </c>
      <c r="C2130" s="2" t="s">
        <v>2257</v>
      </c>
      <c r="D2130" t="s">
        <v>2257</v>
      </c>
      <c r="E2130" s="2" t="s">
        <v>2257</v>
      </c>
      <c r="F2130" s="8" t="s">
        <v>2257</v>
      </c>
      <c r="G2130" s="2" t="s">
        <v>2257</v>
      </c>
      <c r="H2130" s="2" t="s">
        <v>2257</v>
      </c>
      <c r="I2130" s="2" t="s">
        <v>2257</v>
      </c>
      <c r="J2130" t="str">
        <f t="shared" si="55"/>
        <v/>
      </c>
    </row>
    <row r="2131" spans="1:10" x14ac:dyDescent="0.15">
      <c r="A2131" t="s">
        <v>2257</v>
      </c>
      <c r="B2131" t="s">
        <v>2257</v>
      </c>
      <c r="C2131" s="2" t="s">
        <v>2257</v>
      </c>
      <c r="D2131" t="s">
        <v>2257</v>
      </c>
      <c r="E2131" s="2" t="s">
        <v>2257</v>
      </c>
      <c r="F2131" s="8" t="s">
        <v>2257</v>
      </c>
      <c r="G2131" s="2" t="s">
        <v>2257</v>
      </c>
      <c r="H2131" s="2" t="s">
        <v>2257</v>
      </c>
      <c r="I2131" s="2" t="s">
        <v>2257</v>
      </c>
      <c r="J2131" t="str">
        <f t="shared" si="55"/>
        <v/>
      </c>
    </row>
    <row r="2132" spans="1:10" x14ac:dyDescent="0.15">
      <c r="A2132" t="s">
        <v>2257</v>
      </c>
      <c r="B2132" t="s">
        <v>2257</v>
      </c>
      <c r="C2132" s="2" t="s">
        <v>2257</v>
      </c>
      <c r="D2132" t="s">
        <v>2257</v>
      </c>
      <c r="E2132" s="2" t="s">
        <v>2257</v>
      </c>
      <c r="F2132" s="8" t="s">
        <v>2257</v>
      </c>
      <c r="G2132" s="2" t="s">
        <v>2257</v>
      </c>
      <c r="H2132" s="2" t="s">
        <v>2257</v>
      </c>
      <c r="I2132" s="2" t="s">
        <v>2257</v>
      </c>
      <c r="J2132" t="str">
        <f t="shared" si="55"/>
        <v/>
      </c>
    </row>
    <row r="2133" spans="1:10" x14ac:dyDescent="0.15">
      <c r="A2133" t="s">
        <v>2257</v>
      </c>
      <c r="B2133" t="s">
        <v>2257</v>
      </c>
      <c r="C2133" s="2" t="s">
        <v>2257</v>
      </c>
      <c r="D2133" t="s">
        <v>2257</v>
      </c>
      <c r="E2133" s="2" t="s">
        <v>2257</v>
      </c>
      <c r="F2133" s="8" t="s">
        <v>2257</v>
      </c>
      <c r="G2133" s="2" t="s">
        <v>2257</v>
      </c>
      <c r="H2133" s="2" t="s">
        <v>2257</v>
      </c>
      <c r="I2133" s="2" t="s">
        <v>2257</v>
      </c>
      <c r="J2133" t="str">
        <f t="shared" si="55"/>
        <v/>
      </c>
    </row>
    <row r="2134" spans="1:10" x14ac:dyDescent="0.15">
      <c r="A2134" t="s">
        <v>2257</v>
      </c>
      <c r="B2134" t="s">
        <v>2257</v>
      </c>
      <c r="C2134" s="2" t="s">
        <v>2257</v>
      </c>
      <c r="D2134" t="s">
        <v>2257</v>
      </c>
      <c r="E2134" s="2" t="s">
        <v>2257</v>
      </c>
      <c r="F2134" s="8" t="s">
        <v>2257</v>
      </c>
      <c r="G2134" s="2" t="s">
        <v>2257</v>
      </c>
      <c r="H2134" s="2" t="s">
        <v>2257</v>
      </c>
      <c r="I2134" s="2" t="s">
        <v>2257</v>
      </c>
      <c r="J2134" t="str">
        <f t="shared" si="55"/>
        <v/>
      </c>
    </row>
    <row r="2135" spans="1:10" x14ac:dyDescent="0.15">
      <c r="A2135" t="s">
        <v>2257</v>
      </c>
      <c r="B2135" t="s">
        <v>2257</v>
      </c>
      <c r="C2135" s="2" t="s">
        <v>2257</v>
      </c>
      <c r="D2135" t="s">
        <v>2257</v>
      </c>
      <c r="E2135" s="2" t="s">
        <v>2257</v>
      </c>
      <c r="F2135" s="8" t="s">
        <v>2257</v>
      </c>
      <c r="G2135" s="2" t="s">
        <v>2257</v>
      </c>
      <c r="H2135" s="2" t="s">
        <v>2257</v>
      </c>
      <c r="I2135" s="2" t="s">
        <v>2257</v>
      </c>
      <c r="J2135" t="str">
        <f t="shared" si="55"/>
        <v/>
      </c>
    </row>
    <row r="2136" spans="1:10" x14ac:dyDescent="0.15">
      <c r="A2136" t="s">
        <v>2257</v>
      </c>
      <c r="B2136" t="s">
        <v>2257</v>
      </c>
      <c r="C2136" s="2" t="s">
        <v>2257</v>
      </c>
      <c r="D2136" t="s">
        <v>2257</v>
      </c>
      <c r="E2136" s="2" t="s">
        <v>2257</v>
      </c>
      <c r="F2136" s="8" t="s">
        <v>2257</v>
      </c>
      <c r="G2136" s="2" t="s">
        <v>2257</v>
      </c>
      <c r="H2136" s="2" t="s">
        <v>2257</v>
      </c>
      <c r="I2136" s="2" t="s">
        <v>2257</v>
      </c>
      <c r="J2136" t="str">
        <f t="shared" si="55"/>
        <v/>
      </c>
    </row>
    <row r="2137" spans="1:10" x14ac:dyDescent="0.15">
      <c r="A2137" t="s">
        <v>2257</v>
      </c>
      <c r="B2137" t="s">
        <v>2257</v>
      </c>
      <c r="C2137" s="2" t="s">
        <v>2257</v>
      </c>
      <c r="D2137" t="s">
        <v>2257</v>
      </c>
      <c r="E2137" s="2" t="s">
        <v>2257</v>
      </c>
      <c r="F2137" s="8" t="s">
        <v>2257</v>
      </c>
      <c r="G2137" s="2" t="s">
        <v>2257</v>
      </c>
      <c r="H2137" s="2" t="s">
        <v>2257</v>
      </c>
      <c r="I2137" s="2" t="s">
        <v>2257</v>
      </c>
      <c r="J2137" t="str">
        <f t="shared" si="55"/>
        <v/>
      </c>
    </row>
    <row r="2138" spans="1:10" x14ac:dyDescent="0.15">
      <c r="A2138" t="s">
        <v>2257</v>
      </c>
      <c r="B2138" t="s">
        <v>2257</v>
      </c>
      <c r="C2138" s="2" t="s">
        <v>2257</v>
      </c>
      <c r="D2138" t="s">
        <v>2257</v>
      </c>
      <c r="E2138" s="2" t="s">
        <v>2257</v>
      </c>
      <c r="F2138" s="8" t="s">
        <v>2257</v>
      </c>
      <c r="G2138" s="2" t="s">
        <v>2257</v>
      </c>
      <c r="H2138" s="2" t="s">
        <v>2257</v>
      </c>
      <c r="I2138" s="2" t="s">
        <v>2257</v>
      </c>
      <c r="J2138" t="str">
        <f t="shared" si="55"/>
        <v/>
      </c>
    </row>
    <row r="2139" spans="1:10" x14ac:dyDescent="0.15">
      <c r="A2139" t="s">
        <v>2257</v>
      </c>
      <c r="B2139" t="s">
        <v>2257</v>
      </c>
      <c r="C2139" s="2" t="s">
        <v>2257</v>
      </c>
      <c r="D2139" t="s">
        <v>2257</v>
      </c>
      <c r="E2139" s="2" t="s">
        <v>2257</v>
      </c>
      <c r="F2139" s="8" t="s">
        <v>2257</v>
      </c>
      <c r="G2139" s="2" t="s">
        <v>2257</v>
      </c>
      <c r="H2139" s="2" t="s">
        <v>2257</v>
      </c>
      <c r="I2139" s="2" t="s">
        <v>2257</v>
      </c>
      <c r="J2139" t="str">
        <f t="shared" si="55"/>
        <v/>
      </c>
    </row>
    <row r="2140" spans="1:10" x14ac:dyDescent="0.15">
      <c r="A2140" t="s">
        <v>2257</v>
      </c>
      <c r="B2140" t="s">
        <v>2257</v>
      </c>
      <c r="C2140" s="2" t="s">
        <v>2257</v>
      </c>
      <c r="D2140" t="s">
        <v>2257</v>
      </c>
      <c r="E2140" s="2" t="s">
        <v>2257</v>
      </c>
      <c r="F2140" s="8" t="s">
        <v>2257</v>
      </c>
      <c r="G2140" s="2" t="s">
        <v>2257</v>
      </c>
      <c r="H2140" s="2" t="s">
        <v>2257</v>
      </c>
      <c r="I2140" s="2" t="s">
        <v>2257</v>
      </c>
      <c r="J2140" t="str">
        <f t="shared" si="55"/>
        <v/>
      </c>
    </row>
    <row r="2141" spans="1:10" x14ac:dyDescent="0.15">
      <c r="A2141" t="s">
        <v>2257</v>
      </c>
      <c r="B2141" t="s">
        <v>2257</v>
      </c>
      <c r="C2141" s="2" t="s">
        <v>2257</v>
      </c>
      <c r="D2141" t="s">
        <v>2257</v>
      </c>
      <c r="E2141" s="2" t="s">
        <v>2257</v>
      </c>
      <c r="F2141" s="8" t="s">
        <v>2257</v>
      </c>
      <c r="G2141" s="2" t="s">
        <v>2257</v>
      </c>
      <c r="H2141" s="2" t="s">
        <v>2257</v>
      </c>
      <c r="I2141" s="2" t="s">
        <v>2257</v>
      </c>
      <c r="J2141" t="str">
        <f t="shared" si="55"/>
        <v/>
      </c>
    </row>
    <row r="2142" spans="1:10" x14ac:dyDescent="0.15">
      <c r="A2142" t="s">
        <v>2257</v>
      </c>
      <c r="B2142" t="s">
        <v>2257</v>
      </c>
      <c r="C2142" s="2" t="s">
        <v>2257</v>
      </c>
      <c r="D2142" t="s">
        <v>2257</v>
      </c>
      <c r="E2142" s="2" t="s">
        <v>2257</v>
      </c>
      <c r="F2142" s="8" t="s">
        <v>2257</v>
      </c>
      <c r="G2142" s="2" t="s">
        <v>2257</v>
      </c>
      <c r="H2142" s="2" t="s">
        <v>2257</v>
      </c>
      <c r="I2142" s="2" t="s">
        <v>2257</v>
      </c>
      <c r="J2142" t="str">
        <f t="shared" si="55"/>
        <v/>
      </c>
    </row>
    <row r="2143" spans="1:10" x14ac:dyDescent="0.15">
      <c r="A2143" t="s">
        <v>2257</v>
      </c>
      <c r="B2143" t="s">
        <v>2257</v>
      </c>
      <c r="C2143" s="2" t="s">
        <v>2257</v>
      </c>
      <c r="D2143" t="s">
        <v>2257</v>
      </c>
      <c r="E2143" s="2" t="s">
        <v>2257</v>
      </c>
      <c r="F2143" s="8" t="s">
        <v>2257</v>
      </c>
      <c r="G2143" s="2" t="s">
        <v>2257</v>
      </c>
      <c r="H2143" s="2" t="s">
        <v>2257</v>
      </c>
      <c r="I2143" s="2" t="s">
        <v>2257</v>
      </c>
      <c r="J2143" t="str">
        <f t="shared" si="55"/>
        <v/>
      </c>
    </row>
    <row r="2144" spans="1:10" x14ac:dyDescent="0.15">
      <c r="A2144" t="s">
        <v>2257</v>
      </c>
      <c r="B2144" t="s">
        <v>2257</v>
      </c>
      <c r="C2144" s="2" t="s">
        <v>2257</v>
      </c>
      <c r="D2144" t="s">
        <v>2257</v>
      </c>
      <c r="E2144" s="2" t="s">
        <v>2257</v>
      </c>
      <c r="F2144" s="8" t="s">
        <v>2257</v>
      </c>
      <c r="G2144" s="2" t="s">
        <v>2257</v>
      </c>
      <c r="H2144" s="2" t="s">
        <v>2257</v>
      </c>
      <c r="I2144" s="2" t="s">
        <v>2257</v>
      </c>
      <c r="J2144" t="str">
        <f t="shared" si="55"/>
        <v/>
      </c>
    </row>
    <row r="2145" spans="1:10" x14ac:dyDescent="0.15">
      <c r="A2145" t="s">
        <v>2257</v>
      </c>
      <c r="B2145" t="s">
        <v>2257</v>
      </c>
      <c r="C2145" s="2" t="s">
        <v>2257</v>
      </c>
      <c r="D2145" t="s">
        <v>2257</v>
      </c>
      <c r="E2145" s="2" t="s">
        <v>2257</v>
      </c>
      <c r="F2145" s="8" t="s">
        <v>2257</v>
      </c>
      <c r="G2145" s="2" t="s">
        <v>2257</v>
      </c>
      <c r="H2145" s="2" t="s">
        <v>2257</v>
      </c>
      <c r="I2145" s="2" t="s">
        <v>2257</v>
      </c>
      <c r="J2145" t="str">
        <f t="shared" si="55"/>
        <v/>
      </c>
    </row>
    <row r="2146" spans="1:10" x14ac:dyDescent="0.15">
      <c r="A2146" t="s">
        <v>2257</v>
      </c>
      <c r="B2146" t="s">
        <v>2257</v>
      </c>
      <c r="C2146" s="2" t="s">
        <v>2257</v>
      </c>
      <c r="D2146" t="s">
        <v>2257</v>
      </c>
      <c r="E2146" s="2" t="s">
        <v>2257</v>
      </c>
      <c r="F2146" s="8" t="s">
        <v>2257</v>
      </c>
      <c r="G2146" s="2" t="s">
        <v>2257</v>
      </c>
      <c r="H2146" s="2" t="s">
        <v>2257</v>
      </c>
      <c r="I2146" s="2" t="s">
        <v>2257</v>
      </c>
      <c r="J2146" t="str">
        <f t="shared" si="55"/>
        <v/>
      </c>
    </row>
    <row r="2147" spans="1:10" x14ac:dyDescent="0.15">
      <c r="A2147" t="s">
        <v>2257</v>
      </c>
      <c r="B2147" t="s">
        <v>2257</v>
      </c>
      <c r="C2147" s="2" t="s">
        <v>2257</v>
      </c>
      <c r="D2147" t="s">
        <v>2257</v>
      </c>
      <c r="E2147" s="2" t="s">
        <v>2257</v>
      </c>
      <c r="F2147" s="8" t="s">
        <v>2257</v>
      </c>
      <c r="G2147" s="2" t="s">
        <v>2257</v>
      </c>
      <c r="H2147" s="2" t="s">
        <v>2257</v>
      </c>
      <c r="I2147" s="2" t="s">
        <v>2257</v>
      </c>
      <c r="J2147" t="str">
        <f t="shared" si="55"/>
        <v/>
      </c>
    </row>
    <row r="2148" spans="1:10" x14ac:dyDescent="0.15">
      <c r="A2148" t="s">
        <v>2257</v>
      </c>
      <c r="B2148" t="s">
        <v>2257</v>
      </c>
      <c r="C2148" s="2" t="s">
        <v>2257</v>
      </c>
      <c r="D2148" t="s">
        <v>2257</v>
      </c>
      <c r="E2148" s="2" t="s">
        <v>2257</v>
      </c>
      <c r="F2148" s="8" t="s">
        <v>2257</v>
      </c>
      <c r="G2148" s="2" t="s">
        <v>2257</v>
      </c>
      <c r="H2148" s="2" t="s">
        <v>2257</v>
      </c>
      <c r="I2148" s="2" t="s">
        <v>2257</v>
      </c>
      <c r="J2148" t="str">
        <f t="shared" si="55"/>
        <v/>
      </c>
    </row>
  </sheetData>
  <autoFilter ref="A1:S1078" xr:uid="{C6E9CA8D-B924-40B0-A0FA-F12D346096B7}"/>
  <pageMargins left="0.7" right="0.7" top="0.75" bottom="0.75" header="0.3" footer="0.3"/>
  <pageSetup paperSize="9" orientation="portrait" horizontalDpi="300" verticalDpi="300" r:id="rId1"/>
  <headerFooter>
    <oddHeader>&amp;C&amp;"Aptos"&amp;10&amp;K000000 OFFICIAL&amp;1#_x000D_</oddHeader>
    <oddFooter>&amp;C_x000D_&amp;1#&amp;"Aptos"&amp;10&amp;K000000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85F4-25A7-4FE7-A5B0-701D1FD526BB}">
  <dimension ref="A1:BF360"/>
  <sheetViews>
    <sheetView workbookViewId="0"/>
  </sheetViews>
  <sheetFormatPr baseColWidth="10" defaultColWidth="8.83203125" defaultRowHeight="13" x14ac:dyDescent="0.15"/>
  <sheetData>
    <row r="1" spans="1:58" ht="15" x14ac:dyDescent="0.2">
      <c r="A1" s="9" t="s">
        <v>1449</v>
      </c>
      <c r="B1" s="9" t="s">
        <v>1451</v>
      </c>
      <c r="C1" s="9" t="s">
        <v>1452</v>
      </c>
      <c r="D1" s="9" t="s">
        <v>1456</v>
      </c>
      <c r="E1" s="9" t="s">
        <v>1</v>
      </c>
      <c r="F1" s="9" t="s">
        <v>2</v>
      </c>
      <c r="G1" s="9" t="s">
        <v>3</v>
      </c>
      <c r="H1" s="9" t="s">
        <v>2258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10"/>
      <c r="BB1" s="9"/>
      <c r="BC1" s="9"/>
      <c r="BD1" s="9"/>
      <c r="BE1" s="9"/>
      <c r="BF1" s="9"/>
    </row>
    <row r="2" spans="1:58" x14ac:dyDescent="0.15">
      <c r="A2" t="s">
        <v>1769</v>
      </c>
      <c r="B2" t="s">
        <v>1403</v>
      </c>
      <c r="C2" t="s">
        <v>1537</v>
      </c>
      <c r="D2" t="s">
        <v>1770</v>
      </c>
      <c r="F2" s="14"/>
      <c r="H2" s="14">
        <v>0</v>
      </c>
      <c r="O2" s="11"/>
      <c r="AA2" s="11"/>
      <c r="AJ2" s="11"/>
      <c r="AO2" s="11"/>
      <c r="AQ2" s="11"/>
      <c r="BD2" s="12"/>
      <c r="BE2" s="12"/>
      <c r="BF2" s="14"/>
    </row>
    <row r="3" spans="1:58" x14ac:dyDescent="0.15">
      <c r="A3" t="s">
        <v>2126</v>
      </c>
      <c r="B3" t="s">
        <v>1747</v>
      </c>
      <c r="C3" t="s">
        <v>1460</v>
      </c>
      <c r="D3" t="s">
        <v>2127</v>
      </c>
      <c r="F3" s="14"/>
      <c r="H3" s="14">
        <v>0</v>
      </c>
      <c r="O3" s="11"/>
      <c r="BD3" s="12"/>
      <c r="BE3" s="12"/>
      <c r="BF3" s="14"/>
    </row>
    <row r="4" spans="1:58" x14ac:dyDescent="0.15">
      <c r="A4" t="s">
        <v>1710</v>
      </c>
      <c r="B4" t="s">
        <v>1544</v>
      </c>
      <c r="C4" t="s">
        <v>1460</v>
      </c>
      <c r="D4" t="s">
        <v>1711</v>
      </c>
      <c r="E4">
        <v>300</v>
      </c>
      <c r="F4" s="14" t="s">
        <v>270</v>
      </c>
      <c r="G4" t="s">
        <v>852</v>
      </c>
      <c r="H4" s="14">
        <v>0.50796701096965335</v>
      </c>
      <c r="Q4" s="11"/>
      <c r="Y4" s="11"/>
      <c r="AU4" s="11"/>
      <c r="BD4" s="12"/>
      <c r="BE4" s="12"/>
      <c r="BF4" s="14"/>
    </row>
    <row r="5" spans="1:58" x14ac:dyDescent="0.15">
      <c r="A5" t="s">
        <v>1486</v>
      </c>
      <c r="B5" t="s">
        <v>1386</v>
      </c>
      <c r="C5" t="s">
        <v>1463</v>
      </c>
      <c r="D5" t="s">
        <v>1488</v>
      </c>
      <c r="E5">
        <v>1952</v>
      </c>
      <c r="F5" s="14" t="s">
        <v>2259</v>
      </c>
      <c r="G5" t="s">
        <v>2039</v>
      </c>
      <c r="H5" s="14">
        <v>0.52500000000000002</v>
      </c>
      <c r="O5" s="11"/>
      <c r="Q5" s="11"/>
      <c r="W5" s="11"/>
      <c r="AO5" s="11"/>
      <c r="AQ5" s="11"/>
      <c r="AU5" s="11"/>
      <c r="BD5" s="12"/>
      <c r="BE5" s="12"/>
      <c r="BF5" s="14"/>
    </row>
    <row r="6" spans="1:58" x14ac:dyDescent="0.15">
      <c r="A6" t="s">
        <v>2101</v>
      </c>
      <c r="B6" t="s">
        <v>1370</v>
      </c>
      <c r="C6" t="s">
        <v>1521</v>
      </c>
      <c r="D6" t="s">
        <v>2102</v>
      </c>
      <c r="E6">
        <v>1952</v>
      </c>
      <c r="F6" s="14" t="s">
        <v>2259</v>
      </c>
      <c r="G6" t="s">
        <v>2039</v>
      </c>
      <c r="H6" s="14">
        <v>0.53626373626373625</v>
      </c>
      <c r="O6" s="11"/>
      <c r="Y6" s="11"/>
      <c r="AJ6" s="11"/>
      <c r="AS6" s="11"/>
      <c r="BD6" s="12"/>
      <c r="BE6" s="12"/>
      <c r="BF6" s="14"/>
    </row>
    <row r="7" spans="1:58" x14ac:dyDescent="0.15">
      <c r="A7" t="s">
        <v>1703</v>
      </c>
      <c r="B7" t="s">
        <v>1388</v>
      </c>
      <c r="C7" t="s">
        <v>1463</v>
      </c>
      <c r="D7" t="s">
        <v>1705</v>
      </c>
      <c r="E7">
        <v>819</v>
      </c>
      <c r="F7" s="14" t="s">
        <v>104</v>
      </c>
      <c r="G7" t="s">
        <v>283</v>
      </c>
      <c r="H7" s="14">
        <v>0.54761904761904767</v>
      </c>
      <c r="BD7" s="12"/>
      <c r="BE7" s="13"/>
      <c r="BF7" s="14"/>
    </row>
    <row r="8" spans="1:58" x14ac:dyDescent="0.15">
      <c r="A8" t="s">
        <v>2220</v>
      </c>
      <c r="B8" t="s">
        <v>1388</v>
      </c>
      <c r="C8" t="s">
        <v>1463</v>
      </c>
      <c r="D8" t="s">
        <v>2221</v>
      </c>
      <c r="E8">
        <v>819</v>
      </c>
      <c r="F8" s="14" t="s">
        <v>104</v>
      </c>
      <c r="G8" t="s">
        <v>283</v>
      </c>
      <c r="H8" s="14">
        <v>0.55000000000000004</v>
      </c>
      <c r="O8" s="11"/>
      <c r="AA8" s="11"/>
      <c r="BD8" s="12"/>
      <c r="BE8" s="12"/>
      <c r="BF8" s="14"/>
    </row>
    <row r="9" spans="1:58" x14ac:dyDescent="0.15">
      <c r="A9" t="s">
        <v>1856</v>
      </c>
      <c r="B9" t="s">
        <v>1386</v>
      </c>
      <c r="C9" t="s">
        <v>1463</v>
      </c>
      <c r="D9" t="s">
        <v>1857</v>
      </c>
      <c r="E9">
        <v>729</v>
      </c>
      <c r="F9" s="14" t="s">
        <v>2260</v>
      </c>
      <c r="G9" t="s">
        <v>785</v>
      </c>
      <c r="H9" s="14">
        <v>0.56503496503496509</v>
      </c>
      <c r="AJ9" s="11"/>
      <c r="AO9" s="11"/>
      <c r="AQ9" s="11"/>
      <c r="AU9" s="11"/>
      <c r="BD9" s="12"/>
      <c r="BE9" s="12"/>
      <c r="BF9" s="14"/>
    </row>
    <row r="10" spans="1:58" x14ac:dyDescent="0.15">
      <c r="A10" t="s">
        <v>2236</v>
      </c>
      <c r="B10" t="s">
        <v>53</v>
      </c>
      <c r="C10" t="s">
        <v>53</v>
      </c>
      <c r="D10" t="s">
        <v>2237</v>
      </c>
      <c r="E10">
        <v>2226</v>
      </c>
      <c r="F10" s="14" t="s">
        <v>2261</v>
      </c>
      <c r="G10" t="s">
        <v>2052</v>
      </c>
      <c r="H10" s="14">
        <v>0.56722689075630262</v>
      </c>
      <c r="Y10" s="11"/>
      <c r="AA10" s="11"/>
      <c r="AJ10" s="11"/>
      <c r="AL10" s="11"/>
      <c r="AO10" s="11"/>
      <c r="AS10" s="11"/>
      <c r="BD10" s="12"/>
      <c r="BE10" s="12"/>
      <c r="BF10" s="14"/>
    </row>
    <row r="11" spans="1:58" x14ac:dyDescent="0.15">
      <c r="A11" t="s">
        <v>1892</v>
      </c>
      <c r="B11" t="s">
        <v>1386</v>
      </c>
      <c r="C11" t="s">
        <v>1463</v>
      </c>
      <c r="D11" t="s">
        <v>1893</v>
      </c>
      <c r="E11">
        <v>1803</v>
      </c>
      <c r="F11" s="14" t="s">
        <v>2262</v>
      </c>
      <c r="G11" t="s">
        <v>365</v>
      </c>
      <c r="H11" s="14">
        <v>0.56742424242424239</v>
      </c>
      <c r="O11" s="11"/>
      <c r="AJ11" s="11"/>
      <c r="AL11" s="11"/>
      <c r="AO11" s="11"/>
      <c r="AQ11" s="11"/>
      <c r="BD11" s="12"/>
      <c r="BE11" s="12"/>
      <c r="BF11" s="14"/>
    </row>
    <row r="12" spans="1:58" x14ac:dyDescent="0.15">
      <c r="A12" t="s">
        <v>2061</v>
      </c>
      <c r="B12" t="s">
        <v>53</v>
      </c>
      <c r="C12" t="s">
        <v>53</v>
      </c>
      <c r="D12" t="s">
        <v>2062</v>
      </c>
      <c r="E12">
        <v>2226</v>
      </c>
      <c r="F12" s="14" t="s">
        <v>2261</v>
      </c>
      <c r="G12" t="s">
        <v>2052</v>
      </c>
      <c r="H12" s="14">
        <v>0.57635467980295574</v>
      </c>
      <c r="BD12" s="12"/>
      <c r="BE12" s="13"/>
      <c r="BF12" s="14"/>
    </row>
    <row r="13" spans="1:58" x14ac:dyDescent="0.15">
      <c r="A13" t="s">
        <v>1674</v>
      </c>
      <c r="B13" t="s">
        <v>1396</v>
      </c>
      <c r="C13" t="s">
        <v>1467</v>
      </c>
      <c r="D13" t="s">
        <v>770</v>
      </c>
      <c r="E13">
        <v>827</v>
      </c>
      <c r="F13" s="14" t="s">
        <v>2263</v>
      </c>
      <c r="G13" t="s">
        <v>2264</v>
      </c>
      <c r="H13" s="14">
        <v>0.58333333333333337</v>
      </c>
      <c r="O13" s="11"/>
      <c r="W13" s="11"/>
      <c r="Y13" s="11"/>
      <c r="AA13" s="11"/>
      <c r="AO13" s="11"/>
      <c r="AQ13" s="11"/>
      <c r="AS13" s="11"/>
      <c r="BD13" s="12"/>
      <c r="BE13" s="12"/>
      <c r="BF13" s="14"/>
    </row>
    <row r="14" spans="1:58" x14ac:dyDescent="0.15">
      <c r="A14" t="s">
        <v>2163</v>
      </c>
      <c r="B14" t="s">
        <v>1396</v>
      </c>
      <c r="C14" t="s">
        <v>1467</v>
      </c>
      <c r="D14" t="s">
        <v>2164</v>
      </c>
      <c r="E14">
        <v>827</v>
      </c>
      <c r="F14" s="14" t="s">
        <v>2263</v>
      </c>
      <c r="G14" t="s">
        <v>2264</v>
      </c>
      <c r="H14" s="14">
        <v>0.58333333333333337</v>
      </c>
      <c r="O14" s="11"/>
      <c r="Q14" s="11"/>
      <c r="W14" s="11"/>
      <c r="BD14" s="12"/>
      <c r="BE14" s="13"/>
      <c r="BF14" s="14"/>
    </row>
    <row r="15" spans="1:58" x14ac:dyDescent="0.15">
      <c r="A15" t="s">
        <v>1997</v>
      </c>
      <c r="B15" t="s">
        <v>1386</v>
      </c>
      <c r="C15" t="s">
        <v>1463</v>
      </c>
      <c r="D15" t="s">
        <v>1998</v>
      </c>
      <c r="E15">
        <v>873</v>
      </c>
      <c r="F15" s="14" t="s">
        <v>104</v>
      </c>
      <c r="G15" t="s">
        <v>533</v>
      </c>
      <c r="H15" s="14">
        <v>0.58787878787878789</v>
      </c>
      <c r="Y15" s="11"/>
      <c r="AL15" s="11"/>
      <c r="AS15" s="11"/>
      <c r="AU15" s="11"/>
      <c r="BD15" s="12"/>
      <c r="BE15" s="12"/>
      <c r="BF15" s="14"/>
    </row>
    <row r="16" spans="1:58" x14ac:dyDescent="0.15">
      <c r="A16" t="s">
        <v>1682</v>
      </c>
      <c r="B16" t="s">
        <v>53</v>
      </c>
      <c r="C16" t="s">
        <v>53</v>
      </c>
      <c r="D16" t="s">
        <v>1685</v>
      </c>
      <c r="E16">
        <v>2226</v>
      </c>
      <c r="F16" s="14" t="s">
        <v>2261</v>
      </c>
      <c r="G16" t="s">
        <v>2052</v>
      </c>
      <c r="H16" s="14">
        <v>0.5892857142857143</v>
      </c>
      <c r="Y16" s="11"/>
      <c r="AA16" s="11"/>
      <c r="AL16" s="11"/>
      <c r="AS16" s="11"/>
      <c r="BD16" s="12"/>
      <c r="BE16" s="12"/>
      <c r="BF16" s="14"/>
    </row>
    <row r="17" spans="1:58" x14ac:dyDescent="0.15">
      <c r="A17" t="s">
        <v>1736</v>
      </c>
      <c r="B17" t="s">
        <v>1403</v>
      </c>
      <c r="C17" t="s">
        <v>1537</v>
      </c>
      <c r="D17" t="s">
        <v>1737</v>
      </c>
      <c r="E17">
        <v>1952</v>
      </c>
      <c r="F17" s="14" t="s">
        <v>2259</v>
      </c>
      <c r="G17" t="s">
        <v>2039</v>
      </c>
      <c r="H17" s="14">
        <v>0.60000000000000009</v>
      </c>
      <c r="AA17" s="11"/>
      <c r="AJ17" s="11"/>
      <c r="AO17" s="11"/>
      <c r="AQ17" s="11"/>
      <c r="AS17" s="11"/>
      <c r="AU17" s="11"/>
      <c r="BD17" s="12"/>
      <c r="BE17" s="12"/>
      <c r="BF17" s="14"/>
    </row>
    <row r="18" spans="1:58" x14ac:dyDescent="0.15">
      <c r="A18" t="s">
        <v>1815</v>
      </c>
      <c r="B18" t="s">
        <v>563</v>
      </c>
      <c r="C18" t="s">
        <v>1471</v>
      </c>
      <c r="D18" t="s">
        <v>1816</v>
      </c>
      <c r="E18">
        <v>1952</v>
      </c>
      <c r="F18" s="14" t="s">
        <v>2259</v>
      </c>
      <c r="G18" t="s">
        <v>2039</v>
      </c>
      <c r="H18" s="14">
        <v>0.60000000000000009</v>
      </c>
      <c r="Y18" s="11"/>
      <c r="AA18" s="11"/>
      <c r="AL18" s="11"/>
      <c r="BD18" s="12"/>
      <c r="BE18" s="12"/>
      <c r="BF18" s="14"/>
    </row>
    <row r="19" spans="1:58" x14ac:dyDescent="0.15">
      <c r="A19" t="s">
        <v>1726</v>
      </c>
      <c r="B19" t="s">
        <v>1368</v>
      </c>
      <c r="C19" t="s">
        <v>1460</v>
      </c>
      <c r="D19" t="s">
        <v>1727</v>
      </c>
      <c r="E19">
        <v>2055</v>
      </c>
      <c r="F19" s="14" t="s">
        <v>2265</v>
      </c>
      <c r="G19" t="s">
        <v>529</v>
      </c>
      <c r="H19" s="14">
        <v>0.60428571428571431</v>
      </c>
      <c r="Q19" s="11"/>
      <c r="Y19" s="11"/>
      <c r="AU19" s="11"/>
      <c r="BD19" s="12"/>
      <c r="BE19" s="12"/>
      <c r="BF19" s="14"/>
    </row>
    <row r="20" spans="1:58" x14ac:dyDescent="0.15">
      <c r="A20" t="s">
        <v>1744</v>
      </c>
      <c r="B20" t="s">
        <v>1400</v>
      </c>
      <c r="C20" t="s">
        <v>1537</v>
      </c>
      <c r="D20" t="s">
        <v>1745</v>
      </c>
      <c r="E20">
        <v>2055</v>
      </c>
      <c r="F20" s="14" t="s">
        <v>2265</v>
      </c>
      <c r="G20" t="s">
        <v>529</v>
      </c>
      <c r="H20" s="14">
        <v>0.60428571428571431</v>
      </c>
      <c r="O20" s="11"/>
      <c r="AA20" s="11"/>
      <c r="AU20" s="11"/>
      <c r="BD20" s="12"/>
      <c r="BE20" s="12"/>
      <c r="BF20" s="14"/>
    </row>
    <row r="21" spans="1:58" x14ac:dyDescent="0.15">
      <c r="A21" t="s">
        <v>1959</v>
      </c>
      <c r="B21" t="s">
        <v>1378</v>
      </c>
      <c r="C21" t="s">
        <v>1471</v>
      </c>
      <c r="D21" t="s">
        <v>1960</v>
      </c>
      <c r="E21">
        <v>2055</v>
      </c>
      <c r="F21" s="14" t="s">
        <v>2265</v>
      </c>
      <c r="G21" t="s">
        <v>529</v>
      </c>
      <c r="H21" s="14">
        <v>0.60428571428571431</v>
      </c>
      <c r="Y21" s="11"/>
      <c r="AJ21" s="11"/>
      <c r="AS21" s="11"/>
      <c r="BD21" s="12"/>
      <c r="BE21" s="12"/>
      <c r="BF21" s="14"/>
    </row>
    <row r="22" spans="1:58" x14ac:dyDescent="0.15">
      <c r="A22" t="s">
        <v>2034</v>
      </c>
      <c r="B22" t="s">
        <v>1369</v>
      </c>
      <c r="C22" t="s">
        <v>1463</v>
      </c>
      <c r="D22" t="s">
        <v>2035</v>
      </c>
      <c r="E22">
        <v>2055</v>
      </c>
      <c r="F22" s="14" t="s">
        <v>2265</v>
      </c>
      <c r="G22" t="s">
        <v>529</v>
      </c>
      <c r="H22" s="14">
        <v>0.60428571428571431</v>
      </c>
      <c r="O22" s="11"/>
      <c r="Q22" s="11"/>
      <c r="W22" s="11"/>
      <c r="AW22" s="11"/>
      <c r="BD22" s="12"/>
      <c r="BE22" s="13"/>
      <c r="BF22" s="14"/>
    </row>
    <row r="23" spans="1:58" x14ac:dyDescent="0.15">
      <c r="A23" t="s">
        <v>1708</v>
      </c>
      <c r="B23" t="s">
        <v>789</v>
      </c>
      <c r="C23" t="s">
        <v>1521</v>
      </c>
      <c r="D23" t="s">
        <v>1709</v>
      </c>
      <c r="E23">
        <v>2055</v>
      </c>
      <c r="F23" s="14" t="s">
        <v>2265</v>
      </c>
      <c r="G23" t="s">
        <v>529</v>
      </c>
      <c r="H23" s="14">
        <v>0.60902255639097747</v>
      </c>
      <c r="Y23" s="11"/>
      <c r="AA23" s="11"/>
      <c r="AJ23" s="11"/>
      <c r="AL23" s="11"/>
      <c r="AO23" s="11"/>
      <c r="AS23" s="11"/>
      <c r="BD23" s="12"/>
      <c r="BE23" s="12"/>
      <c r="BF23" s="14"/>
    </row>
    <row r="24" spans="1:58" x14ac:dyDescent="0.15">
      <c r="A24" t="s">
        <v>1965</v>
      </c>
      <c r="B24" t="s">
        <v>1386</v>
      </c>
      <c r="C24" t="s">
        <v>1463</v>
      </c>
      <c r="D24" t="s">
        <v>1966</v>
      </c>
      <c r="E24">
        <v>2055</v>
      </c>
      <c r="F24" s="14" t="s">
        <v>2265</v>
      </c>
      <c r="G24" t="s">
        <v>529</v>
      </c>
      <c r="H24" s="14">
        <v>0.60902255639097747</v>
      </c>
      <c r="O24" s="11"/>
      <c r="AA24" s="11"/>
      <c r="BD24" s="12"/>
      <c r="BE24" s="12"/>
      <c r="BF24" s="14"/>
    </row>
    <row r="25" spans="1:58" x14ac:dyDescent="0.15">
      <c r="A25" t="s">
        <v>2011</v>
      </c>
      <c r="B25" t="s">
        <v>53</v>
      </c>
      <c r="C25" t="s">
        <v>53</v>
      </c>
      <c r="D25" t="s">
        <v>2012</v>
      </c>
      <c r="E25">
        <v>2055</v>
      </c>
      <c r="F25" s="14" t="s">
        <v>2265</v>
      </c>
      <c r="G25" t="s">
        <v>529</v>
      </c>
      <c r="H25" s="14">
        <v>0.60902255639097747</v>
      </c>
      <c r="AA25" s="11"/>
      <c r="AL25" s="11"/>
      <c r="AS25" s="11"/>
      <c r="BD25" s="12"/>
      <c r="BE25" s="12"/>
      <c r="BF25" s="14"/>
    </row>
    <row r="26" spans="1:58" x14ac:dyDescent="0.15">
      <c r="A26" t="s">
        <v>2157</v>
      </c>
      <c r="B26" t="s">
        <v>1387</v>
      </c>
      <c r="C26" t="s">
        <v>1467</v>
      </c>
      <c r="D26" t="s">
        <v>2158</v>
      </c>
      <c r="E26">
        <v>2055</v>
      </c>
      <c r="F26" s="14" t="s">
        <v>2265</v>
      </c>
      <c r="G26" t="s">
        <v>529</v>
      </c>
      <c r="H26" s="14">
        <v>0.60902255639097747</v>
      </c>
      <c r="Q26" s="11"/>
      <c r="AJ26" s="11"/>
      <c r="AL26" s="11"/>
      <c r="AO26" s="11"/>
      <c r="AQ26" s="11"/>
      <c r="AS26" s="11"/>
      <c r="BD26" s="12"/>
      <c r="BE26" s="12"/>
      <c r="BF26" s="14"/>
    </row>
    <row r="27" spans="1:58" x14ac:dyDescent="0.15">
      <c r="A27" t="s">
        <v>1803</v>
      </c>
      <c r="B27" t="s">
        <v>1388</v>
      </c>
      <c r="C27" t="s">
        <v>1463</v>
      </c>
      <c r="D27" t="s">
        <v>1804</v>
      </c>
      <c r="E27">
        <v>1923</v>
      </c>
      <c r="F27" s="14" t="s">
        <v>2262</v>
      </c>
      <c r="G27" t="s">
        <v>2079</v>
      </c>
      <c r="H27" s="14">
        <v>0.60994633142794885</v>
      </c>
      <c r="O27" s="11"/>
      <c r="Q27" s="11"/>
      <c r="Y27" s="11"/>
      <c r="AA27" s="11"/>
      <c r="AS27" s="11"/>
      <c r="BD27" s="12"/>
      <c r="BE27" s="12"/>
      <c r="BF27" s="14"/>
    </row>
    <row r="28" spans="1:58" x14ac:dyDescent="0.15">
      <c r="A28" t="s">
        <v>2141</v>
      </c>
      <c r="B28" t="s">
        <v>1370</v>
      </c>
      <c r="C28" t="s">
        <v>1521</v>
      </c>
      <c r="D28" t="s">
        <v>2142</v>
      </c>
      <c r="E28">
        <v>2009</v>
      </c>
      <c r="F28" s="14" t="s">
        <v>2261</v>
      </c>
      <c r="G28" t="s">
        <v>2266</v>
      </c>
      <c r="H28" s="14">
        <v>0.63566433566433567</v>
      </c>
      <c r="Q28" s="11"/>
      <c r="AL28" s="11"/>
      <c r="BD28" s="12"/>
      <c r="BE28" s="13"/>
      <c r="BF28" s="14"/>
    </row>
    <row r="29" spans="1:58" x14ac:dyDescent="0.15">
      <c r="A29" t="s">
        <v>1762</v>
      </c>
      <c r="B29" t="s">
        <v>1370</v>
      </c>
      <c r="C29" t="s">
        <v>1521</v>
      </c>
      <c r="D29" t="s">
        <v>1764</v>
      </c>
      <c r="E29">
        <v>2009</v>
      </c>
      <c r="F29" s="14" t="s">
        <v>2261</v>
      </c>
      <c r="G29" t="s">
        <v>2266</v>
      </c>
      <c r="H29" s="14">
        <v>0.65384615384615385</v>
      </c>
      <c r="O29" s="11"/>
      <c r="AJ29" s="11"/>
      <c r="AO29" s="11"/>
      <c r="AQ29" s="11"/>
      <c r="AS29" s="11"/>
      <c r="BD29" s="12"/>
      <c r="BE29" s="12"/>
      <c r="BF29" s="14"/>
    </row>
    <row r="30" spans="1:58" x14ac:dyDescent="0.15">
      <c r="A30" t="s">
        <v>1858</v>
      </c>
      <c r="B30" t="s">
        <v>1394</v>
      </c>
      <c r="C30" t="s">
        <v>1537</v>
      </c>
      <c r="D30" t="s">
        <v>1859</v>
      </c>
      <c r="E30">
        <v>774</v>
      </c>
      <c r="F30" s="14" t="s">
        <v>2260</v>
      </c>
      <c r="G30" t="s">
        <v>186</v>
      </c>
      <c r="H30" s="14">
        <v>0.67923090139352627</v>
      </c>
      <c r="Y30" s="11"/>
      <c r="AL30" s="11"/>
      <c r="BD30" s="12"/>
      <c r="BE30" s="12"/>
      <c r="BF30" s="14"/>
    </row>
    <row r="31" spans="1:58" x14ac:dyDescent="0.15">
      <c r="A31" t="s">
        <v>2201</v>
      </c>
      <c r="B31" t="s">
        <v>789</v>
      </c>
      <c r="C31" t="s">
        <v>1521</v>
      </c>
      <c r="D31" t="s">
        <v>2202</v>
      </c>
      <c r="E31">
        <v>418</v>
      </c>
      <c r="F31" s="14" t="s">
        <v>67</v>
      </c>
      <c r="G31" t="s">
        <v>1043</v>
      </c>
      <c r="H31" s="14">
        <v>0.68253968253968256</v>
      </c>
      <c r="Y31" s="11"/>
      <c r="AA31" s="11"/>
      <c r="AJ31" s="11"/>
      <c r="AO31" s="11"/>
      <c r="AQ31" s="11"/>
      <c r="AS31" s="11"/>
      <c r="AU31" s="11"/>
      <c r="BD31" s="12"/>
      <c r="BE31" s="12"/>
      <c r="BF31" s="14"/>
    </row>
    <row r="32" spans="1:58" x14ac:dyDescent="0.15">
      <c r="A32" t="s">
        <v>1932</v>
      </c>
      <c r="B32" t="s">
        <v>764</v>
      </c>
      <c r="C32" t="s">
        <v>1502</v>
      </c>
      <c r="D32" t="s">
        <v>1933</v>
      </c>
      <c r="E32">
        <v>617</v>
      </c>
      <c r="F32" s="14" t="s">
        <v>77</v>
      </c>
      <c r="G32" t="s">
        <v>2267</v>
      </c>
      <c r="H32" s="14">
        <v>0.68571428571428572</v>
      </c>
      <c r="AA32" s="11"/>
      <c r="AL32" s="11"/>
      <c r="AS32" s="11"/>
      <c r="BD32" s="12"/>
      <c r="BE32" s="12"/>
      <c r="BF32" s="14"/>
    </row>
    <row r="33" spans="1:58" x14ac:dyDescent="0.15">
      <c r="A33" t="s">
        <v>1691</v>
      </c>
      <c r="B33" t="s">
        <v>1374</v>
      </c>
      <c r="C33" t="s">
        <v>1471</v>
      </c>
      <c r="D33" t="s">
        <v>1692</v>
      </c>
      <c r="E33">
        <v>2229</v>
      </c>
      <c r="F33" s="14" t="s">
        <v>2259</v>
      </c>
      <c r="G33" t="s">
        <v>611</v>
      </c>
      <c r="H33" s="14">
        <v>0.69051490514905156</v>
      </c>
      <c r="Q33" s="11"/>
      <c r="AA33" s="11"/>
      <c r="BD33" s="12"/>
      <c r="BE33" s="12"/>
      <c r="BF33" s="14"/>
    </row>
    <row r="34" spans="1:58" x14ac:dyDescent="0.15">
      <c r="A34" t="s">
        <v>1534</v>
      </c>
      <c r="B34" t="s">
        <v>1391</v>
      </c>
      <c r="C34" t="s">
        <v>1463</v>
      </c>
      <c r="D34" t="s">
        <v>1535</v>
      </c>
      <c r="E34">
        <v>655</v>
      </c>
      <c r="F34" s="14" t="s">
        <v>104</v>
      </c>
      <c r="G34" t="s">
        <v>398</v>
      </c>
      <c r="H34" s="14">
        <v>0.7400000000000001</v>
      </c>
      <c r="Q34" s="11"/>
      <c r="Y34" s="11"/>
      <c r="AU34" s="11"/>
      <c r="BD34" s="12"/>
      <c r="BE34" s="12"/>
      <c r="BF34" s="14"/>
    </row>
    <row r="35" spans="1:58" x14ac:dyDescent="0.15">
      <c r="A35" t="s">
        <v>1963</v>
      </c>
      <c r="B35" t="s">
        <v>1383</v>
      </c>
      <c r="C35" t="s">
        <v>1460</v>
      </c>
      <c r="D35" t="s">
        <v>1964</v>
      </c>
      <c r="E35">
        <v>404</v>
      </c>
      <c r="F35" s="14" t="s">
        <v>83</v>
      </c>
      <c r="G35" t="s">
        <v>478</v>
      </c>
      <c r="H35" s="14">
        <v>0.75159568843087843</v>
      </c>
      <c r="O35" s="11"/>
      <c r="AA35" s="11"/>
      <c r="AU35" s="11"/>
      <c r="BD35" s="12"/>
      <c r="BE35" s="12"/>
      <c r="BF35" s="14"/>
    </row>
    <row r="36" spans="1:58" x14ac:dyDescent="0.15">
      <c r="A36" t="s">
        <v>1618</v>
      </c>
      <c r="B36" t="s">
        <v>1394</v>
      </c>
      <c r="C36" t="s">
        <v>1537</v>
      </c>
      <c r="D36" t="s">
        <v>1619</v>
      </c>
      <c r="E36">
        <v>1931</v>
      </c>
      <c r="F36" s="14" t="s">
        <v>2265</v>
      </c>
      <c r="G36" t="s">
        <v>1847</v>
      </c>
      <c r="H36" s="14">
        <v>0.8300047513455151</v>
      </c>
      <c r="AW36" s="11"/>
      <c r="BD36" s="12"/>
      <c r="BE36" s="13"/>
      <c r="BF36" s="14"/>
    </row>
    <row r="37" spans="1:58" x14ac:dyDescent="0.15">
      <c r="A37" t="s">
        <v>2048</v>
      </c>
      <c r="B37" t="s">
        <v>1392</v>
      </c>
      <c r="C37" t="s">
        <v>1471</v>
      </c>
      <c r="D37" t="s">
        <v>2049</v>
      </c>
      <c r="E37">
        <v>1931</v>
      </c>
      <c r="F37" s="14" t="s">
        <v>2265</v>
      </c>
      <c r="G37" t="s">
        <v>1847</v>
      </c>
      <c r="H37" s="14">
        <v>0.8300047513455151</v>
      </c>
      <c r="BD37" s="12"/>
      <c r="BE37" s="13"/>
      <c r="BF37" s="14"/>
    </row>
    <row r="38" spans="1:58" x14ac:dyDescent="0.15">
      <c r="A38" t="s">
        <v>2218</v>
      </c>
      <c r="B38" t="s">
        <v>1386</v>
      </c>
      <c r="C38" t="s">
        <v>1463</v>
      </c>
      <c r="D38" t="s">
        <v>2219</v>
      </c>
      <c r="E38">
        <v>1131</v>
      </c>
      <c r="F38" s="14" t="s">
        <v>83</v>
      </c>
      <c r="G38" t="s">
        <v>883</v>
      </c>
      <c r="H38" s="14">
        <v>0.83400523429772111</v>
      </c>
      <c r="O38" s="11"/>
      <c r="Y38" s="11"/>
      <c r="AJ38" s="11"/>
      <c r="AO38" s="11"/>
      <c r="AQ38" s="11"/>
      <c r="AS38" s="11"/>
      <c r="AU38" s="11"/>
      <c r="BD38" s="12"/>
      <c r="BE38" s="12"/>
      <c r="BF38" s="14"/>
    </row>
    <row r="39" spans="1:58" x14ac:dyDescent="0.15">
      <c r="A39" t="s">
        <v>2130</v>
      </c>
      <c r="B39" t="s">
        <v>1501</v>
      </c>
      <c r="C39" t="s">
        <v>1502</v>
      </c>
      <c r="D39" t="s">
        <v>2131</v>
      </c>
      <c r="E39">
        <v>1543</v>
      </c>
      <c r="F39" s="14" t="s">
        <v>2268</v>
      </c>
      <c r="G39" t="s">
        <v>885</v>
      </c>
      <c r="H39" s="14">
        <v>0.84285714285714286</v>
      </c>
      <c r="AW39" s="11"/>
      <c r="BD39" s="12"/>
      <c r="BE39" s="13"/>
      <c r="BF39" s="14"/>
    </row>
    <row r="40" spans="1:58" x14ac:dyDescent="0.15">
      <c r="A40" t="s">
        <v>2057</v>
      </c>
      <c r="B40" t="s">
        <v>1506</v>
      </c>
      <c r="C40" t="s">
        <v>1506</v>
      </c>
      <c r="D40" t="s">
        <v>2058</v>
      </c>
      <c r="E40">
        <v>910</v>
      </c>
      <c r="F40" s="14" t="s">
        <v>2260</v>
      </c>
      <c r="G40" t="s">
        <v>541</v>
      </c>
      <c r="H40" s="14">
        <v>0.85263157894736841</v>
      </c>
      <c r="O40" s="11"/>
      <c r="AO40" s="11"/>
      <c r="AQ40" s="11"/>
      <c r="BD40" s="12"/>
      <c r="BE40" s="12"/>
      <c r="BF40" s="14"/>
    </row>
    <row r="41" spans="1:58" x14ac:dyDescent="0.15">
      <c r="A41" t="s">
        <v>2091</v>
      </c>
      <c r="B41" t="s">
        <v>1506</v>
      </c>
      <c r="C41" t="s">
        <v>1506</v>
      </c>
      <c r="D41" t="s">
        <v>2092</v>
      </c>
      <c r="E41">
        <v>382</v>
      </c>
      <c r="F41" s="14" t="s">
        <v>2260</v>
      </c>
      <c r="G41" t="s">
        <v>596</v>
      </c>
      <c r="H41" s="14">
        <v>0.85263157894736841</v>
      </c>
      <c r="Q41" s="11"/>
      <c r="AL41" s="11"/>
      <c r="AS41" s="11"/>
      <c r="AU41" s="11"/>
      <c r="BD41" s="12"/>
      <c r="BE41" s="12"/>
      <c r="BF41" s="14"/>
    </row>
    <row r="42" spans="1:58" x14ac:dyDescent="0.15">
      <c r="A42" t="s">
        <v>2165</v>
      </c>
      <c r="B42" t="s">
        <v>1501</v>
      </c>
      <c r="C42" t="s">
        <v>1502</v>
      </c>
      <c r="D42" t="s">
        <v>2166</v>
      </c>
      <c r="E42">
        <v>538</v>
      </c>
      <c r="F42" s="14" t="s">
        <v>77</v>
      </c>
      <c r="G42" t="s">
        <v>191</v>
      </c>
      <c r="H42" s="14">
        <v>0.85263157894736841</v>
      </c>
      <c r="Q42" s="11"/>
      <c r="AO42" s="11"/>
      <c r="AQ42" s="11"/>
      <c r="AU42" s="11"/>
      <c r="BD42" s="12"/>
      <c r="BE42" s="12"/>
      <c r="BF42" s="14"/>
    </row>
    <row r="43" spans="1:58" x14ac:dyDescent="0.15">
      <c r="A43" t="s">
        <v>2167</v>
      </c>
      <c r="B43" t="s">
        <v>1506</v>
      </c>
      <c r="C43" t="s">
        <v>1506</v>
      </c>
      <c r="D43" t="s">
        <v>2168</v>
      </c>
      <c r="E43">
        <v>1019</v>
      </c>
      <c r="F43" s="14" t="s">
        <v>2260</v>
      </c>
      <c r="G43" t="s">
        <v>266</v>
      </c>
      <c r="H43" s="14">
        <v>0.85263157894736841</v>
      </c>
      <c r="AL43" s="11"/>
      <c r="AU43" s="11"/>
      <c r="BD43" s="12"/>
      <c r="BE43" s="12"/>
      <c r="BF43" s="14"/>
    </row>
    <row r="44" spans="1:58" x14ac:dyDescent="0.15">
      <c r="A44" t="s">
        <v>2067</v>
      </c>
      <c r="B44" t="s">
        <v>1372</v>
      </c>
      <c r="C44" t="s">
        <v>1521</v>
      </c>
      <c r="D44" t="s">
        <v>772</v>
      </c>
      <c r="E44">
        <v>960</v>
      </c>
      <c r="F44" s="14" t="s">
        <v>67</v>
      </c>
      <c r="G44" t="s">
        <v>1033</v>
      </c>
      <c r="H44" s="14">
        <v>0.85714285714285721</v>
      </c>
      <c r="O44" s="11"/>
      <c r="Y44" s="11"/>
      <c r="AA44" s="11"/>
      <c r="AJ44" s="11"/>
      <c r="AL44" s="11"/>
      <c r="AO44" s="11"/>
      <c r="AQ44" s="11"/>
      <c r="AU44" s="11"/>
      <c r="BD44" s="12"/>
      <c r="BE44" s="12"/>
      <c r="BF44" s="14"/>
    </row>
    <row r="45" spans="1:58" x14ac:dyDescent="0.15">
      <c r="A45" t="s">
        <v>1567</v>
      </c>
      <c r="B45" t="s">
        <v>764</v>
      </c>
      <c r="C45" t="s">
        <v>1502</v>
      </c>
      <c r="D45" t="s">
        <v>1568</v>
      </c>
      <c r="E45">
        <v>999</v>
      </c>
      <c r="F45" s="14" t="s">
        <v>77</v>
      </c>
      <c r="G45" t="s">
        <v>486</v>
      </c>
      <c r="H45" s="14">
        <v>0.85882352941176476</v>
      </c>
      <c r="O45" s="11"/>
      <c r="AJ45" s="11"/>
      <c r="AO45" s="11"/>
      <c r="AQ45" s="11"/>
      <c r="AS45" s="11"/>
      <c r="BD45" s="12"/>
      <c r="BE45" s="12"/>
      <c r="BF45" s="14"/>
    </row>
    <row r="46" spans="1:58" x14ac:dyDescent="0.15">
      <c r="A46" t="s">
        <v>1505</v>
      </c>
      <c r="B46" t="s">
        <v>1506</v>
      </c>
      <c r="C46" t="s">
        <v>1506</v>
      </c>
      <c r="D46" t="s">
        <v>1508</v>
      </c>
      <c r="E46">
        <v>1195</v>
      </c>
      <c r="F46" s="14" t="s">
        <v>90</v>
      </c>
      <c r="G46" t="s">
        <v>126</v>
      </c>
      <c r="H46" s="14">
        <v>0.86</v>
      </c>
      <c r="Y46" s="11"/>
      <c r="AJ46" s="11"/>
      <c r="AO46" s="11"/>
      <c r="AQ46" s="11"/>
      <c r="AU46" s="11"/>
      <c r="BD46" s="12"/>
      <c r="BE46" s="12"/>
      <c r="BF46" s="14"/>
    </row>
    <row r="47" spans="1:58" x14ac:dyDescent="0.15">
      <c r="A47" t="s">
        <v>1509</v>
      </c>
      <c r="B47" t="s">
        <v>1506</v>
      </c>
      <c r="C47" t="s">
        <v>1506</v>
      </c>
      <c r="D47" t="s">
        <v>1510</v>
      </c>
      <c r="E47">
        <v>934</v>
      </c>
      <c r="F47" s="14" t="s">
        <v>2260</v>
      </c>
      <c r="G47" t="s">
        <v>593</v>
      </c>
      <c r="H47" s="14">
        <v>0.86</v>
      </c>
      <c r="Y47" s="11"/>
      <c r="AA47" s="11"/>
      <c r="AO47" s="11"/>
      <c r="AQ47" s="11"/>
      <c r="BD47" s="12"/>
      <c r="BE47" s="12"/>
      <c r="BF47" s="14"/>
    </row>
    <row r="48" spans="1:58" x14ac:dyDescent="0.15">
      <c r="A48" t="s">
        <v>1547</v>
      </c>
      <c r="B48" t="s">
        <v>1506</v>
      </c>
      <c r="C48" t="s">
        <v>1506</v>
      </c>
      <c r="D48" t="s">
        <v>1548</v>
      </c>
      <c r="E48">
        <v>130</v>
      </c>
      <c r="F48" s="14" t="s">
        <v>2260</v>
      </c>
      <c r="G48" t="s">
        <v>459</v>
      </c>
      <c r="H48" s="14">
        <v>0.86</v>
      </c>
      <c r="Q48" s="11"/>
      <c r="BD48" s="12"/>
      <c r="BE48" s="12"/>
      <c r="BF48" s="14"/>
    </row>
    <row r="49" spans="1:58" x14ac:dyDescent="0.15">
      <c r="A49" t="s">
        <v>1584</v>
      </c>
      <c r="B49" t="s">
        <v>1537</v>
      </c>
      <c r="C49" t="s">
        <v>1537</v>
      </c>
      <c r="D49" t="s">
        <v>1586</v>
      </c>
      <c r="E49">
        <v>1113</v>
      </c>
      <c r="F49" s="14" t="s">
        <v>54</v>
      </c>
      <c r="G49" t="s">
        <v>205</v>
      </c>
      <c r="H49" s="14">
        <v>0.86</v>
      </c>
      <c r="O49" s="11"/>
      <c r="Q49" s="11"/>
      <c r="AU49" s="11"/>
      <c r="BD49" s="12"/>
      <c r="BE49" s="12"/>
      <c r="BF49" s="14"/>
    </row>
    <row r="50" spans="1:58" x14ac:dyDescent="0.15">
      <c r="A50" t="s">
        <v>1587</v>
      </c>
      <c r="B50" t="s">
        <v>1506</v>
      </c>
      <c r="C50" t="s">
        <v>1506</v>
      </c>
      <c r="D50" t="s">
        <v>1588</v>
      </c>
      <c r="E50">
        <v>765</v>
      </c>
      <c r="F50" s="14" t="s">
        <v>2260</v>
      </c>
      <c r="G50" t="s">
        <v>751</v>
      </c>
      <c r="H50" s="14">
        <v>0.86</v>
      </c>
      <c r="AJ50" s="11"/>
      <c r="AO50" s="11"/>
      <c r="AQ50" s="11"/>
      <c r="BD50" s="12"/>
      <c r="BE50" s="12"/>
      <c r="BF50" s="14"/>
    </row>
    <row r="51" spans="1:58" x14ac:dyDescent="0.15">
      <c r="A51" t="s">
        <v>1675</v>
      </c>
      <c r="B51" t="s">
        <v>1676</v>
      </c>
      <c r="C51" t="s">
        <v>1502</v>
      </c>
      <c r="D51" t="s">
        <v>1678</v>
      </c>
      <c r="E51">
        <v>401</v>
      </c>
      <c r="F51" s="14" t="s">
        <v>77</v>
      </c>
      <c r="G51" t="s">
        <v>602</v>
      </c>
      <c r="H51" s="14">
        <v>0.86</v>
      </c>
      <c r="AL51" s="11"/>
      <c r="AO51" s="11"/>
      <c r="AS51" s="11"/>
      <c r="BD51" s="12"/>
      <c r="BE51" s="12"/>
      <c r="BF51" s="14"/>
    </row>
    <row r="52" spans="1:58" x14ac:dyDescent="0.15">
      <c r="A52" t="s">
        <v>1679</v>
      </c>
      <c r="B52" t="s">
        <v>1506</v>
      </c>
      <c r="C52" t="s">
        <v>1506</v>
      </c>
      <c r="D52" t="s">
        <v>1680</v>
      </c>
      <c r="E52">
        <v>367</v>
      </c>
      <c r="F52" s="14" t="s">
        <v>2260</v>
      </c>
      <c r="G52" t="s">
        <v>626</v>
      </c>
      <c r="H52" s="14">
        <v>0.86</v>
      </c>
      <c r="Y52" s="11"/>
      <c r="AA52" s="11"/>
      <c r="BD52" s="12"/>
      <c r="BE52" s="12"/>
      <c r="BF52" s="14"/>
    </row>
    <row r="53" spans="1:58" x14ac:dyDescent="0.15">
      <c r="A53" t="s">
        <v>1712</v>
      </c>
      <c r="B53" t="s">
        <v>1537</v>
      </c>
      <c r="C53" t="s">
        <v>1537</v>
      </c>
      <c r="D53" t="s">
        <v>1713</v>
      </c>
      <c r="E53">
        <v>639</v>
      </c>
      <c r="F53" s="14" t="s">
        <v>54</v>
      </c>
      <c r="G53" t="s">
        <v>817</v>
      </c>
      <c r="H53" s="14">
        <v>0.86</v>
      </c>
      <c r="Q53" s="11"/>
      <c r="W53" s="11"/>
      <c r="Y53" s="11"/>
      <c r="AJ53" s="11"/>
      <c r="AO53" s="11"/>
      <c r="AQ53" s="11"/>
      <c r="BD53" s="12"/>
      <c r="BE53" s="12"/>
      <c r="BF53" s="14"/>
    </row>
    <row r="54" spans="1:58" x14ac:dyDescent="0.15">
      <c r="A54" t="s">
        <v>1716</v>
      </c>
      <c r="B54" t="s">
        <v>1506</v>
      </c>
      <c r="C54" t="s">
        <v>1506</v>
      </c>
      <c r="D54" t="s">
        <v>1717</v>
      </c>
      <c r="E54">
        <v>403</v>
      </c>
      <c r="F54" s="14" t="s">
        <v>2260</v>
      </c>
      <c r="G54" t="s">
        <v>165</v>
      </c>
      <c r="H54" s="14">
        <v>0.86</v>
      </c>
      <c r="AJ54" s="11"/>
      <c r="AO54" s="11"/>
      <c r="AQ54" s="11"/>
      <c r="AS54" s="11"/>
      <c r="BD54" s="12"/>
      <c r="BE54" s="12"/>
      <c r="BF54" s="14"/>
    </row>
    <row r="55" spans="1:58" x14ac:dyDescent="0.15">
      <c r="A55" t="s">
        <v>1830</v>
      </c>
      <c r="B55" t="s">
        <v>1506</v>
      </c>
      <c r="C55" t="s">
        <v>1506</v>
      </c>
      <c r="D55" t="s">
        <v>1831</v>
      </c>
      <c r="E55">
        <v>1140</v>
      </c>
      <c r="F55" s="14" t="s">
        <v>2260</v>
      </c>
      <c r="G55" t="s">
        <v>325</v>
      </c>
      <c r="H55" s="14">
        <v>0.86</v>
      </c>
      <c r="O55" s="11"/>
      <c r="Q55" s="11"/>
      <c r="W55" s="11"/>
      <c r="AO55" s="11"/>
      <c r="AQ55" s="11"/>
      <c r="AU55" s="11"/>
      <c r="BD55" s="12"/>
      <c r="BE55" s="12"/>
      <c r="BF55" s="14"/>
    </row>
    <row r="56" spans="1:58" x14ac:dyDescent="0.15">
      <c r="A56" t="s">
        <v>1868</v>
      </c>
      <c r="B56" t="s">
        <v>1506</v>
      </c>
      <c r="C56" t="s">
        <v>1506</v>
      </c>
      <c r="D56" t="s">
        <v>1869</v>
      </c>
      <c r="E56">
        <v>1018</v>
      </c>
      <c r="F56" s="14" t="s">
        <v>2260</v>
      </c>
      <c r="G56" t="s">
        <v>841</v>
      </c>
      <c r="H56" s="14">
        <v>0.86</v>
      </c>
      <c r="Y56" s="11"/>
      <c r="AA56" s="11"/>
      <c r="AJ56" s="11"/>
      <c r="AO56" s="11"/>
      <c r="AQ56" s="11"/>
      <c r="AU56" s="11"/>
      <c r="BD56" s="12"/>
      <c r="BE56" s="12"/>
      <c r="BF56" s="14"/>
    </row>
    <row r="57" spans="1:58" x14ac:dyDescent="0.15">
      <c r="A57" t="s">
        <v>1904</v>
      </c>
      <c r="B57" t="s">
        <v>1506</v>
      </c>
      <c r="C57" t="s">
        <v>1506</v>
      </c>
      <c r="D57" t="s">
        <v>1905</v>
      </c>
      <c r="E57">
        <v>1035</v>
      </c>
      <c r="F57" s="14" t="s">
        <v>2260</v>
      </c>
      <c r="G57" t="s">
        <v>616</v>
      </c>
      <c r="H57" s="14">
        <v>0.86</v>
      </c>
      <c r="O57" s="11"/>
      <c r="AA57" s="11"/>
      <c r="BD57" s="12"/>
      <c r="BE57" s="12"/>
      <c r="BF57" s="14"/>
    </row>
    <row r="58" spans="1:58" x14ac:dyDescent="0.15">
      <c r="A58" t="s">
        <v>1947</v>
      </c>
      <c r="B58" t="s">
        <v>1676</v>
      </c>
      <c r="C58" t="s">
        <v>1502</v>
      </c>
      <c r="D58" t="s">
        <v>1948</v>
      </c>
      <c r="E58">
        <v>699</v>
      </c>
      <c r="F58" s="14" t="s">
        <v>2268</v>
      </c>
      <c r="G58" t="s">
        <v>214</v>
      </c>
      <c r="H58" s="14">
        <v>0.86</v>
      </c>
      <c r="Y58" s="11"/>
      <c r="AA58" s="11"/>
      <c r="AJ58" s="11"/>
      <c r="AS58" s="11"/>
      <c r="BD58" s="12"/>
      <c r="BE58" s="12"/>
      <c r="BF58" s="14"/>
    </row>
    <row r="59" spans="1:58" x14ac:dyDescent="0.15">
      <c r="A59" t="s">
        <v>1951</v>
      </c>
      <c r="B59" t="s">
        <v>1506</v>
      </c>
      <c r="C59" t="s">
        <v>1506</v>
      </c>
      <c r="D59" t="s">
        <v>1952</v>
      </c>
      <c r="E59">
        <v>992</v>
      </c>
      <c r="F59" s="14" t="s">
        <v>2260</v>
      </c>
      <c r="G59" t="s">
        <v>360</v>
      </c>
      <c r="H59" s="14">
        <v>0.86</v>
      </c>
      <c r="Y59" s="11"/>
      <c r="BD59" s="12"/>
      <c r="BE59" s="12"/>
      <c r="BF59" s="14"/>
    </row>
    <row r="60" spans="1:58" x14ac:dyDescent="0.15">
      <c r="A60" t="s">
        <v>1981</v>
      </c>
      <c r="B60" t="s">
        <v>1506</v>
      </c>
      <c r="C60" t="s">
        <v>1506</v>
      </c>
      <c r="D60" t="s">
        <v>1982</v>
      </c>
      <c r="E60">
        <v>738</v>
      </c>
      <c r="F60" s="14" t="s">
        <v>2260</v>
      </c>
      <c r="G60" t="s">
        <v>473</v>
      </c>
      <c r="H60" s="14">
        <v>0.86</v>
      </c>
      <c r="O60" s="11"/>
      <c r="Q60" s="11"/>
      <c r="Y60" s="11"/>
      <c r="AA60" s="11"/>
      <c r="AS60" s="11"/>
      <c r="BD60" s="12"/>
      <c r="BE60" s="12"/>
      <c r="BF60" s="14"/>
    </row>
    <row r="61" spans="1:58" x14ac:dyDescent="0.15">
      <c r="A61" t="s">
        <v>2007</v>
      </c>
      <c r="B61" t="s">
        <v>1676</v>
      </c>
      <c r="C61" t="s">
        <v>1502</v>
      </c>
      <c r="D61" t="s">
        <v>2008</v>
      </c>
      <c r="E61">
        <v>260</v>
      </c>
      <c r="F61" s="14" t="s">
        <v>77</v>
      </c>
      <c r="G61" t="s">
        <v>317</v>
      </c>
      <c r="H61" s="14">
        <v>0.86</v>
      </c>
      <c r="O61" s="11"/>
      <c r="Q61" s="11"/>
      <c r="Y61" s="11"/>
      <c r="AL61" s="11"/>
      <c r="AO61" s="11"/>
      <c r="AQ61" s="11"/>
      <c r="BD61" s="12"/>
      <c r="BE61" s="12"/>
      <c r="BF61" s="14"/>
    </row>
    <row r="62" spans="1:58" x14ac:dyDescent="0.15">
      <c r="A62" t="s">
        <v>2009</v>
      </c>
      <c r="B62" t="s">
        <v>1506</v>
      </c>
      <c r="C62" t="s">
        <v>1506</v>
      </c>
      <c r="D62" t="s">
        <v>2010</v>
      </c>
      <c r="E62">
        <v>290</v>
      </c>
      <c r="F62" s="14" t="s">
        <v>2260</v>
      </c>
      <c r="G62" t="s">
        <v>483</v>
      </c>
      <c r="H62" s="14">
        <v>0.86</v>
      </c>
      <c r="AJ62" s="11"/>
      <c r="AL62" s="11"/>
      <c r="AS62" s="11"/>
      <c r="AU62" s="11"/>
      <c r="BD62" s="12"/>
      <c r="BE62" s="12"/>
      <c r="BF62" s="14"/>
    </row>
    <row r="63" spans="1:58" x14ac:dyDescent="0.15">
      <c r="A63" t="s">
        <v>2031</v>
      </c>
      <c r="B63" t="s">
        <v>1506</v>
      </c>
      <c r="C63" t="s">
        <v>1506</v>
      </c>
      <c r="D63" t="s">
        <v>2032</v>
      </c>
      <c r="E63">
        <v>776</v>
      </c>
      <c r="F63" s="14" t="s">
        <v>2260</v>
      </c>
      <c r="G63" t="s">
        <v>347</v>
      </c>
      <c r="H63" s="14">
        <v>0.86</v>
      </c>
      <c r="Y63" s="11"/>
      <c r="AA63" s="11"/>
      <c r="AJ63" s="11"/>
      <c r="BD63" s="12"/>
      <c r="BE63" s="12"/>
      <c r="BF63" s="14"/>
    </row>
    <row r="64" spans="1:58" x14ac:dyDescent="0.15">
      <c r="A64" t="s">
        <v>2197</v>
      </c>
      <c r="B64" t="s">
        <v>1506</v>
      </c>
      <c r="C64" t="s">
        <v>1506</v>
      </c>
      <c r="D64" t="s">
        <v>2198</v>
      </c>
      <c r="E64">
        <v>1162</v>
      </c>
      <c r="F64" s="14" t="s">
        <v>2260</v>
      </c>
      <c r="G64" t="s">
        <v>250</v>
      </c>
      <c r="H64" s="14">
        <v>0.86</v>
      </c>
      <c r="BD64" s="12"/>
      <c r="BE64" s="12"/>
      <c r="BF64" s="14"/>
    </row>
    <row r="65" spans="1:58" x14ac:dyDescent="0.15">
      <c r="A65" t="s">
        <v>1655</v>
      </c>
      <c r="B65" t="s">
        <v>1506</v>
      </c>
      <c r="C65" t="s">
        <v>1506</v>
      </c>
      <c r="D65" t="s">
        <v>948</v>
      </c>
      <c r="E65">
        <v>1419</v>
      </c>
      <c r="F65" s="14" t="s">
        <v>2269</v>
      </c>
      <c r="G65" t="s">
        <v>1136</v>
      </c>
      <c r="H65" s="14">
        <v>0.86086956521739133</v>
      </c>
      <c r="O65" s="11"/>
      <c r="AL65" s="11"/>
      <c r="BD65" s="12"/>
      <c r="BE65" s="12"/>
      <c r="BF65" s="14"/>
    </row>
    <row r="66" spans="1:58" x14ac:dyDescent="0.15">
      <c r="A66" t="s">
        <v>1500</v>
      </c>
      <c r="B66" t="s">
        <v>1501</v>
      </c>
      <c r="C66" t="s">
        <v>1502</v>
      </c>
      <c r="D66" t="s">
        <v>1504</v>
      </c>
      <c r="E66">
        <v>2006</v>
      </c>
      <c r="F66" s="14" t="s">
        <v>2268</v>
      </c>
      <c r="G66" t="s">
        <v>532</v>
      </c>
      <c r="H66" s="14">
        <v>0.8666666666666667</v>
      </c>
      <c r="Y66" s="11"/>
      <c r="AA66" s="11"/>
      <c r="AO66" s="11"/>
      <c r="AQ66" s="11"/>
      <c r="BD66" s="12"/>
      <c r="BE66" s="12"/>
      <c r="BF66" s="14"/>
    </row>
    <row r="67" spans="1:58" x14ac:dyDescent="0.15">
      <c r="A67" t="s">
        <v>1582</v>
      </c>
      <c r="B67" t="s">
        <v>1544</v>
      </c>
      <c r="C67" t="s">
        <v>1460</v>
      </c>
      <c r="D67" t="s">
        <v>1583</v>
      </c>
      <c r="E67">
        <v>1093</v>
      </c>
      <c r="F67" s="14" t="s">
        <v>83</v>
      </c>
      <c r="G67" t="s">
        <v>1301</v>
      </c>
      <c r="H67" s="14">
        <v>0.8666666666666667</v>
      </c>
      <c r="AJ67" s="11"/>
      <c r="AO67" s="11"/>
      <c r="AQ67" s="11"/>
      <c r="BD67" s="12"/>
      <c r="BE67" s="12"/>
      <c r="BF67" s="14"/>
    </row>
    <row r="68" spans="1:58" x14ac:dyDescent="0.15">
      <c r="A68" t="s">
        <v>1629</v>
      </c>
      <c r="B68" t="s">
        <v>1506</v>
      </c>
      <c r="C68" t="s">
        <v>1506</v>
      </c>
      <c r="D68" t="s">
        <v>1630</v>
      </c>
      <c r="E68">
        <v>521</v>
      </c>
      <c r="F68" s="14" t="s">
        <v>2260</v>
      </c>
      <c r="G68" t="s">
        <v>672</v>
      </c>
      <c r="H68" s="14">
        <v>0.8666666666666667</v>
      </c>
      <c r="O68" s="11"/>
      <c r="Y68" s="11"/>
      <c r="AL68" s="11"/>
      <c r="AU68" s="11"/>
      <c r="BD68" s="12"/>
      <c r="BE68" s="12"/>
      <c r="BF68" s="14"/>
    </row>
    <row r="69" spans="1:58" x14ac:dyDescent="0.15">
      <c r="A69" t="s">
        <v>1658</v>
      </c>
      <c r="B69" t="s">
        <v>1550</v>
      </c>
      <c r="C69" t="s">
        <v>1467</v>
      </c>
      <c r="D69" t="s">
        <v>1660</v>
      </c>
      <c r="E69">
        <v>359</v>
      </c>
      <c r="F69" s="14" t="s">
        <v>2263</v>
      </c>
      <c r="G69" t="s">
        <v>451</v>
      </c>
      <c r="H69" s="14">
        <v>0.8666666666666667</v>
      </c>
      <c r="BD69" s="12"/>
      <c r="BE69" s="13"/>
      <c r="BF69" s="14"/>
    </row>
    <row r="70" spans="1:58" x14ac:dyDescent="0.15">
      <c r="A70" t="s">
        <v>1714</v>
      </c>
      <c r="B70" t="s">
        <v>1506</v>
      </c>
      <c r="C70" t="s">
        <v>1506</v>
      </c>
      <c r="D70" t="s">
        <v>1715</v>
      </c>
      <c r="E70">
        <v>368</v>
      </c>
      <c r="F70" s="14" t="s">
        <v>2260</v>
      </c>
      <c r="G70" t="s">
        <v>396</v>
      </c>
      <c r="H70" s="14">
        <v>0.8666666666666667</v>
      </c>
      <c r="O70" s="11"/>
      <c r="Y70" s="11"/>
      <c r="AL70" s="11"/>
      <c r="AU70" s="11"/>
      <c r="BD70" s="12"/>
      <c r="BE70" s="12"/>
      <c r="BF70" s="14"/>
    </row>
    <row r="71" spans="1:58" x14ac:dyDescent="0.15">
      <c r="A71" t="s">
        <v>1750</v>
      </c>
      <c r="B71" t="s">
        <v>1496</v>
      </c>
      <c r="C71" t="s">
        <v>1497</v>
      </c>
      <c r="D71" t="s">
        <v>1751</v>
      </c>
      <c r="E71">
        <v>1959</v>
      </c>
      <c r="F71" s="14" t="s">
        <v>2270</v>
      </c>
      <c r="G71" t="s">
        <v>558</v>
      </c>
      <c r="H71" s="14">
        <v>0.8666666666666667</v>
      </c>
      <c r="Q71" s="11"/>
      <c r="AJ71" s="11"/>
      <c r="AO71" s="11"/>
      <c r="AQ71" s="11"/>
      <c r="AU71" s="11"/>
      <c r="BD71" s="12"/>
      <c r="BE71" s="12"/>
      <c r="BF71" s="14"/>
    </row>
    <row r="72" spans="1:58" x14ac:dyDescent="0.15">
      <c r="A72" t="s">
        <v>1864</v>
      </c>
      <c r="B72" t="s">
        <v>1747</v>
      </c>
      <c r="C72" t="s">
        <v>1460</v>
      </c>
      <c r="D72" t="s">
        <v>1865</v>
      </c>
      <c r="E72">
        <v>1645</v>
      </c>
      <c r="F72" s="14" t="s">
        <v>2271</v>
      </c>
      <c r="G72" t="s">
        <v>146</v>
      </c>
      <c r="H72" s="14">
        <v>0.8666666666666667</v>
      </c>
      <c r="O72" s="11"/>
      <c r="AA72" s="11"/>
      <c r="BD72" s="12"/>
      <c r="BE72" s="12"/>
      <c r="BF72" s="14"/>
    </row>
    <row r="73" spans="1:58" x14ac:dyDescent="0.15">
      <c r="A73" t="s">
        <v>1898</v>
      </c>
      <c r="B73" t="s">
        <v>1544</v>
      </c>
      <c r="C73" t="s">
        <v>1460</v>
      </c>
      <c r="D73" t="s">
        <v>1899</v>
      </c>
      <c r="E73">
        <v>1131</v>
      </c>
      <c r="F73" s="14" t="s">
        <v>83</v>
      </c>
      <c r="G73" t="s">
        <v>883</v>
      </c>
      <c r="H73" s="14">
        <v>0.8666666666666667</v>
      </c>
      <c r="AJ73" s="11"/>
      <c r="AS73" s="11"/>
      <c r="AU73" s="11"/>
      <c r="BD73" s="12"/>
      <c r="BE73" s="12"/>
      <c r="BF73" s="14"/>
    </row>
    <row r="74" spans="1:58" x14ac:dyDescent="0.15">
      <c r="A74" t="s">
        <v>1945</v>
      </c>
      <c r="B74" t="s">
        <v>1544</v>
      </c>
      <c r="C74" t="s">
        <v>1460</v>
      </c>
      <c r="D74" t="s">
        <v>1946</v>
      </c>
      <c r="E74">
        <v>1208</v>
      </c>
      <c r="F74" s="14" t="s">
        <v>83</v>
      </c>
      <c r="G74" t="s">
        <v>946</v>
      </c>
      <c r="H74" s="14">
        <v>0.8666666666666667</v>
      </c>
      <c r="Q74" s="11"/>
      <c r="AO74" s="11"/>
      <c r="AQ74" s="11"/>
      <c r="AU74" s="11"/>
      <c r="BD74" s="12"/>
      <c r="BE74" s="12"/>
      <c r="BF74" s="14"/>
    </row>
    <row r="75" spans="1:58" x14ac:dyDescent="0.15">
      <c r="A75" t="s">
        <v>1977</v>
      </c>
      <c r="B75" t="s">
        <v>1544</v>
      </c>
      <c r="C75" t="s">
        <v>1460</v>
      </c>
      <c r="D75" t="s">
        <v>1978</v>
      </c>
      <c r="E75">
        <v>1069</v>
      </c>
      <c r="F75" s="14" t="s">
        <v>83</v>
      </c>
      <c r="G75" t="s">
        <v>669</v>
      </c>
      <c r="H75" s="14">
        <v>0.8666666666666667</v>
      </c>
      <c r="Q75" s="11"/>
      <c r="AA75" s="11"/>
      <c r="AL75" s="11"/>
      <c r="AS75" s="11"/>
      <c r="BD75" s="12"/>
      <c r="BE75" s="12"/>
      <c r="BF75" s="14"/>
    </row>
    <row r="76" spans="1:58" x14ac:dyDescent="0.15">
      <c r="A76" t="s">
        <v>1979</v>
      </c>
      <c r="B76" t="s">
        <v>1537</v>
      </c>
      <c r="C76" t="s">
        <v>1537</v>
      </c>
      <c r="D76" t="s">
        <v>1980</v>
      </c>
      <c r="E76">
        <v>1237</v>
      </c>
      <c r="F76" s="14" t="s">
        <v>54</v>
      </c>
      <c r="G76" t="s">
        <v>652</v>
      </c>
      <c r="H76" s="14">
        <v>0.8666666666666667</v>
      </c>
      <c r="Q76" s="11"/>
      <c r="Y76" s="11"/>
      <c r="AA76" s="11"/>
      <c r="AJ76" s="11"/>
      <c r="BD76" s="12"/>
      <c r="BE76" s="12"/>
      <c r="BF76" s="14"/>
    </row>
    <row r="77" spans="1:58" x14ac:dyDescent="0.15">
      <c r="A77" t="s">
        <v>2027</v>
      </c>
      <c r="B77" t="s">
        <v>1544</v>
      </c>
      <c r="C77" t="s">
        <v>1460</v>
      </c>
      <c r="D77" t="s">
        <v>2028</v>
      </c>
      <c r="E77">
        <v>758</v>
      </c>
      <c r="F77" s="14" t="s">
        <v>83</v>
      </c>
      <c r="G77" t="s">
        <v>889</v>
      </c>
      <c r="H77" s="14">
        <v>0.8666666666666667</v>
      </c>
      <c r="Q77" s="11"/>
      <c r="AW77" s="11"/>
      <c r="BD77" s="12"/>
      <c r="BE77" s="13"/>
      <c r="BF77" s="14"/>
    </row>
    <row r="78" spans="1:58" x14ac:dyDescent="0.15">
      <c r="A78" t="s">
        <v>2085</v>
      </c>
      <c r="B78" t="s">
        <v>1544</v>
      </c>
      <c r="C78" t="s">
        <v>1460</v>
      </c>
      <c r="D78" t="s">
        <v>2086</v>
      </c>
      <c r="E78">
        <v>1233</v>
      </c>
      <c r="F78" s="14" t="s">
        <v>83</v>
      </c>
      <c r="G78" t="s">
        <v>974</v>
      </c>
      <c r="H78" s="14">
        <v>0.8666666666666667</v>
      </c>
      <c r="Y78" s="11"/>
      <c r="AW78" s="11"/>
      <c r="BD78" s="12"/>
      <c r="BE78" s="13"/>
      <c r="BF78" s="14"/>
    </row>
    <row r="79" spans="1:58" x14ac:dyDescent="0.15">
      <c r="A79" t="s">
        <v>2087</v>
      </c>
      <c r="B79" t="s">
        <v>1747</v>
      </c>
      <c r="C79" t="s">
        <v>1460</v>
      </c>
      <c r="D79" t="s">
        <v>2088</v>
      </c>
      <c r="E79">
        <v>1112</v>
      </c>
      <c r="F79" s="14" t="s">
        <v>2271</v>
      </c>
      <c r="G79" t="s">
        <v>1158</v>
      </c>
      <c r="H79" s="14">
        <v>0.8666666666666667</v>
      </c>
      <c r="Q79" s="11"/>
      <c r="AA79" s="11"/>
      <c r="AU79" s="11"/>
      <c r="BD79" s="12"/>
      <c r="BE79" s="12"/>
      <c r="BF79" s="14"/>
    </row>
    <row r="80" spans="1:58" x14ac:dyDescent="0.15">
      <c r="A80" t="s">
        <v>2089</v>
      </c>
      <c r="B80" t="s">
        <v>1537</v>
      </c>
      <c r="C80" t="s">
        <v>1537</v>
      </c>
      <c r="D80" t="s">
        <v>2090</v>
      </c>
      <c r="E80">
        <v>1750</v>
      </c>
      <c r="F80" s="14" t="s">
        <v>2272</v>
      </c>
      <c r="G80" t="s">
        <v>381</v>
      </c>
      <c r="H80" s="14">
        <v>0.8666666666666667</v>
      </c>
      <c r="O80" s="11"/>
      <c r="Q80" s="11"/>
      <c r="W80" s="11"/>
      <c r="AA80" s="11"/>
      <c r="AJ80" s="11"/>
      <c r="AQ80" s="11"/>
      <c r="AS80" s="11"/>
      <c r="BD80" s="12"/>
      <c r="BE80" s="12"/>
      <c r="BF80" s="14"/>
    </row>
    <row r="81" spans="1:58" x14ac:dyDescent="0.15">
      <c r="A81" t="s">
        <v>2124</v>
      </c>
      <c r="B81" t="s">
        <v>1544</v>
      </c>
      <c r="C81" t="s">
        <v>1460</v>
      </c>
      <c r="D81" t="s">
        <v>2125</v>
      </c>
      <c r="E81">
        <v>1161</v>
      </c>
      <c r="F81" s="14" t="s">
        <v>83</v>
      </c>
      <c r="G81" t="s">
        <v>937</v>
      </c>
      <c r="H81" s="14">
        <v>0.8666666666666667</v>
      </c>
      <c r="O81" s="11"/>
      <c r="AA81" s="11"/>
      <c r="AU81" s="11"/>
      <c r="BD81" s="12"/>
      <c r="BE81" s="12"/>
      <c r="BF81" s="14"/>
    </row>
    <row r="82" spans="1:58" x14ac:dyDescent="0.15">
      <c r="A82" t="s">
        <v>2169</v>
      </c>
      <c r="B82" t="s">
        <v>1506</v>
      </c>
      <c r="C82" t="s">
        <v>1506</v>
      </c>
      <c r="D82" t="s">
        <v>2170</v>
      </c>
      <c r="E82">
        <v>1004</v>
      </c>
      <c r="F82" s="14" t="s">
        <v>2260</v>
      </c>
      <c r="G82" t="s">
        <v>160</v>
      </c>
      <c r="H82" s="14">
        <v>0.8666666666666667</v>
      </c>
      <c r="O82" s="11"/>
      <c r="AA82" s="11"/>
      <c r="BD82" s="12"/>
      <c r="BE82" s="12"/>
      <c r="BF82" s="14"/>
    </row>
    <row r="83" spans="1:58" x14ac:dyDescent="0.15">
      <c r="A83" t="s">
        <v>1518</v>
      </c>
      <c r="B83" t="s">
        <v>1376</v>
      </c>
      <c r="C83" t="s">
        <v>1467</v>
      </c>
      <c r="D83" t="s">
        <v>1519</v>
      </c>
      <c r="E83">
        <v>1083</v>
      </c>
      <c r="F83" s="14" t="s">
        <v>2263</v>
      </c>
      <c r="G83" t="s">
        <v>1252</v>
      </c>
      <c r="H83" s="14">
        <v>0.87142857142857144</v>
      </c>
      <c r="AL83" s="11"/>
      <c r="AS83" s="11"/>
      <c r="BD83" s="12"/>
      <c r="BE83" s="12"/>
      <c r="BF83" s="14"/>
    </row>
    <row r="84" spans="1:58" x14ac:dyDescent="0.15">
      <c r="A84" t="s">
        <v>1934</v>
      </c>
      <c r="B84" t="s">
        <v>358</v>
      </c>
      <c r="C84" t="s">
        <v>1497</v>
      </c>
      <c r="D84" t="s">
        <v>1936</v>
      </c>
      <c r="E84">
        <v>228</v>
      </c>
      <c r="F84" s="14" t="s">
        <v>270</v>
      </c>
      <c r="G84" t="s">
        <v>358</v>
      </c>
      <c r="H84" s="14">
        <v>0.87142857142857144</v>
      </c>
      <c r="AL84" s="11"/>
      <c r="BD84" s="12"/>
      <c r="BE84" s="12"/>
      <c r="BF84" s="14"/>
    </row>
    <row r="85" spans="1:58" x14ac:dyDescent="0.15">
      <c r="A85" t="s">
        <v>1878</v>
      </c>
      <c r="B85" t="s">
        <v>1370</v>
      </c>
      <c r="C85" t="s">
        <v>1521</v>
      </c>
      <c r="D85" t="s">
        <v>1879</v>
      </c>
      <c r="E85">
        <v>469</v>
      </c>
      <c r="F85" s="14" t="s">
        <v>67</v>
      </c>
      <c r="G85" t="s">
        <v>1235</v>
      </c>
      <c r="H85" s="14">
        <v>0.87692307692307692</v>
      </c>
      <c r="Y85" s="11"/>
      <c r="AW85" s="11"/>
      <c r="BD85" s="12"/>
      <c r="BE85" s="13"/>
      <c r="BF85" s="14"/>
    </row>
    <row r="86" spans="1:58" x14ac:dyDescent="0.15">
      <c r="A86" t="s">
        <v>1466</v>
      </c>
      <c r="B86" t="s">
        <v>1376</v>
      </c>
      <c r="C86" t="s">
        <v>1467</v>
      </c>
      <c r="D86" t="s">
        <v>1469</v>
      </c>
      <c r="E86">
        <v>664</v>
      </c>
      <c r="F86" s="14" t="s">
        <v>2263</v>
      </c>
      <c r="G86" t="s">
        <v>408</v>
      </c>
      <c r="H86" s="14">
        <v>0.88</v>
      </c>
      <c r="AL86" s="11"/>
      <c r="BD86" s="12"/>
      <c r="BE86" s="12"/>
      <c r="BF86" s="14"/>
    </row>
    <row r="87" spans="1:58" x14ac:dyDescent="0.15">
      <c r="A87" t="s">
        <v>1470</v>
      </c>
      <c r="B87" t="s">
        <v>1378</v>
      </c>
      <c r="C87" t="s">
        <v>1471</v>
      </c>
      <c r="D87" t="s">
        <v>1473</v>
      </c>
      <c r="E87">
        <v>536</v>
      </c>
      <c r="F87" s="14" t="s">
        <v>61</v>
      </c>
      <c r="G87" t="s">
        <v>664</v>
      </c>
      <c r="H87" s="14">
        <v>0.88</v>
      </c>
      <c r="Y87" s="11"/>
      <c r="AA87" s="11"/>
      <c r="AL87" s="11"/>
      <c r="AO87" s="11"/>
      <c r="AQ87" s="11"/>
      <c r="AS87" s="11"/>
      <c r="BD87" s="12"/>
      <c r="BE87" s="12"/>
      <c r="BF87" s="14"/>
    </row>
    <row r="88" spans="1:58" x14ac:dyDescent="0.15">
      <c r="A88" t="s">
        <v>1483</v>
      </c>
      <c r="B88" t="s">
        <v>1385</v>
      </c>
      <c r="C88" t="s">
        <v>1463</v>
      </c>
      <c r="D88" t="s">
        <v>1485</v>
      </c>
      <c r="E88">
        <v>961</v>
      </c>
      <c r="F88" s="14" t="s">
        <v>104</v>
      </c>
      <c r="G88" t="s">
        <v>633</v>
      </c>
      <c r="H88" s="14">
        <v>0.88</v>
      </c>
      <c r="Q88" s="11"/>
      <c r="W88" s="11"/>
      <c r="Y88" s="11"/>
      <c r="BD88" s="12"/>
      <c r="BE88" s="13"/>
      <c r="BF88" s="14"/>
    </row>
    <row r="89" spans="1:58" x14ac:dyDescent="0.15">
      <c r="A89" t="s">
        <v>1492</v>
      </c>
      <c r="B89" t="s">
        <v>1398</v>
      </c>
      <c r="C89" t="s">
        <v>1471</v>
      </c>
      <c r="D89" t="s">
        <v>1494</v>
      </c>
      <c r="E89">
        <v>478</v>
      </c>
      <c r="F89" s="14" t="s">
        <v>61</v>
      </c>
      <c r="G89" t="s">
        <v>202</v>
      </c>
      <c r="H89" s="14">
        <v>0.88</v>
      </c>
      <c r="BF89" s="14"/>
    </row>
    <row r="90" spans="1:58" x14ac:dyDescent="0.15">
      <c r="A90" t="s">
        <v>1554</v>
      </c>
      <c r="B90" t="s">
        <v>1374</v>
      </c>
      <c r="C90" t="s">
        <v>1471</v>
      </c>
      <c r="D90" t="s">
        <v>1555</v>
      </c>
      <c r="E90">
        <v>762</v>
      </c>
      <c r="F90" s="14" t="s">
        <v>61</v>
      </c>
      <c r="G90" t="s">
        <v>100</v>
      </c>
      <c r="H90" s="14">
        <v>0.88</v>
      </c>
      <c r="Q90" s="11"/>
      <c r="W90" s="11"/>
      <c r="Y90" s="11"/>
      <c r="AU90" s="11"/>
      <c r="BD90" s="12"/>
      <c r="BE90" s="12"/>
      <c r="BF90" s="14"/>
    </row>
    <row r="91" spans="1:58" x14ac:dyDescent="0.15">
      <c r="A91" t="s">
        <v>1631</v>
      </c>
      <c r="B91" t="s">
        <v>1632</v>
      </c>
      <c r="C91" t="s">
        <v>1471</v>
      </c>
      <c r="D91" t="s">
        <v>1634</v>
      </c>
      <c r="E91">
        <v>671</v>
      </c>
      <c r="F91" s="14" t="s">
        <v>61</v>
      </c>
      <c r="G91" t="s">
        <v>468</v>
      </c>
      <c r="H91" s="14">
        <v>0.88</v>
      </c>
      <c r="O91" s="11"/>
      <c r="AA91" s="11"/>
      <c r="AO91" s="11"/>
      <c r="AQ91" s="11"/>
      <c r="AS91" s="11"/>
      <c r="BD91" s="12"/>
      <c r="BE91" s="12"/>
      <c r="BF91" s="14"/>
    </row>
    <row r="92" spans="1:58" x14ac:dyDescent="0.15">
      <c r="A92" t="s">
        <v>1644</v>
      </c>
      <c r="B92" t="s">
        <v>563</v>
      </c>
      <c r="C92" t="s">
        <v>1471</v>
      </c>
      <c r="D92" t="s">
        <v>1645</v>
      </c>
      <c r="E92">
        <v>652</v>
      </c>
      <c r="F92" s="14" t="s">
        <v>61</v>
      </c>
      <c r="G92" t="s">
        <v>422</v>
      </c>
      <c r="H92" s="14">
        <v>0.88</v>
      </c>
      <c r="AL92" s="11"/>
      <c r="AS92" s="11"/>
      <c r="BD92" s="12"/>
      <c r="BE92" s="12"/>
      <c r="BF92" s="14"/>
    </row>
    <row r="93" spans="1:58" x14ac:dyDescent="0.15">
      <c r="A93" t="s">
        <v>1650</v>
      </c>
      <c r="B93" t="s">
        <v>764</v>
      </c>
      <c r="C93" t="s">
        <v>1502</v>
      </c>
      <c r="D93" t="s">
        <v>1651</v>
      </c>
      <c r="E93">
        <v>799</v>
      </c>
      <c r="F93" s="14" t="s">
        <v>77</v>
      </c>
      <c r="G93" t="s">
        <v>505</v>
      </c>
      <c r="H93" s="14">
        <v>0.88</v>
      </c>
      <c r="O93" s="11"/>
      <c r="AA93" s="11"/>
      <c r="AU93" s="11"/>
      <c r="BD93" s="12"/>
      <c r="BE93" s="12"/>
      <c r="BF93" s="14"/>
    </row>
    <row r="94" spans="1:58" x14ac:dyDescent="0.15">
      <c r="A94" t="s">
        <v>1695</v>
      </c>
      <c r="B94" t="s">
        <v>563</v>
      </c>
      <c r="C94" t="s">
        <v>1471</v>
      </c>
      <c r="D94" t="s">
        <v>1696</v>
      </c>
      <c r="E94">
        <v>1063</v>
      </c>
      <c r="F94" s="14" t="s">
        <v>61</v>
      </c>
      <c r="G94" t="s">
        <v>560</v>
      </c>
      <c r="H94" s="14">
        <v>0.88</v>
      </c>
      <c r="Q94" s="11"/>
      <c r="Y94" s="11"/>
      <c r="AJ94" s="11"/>
      <c r="AL94" s="11"/>
      <c r="AO94" s="11"/>
      <c r="AQ94" s="11"/>
      <c r="BD94" s="12"/>
      <c r="BE94" s="12"/>
      <c r="BF94" s="14"/>
    </row>
    <row r="95" spans="1:58" x14ac:dyDescent="0.15">
      <c r="A95" t="s">
        <v>1701</v>
      </c>
      <c r="B95" t="s">
        <v>764</v>
      </c>
      <c r="C95" t="s">
        <v>1502</v>
      </c>
      <c r="D95" t="s">
        <v>1702</v>
      </c>
      <c r="E95">
        <v>49</v>
      </c>
      <c r="F95" s="14" t="s">
        <v>77</v>
      </c>
      <c r="G95" t="s">
        <v>610</v>
      </c>
      <c r="H95" s="14">
        <v>0.88</v>
      </c>
      <c r="BD95" s="12"/>
      <c r="BE95" s="13"/>
      <c r="BF95" s="14"/>
    </row>
    <row r="96" spans="1:58" x14ac:dyDescent="0.15">
      <c r="A96" t="s">
        <v>1718</v>
      </c>
      <c r="B96" t="s">
        <v>1367</v>
      </c>
      <c r="C96" t="s">
        <v>1467</v>
      </c>
      <c r="D96" t="s">
        <v>1719</v>
      </c>
      <c r="E96">
        <v>93</v>
      </c>
      <c r="F96" s="14" t="s">
        <v>2263</v>
      </c>
      <c r="G96" t="s">
        <v>462</v>
      </c>
      <c r="H96" s="14">
        <v>0.88</v>
      </c>
      <c r="Y96" s="11"/>
      <c r="AA96" s="11"/>
      <c r="AL96" s="11"/>
      <c r="BD96" s="12"/>
      <c r="BE96" s="12"/>
      <c r="BF96" s="14"/>
    </row>
    <row r="97" spans="1:58" x14ac:dyDescent="0.15">
      <c r="A97" t="s">
        <v>1788</v>
      </c>
      <c r="B97" t="s">
        <v>1512</v>
      </c>
      <c r="C97" t="s">
        <v>1467</v>
      </c>
      <c r="D97" t="s">
        <v>1789</v>
      </c>
      <c r="E97">
        <v>370</v>
      </c>
      <c r="F97" s="14" t="s">
        <v>2263</v>
      </c>
      <c r="G97" t="s">
        <v>522</v>
      </c>
      <c r="H97" s="14">
        <v>0.88</v>
      </c>
      <c r="Y97" s="11"/>
      <c r="AO97" s="11"/>
      <c r="AQ97" s="11"/>
      <c r="AU97" s="11"/>
      <c r="BD97" s="12"/>
      <c r="BE97" s="12"/>
      <c r="BF97" s="14"/>
    </row>
    <row r="98" spans="1:58" x14ac:dyDescent="0.15">
      <c r="A98" t="s">
        <v>1790</v>
      </c>
      <c r="B98" t="s">
        <v>492</v>
      </c>
      <c r="C98" t="s">
        <v>1471</v>
      </c>
      <c r="D98" t="s">
        <v>1792</v>
      </c>
      <c r="E98">
        <v>243</v>
      </c>
      <c r="F98" s="14" t="s">
        <v>61</v>
      </c>
      <c r="G98" t="s">
        <v>466</v>
      </c>
      <c r="H98" s="14">
        <v>0.88</v>
      </c>
      <c r="Q98" s="11"/>
      <c r="AA98" s="11"/>
      <c r="AL98" s="11"/>
      <c r="AS98" s="11"/>
      <c r="AW98" s="11"/>
      <c r="BD98" s="12"/>
      <c r="BE98" s="12"/>
      <c r="BF98" s="14"/>
    </row>
    <row r="99" spans="1:58" x14ac:dyDescent="0.15">
      <c r="A99" t="s">
        <v>1801</v>
      </c>
      <c r="B99" t="s">
        <v>1387</v>
      </c>
      <c r="C99" t="s">
        <v>1467</v>
      </c>
      <c r="D99" t="s">
        <v>1802</v>
      </c>
      <c r="E99">
        <v>1563</v>
      </c>
      <c r="F99" s="14" t="s">
        <v>2265</v>
      </c>
      <c r="G99" t="s">
        <v>72</v>
      </c>
      <c r="H99" s="14">
        <v>0.88</v>
      </c>
      <c r="O99" s="11"/>
      <c r="AO99" s="11"/>
      <c r="AQ99" s="11"/>
      <c r="BD99" s="12"/>
      <c r="BE99" s="12"/>
      <c r="BF99" s="14"/>
    </row>
    <row r="100" spans="1:58" x14ac:dyDescent="0.15">
      <c r="A100" t="s">
        <v>1805</v>
      </c>
      <c r="B100" t="s">
        <v>1394</v>
      </c>
      <c r="C100" t="s">
        <v>1537</v>
      </c>
      <c r="D100" t="s">
        <v>1806</v>
      </c>
      <c r="E100">
        <v>317</v>
      </c>
      <c r="F100" s="14" t="s">
        <v>54</v>
      </c>
      <c r="G100" t="s">
        <v>490</v>
      </c>
      <c r="H100" s="14">
        <v>0.88</v>
      </c>
      <c r="O100" s="11"/>
      <c r="AJ100" s="11"/>
      <c r="BD100" s="12"/>
      <c r="BE100" s="12"/>
      <c r="BF100" s="14"/>
    </row>
    <row r="101" spans="1:58" x14ac:dyDescent="0.15">
      <c r="A101" t="s">
        <v>1824</v>
      </c>
      <c r="B101" t="s">
        <v>662</v>
      </c>
      <c r="C101" t="s">
        <v>1537</v>
      </c>
      <c r="D101" t="s">
        <v>1825</v>
      </c>
      <c r="E101">
        <v>129</v>
      </c>
      <c r="F101" s="14" t="s">
        <v>54</v>
      </c>
      <c r="G101" t="s">
        <v>662</v>
      </c>
      <c r="H101" s="14">
        <v>0.88</v>
      </c>
      <c r="O101" s="11"/>
      <c r="AJ101" s="11"/>
      <c r="AO101" s="11"/>
      <c r="AQ101" s="11"/>
      <c r="AS101" s="11"/>
      <c r="BD101" s="12"/>
      <c r="BE101" s="12"/>
      <c r="BF101" s="14"/>
    </row>
    <row r="102" spans="1:58" x14ac:dyDescent="0.15">
      <c r="A102" t="s">
        <v>1828</v>
      </c>
      <c r="B102" t="s">
        <v>1402</v>
      </c>
      <c r="C102" t="s">
        <v>1471</v>
      </c>
      <c r="D102" t="s">
        <v>1829</v>
      </c>
      <c r="E102">
        <v>46</v>
      </c>
      <c r="F102" s="14" t="s">
        <v>61</v>
      </c>
      <c r="G102" t="s">
        <v>353</v>
      </c>
      <c r="H102" s="14">
        <v>0.88</v>
      </c>
      <c r="AJ102" s="11"/>
      <c r="AS102" s="11"/>
      <c r="BD102" s="12"/>
      <c r="BE102" s="12"/>
      <c r="BF102" s="14"/>
    </row>
    <row r="103" spans="1:58" x14ac:dyDescent="0.15">
      <c r="A103" t="s">
        <v>1860</v>
      </c>
      <c r="B103" t="s">
        <v>1398</v>
      </c>
      <c r="C103" t="s">
        <v>1471</v>
      </c>
      <c r="D103" t="s">
        <v>1861</v>
      </c>
      <c r="E103">
        <v>812</v>
      </c>
      <c r="F103" s="14" t="s">
        <v>61</v>
      </c>
      <c r="G103" t="s">
        <v>538</v>
      </c>
      <c r="H103" s="14">
        <v>0.88</v>
      </c>
      <c r="Q103" s="11"/>
      <c r="AL103" s="11"/>
      <c r="AS103" s="11"/>
      <c r="BD103" s="12"/>
      <c r="BE103" s="12"/>
      <c r="BF103" s="14"/>
    </row>
    <row r="104" spans="1:58" x14ac:dyDescent="0.15">
      <c r="A104" t="s">
        <v>1888</v>
      </c>
      <c r="B104" t="s">
        <v>1380</v>
      </c>
      <c r="C104" t="s">
        <v>1467</v>
      </c>
      <c r="D104" t="s">
        <v>1889</v>
      </c>
      <c r="E104">
        <v>424</v>
      </c>
      <c r="F104" s="14" t="s">
        <v>2263</v>
      </c>
      <c r="G104" t="s">
        <v>155</v>
      </c>
      <c r="H104" s="14">
        <v>0.88</v>
      </c>
      <c r="O104" s="11"/>
      <c r="AA104" s="11"/>
      <c r="AO104" s="11"/>
      <c r="AQ104" s="11"/>
      <c r="BD104" s="12"/>
      <c r="BE104" s="12"/>
      <c r="BF104" s="14"/>
    </row>
    <row r="105" spans="1:58" x14ac:dyDescent="0.15">
      <c r="A105" t="s">
        <v>1921</v>
      </c>
      <c r="B105" t="s">
        <v>1378</v>
      </c>
      <c r="C105" t="s">
        <v>1471</v>
      </c>
      <c r="D105" t="s">
        <v>1922</v>
      </c>
      <c r="E105">
        <v>501</v>
      </c>
      <c r="F105" s="14" t="s">
        <v>61</v>
      </c>
      <c r="G105" t="s">
        <v>430</v>
      </c>
      <c r="H105" s="14">
        <v>0.88</v>
      </c>
      <c r="AJ105" s="11"/>
      <c r="AO105" s="11"/>
      <c r="AQ105" s="11"/>
      <c r="BD105" s="12"/>
      <c r="BE105" s="12"/>
      <c r="BF105" s="14"/>
    </row>
    <row r="106" spans="1:58" x14ac:dyDescent="0.15">
      <c r="A106" t="s">
        <v>1973</v>
      </c>
      <c r="B106" t="s">
        <v>1398</v>
      </c>
      <c r="C106" t="s">
        <v>1471</v>
      </c>
      <c r="D106" t="s">
        <v>1974</v>
      </c>
      <c r="E106">
        <v>240</v>
      </c>
      <c r="F106" s="14" t="s">
        <v>61</v>
      </c>
      <c r="G106" t="s">
        <v>500</v>
      </c>
      <c r="H106" s="14">
        <v>0.88</v>
      </c>
      <c r="BD106" s="12"/>
      <c r="BE106" s="13"/>
      <c r="BF106" s="14"/>
    </row>
    <row r="107" spans="1:58" x14ac:dyDescent="0.15">
      <c r="A107" t="s">
        <v>1975</v>
      </c>
      <c r="B107" t="s">
        <v>1402</v>
      </c>
      <c r="C107" t="s">
        <v>1471</v>
      </c>
      <c r="D107" t="s">
        <v>1976</v>
      </c>
      <c r="E107">
        <v>50</v>
      </c>
      <c r="F107" s="14" t="s">
        <v>61</v>
      </c>
      <c r="G107" t="s">
        <v>735</v>
      </c>
      <c r="H107" s="14">
        <v>0.88</v>
      </c>
      <c r="AA107" s="11"/>
      <c r="AS107" s="11"/>
      <c r="BD107" s="12"/>
      <c r="BE107" s="12"/>
      <c r="BF107" s="14"/>
    </row>
    <row r="108" spans="1:58" x14ac:dyDescent="0.15">
      <c r="A108" t="s">
        <v>1995</v>
      </c>
      <c r="B108" t="s">
        <v>1383</v>
      </c>
      <c r="C108" t="s">
        <v>1460</v>
      </c>
      <c r="D108" t="s">
        <v>1996</v>
      </c>
      <c r="E108">
        <v>523</v>
      </c>
      <c r="F108" s="14" t="s">
        <v>83</v>
      </c>
      <c r="G108" t="s">
        <v>322</v>
      </c>
      <c r="H108" s="14">
        <v>0.88</v>
      </c>
      <c r="Y108" s="11"/>
      <c r="AL108" s="11"/>
      <c r="AS108" s="11"/>
      <c r="BD108" s="12"/>
      <c r="BE108" s="12"/>
      <c r="BF108" s="14"/>
    </row>
    <row r="109" spans="1:58" x14ac:dyDescent="0.15">
      <c r="A109" t="s">
        <v>2001</v>
      </c>
      <c r="B109" t="s">
        <v>1396</v>
      </c>
      <c r="C109" t="s">
        <v>1467</v>
      </c>
      <c r="D109" t="s">
        <v>2002</v>
      </c>
      <c r="E109">
        <v>867</v>
      </c>
      <c r="F109" s="14" t="s">
        <v>2263</v>
      </c>
      <c r="G109" t="s">
        <v>168</v>
      </c>
      <c r="H109" s="14">
        <v>0.88</v>
      </c>
      <c r="Q109" s="11"/>
      <c r="Y109" s="11"/>
      <c r="AO109" s="11"/>
      <c r="AQ109" s="11"/>
      <c r="BD109" s="12"/>
      <c r="BE109" s="12"/>
      <c r="BF109" s="14"/>
    </row>
    <row r="110" spans="1:58" x14ac:dyDescent="0.15">
      <c r="A110" t="s">
        <v>2003</v>
      </c>
      <c r="B110" t="s">
        <v>1398</v>
      </c>
      <c r="C110" t="s">
        <v>1471</v>
      </c>
      <c r="D110" t="s">
        <v>2004</v>
      </c>
      <c r="E110">
        <v>65</v>
      </c>
      <c r="F110" s="14" t="s">
        <v>61</v>
      </c>
      <c r="G110" t="s">
        <v>312</v>
      </c>
      <c r="H110" s="14">
        <v>0.88</v>
      </c>
      <c r="AA110" s="11"/>
      <c r="BD110" s="12"/>
      <c r="BE110" s="12"/>
      <c r="BF110" s="14"/>
    </row>
    <row r="111" spans="1:58" x14ac:dyDescent="0.15">
      <c r="A111" t="s">
        <v>2015</v>
      </c>
      <c r="B111" t="s">
        <v>1374</v>
      </c>
      <c r="C111" t="s">
        <v>1471</v>
      </c>
      <c r="D111" t="s">
        <v>2016</v>
      </c>
      <c r="E111">
        <v>683</v>
      </c>
      <c r="F111" s="14" t="s">
        <v>61</v>
      </c>
      <c r="G111" t="s">
        <v>199</v>
      </c>
      <c r="H111" s="14">
        <v>0.88</v>
      </c>
      <c r="Q111" s="11"/>
      <c r="Y111" s="11"/>
      <c r="AU111" s="11"/>
      <c r="BD111" s="12"/>
      <c r="BE111" s="12"/>
      <c r="BF111" s="14"/>
    </row>
    <row r="112" spans="1:58" x14ac:dyDescent="0.15">
      <c r="A112" t="s">
        <v>2019</v>
      </c>
      <c r="B112" t="s">
        <v>563</v>
      </c>
      <c r="C112" t="s">
        <v>1471</v>
      </c>
      <c r="D112" t="s">
        <v>2020</v>
      </c>
      <c r="E112">
        <v>870</v>
      </c>
      <c r="F112" s="14" t="s">
        <v>61</v>
      </c>
      <c r="G112" t="s">
        <v>263</v>
      </c>
      <c r="H112" s="14">
        <v>0.88</v>
      </c>
      <c r="Q112" s="11"/>
      <c r="W112" s="11"/>
      <c r="Y112" s="11"/>
      <c r="AA112" s="11"/>
      <c r="AL112" s="11"/>
      <c r="AS112" s="11"/>
      <c r="BD112" s="12"/>
      <c r="BE112" s="12"/>
      <c r="BF112" s="14"/>
    </row>
    <row r="113" spans="1:58" x14ac:dyDescent="0.15">
      <c r="A113" t="s">
        <v>2041</v>
      </c>
      <c r="B113" t="s">
        <v>563</v>
      </c>
      <c r="C113" t="s">
        <v>1471</v>
      </c>
      <c r="D113" t="s">
        <v>2042</v>
      </c>
      <c r="E113">
        <v>444</v>
      </c>
      <c r="F113" s="14" t="s">
        <v>61</v>
      </c>
      <c r="G113" t="s">
        <v>248</v>
      </c>
      <c r="H113" s="14">
        <v>0.88</v>
      </c>
      <c r="Q113" s="11"/>
      <c r="AA113" s="11"/>
      <c r="AJ113" s="11"/>
      <c r="BD113" s="12"/>
      <c r="BE113" s="12"/>
      <c r="BF113" s="14"/>
    </row>
    <row r="114" spans="1:58" x14ac:dyDescent="0.15">
      <c r="A114" t="s">
        <v>2043</v>
      </c>
      <c r="B114" t="s">
        <v>1383</v>
      </c>
      <c r="C114" t="s">
        <v>1460</v>
      </c>
      <c r="D114" t="s">
        <v>2044</v>
      </c>
      <c r="E114">
        <v>756</v>
      </c>
      <c r="F114" s="14" t="s">
        <v>83</v>
      </c>
      <c r="G114" t="s">
        <v>423</v>
      </c>
      <c r="H114" s="14">
        <v>0.88</v>
      </c>
      <c r="Y114" s="11"/>
      <c r="AJ114" s="11"/>
      <c r="AO114" s="11"/>
      <c r="AQ114" s="11"/>
      <c r="BD114" s="12"/>
      <c r="BE114" s="12"/>
      <c r="BF114" s="14"/>
    </row>
    <row r="115" spans="1:58" x14ac:dyDescent="0.15">
      <c r="A115" t="s">
        <v>2103</v>
      </c>
      <c r="B115" t="s">
        <v>1376</v>
      </c>
      <c r="C115" t="s">
        <v>1467</v>
      </c>
      <c r="D115" t="s">
        <v>2104</v>
      </c>
      <c r="E115">
        <v>571</v>
      </c>
      <c r="F115" s="14" t="s">
        <v>2263</v>
      </c>
      <c r="G115" t="s">
        <v>496</v>
      </c>
      <c r="H115" s="14">
        <v>0.88</v>
      </c>
      <c r="O115" s="11"/>
      <c r="Q115" s="11"/>
      <c r="W115" s="11"/>
      <c r="AJ115" s="11"/>
      <c r="AO115" s="11"/>
      <c r="AQ115" s="11"/>
      <c r="AS115" s="11"/>
      <c r="AU115" s="11"/>
      <c r="BD115" s="12"/>
      <c r="BE115" s="12"/>
      <c r="BF115" s="14"/>
    </row>
    <row r="116" spans="1:58" x14ac:dyDescent="0.15">
      <c r="A116" t="s">
        <v>2139</v>
      </c>
      <c r="B116" t="s">
        <v>492</v>
      </c>
      <c r="C116" t="s">
        <v>1471</v>
      </c>
      <c r="D116" t="s">
        <v>2140</v>
      </c>
      <c r="E116">
        <v>959</v>
      </c>
      <c r="F116" s="14" t="s">
        <v>61</v>
      </c>
      <c r="G116" t="s">
        <v>1066</v>
      </c>
      <c r="H116" s="14">
        <v>0.88</v>
      </c>
      <c r="Y116" s="11"/>
      <c r="AO116" s="11"/>
      <c r="AQ116" s="11"/>
      <c r="BD116" s="12"/>
      <c r="BE116" s="12"/>
      <c r="BF116" s="14"/>
    </row>
    <row r="117" spans="1:58" x14ac:dyDescent="0.15">
      <c r="A117" t="s">
        <v>2149</v>
      </c>
      <c r="B117" t="s">
        <v>1378</v>
      </c>
      <c r="C117" t="s">
        <v>1471</v>
      </c>
      <c r="D117" t="s">
        <v>2150</v>
      </c>
      <c r="E117">
        <v>569</v>
      </c>
      <c r="F117" s="14" t="s">
        <v>61</v>
      </c>
      <c r="G117" t="s">
        <v>638</v>
      </c>
      <c r="H117" s="14">
        <v>0.88</v>
      </c>
      <c r="AL117" s="11"/>
      <c r="AS117" s="11"/>
      <c r="AU117" s="11"/>
      <c r="BD117" s="12"/>
      <c r="BE117" s="12"/>
      <c r="BF117" s="14"/>
    </row>
    <row r="118" spans="1:58" x14ac:dyDescent="0.15">
      <c r="A118" t="s">
        <v>2185</v>
      </c>
      <c r="B118" t="s">
        <v>764</v>
      </c>
      <c r="C118" t="s">
        <v>1502</v>
      </c>
      <c r="D118" t="s">
        <v>2186</v>
      </c>
      <c r="E118">
        <v>96</v>
      </c>
      <c r="F118" s="14" t="s">
        <v>77</v>
      </c>
      <c r="G118" t="s">
        <v>463</v>
      </c>
      <c r="H118" s="14">
        <v>0.88</v>
      </c>
      <c r="AA118" s="11"/>
      <c r="AJ118" s="11"/>
      <c r="AO118" s="11"/>
      <c r="AQ118" s="11"/>
      <c r="AS118" s="11"/>
      <c r="BD118" s="12"/>
      <c r="BE118" s="12"/>
      <c r="BF118" s="14"/>
    </row>
    <row r="119" spans="1:58" x14ac:dyDescent="0.15">
      <c r="A119" t="s">
        <v>2193</v>
      </c>
      <c r="B119" t="s">
        <v>1402</v>
      </c>
      <c r="C119" t="s">
        <v>1471</v>
      </c>
      <c r="D119" t="s">
        <v>2194</v>
      </c>
      <c r="E119">
        <v>694</v>
      </c>
      <c r="F119" s="14" t="s">
        <v>61</v>
      </c>
      <c r="G119" t="s">
        <v>299</v>
      </c>
      <c r="H119" s="14">
        <v>0.88</v>
      </c>
      <c r="Q119" s="11"/>
      <c r="Y119" s="11"/>
      <c r="BD119" s="12"/>
      <c r="BE119" s="13"/>
      <c r="BF119" s="14"/>
    </row>
    <row r="120" spans="1:58" x14ac:dyDescent="0.15">
      <c r="A120" t="s">
        <v>2226</v>
      </c>
      <c r="B120" t="s">
        <v>1402</v>
      </c>
      <c r="C120" t="s">
        <v>1471</v>
      </c>
      <c r="D120" t="s">
        <v>2227</v>
      </c>
      <c r="E120">
        <v>211</v>
      </c>
      <c r="F120" s="14" t="s">
        <v>61</v>
      </c>
      <c r="G120" t="s">
        <v>775</v>
      </c>
      <c r="H120" s="14">
        <v>0.88</v>
      </c>
      <c r="O120" s="11"/>
      <c r="Y120" s="11"/>
      <c r="BD120" s="12"/>
      <c r="BE120" s="12"/>
      <c r="BF120" s="14"/>
    </row>
    <row r="121" spans="1:58" x14ac:dyDescent="0.15">
      <c r="A121" t="s">
        <v>1656</v>
      </c>
      <c r="B121" t="s">
        <v>1506</v>
      </c>
      <c r="C121" t="s">
        <v>1506</v>
      </c>
      <c r="D121" t="s">
        <v>1657</v>
      </c>
      <c r="E121">
        <v>234</v>
      </c>
      <c r="F121" s="14" t="s">
        <v>2260</v>
      </c>
      <c r="G121" t="s">
        <v>441</v>
      </c>
      <c r="H121" s="14">
        <v>0.88333333333333341</v>
      </c>
      <c r="O121" s="11"/>
      <c r="AJ121" s="11"/>
      <c r="AO121" s="11"/>
      <c r="AQ121" s="11"/>
      <c r="AU121" s="11"/>
      <c r="BD121" s="12"/>
      <c r="BE121" s="12"/>
      <c r="BF121" s="14"/>
    </row>
    <row r="122" spans="1:58" x14ac:dyDescent="0.15">
      <c r="A122" t="s">
        <v>2059</v>
      </c>
      <c r="B122" t="s">
        <v>1506</v>
      </c>
      <c r="C122" t="s">
        <v>1506</v>
      </c>
      <c r="D122" t="s">
        <v>2060</v>
      </c>
      <c r="E122">
        <v>1078</v>
      </c>
      <c r="F122" s="14" t="s">
        <v>2260</v>
      </c>
      <c r="G122" t="s">
        <v>648</v>
      </c>
      <c r="H122" s="14">
        <v>0.88333333333333341</v>
      </c>
      <c r="Q122" s="11"/>
      <c r="AJ122" s="11"/>
      <c r="AO122" s="11"/>
      <c r="AQ122" s="11"/>
      <c r="BD122" s="12"/>
      <c r="BE122" s="12"/>
      <c r="BF122" s="14"/>
    </row>
    <row r="123" spans="1:58" x14ac:dyDescent="0.15">
      <c r="A123" t="s">
        <v>1480</v>
      </c>
      <c r="B123" t="s">
        <v>1383</v>
      </c>
      <c r="C123" t="s">
        <v>1460</v>
      </c>
      <c r="D123" t="s">
        <v>1482</v>
      </c>
      <c r="E123">
        <v>404</v>
      </c>
      <c r="F123" s="14" t="s">
        <v>83</v>
      </c>
      <c r="G123" t="s">
        <v>478</v>
      </c>
      <c r="H123" s="14">
        <v>0.88571428571428579</v>
      </c>
      <c r="Y123" s="11"/>
      <c r="AW123" s="11"/>
      <c r="BD123" s="12"/>
      <c r="BE123" s="13"/>
      <c r="BF123" s="14"/>
    </row>
    <row r="124" spans="1:58" x14ac:dyDescent="0.15">
      <c r="A124" t="s">
        <v>1543</v>
      </c>
      <c r="B124" t="s">
        <v>1544</v>
      </c>
      <c r="C124" t="s">
        <v>1460</v>
      </c>
      <c r="D124" t="s">
        <v>1546</v>
      </c>
      <c r="E124">
        <v>1232</v>
      </c>
      <c r="F124" s="14" t="s">
        <v>83</v>
      </c>
      <c r="G124" t="s">
        <v>926</v>
      </c>
      <c r="H124" s="14">
        <v>0.88571428571428579</v>
      </c>
      <c r="AJ124" s="11"/>
      <c r="AO124" s="11"/>
      <c r="AQ124" s="11"/>
      <c r="BD124" s="12"/>
      <c r="BE124" s="12"/>
      <c r="BF124" s="14"/>
    </row>
    <row r="125" spans="1:58" x14ac:dyDescent="0.15">
      <c r="A125" t="s">
        <v>1607</v>
      </c>
      <c r="B125" t="s">
        <v>1378</v>
      </c>
      <c r="C125" t="s">
        <v>1471</v>
      </c>
      <c r="D125" t="s">
        <v>1608</v>
      </c>
      <c r="E125">
        <v>650</v>
      </c>
      <c r="F125" s="14" t="s">
        <v>61</v>
      </c>
      <c r="G125" t="s">
        <v>1293</v>
      </c>
      <c r="H125" s="14">
        <v>0.88571428571428579</v>
      </c>
      <c r="AL125" s="11"/>
      <c r="AO125" s="11"/>
      <c r="BD125" s="12"/>
      <c r="BE125" s="12"/>
      <c r="BF125" s="14"/>
    </row>
    <row r="126" spans="1:58" x14ac:dyDescent="0.15">
      <c r="A126" t="s">
        <v>1627</v>
      </c>
      <c r="B126" t="s">
        <v>1537</v>
      </c>
      <c r="C126" t="s">
        <v>1537</v>
      </c>
      <c r="D126" t="s">
        <v>1628</v>
      </c>
      <c r="E126">
        <v>1488</v>
      </c>
      <c r="F126" s="14" t="s">
        <v>2272</v>
      </c>
      <c r="G126" t="s">
        <v>152</v>
      </c>
      <c r="H126" s="14">
        <v>0.88571428571428579</v>
      </c>
      <c r="Y126" s="11"/>
      <c r="BD126" s="12"/>
      <c r="BE126" s="13"/>
      <c r="BF126" s="14"/>
    </row>
    <row r="127" spans="1:58" x14ac:dyDescent="0.15">
      <c r="A127" t="s">
        <v>1699</v>
      </c>
      <c r="B127" t="s">
        <v>1387</v>
      </c>
      <c r="C127" t="s">
        <v>1467</v>
      </c>
      <c r="D127" t="s">
        <v>1700</v>
      </c>
      <c r="E127">
        <v>898</v>
      </c>
      <c r="F127" s="14" t="s">
        <v>2263</v>
      </c>
      <c r="G127" t="s">
        <v>1221</v>
      </c>
      <c r="H127" s="14">
        <v>0.88571428571428579</v>
      </c>
      <c r="O127" s="11"/>
      <c r="Q127" s="11"/>
      <c r="W127" s="11"/>
      <c r="AO127" s="11"/>
      <c r="AQ127" s="11"/>
      <c r="AU127" s="11"/>
      <c r="BD127" s="12"/>
      <c r="BE127" s="12"/>
      <c r="BF127" s="14"/>
    </row>
    <row r="128" spans="1:58" x14ac:dyDescent="0.15">
      <c r="A128" t="s">
        <v>1706</v>
      </c>
      <c r="B128" t="s">
        <v>1392</v>
      </c>
      <c r="C128" t="s">
        <v>1471</v>
      </c>
      <c r="D128" t="s">
        <v>1707</v>
      </c>
      <c r="E128">
        <v>598</v>
      </c>
      <c r="F128" s="14" t="s">
        <v>61</v>
      </c>
      <c r="G128" t="s">
        <v>550</v>
      </c>
      <c r="H128" s="14">
        <v>0.88571428571428579</v>
      </c>
      <c r="Q128" s="11"/>
      <c r="AA128" s="11"/>
      <c r="AJ128" s="11"/>
      <c r="BD128" s="12"/>
      <c r="BE128" s="12"/>
      <c r="BF128" s="14"/>
    </row>
    <row r="129" spans="1:58" x14ac:dyDescent="0.15">
      <c r="A129" t="s">
        <v>1785</v>
      </c>
      <c r="B129" t="s">
        <v>1550</v>
      </c>
      <c r="C129" t="s">
        <v>1521</v>
      </c>
      <c r="D129" t="s">
        <v>1787</v>
      </c>
      <c r="E129">
        <v>292</v>
      </c>
      <c r="F129" s="14" t="s">
        <v>67</v>
      </c>
      <c r="G129" t="s">
        <v>621</v>
      </c>
      <c r="H129" s="14">
        <v>0.88571428571428579</v>
      </c>
      <c r="O129" s="11"/>
      <c r="Y129" s="11"/>
      <c r="AJ129" s="11"/>
      <c r="AS129" s="11"/>
      <c r="BD129" s="12"/>
      <c r="BE129" s="12"/>
      <c r="BF129" s="14"/>
    </row>
    <row r="130" spans="1:58" x14ac:dyDescent="0.15">
      <c r="A130" t="s">
        <v>1813</v>
      </c>
      <c r="B130" t="s">
        <v>1378</v>
      </c>
      <c r="C130" t="s">
        <v>1471</v>
      </c>
      <c r="D130" t="s">
        <v>1814</v>
      </c>
      <c r="E130">
        <v>929</v>
      </c>
      <c r="F130" s="14" t="s">
        <v>61</v>
      </c>
      <c r="G130" t="s">
        <v>211</v>
      </c>
      <c r="H130" s="14">
        <v>0.88571428571428579</v>
      </c>
      <c r="AS130" s="11"/>
      <c r="BD130" s="12"/>
      <c r="BE130" s="12"/>
      <c r="BF130" s="14"/>
    </row>
    <row r="131" spans="1:58" x14ac:dyDescent="0.15">
      <c r="A131" t="s">
        <v>1900</v>
      </c>
      <c r="B131" t="s">
        <v>1501</v>
      </c>
      <c r="C131" t="s">
        <v>1502</v>
      </c>
      <c r="D131" t="s">
        <v>1901</v>
      </c>
      <c r="E131">
        <v>942</v>
      </c>
      <c r="F131" s="14" t="s">
        <v>77</v>
      </c>
      <c r="G131" t="s">
        <v>78</v>
      </c>
      <c r="H131" s="14">
        <v>0.88571428571428579</v>
      </c>
      <c r="O131" s="11"/>
      <c r="AA131" s="11"/>
      <c r="BD131" s="12"/>
      <c r="BE131" s="12"/>
      <c r="BF131" s="14"/>
    </row>
    <row r="132" spans="1:58" x14ac:dyDescent="0.15">
      <c r="A132" t="s">
        <v>1949</v>
      </c>
      <c r="B132" t="s">
        <v>1537</v>
      </c>
      <c r="C132" t="s">
        <v>1537</v>
      </c>
      <c r="D132" t="s">
        <v>1950</v>
      </c>
      <c r="E132">
        <v>893</v>
      </c>
      <c r="F132" s="14" t="s">
        <v>54</v>
      </c>
      <c r="G132" t="s">
        <v>520</v>
      </c>
      <c r="H132" s="14">
        <v>0.88571428571428579</v>
      </c>
      <c r="Q132" s="11"/>
      <c r="W132" s="11"/>
      <c r="Y132" s="11"/>
      <c r="AJ132" s="11"/>
      <c r="AQ132" s="11"/>
      <c r="AS132" s="11"/>
      <c r="BD132" s="12"/>
      <c r="BE132" s="12"/>
      <c r="BF132" s="14"/>
    </row>
    <row r="133" spans="1:58" x14ac:dyDescent="0.15">
      <c r="A133" t="s">
        <v>2055</v>
      </c>
      <c r="B133" t="s">
        <v>1537</v>
      </c>
      <c r="C133" t="s">
        <v>1537</v>
      </c>
      <c r="D133" t="s">
        <v>2056</v>
      </c>
      <c r="E133">
        <v>512</v>
      </c>
      <c r="F133" s="14" t="s">
        <v>54</v>
      </c>
      <c r="G133" t="s">
        <v>219</v>
      </c>
      <c r="H133" s="14">
        <v>0.88571428571428579</v>
      </c>
      <c r="O133" s="11"/>
      <c r="Y133" s="11"/>
      <c r="AO133" s="11"/>
      <c r="AQ133" s="11"/>
      <c r="AU133" s="11"/>
      <c r="BD133" s="12"/>
      <c r="BE133" s="12"/>
      <c r="BF133" s="14"/>
    </row>
    <row r="134" spans="1:58" x14ac:dyDescent="0.15">
      <c r="A134" t="s">
        <v>2212</v>
      </c>
      <c r="B134" t="s">
        <v>1378</v>
      </c>
      <c r="C134" t="s">
        <v>1471</v>
      </c>
      <c r="D134" t="s">
        <v>2213</v>
      </c>
      <c r="E134">
        <v>490</v>
      </c>
      <c r="F134" s="14" t="s">
        <v>61</v>
      </c>
      <c r="G134" t="s">
        <v>943</v>
      </c>
      <c r="H134" s="14">
        <v>0.88571428571428579</v>
      </c>
      <c r="Y134" s="11"/>
      <c r="AO134" s="11"/>
      <c r="AQ134" s="11"/>
      <c r="AS134" s="11"/>
      <c r="AU134" s="11"/>
      <c r="BD134" s="12"/>
      <c r="BE134" s="12"/>
      <c r="BF134" s="14"/>
    </row>
    <row r="135" spans="1:58" x14ac:dyDescent="0.15">
      <c r="A135" t="s">
        <v>1760</v>
      </c>
      <c r="B135" t="s">
        <v>1367</v>
      </c>
      <c r="C135" t="s">
        <v>1467</v>
      </c>
      <c r="D135" t="s">
        <v>1761</v>
      </c>
      <c r="E135">
        <v>2098</v>
      </c>
      <c r="F135" s="14" t="s">
        <v>2265</v>
      </c>
      <c r="G135" t="s">
        <v>608</v>
      </c>
      <c r="H135" s="14">
        <v>0.88666666666666671</v>
      </c>
      <c r="O135" s="11"/>
      <c r="Q135" s="11"/>
      <c r="W135" s="11"/>
      <c r="Y135" s="11"/>
      <c r="AA135" s="11"/>
      <c r="AO135" s="11"/>
      <c r="BD135" s="12"/>
      <c r="BE135" s="12"/>
      <c r="BF135" s="14"/>
    </row>
    <row r="136" spans="1:58" x14ac:dyDescent="0.15">
      <c r="A136" t="s">
        <v>1462</v>
      </c>
      <c r="B136" t="s">
        <v>1369</v>
      </c>
      <c r="C136" t="s">
        <v>1463</v>
      </c>
      <c r="D136" t="s">
        <v>1465</v>
      </c>
      <c r="E136">
        <v>1070</v>
      </c>
      <c r="F136" s="14" t="s">
        <v>104</v>
      </c>
      <c r="G136" t="s">
        <v>570</v>
      </c>
      <c r="H136" s="14">
        <v>0.88750000000000007</v>
      </c>
      <c r="Q136" s="11"/>
      <c r="Y136" s="11"/>
      <c r="AA136" s="11"/>
      <c r="AL136" s="11"/>
      <c r="AU136" s="11"/>
      <c r="BD136" s="12"/>
      <c r="BE136" s="12"/>
      <c r="BF136" s="14"/>
    </row>
    <row r="137" spans="1:58" x14ac:dyDescent="0.15">
      <c r="A137" t="s">
        <v>1474</v>
      </c>
      <c r="B137" t="s">
        <v>1380</v>
      </c>
      <c r="C137" t="s">
        <v>1467</v>
      </c>
      <c r="D137" t="s">
        <v>1476</v>
      </c>
      <c r="E137">
        <v>1067</v>
      </c>
      <c r="F137" s="14" t="s">
        <v>71</v>
      </c>
      <c r="G137" t="s">
        <v>195</v>
      </c>
      <c r="H137" s="14">
        <v>0.88750000000000007</v>
      </c>
      <c r="Q137" s="11"/>
      <c r="Y137" s="11"/>
      <c r="AS137" s="11"/>
      <c r="BD137" s="12"/>
      <c r="BE137" s="12"/>
      <c r="BF137" s="14"/>
    </row>
    <row r="138" spans="1:58" x14ac:dyDescent="0.15">
      <c r="A138" t="s">
        <v>1489</v>
      </c>
      <c r="B138" t="s">
        <v>1391</v>
      </c>
      <c r="C138" t="s">
        <v>1463</v>
      </c>
      <c r="D138" t="s">
        <v>1491</v>
      </c>
      <c r="E138">
        <v>1206</v>
      </c>
      <c r="F138" s="14" t="s">
        <v>104</v>
      </c>
      <c r="G138" t="s">
        <v>709</v>
      </c>
      <c r="H138" s="14">
        <v>0.88750000000000007</v>
      </c>
      <c r="O138" s="11"/>
      <c r="Q138" s="11"/>
      <c r="AA138" s="11"/>
      <c r="AL138" s="11"/>
      <c r="AS138" s="11"/>
      <c r="BD138" s="12"/>
      <c r="BE138" s="12"/>
      <c r="BF138" s="14"/>
    </row>
    <row r="139" spans="1:58" x14ac:dyDescent="0.15">
      <c r="A139" t="s">
        <v>1511</v>
      </c>
      <c r="B139" t="s">
        <v>1512</v>
      </c>
      <c r="C139" t="s">
        <v>1467</v>
      </c>
      <c r="D139" t="s">
        <v>1514</v>
      </c>
      <c r="E139">
        <v>1709</v>
      </c>
      <c r="F139" s="14" t="s">
        <v>2265</v>
      </c>
      <c r="G139" t="s">
        <v>229</v>
      </c>
      <c r="H139" s="14">
        <v>0.88750000000000007</v>
      </c>
      <c r="AL139" s="11"/>
      <c r="AO139" s="11"/>
      <c r="BD139" s="12"/>
      <c r="BE139" s="12"/>
      <c r="BF139" s="14"/>
    </row>
    <row r="140" spans="1:58" x14ac:dyDescent="0.15">
      <c r="A140" t="s">
        <v>1515</v>
      </c>
      <c r="B140" t="s">
        <v>1374</v>
      </c>
      <c r="C140" t="s">
        <v>1471</v>
      </c>
      <c r="D140" t="s">
        <v>1517</v>
      </c>
      <c r="E140">
        <v>944</v>
      </c>
      <c r="F140" s="14" t="s">
        <v>2259</v>
      </c>
      <c r="G140" t="s">
        <v>911</v>
      </c>
      <c r="H140" s="14">
        <v>0.88750000000000007</v>
      </c>
      <c r="O140" s="11"/>
      <c r="Y140" s="11"/>
      <c r="AJ140" s="11"/>
      <c r="AS140" s="11"/>
      <c r="BD140" s="12"/>
      <c r="BE140" s="12"/>
      <c r="BF140" s="14"/>
    </row>
    <row r="141" spans="1:58" x14ac:dyDescent="0.15">
      <c r="A141" t="s">
        <v>1520</v>
      </c>
      <c r="B141" t="s">
        <v>527</v>
      </c>
      <c r="C141" t="s">
        <v>1521</v>
      </c>
      <c r="D141" t="s">
        <v>1523</v>
      </c>
      <c r="E141">
        <v>1900</v>
      </c>
      <c r="F141" s="14" t="s">
        <v>2261</v>
      </c>
      <c r="G141" t="s">
        <v>512</v>
      </c>
      <c r="H141" s="14">
        <v>0.88750000000000007</v>
      </c>
      <c r="Y141" s="11"/>
      <c r="AA141" s="11"/>
      <c r="AO141" s="11"/>
      <c r="AQ141" s="11"/>
      <c r="BD141" s="12"/>
      <c r="BE141" s="12"/>
      <c r="BF141" s="14"/>
    </row>
    <row r="142" spans="1:58" x14ac:dyDescent="0.15">
      <c r="A142" t="s">
        <v>1532</v>
      </c>
      <c r="B142" t="s">
        <v>1383</v>
      </c>
      <c r="C142" t="s">
        <v>1460</v>
      </c>
      <c r="D142" t="s">
        <v>1533</v>
      </c>
      <c r="E142">
        <v>352</v>
      </c>
      <c r="F142" s="14" t="s">
        <v>83</v>
      </c>
      <c r="G142" t="s">
        <v>553</v>
      </c>
      <c r="H142" s="14">
        <v>0.88750000000000007</v>
      </c>
      <c r="BD142" s="12"/>
      <c r="BE142" s="12"/>
      <c r="BF142" s="14"/>
    </row>
    <row r="143" spans="1:58" x14ac:dyDescent="0.15">
      <c r="A143" t="s">
        <v>1556</v>
      </c>
      <c r="B143" t="s">
        <v>1376</v>
      </c>
      <c r="C143" t="s">
        <v>1467</v>
      </c>
      <c r="D143" t="s">
        <v>1557</v>
      </c>
      <c r="E143">
        <v>859</v>
      </c>
      <c r="F143" s="14" t="s">
        <v>2265</v>
      </c>
      <c r="G143" t="s">
        <v>539</v>
      </c>
      <c r="H143" s="14">
        <v>0.88750000000000007</v>
      </c>
      <c r="Y143" s="11"/>
      <c r="AA143" s="11"/>
      <c r="AL143" s="11"/>
      <c r="AS143" s="11"/>
      <c r="AU143" s="11"/>
      <c r="BD143" s="12"/>
      <c r="BE143" s="12"/>
      <c r="BF143" s="14"/>
    </row>
    <row r="144" spans="1:58" x14ac:dyDescent="0.15">
      <c r="A144" t="s">
        <v>1558</v>
      </c>
      <c r="B144" t="s">
        <v>527</v>
      </c>
      <c r="C144" t="s">
        <v>1521</v>
      </c>
      <c r="D144" t="s">
        <v>1559</v>
      </c>
      <c r="E144">
        <v>1497</v>
      </c>
      <c r="F144" s="14" t="s">
        <v>2261</v>
      </c>
      <c r="G144" t="s">
        <v>665</v>
      </c>
      <c r="H144" s="14">
        <v>0.88750000000000007</v>
      </c>
      <c r="Q144" s="11"/>
      <c r="AA144" s="11"/>
      <c r="AL144" s="11"/>
      <c r="AS144" s="11"/>
      <c r="AW144" s="11"/>
      <c r="BD144" s="12"/>
      <c r="BE144" s="12"/>
      <c r="BF144" s="14"/>
    </row>
    <row r="145" spans="1:58" x14ac:dyDescent="0.15">
      <c r="A145" t="s">
        <v>1564</v>
      </c>
      <c r="B145" t="s">
        <v>764</v>
      </c>
      <c r="C145" t="s">
        <v>1502</v>
      </c>
      <c r="D145" t="s">
        <v>1566</v>
      </c>
      <c r="E145">
        <v>1884</v>
      </c>
      <c r="F145" s="14" t="s">
        <v>2268</v>
      </c>
      <c r="G145" t="s">
        <v>457</v>
      </c>
      <c r="H145" s="14">
        <v>0.88750000000000007</v>
      </c>
      <c r="AA145" s="11"/>
      <c r="AO145" s="11"/>
      <c r="AQ145" s="11"/>
      <c r="BD145" s="12"/>
      <c r="BE145" s="12"/>
      <c r="BF145" s="14"/>
    </row>
    <row r="146" spans="1:58" x14ac:dyDescent="0.15">
      <c r="A146" t="s">
        <v>1569</v>
      </c>
      <c r="B146" t="s">
        <v>1392</v>
      </c>
      <c r="C146" t="s">
        <v>1471</v>
      </c>
      <c r="D146" t="s">
        <v>1571</v>
      </c>
      <c r="E146">
        <v>1358</v>
      </c>
      <c r="F146" s="14" t="s">
        <v>2259</v>
      </c>
      <c r="G146" t="s">
        <v>445</v>
      </c>
      <c r="H146" s="14">
        <v>0.88750000000000007</v>
      </c>
      <c r="AO146" s="11"/>
      <c r="AQ146" s="11"/>
      <c r="BD146" s="12"/>
      <c r="BE146" s="12"/>
      <c r="BF146" s="14"/>
    </row>
    <row r="147" spans="1:58" x14ac:dyDescent="0.15">
      <c r="A147" t="s">
        <v>1579</v>
      </c>
      <c r="B147" t="s">
        <v>1402</v>
      </c>
      <c r="C147" t="s">
        <v>1471</v>
      </c>
      <c r="D147" t="s">
        <v>1581</v>
      </c>
      <c r="E147">
        <v>1089</v>
      </c>
      <c r="F147" s="14" t="s">
        <v>2259</v>
      </c>
      <c r="G147" t="s">
        <v>62</v>
      </c>
      <c r="H147" s="14">
        <v>0.88750000000000007</v>
      </c>
      <c r="AL147" s="11"/>
      <c r="AU147" s="11"/>
      <c r="BD147" s="12"/>
      <c r="BE147" s="12"/>
      <c r="BF147" s="14"/>
    </row>
    <row r="148" spans="1:58" x14ac:dyDescent="0.15">
      <c r="A148" t="s">
        <v>1595</v>
      </c>
      <c r="B148" t="s">
        <v>1367</v>
      </c>
      <c r="C148" t="s">
        <v>1467</v>
      </c>
      <c r="D148" t="s">
        <v>1597</v>
      </c>
      <c r="E148">
        <v>629</v>
      </c>
      <c r="F148" s="14" t="s">
        <v>2265</v>
      </c>
      <c r="G148" t="s">
        <v>1120</v>
      </c>
      <c r="H148" s="14">
        <v>0.88750000000000007</v>
      </c>
      <c r="AU148" s="11"/>
      <c r="BD148" s="12"/>
      <c r="BE148" s="12"/>
      <c r="BF148" s="14"/>
    </row>
    <row r="149" spans="1:58" x14ac:dyDescent="0.15">
      <c r="A149" t="s">
        <v>1598</v>
      </c>
      <c r="B149" t="s">
        <v>1459</v>
      </c>
      <c r="C149" t="s">
        <v>1460</v>
      </c>
      <c r="D149" t="s">
        <v>1599</v>
      </c>
      <c r="E149">
        <v>1211</v>
      </c>
      <c r="F149" s="14" t="s">
        <v>83</v>
      </c>
      <c r="G149" t="s">
        <v>604</v>
      </c>
      <c r="H149" s="14">
        <v>0.88750000000000007</v>
      </c>
      <c r="O149" s="11"/>
      <c r="Q149" s="11"/>
      <c r="W149" s="11"/>
      <c r="AO149" s="11"/>
      <c r="AQ149" s="11"/>
      <c r="AU149" s="11"/>
      <c r="BD149" s="12"/>
      <c r="BE149" s="12"/>
      <c r="BF149" s="14"/>
    </row>
    <row r="150" spans="1:58" x14ac:dyDescent="0.15">
      <c r="A150" t="s">
        <v>1612</v>
      </c>
      <c r="B150" t="s">
        <v>1383</v>
      </c>
      <c r="C150" t="s">
        <v>1460</v>
      </c>
      <c r="D150" t="s">
        <v>1613</v>
      </c>
      <c r="E150">
        <v>436</v>
      </c>
      <c r="F150" s="14" t="s">
        <v>83</v>
      </c>
      <c r="G150" t="s">
        <v>1068</v>
      </c>
      <c r="H150" s="14">
        <v>0.88750000000000007</v>
      </c>
      <c r="Q150" s="11"/>
      <c r="W150" s="11"/>
      <c r="BD150" s="12"/>
      <c r="BE150" s="12"/>
      <c r="BF150" s="14"/>
    </row>
    <row r="151" spans="1:58" x14ac:dyDescent="0.15">
      <c r="A151" t="s">
        <v>1620</v>
      </c>
      <c r="B151" t="s">
        <v>1396</v>
      </c>
      <c r="C151" t="s">
        <v>1467</v>
      </c>
      <c r="D151" t="s">
        <v>1622</v>
      </c>
      <c r="E151">
        <v>1231</v>
      </c>
      <c r="F151" s="14" t="s">
        <v>2265</v>
      </c>
      <c r="G151" t="s">
        <v>1012</v>
      </c>
      <c r="H151" s="14">
        <v>0.88750000000000007</v>
      </c>
      <c r="AA151" s="11"/>
      <c r="AL151" s="11"/>
      <c r="AS151" s="11"/>
      <c r="BD151" s="12"/>
      <c r="BE151" s="12"/>
      <c r="BF151" s="14"/>
    </row>
    <row r="152" spans="1:58" x14ac:dyDescent="0.15">
      <c r="A152" t="s">
        <v>1646</v>
      </c>
      <c r="B152" t="s">
        <v>1383</v>
      </c>
      <c r="C152" t="s">
        <v>1460</v>
      </c>
      <c r="D152" t="s">
        <v>1647</v>
      </c>
      <c r="E152">
        <v>891</v>
      </c>
      <c r="F152" s="14" t="s">
        <v>83</v>
      </c>
      <c r="G152" t="s">
        <v>836</v>
      </c>
      <c r="H152" s="14">
        <v>0.88750000000000007</v>
      </c>
      <c r="Q152" s="11"/>
      <c r="AW152" s="11"/>
      <c r="BD152" s="12"/>
      <c r="BE152" s="13"/>
      <c r="BF152" s="14"/>
    </row>
    <row r="153" spans="1:58" x14ac:dyDescent="0.15">
      <c r="A153" t="s">
        <v>1652</v>
      </c>
      <c r="B153" t="s">
        <v>1400</v>
      </c>
      <c r="C153" t="s">
        <v>1537</v>
      </c>
      <c r="D153" t="s">
        <v>1654</v>
      </c>
      <c r="E153">
        <v>811</v>
      </c>
      <c r="F153" s="14" t="s">
        <v>54</v>
      </c>
      <c r="G153" t="s">
        <v>389</v>
      </c>
      <c r="H153" s="14">
        <v>0.88750000000000007</v>
      </c>
      <c r="BD153" s="13"/>
      <c r="BE153" s="13"/>
      <c r="BF153" s="14"/>
    </row>
    <row r="154" spans="1:58" x14ac:dyDescent="0.15">
      <c r="A154" t="s">
        <v>1665</v>
      </c>
      <c r="B154" t="s">
        <v>527</v>
      </c>
      <c r="C154" t="s">
        <v>1521</v>
      </c>
      <c r="D154" t="s">
        <v>1666</v>
      </c>
      <c r="E154">
        <v>1773</v>
      </c>
      <c r="F154" s="14" t="s">
        <v>2261</v>
      </c>
      <c r="G154" t="s">
        <v>388</v>
      </c>
      <c r="H154" s="14">
        <v>0.88750000000000007</v>
      </c>
      <c r="O154" s="11"/>
      <c r="Q154" s="11"/>
      <c r="AA154" s="11"/>
      <c r="AL154" s="11"/>
      <c r="AS154" s="11"/>
      <c r="BD154" s="12"/>
      <c r="BE154" s="12"/>
      <c r="BF154" s="14"/>
    </row>
    <row r="155" spans="1:58" x14ac:dyDescent="0.15">
      <c r="A155" t="s">
        <v>1669</v>
      </c>
      <c r="B155" t="s">
        <v>1385</v>
      </c>
      <c r="C155" t="s">
        <v>1463</v>
      </c>
      <c r="D155" t="s">
        <v>1670</v>
      </c>
      <c r="E155">
        <v>1199</v>
      </c>
      <c r="F155" s="14" t="s">
        <v>104</v>
      </c>
      <c r="G155" t="s">
        <v>450</v>
      </c>
      <c r="H155" s="14">
        <v>0.88750000000000007</v>
      </c>
      <c r="BD155" s="12"/>
      <c r="BE155" s="13"/>
      <c r="BF155" s="14"/>
    </row>
    <row r="156" spans="1:58" x14ac:dyDescent="0.15">
      <c r="A156" t="s">
        <v>1689</v>
      </c>
      <c r="B156" t="s">
        <v>1368</v>
      </c>
      <c r="C156" t="s">
        <v>1460</v>
      </c>
      <c r="D156" t="s">
        <v>1690</v>
      </c>
      <c r="E156">
        <v>1320</v>
      </c>
      <c r="F156" s="14" t="s">
        <v>2271</v>
      </c>
      <c r="G156" t="s">
        <v>536</v>
      </c>
      <c r="H156" s="14">
        <v>0.88750000000000007</v>
      </c>
      <c r="Y156" s="11"/>
      <c r="BD156" s="12"/>
      <c r="BE156" s="13"/>
      <c r="BF156" s="14"/>
    </row>
    <row r="157" spans="1:58" x14ac:dyDescent="0.15">
      <c r="A157" t="s">
        <v>1693</v>
      </c>
      <c r="B157" t="s">
        <v>527</v>
      </c>
      <c r="C157" t="s">
        <v>1521</v>
      </c>
      <c r="D157" t="s">
        <v>1694</v>
      </c>
      <c r="E157">
        <v>1988</v>
      </c>
      <c r="F157" s="14" t="s">
        <v>2261</v>
      </c>
      <c r="G157" t="s">
        <v>614</v>
      </c>
      <c r="H157" s="14">
        <v>0.88750000000000007</v>
      </c>
      <c r="O157" s="11"/>
      <c r="Y157" s="11"/>
      <c r="AA157" s="11"/>
      <c r="AJ157" s="11"/>
      <c r="AL157" s="11"/>
      <c r="AO157" s="11"/>
      <c r="AQ157" s="11"/>
      <c r="AU157" s="11"/>
      <c r="BD157" s="12"/>
      <c r="BE157" s="12"/>
      <c r="BF157" s="14"/>
    </row>
    <row r="158" spans="1:58" x14ac:dyDescent="0.15">
      <c r="A158" t="s">
        <v>1720</v>
      </c>
      <c r="B158" t="s">
        <v>1721</v>
      </c>
      <c r="C158" t="s">
        <v>1497</v>
      </c>
      <c r="D158" t="s">
        <v>1723</v>
      </c>
      <c r="E158">
        <v>1302</v>
      </c>
      <c r="F158" s="14" t="s">
        <v>270</v>
      </c>
      <c r="G158" t="s">
        <v>342</v>
      </c>
      <c r="H158" s="14">
        <v>0.88750000000000007</v>
      </c>
      <c r="Q158" s="11"/>
      <c r="Y158" s="11"/>
      <c r="AJ158" s="11"/>
      <c r="BD158" s="12"/>
      <c r="BE158" s="12"/>
      <c r="BF158" s="14"/>
    </row>
    <row r="159" spans="1:58" x14ac:dyDescent="0.15">
      <c r="A159" t="s">
        <v>1728</v>
      </c>
      <c r="B159" t="s">
        <v>1368</v>
      </c>
      <c r="C159" t="s">
        <v>1460</v>
      </c>
      <c r="D159" t="s">
        <v>1729</v>
      </c>
      <c r="E159">
        <v>667</v>
      </c>
      <c r="F159" s="14" t="s">
        <v>83</v>
      </c>
      <c r="G159" t="s">
        <v>175</v>
      </c>
      <c r="H159" s="14">
        <v>0.88750000000000007</v>
      </c>
      <c r="AA159" s="11"/>
      <c r="AJ159" s="11"/>
      <c r="AL159" s="11"/>
      <c r="BD159" s="12"/>
      <c r="BE159" s="12"/>
      <c r="BF159" s="14"/>
    </row>
    <row r="160" spans="1:58" x14ac:dyDescent="0.15">
      <c r="A160" t="s">
        <v>1732</v>
      </c>
      <c r="B160" t="s">
        <v>1376</v>
      </c>
      <c r="C160" t="s">
        <v>1467</v>
      </c>
      <c r="D160" t="s">
        <v>1733</v>
      </c>
      <c r="E160">
        <v>1946</v>
      </c>
      <c r="F160" s="14" t="s">
        <v>2265</v>
      </c>
      <c r="G160" t="s">
        <v>600</v>
      </c>
      <c r="H160" s="14">
        <v>0.88750000000000007</v>
      </c>
      <c r="AA160" s="11"/>
      <c r="AS160" s="11"/>
      <c r="BD160" s="12"/>
      <c r="BE160" s="12"/>
      <c r="BF160" s="14"/>
    </row>
    <row r="161" spans="1:58" x14ac:dyDescent="0.15">
      <c r="A161" t="s">
        <v>1740</v>
      </c>
      <c r="B161" t="s">
        <v>764</v>
      </c>
      <c r="C161" t="s">
        <v>1502</v>
      </c>
      <c r="D161" t="s">
        <v>1741</v>
      </c>
      <c r="E161">
        <v>1715</v>
      </c>
      <c r="F161" s="14" t="s">
        <v>2268</v>
      </c>
      <c r="G161" t="s">
        <v>242</v>
      </c>
      <c r="H161" s="14">
        <v>0.88750000000000007</v>
      </c>
      <c r="AJ161" s="11"/>
      <c r="AO161" s="11"/>
      <c r="AQ161" s="11"/>
      <c r="BD161" s="12"/>
      <c r="BE161" s="12"/>
      <c r="BF161" s="14"/>
    </row>
    <row r="162" spans="1:58" x14ac:dyDescent="0.15">
      <c r="A162" t="s">
        <v>1742</v>
      </c>
      <c r="B162" t="s">
        <v>1388</v>
      </c>
      <c r="C162" t="s">
        <v>1463</v>
      </c>
      <c r="D162" t="s">
        <v>1743</v>
      </c>
      <c r="E162">
        <v>1553</v>
      </c>
      <c r="F162" s="14" t="s">
        <v>2262</v>
      </c>
      <c r="G162" t="s">
        <v>426</v>
      </c>
      <c r="H162" s="14">
        <v>0.88750000000000007</v>
      </c>
      <c r="AW162" s="11"/>
      <c r="BD162" s="12"/>
      <c r="BE162" s="13"/>
      <c r="BF162" s="14"/>
    </row>
    <row r="163" spans="1:58" x14ac:dyDescent="0.15">
      <c r="A163" t="s">
        <v>1756</v>
      </c>
      <c r="B163" t="s">
        <v>1632</v>
      </c>
      <c r="C163" t="s">
        <v>1471</v>
      </c>
      <c r="D163" t="s">
        <v>1757</v>
      </c>
      <c r="E163">
        <v>688</v>
      </c>
      <c r="F163" s="14" t="s">
        <v>61</v>
      </c>
      <c r="G163" t="s">
        <v>1269</v>
      </c>
      <c r="H163" s="14">
        <v>0.88750000000000007</v>
      </c>
      <c r="Q163" s="11"/>
      <c r="BD163" s="12"/>
      <c r="BE163" s="13"/>
      <c r="BF163" s="14"/>
    </row>
    <row r="164" spans="1:58" x14ac:dyDescent="0.15">
      <c r="A164" t="s">
        <v>1767</v>
      </c>
      <c r="B164" t="s">
        <v>1378</v>
      </c>
      <c r="C164" t="s">
        <v>1471</v>
      </c>
      <c r="D164" t="s">
        <v>1768</v>
      </c>
      <c r="E164">
        <v>685</v>
      </c>
      <c r="F164" s="14" t="s">
        <v>2259</v>
      </c>
      <c r="G164" t="s">
        <v>1133</v>
      </c>
      <c r="H164" s="14">
        <v>0.88750000000000007</v>
      </c>
      <c r="Y164" s="11"/>
      <c r="AJ164" s="11"/>
      <c r="AS164" s="11"/>
      <c r="BD164" s="12"/>
      <c r="BE164" s="12"/>
      <c r="BF164" s="14"/>
    </row>
    <row r="165" spans="1:58" x14ac:dyDescent="0.15">
      <c r="A165" t="s">
        <v>1775</v>
      </c>
      <c r="B165" t="s">
        <v>1383</v>
      </c>
      <c r="C165" t="s">
        <v>1460</v>
      </c>
      <c r="D165" t="s">
        <v>1776</v>
      </c>
      <c r="E165">
        <v>1168</v>
      </c>
      <c r="F165" s="14" t="s">
        <v>2271</v>
      </c>
      <c r="G165" t="s">
        <v>654</v>
      </c>
      <c r="H165" s="14">
        <v>0.88750000000000007</v>
      </c>
      <c r="O165" s="11"/>
      <c r="Q165" s="11"/>
      <c r="W165" s="11"/>
      <c r="AO165" s="11"/>
      <c r="AQ165" s="11"/>
      <c r="AU165" s="11"/>
      <c r="BD165" s="12"/>
      <c r="BE165" s="12"/>
      <c r="BF165" s="14"/>
    </row>
    <row r="166" spans="1:58" x14ac:dyDescent="0.15">
      <c r="A166" t="s">
        <v>1777</v>
      </c>
      <c r="B166" t="s">
        <v>1391</v>
      </c>
      <c r="C166" t="s">
        <v>1463</v>
      </c>
      <c r="D166" t="s">
        <v>1778</v>
      </c>
      <c r="E166">
        <v>1146</v>
      </c>
      <c r="F166" s="14" t="s">
        <v>2262</v>
      </c>
      <c r="G166" t="s">
        <v>501</v>
      </c>
      <c r="H166" s="14">
        <v>0.88750000000000007</v>
      </c>
      <c r="BD166" s="13"/>
      <c r="BE166" s="13"/>
      <c r="BF166" s="14"/>
    </row>
    <row r="167" spans="1:58" x14ac:dyDescent="0.15">
      <c r="A167" t="s">
        <v>1795</v>
      </c>
      <c r="B167" t="s">
        <v>1380</v>
      </c>
      <c r="C167" t="s">
        <v>1467</v>
      </c>
      <c r="D167" t="s">
        <v>1796</v>
      </c>
      <c r="E167">
        <v>809</v>
      </c>
      <c r="F167" s="14" t="s">
        <v>2263</v>
      </c>
      <c r="G167" t="s">
        <v>275</v>
      </c>
      <c r="H167" s="14">
        <v>0.88750000000000007</v>
      </c>
      <c r="Q167" s="11"/>
      <c r="AL167" s="11"/>
      <c r="AQ167" s="11"/>
      <c r="AS167" s="11"/>
      <c r="BD167" s="12"/>
      <c r="BE167" s="12"/>
      <c r="BF167" s="14"/>
    </row>
    <row r="168" spans="1:58" x14ac:dyDescent="0.15">
      <c r="A168" t="s">
        <v>1797</v>
      </c>
      <c r="B168" t="s">
        <v>563</v>
      </c>
      <c r="C168" t="s">
        <v>1471</v>
      </c>
      <c r="D168" t="s">
        <v>1798</v>
      </c>
      <c r="E168">
        <v>1412</v>
      </c>
      <c r="F168" s="14" t="s">
        <v>2259</v>
      </c>
      <c r="G168" t="s">
        <v>1134</v>
      </c>
      <c r="H168" s="14">
        <v>0.88750000000000007</v>
      </c>
      <c r="O168" s="11"/>
      <c r="AA168" s="11"/>
      <c r="BD168" s="12"/>
      <c r="BE168" s="12"/>
      <c r="BF168" s="14"/>
    </row>
    <row r="169" spans="1:58" x14ac:dyDescent="0.15">
      <c r="A169" t="s">
        <v>1807</v>
      </c>
      <c r="B169" t="s">
        <v>1398</v>
      </c>
      <c r="C169" t="s">
        <v>1471</v>
      </c>
      <c r="D169" t="s">
        <v>1808</v>
      </c>
      <c r="E169">
        <v>551</v>
      </c>
      <c r="F169" s="14" t="s">
        <v>61</v>
      </c>
      <c r="G169" t="s">
        <v>736</v>
      </c>
      <c r="H169" s="14">
        <v>0.88750000000000007</v>
      </c>
      <c r="AL169" s="11"/>
      <c r="BD169" s="12"/>
      <c r="BE169" s="12"/>
      <c r="BF169" s="14"/>
    </row>
    <row r="170" spans="1:58" x14ac:dyDescent="0.15">
      <c r="A170" t="s">
        <v>1834</v>
      </c>
      <c r="B170" t="s">
        <v>1459</v>
      </c>
      <c r="C170" t="s">
        <v>1460</v>
      </c>
      <c r="D170" t="s">
        <v>1835</v>
      </c>
      <c r="E170">
        <v>1316</v>
      </c>
      <c r="F170" s="14" t="s">
        <v>83</v>
      </c>
      <c r="G170" t="s">
        <v>695</v>
      </c>
      <c r="H170" s="14">
        <v>0.88750000000000007</v>
      </c>
      <c r="W170" s="11"/>
      <c r="Y170" s="11"/>
      <c r="AA170" s="11"/>
      <c r="AL170" s="11"/>
      <c r="BD170" s="12"/>
      <c r="BE170" s="12"/>
      <c r="BF170" s="14"/>
    </row>
    <row r="171" spans="1:58" x14ac:dyDescent="0.15">
      <c r="A171" t="s">
        <v>1842</v>
      </c>
      <c r="B171" t="s">
        <v>1376</v>
      </c>
      <c r="C171" t="s">
        <v>1467</v>
      </c>
      <c r="D171" t="s">
        <v>1843</v>
      </c>
      <c r="E171">
        <v>582</v>
      </c>
      <c r="F171" s="14" t="s">
        <v>2263</v>
      </c>
      <c r="G171" t="s">
        <v>967</v>
      </c>
      <c r="H171" s="14">
        <v>0.88750000000000007</v>
      </c>
      <c r="Y171" s="11"/>
      <c r="AA171" s="11"/>
      <c r="AJ171" s="11"/>
      <c r="AL171" s="11"/>
      <c r="AO171" s="11"/>
      <c r="AS171" s="11"/>
      <c r="BD171" s="12"/>
      <c r="BE171" s="12"/>
      <c r="BF171" s="14"/>
    </row>
    <row r="172" spans="1:58" x14ac:dyDescent="0.15">
      <c r="A172" t="s">
        <v>1850</v>
      </c>
      <c r="B172" t="s">
        <v>1383</v>
      </c>
      <c r="C172" t="s">
        <v>1460</v>
      </c>
      <c r="D172" t="s">
        <v>1851</v>
      </c>
      <c r="E172">
        <v>1782</v>
      </c>
      <c r="F172" s="14" t="s">
        <v>2271</v>
      </c>
      <c r="G172" t="s">
        <v>307</v>
      </c>
      <c r="H172" s="14">
        <v>0.88750000000000007</v>
      </c>
      <c r="O172" s="11"/>
      <c r="Q172" s="11"/>
      <c r="Y172" s="11"/>
      <c r="AA172" s="11"/>
      <c r="AS172" s="11"/>
      <c r="BD172" s="12"/>
      <c r="BE172" s="12"/>
      <c r="BF172" s="14"/>
    </row>
    <row r="173" spans="1:58" x14ac:dyDescent="0.15">
      <c r="A173" t="s">
        <v>1862</v>
      </c>
      <c r="B173" t="s">
        <v>1402</v>
      </c>
      <c r="C173" t="s">
        <v>1471</v>
      </c>
      <c r="D173" t="s">
        <v>1863</v>
      </c>
      <c r="E173">
        <v>343</v>
      </c>
      <c r="F173" s="14" t="s">
        <v>61</v>
      </c>
      <c r="G173" t="s">
        <v>653</v>
      </c>
      <c r="H173" s="14">
        <v>0.88750000000000007</v>
      </c>
      <c r="AA173" s="11"/>
      <c r="AJ173" s="11"/>
      <c r="AO173" s="11"/>
      <c r="AQ173" s="11"/>
      <c r="BD173" s="12"/>
      <c r="BE173" s="12"/>
      <c r="BF173" s="14"/>
    </row>
    <row r="174" spans="1:58" x14ac:dyDescent="0.15">
      <c r="A174" t="s">
        <v>1876</v>
      </c>
      <c r="B174" t="s">
        <v>1369</v>
      </c>
      <c r="C174" t="s">
        <v>1463</v>
      </c>
      <c r="D174" t="s">
        <v>1877</v>
      </c>
      <c r="E174">
        <v>1147</v>
      </c>
      <c r="F174" s="14" t="s">
        <v>2262</v>
      </c>
      <c r="G174" t="s">
        <v>723</v>
      </c>
      <c r="H174" s="14">
        <v>0.88750000000000007</v>
      </c>
      <c r="O174" s="11"/>
      <c r="Y174" s="11"/>
      <c r="AA174" s="11"/>
      <c r="AJ174" s="11"/>
      <c r="AL174" s="11"/>
      <c r="AO174" s="11"/>
      <c r="AQ174" s="11"/>
      <c r="AU174" s="11"/>
      <c r="BD174" s="12"/>
      <c r="BE174" s="12"/>
      <c r="BF174" s="14"/>
    </row>
    <row r="175" spans="1:58" x14ac:dyDescent="0.15">
      <c r="A175" t="s">
        <v>1880</v>
      </c>
      <c r="B175" t="s">
        <v>1881</v>
      </c>
      <c r="C175" t="s">
        <v>1497</v>
      </c>
      <c r="D175" t="s">
        <v>1883</v>
      </c>
      <c r="E175">
        <v>284</v>
      </c>
      <c r="F175" s="14" t="s">
        <v>270</v>
      </c>
      <c r="G175" t="s">
        <v>628</v>
      </c>
      <c r="H175" s="14">
        <v>0.88750000000000007</v>
      </c>
      <c r="Q175" s="11"/>
      <c r="W175" s="11"/>
      <c r="AA175" s="11"/>
      <c r="BD175" s="12"/>
      <c r="BE175" s="12"/>
      <c r="BF175" s="14"/>
    </row>
    <row r="176" spans="1:58" x14ac:dyDescent="0.15">
      <c r="A176" t="s">
        <v>1884</v>
      </c>
      <c r="B176" t="s">
        <v>1376</v>
      </c>
      <c r="C176" t="s">
        <v>1467</v>
      </c>
      <c r="D176" t="s">
        <v>1885</v>
      </c>
      <c r="E176">
        <v>1915</v>
      </c>
      <c r="F176" s="14" t="s">
        <v>2265</v>
      </c>
      <c r="G176" t="s">
        <v>515</v>
      </c>
      <c r="H176" s="14">
        <v>0.88750000000000007</v>
      </c>
      <c r="BD176" s="12"/>
      <c r="BE176" s="13"/>
      <c r="BF176" s="14"/>
    </row>
    <row r="177" spans="1:58" x14ac:dyDescent="0.15">
      <c r="A177" t="s">
        <v>1886</v>
      </c>
      <c r="B177" t="s">
        <v>1378</v>
      </c>
      <c r="C177" t="s">
        <v>1471</v>
      </c>
      <c r="D177" t="s">
        <v>1887</v>
      </c>
      <c r="E177">
        <v>379</v>
      </c>
      <c r="F177" s="14" t="s">
        <v>2259</v>
      </c>
      <c r="G177" t="s">
        <v>494</v>
      </c>
      <c r="H177" s="14">
        <v>0.88750000000000007</v>
      </c>
      <c r="O177" s="11"/>
      <c r="AA177" s="11"/>
      <c r="AO177" s="11"/>
      <c r="AQ177" s="11"/>
      <c r="BD177" s="12"/>
      <c r="BE177" s="12"/>
      <c r="BF177" s="14"/>
    </row>
    <row r="178" spans="1:58" x14ac:dyDescent="0.15">
      <c r="A178" t="s">
        <v>1894</v>
      </c>
      <c r="B178" t="s">
        <v>764</v>
      </c>
      <c r="C178" t="s">
        <v>1502</v>
      </c>
      <c r="D178" t="s">
        <v>1895</v>
      </c>
      <c r="E178">
        <v>1079</v>
      </c>
      <c r="F178" s="14" t="s">
        <v>77</v>
      </c>
      <c r="G178" t="s">
        <v>1263</v>
      </c>
      <c r="H178" s="14">
        <v>0.88750000000000007</v>
      </c>
      <c r="Y178" s="11"/>
      <c r="AJ178" s="11"/>
      <c r="AL178" s="11"/>
      <c r="AU178" s="11"/>
      <c r="BD178" s="12"/>
      <c r="BE178" s="12"/>
      <c r="BF178" s="14"/>
    </row>
    <row r="179" spans="1:58" x14ac:dyDescent="0.15">
      <c r="A179" t="s">
        <v>1896</v>
      </c>
      <c r="B179" t="s">
        <v>1391</v>
      </c>
      <c r="C179" t="s">
        <v>1463</v>
      </c>
      <c r="D179" t="s">
        <v>1897</v>
      </c>
      <c r="E179">
        <v>1765</v>
      </c>
      <c r="F179" s="14" t="s">
        <v>2262</v>
      </c>
      <c r="G179" t="s">
        <v>297</v>
      </c>
      <c r="H179" s="14">
        <v>0.88750000000000007</v>
      </c>
      <c r="Y179" s="11"/>
      <c r="AA179" s="11"/>
      <c r="AJ179" s="11"/>
      <c r="AL179" s="11"/>
      <c r="AQ179" s="11"/>
      <c r="AS179" s="11"/>
      <c r="BD179" s="12"/>
      <c r="BE179" s="12"/>
      <c r="BF179" s="14"/>
    </row>
    <row r="180" spans="1:58" x14ac:dyDescent="0.15">
      <c r="A180" t="s">
        <v>1909</v>
      </c>
      <c r="B180" t="s">
        <v>492</v>
      </c>
      <c r="C180" t="s">
        <v>1471</v>
      </c>
      <c r="D180" t="s">
        <v>1910</v>
      </c>
      <c r="E180">
        <v>790</v>
      </c>
      <c r="F180" s="14" t="s">
        <v>61</v>
      </c>
      <c r="G180" t="s">
        <v>492</v>
      </c>
      <c r="H180" s="14">
        <v>0.88750000000000007</v>
      </c>
      <c r="Y180" s="11"/>
      <c r="AL180" s="11"/>
      <c r="BD180" s="12"/>
      <c r="BE180" s="12"/>
      <c r="BF180" s="14"/>
    </row>
    <row r="181" spans="1:58" x14ac:dyDescent="0.15">
      <c r="A181" t="s">
        <v>1913</v>
      </c>
      <c r="B181" t="s">
        <v>1370</v>
      </c>
      <c r="C181" t="s">
        <v>1521</v>
      </c>
      <c r="D181" t="s">
        <v>1914</v>
      </c>
      <c r="E181">
        <v>471</v>
      </c>
      <c r="F181" s="14" t="s">
        <v>67</v>
      </c>
      <c r="G181" t="s">
        <v>760</v>
      </c>
      <c r="H181" s="14">
        <v>0.88750000000000007</v>
      </c>
      <c r="AJ181" s="11"/>
      <c r="AO181" s="11"/>
      <c r="AQ181" s="11"/>
      <c r="AU181" s="11"/>
      <c r="BD181" s="12"/>
      <c r="BE181" s="12"/>
      <c r="BF181" s="14"/>
    </row>
    <row r="182" spans="1:58" x14ac:dyDescent="0.15">
      <c r="A182" t="s">
        <v>1915</v>
      </c>
      <c r="B182" t="s">
        <v>1374</v>
      </c>
      <c r="C182" t="s">
        <v>1471</v>
      </c>
      <c r="D182" t="s">
        <v>1916</v>
      </c>
      <c r="E182">
        <v>1914</v>
      </c>
      <c r="F182" s="14" t="s">
        <v>2259</v>
      </c>
      <c r="G182" t="s">
        <v>526</v>
      </c>
      <c r="H182" s="14">
        <v>0.88750000000000007</v>
      </c>
      <c r="AL182" s="11"/>
      <c r="AO182" s="11"/>
      <c r="BD182" s="12"/>
      <c r="BE182" s="12"/>
      <c r="BF182" s="14"/>
    </row>
    <row r="183" spans="1:58" x14ac:dyDescent="0.15">
      <c r="A183" t="s">
        <v>1917</v>
      </c>
      <c r="B183" t="s">
        <v>1376</v>
      </c>
      <c r="C183" t="s">
        <v>1467</v>
      </c>
      <c r="D183" t="s">
        <v>1918</v>
      </c>
      <c r="E183">
        <v>1842</v>
      </c>
      <c r="F183" s="14" t="s">
        <v>2265</v>
      </c>
      <c r="G183" t="s">
        <v>404</v>
      </c>
      <c r="H183" s="14">
        <v>0.88750000000000007</v>
      </c>
      <c r="O183" s="11"/>
      <c r="AL183" s="11"/>
      <c r="AU183" s="11"/>
      <c r="BD183" s="12"/>
      <c r="BE183" s="12"/>
      <c r="BF183" s="14"/>
    </row>
    <row r="184" spans="1:58" x14ac:dyDescent="0.15">
      <c r="A184" t="s">
        <v>1923</v>
      </c>
      <c r="B184" t="s">
        <v>1403</v>
      </c>
      <c r="C184" t="s">
        <v>1537</v>
      </c>
      <c r="D184" t="s">
        <v>1924</v>
      </c>
      <c r="E184">
        <v>1503</v>
      </c>
      <c r="F184" s="14" t="s">
        <v>2272</v>
      </c>
      <c r="G184" t="s">
        <v>1045</v>
      </c>
      <c r="H184" s="14">
        <v>0.88750000000000007</v>
      </c>
      <c r="Q184" s="11"/>
      <c r="Y184" s="11"/>
      <c r="AU184" s="11"/>
      <c r="BD184" s="12"/>
      <c r="BE184" s="12"/>
      <c r="BF184" s="14"/>
    </row>
    <row r="185" spans="1:58" x14ac:dyDescent="0.15">
      <c r="A185" t="s">
        <v>1937</v>
      </c>
      <c r="B185" t="s">
        <v>1391</v>
      </c>
      <c r="C185" t="s">
        <v>1463</v>
      </c>
      <c r="D185" t="s">
        <v>1938</v>
      </c>
      <c r="E185">
        <v>1293</v>
      </c>
      <c r="F185" s="14" t="s">
        <v>2262</v>
      </c>
      <c r="G185" t="s">
        <v>503</v>
      </c>
      <c r="H185" s="14">
        <v>0.88750000000000007</v>
      </c>
      <c r="O185" s="11"/>
      <c r="Q185" s="11"/>
      <c r="W185" s="11"/>
      <c r="AO185" s="11"/>
      <c r="AQ185" s="11"/>
      <c r="AU185" s="11"/>
      <c r="BD185" s="12"/>
      <c r="BE185" s="12"/>
      <c r="BF185" s="14"/>
    </row>
    <row r="186" spans="1:58" x14ac:dyDescent="0.15">
      <c r="A186" t="s">
        <v>1961</v>
      </c>
      <c r="B186" t="s">
        <v>1403</v>
      </c>
      <c r="C186" t="s">
        <v>1537</v>
      </c>
      <c r="D186" t="s">
        <v>1962</v>
      </c>
      <c r="E186">
        <v>1502</v>
      </c>
      <c r="F186" s="14" t="s">
        <v>2272</v>
      </c>
      <c r="G186" t="s">
        <v>1240</v>
      </c>
      <c r="H186" s="14">
        <v>0.88750000000000007</v>
      </c>
      <c r="O186" s="11"/>
      <c r="Y186" s="11"/>
      <c r="AJ186" s="11"/>
      <c r="AS186" s="11"/>
      <c r="BD186" s="12"/>
      <c r="BE186" s="12"/>
      <c r="BF186" s="14"/>
    </row>
    <row r="187" spans="1:58" x14ac:dyDescent="0.15">
      <c r="A187" t="s">
        <v>1971</v>
      </c>
      <c r="B187" t="s">
        <v>789</v>
      </c>
      <c r="C187" t="s">
        <v>1521</v>
      </c>
      <c r="D187" t="s">
        <v>1972</v>
      </c>
      <c r="E187">
        <v>1380</v>
      </c>
      <c r="F187" s="14" t="s">
        <v>2261</v>
      </c>
      <c r="G187" t="s">
        <v>544</v>
      </c>
      <c r="H187" s="14">
        <v>0.88750000000000007</v>
      </c>
      <c r="O187" s="11"/>
      <c r="AA187" s="11"/>
      <c r="BD187" s="12"/>
      <c r="BE187" s="12"/>
      <c r="BF187" s="14"/>
    </row>
    <row r="188" spans="1:58" x14ac:dyDescent="0.15">
      <c r="A188" t="s">
        <v>1989</v>
      </c>
      <c r="B188" t="s">
        <v>1369</v>
      </c>
      <c r="C188" t="s">
        <v>1463</v>
      </c>
      <c r="D188" t="s">
        <v>1990</v>
      </c>
      <c r="E188">
        <v>642</v>
      </c>
      <c r="F188" s="14" t="s">
        <v>2262</v>
      </c>
      <c r="G188" t="s">
        <v>504</v>
      </c>
      <c r="H188" s="14">
        <v>0.88750000000000007</v>
      </c>
      <c r="Y188" s="11"/>
      <c r="AA188" s="11"/>
      <c r="AJ188" s="11"/>
      <c r="AS188" s="11"/>
      <c r="BD188" s="12"/>
      <c r="BE188" s="12"/>
      <c r="BF188" s="14"/>
    </row>
    <row r="189" spans="1:58" x14ac:dyDescent="0.15">
      <c r="A189" t="s">
        <v>2023</v>
      </c>
      <c r="B189" t="s">
        <v>1385</v>
      </c>
      <c r="C189" t="s">
        <v>1463</v>
      </c>
      <c r="D189" t="s">
        <v>2024</v>
      </c>
      <c r="E189">
        <v>1274</v>
      </c>
      <c r="F189" s="14" t="s">
        <v>104</v>
      </c>
      <c r="G189" t="s">
        <v>452</v>
      </c>
      <c r="H189" s="14">
        <v>0.88750000000000007</v>
      </c>
      <c r="O189" s="11"/>
      <c r="Q189" s="11"/>
      <c r="AJ189" s="11"/>
      <c r="AQ189" s="11"/>
      <c r="BD189" s="12"/>
      <c r="BE189" s="12"/>
      <c r="BF189" s="14"/>
    </row>
    <row r="190" spans="1:58" x14ac:dyDescent="0.15">
      <c r="A190" t="s">
        <v>2025</v>
      </c>
      <c r="B190" t="s">
        <v>1400</v>
      </c>
      <c r="C190" t="s">
        <v>1537</v>
      </c>
      <c r="D190" t="s">
        <v>2026</v>
      </c>
      <c r="E190">
        <v>1570</v>
      </c>
      <c r="F190" s="14" t="s">
        <v>2272</v>
      </c>
      <c r="G190" t="s">
        <v>55</v>
      </c>
      <c r="H190" s="14">
        <v>0.88750000000000007</v>
      </c>
      <c r="Y190" s="11"/>
      <c r="AA190" s="11"/>
      <c r="BD190" s="12"/>
      <c r="BE190" s="12"/>
      <c r="BF190" s="14"/>
    </row>
    <row r="191" spans="1:58" x14ac:dyDescent="0.15">
      <c r="A191" t="s">
        <v>2068</v>
      </c>
      <c r="B191" t="s">
        <v>1376</v>
      </c>
      <c r="C191" t="s">
        <v>1467</v>
      </c>
      <c r="D191" t="s">
        <v>2069</v>
      </c>
      <c r="E191">
        <v>1917</v>
      </c>
      <c r="F191" s="14" t="s">
        <v>2265</v>
      </c>
      <c r="G191" t="s">
        <v>555</v>
      </c>
      <c r="H191" s="14">
        <v>0.88750000000000007</v>
      </c>
      <c r="O191" s="11"/>
      <c r="AJ191" s="11"/>
      <c r="AO191" s="11"/>
      <c r="AQ191" s="11"/>
      <c r="AS191" s="11"/>
      <c r="BD191" s="12"/>
      <c r="BE191" s="12"/>
      <c r="BF191" s="14"/>
    </row>
    <row r="192" spans="1:58" x14ac:dyDescent="0.15">
      <c r="A192" t="s">
        <v>2072</v>
      </c>
      <c r="B192" t="s">
        <v>563</v>
      </c>
      <c r="C192" t="s">
        <v>1471</v>
      </c>
      <c r="D192" t="s">
        <v>2073</v>
      </c>
      <c r="E192">
        <v>1636</v>
      </c>
      <c r="F192" s="14" t="s">
        <v>2259</v>
      </c>
      <c r="G192" t="s">
        <v>109</v>
      </c>
      <c r="H192" s="14">
        <v>0.88750000000000007</v>
      </c>
      <c r="AA192" s="11"/>
      <c r="AJ192" s="11"/>
      <c r="AO192" s="11"/>
      <c r="AQ192" s="11"/>
      <c r="AS192" s="11"/>
      <c r="BD192" s="12"/>
      <c r="BE192" s="12"/>
      <c r="BF192" s="14"/>
    </row>
    <row r="193" spans="1:58" x14ac:dyDescent="0.15">
      <c r="A193" t="s">
        <v>2076</v>
      </c>
      <c r="B193" t="s">
        <v>764</v>
      </c>
      <c r="C193" t="s">
        <v>1502</v>
      </c>
      <c r="D193" t="s">
        <v>2077</v>
      </c>
      <c r="E193">
        <v>1345</v>
      </c>
      <c r="F193" s="14" t="s">
        <v>2268</v>
      </c>
      <c r="G193" t="s">
        <v>1250</v>
      </c>
      <c r="H193" s="14">
        <v>0.88750000000000007</v>
      </c>
      <c r="Q193" s="11"/>
      <c r="AJ193" s="11"/>
      <c r="AL193" s="11"/>
      <c r="AS193" s="11"/>
      <c r="BD193" s="12"/>
      <c r="BE193" s="12"/>
      <c r="BF193" s="14"/>
    </row>
    <row r="194" spans="1:58" x14ac:dyDescent="0.15">
      <c r="A194" t="s">
        <v>2082</v>
      </c>
      <c r="B194" t="s">
        <v>789</v>
      </c>
      <c r="C194" t="s">
        <v>1521</v>
      </c>
      <c r="D194" t="s">
        <v>2083</v>
      </c>
      <c r="E194">
        <v>1108</v>
      </c>
      <c r="F194" s="14" t="s">
        <v>67</v>
      </c>
      <c r="G194" t="s">
        <v>395</v>
      </c>
      <c r="H194" s="14">
        <v>0.88750000000000007</v>
      </c>
      <c r="AS194" s="11"/>
      <c r="BD194" s="12"/>
      <c r="BE194" s="12"/>
      <c r="BF194" s="14"/>
    </row>
    <row r="195" spans="1:58" x14ac:dyDescent="0.15">
      <c r="A195" t="s">
        <v>2105</v>
      </c>
      <c r="B195" t="s">
        <v>1378</v>
      </c>
      <c r="C195" t="s">
        <v>1471</v>
      </c>
      <c r="D195" t="s">
        <v>2106</v>
      </c>
      <c r="E195">
        <v>562</v>
      </c>
      <c r="F195" s="14" t="s">
        <v>2259</v>
      </c>
      <c r="G195" t="s">
        <v>517</v>
      </c>
      <c r="H195" s="14">
        <v>0.88750000000000007</v>
      </c>
      <c r="O195" s="11"/>
      <c r="AA195" s="11"/>
      <c r="AU195" s="11"/>
      <c r="BD195" s="12"/>
      <c r="BE195" s="12"/>
      <c r="BF195" s="14"/>
    </row>
    <row r="196" spans="1:58" x14ac:dyDescent="0.15">
      <c r="A196" t="s">
        <v>2110</v>
      </c>
      <c r="B196" t="s">
        <v>1380</v>
      </c>
      <c r="C196" t="s">
        <v>1467</v>
      </c>
      <c r="D196" t="s">
        <v>2111</v>
      </c>
      <c r="E196">
        <v>742</v>
      </c>
      <c r="F196" s="14" t="s">
        <v>2263</v>
      </c>
      <c r="G196" t="s">
        <v>449</v>
      </c>
      <c r="H196" s="14">
        <v>0.88750000000000007</v>
      </c>
      <c r="AA196" s="11"/>
      <c r="AL196" s="11"/>
      <c r="BD196" s="12"/>
      <c r="BE196" s="12"/>
      <c r="BF196" s="14"/>
    </row>
    <row r="197" spans="1:58" x14ac:dyDescent="0.15">
      <c r="A197" t="s">
        <v>2116</v>
      </c>
      <c r="B197" t="s">
        <v>1391</v>
      </c>
      <c r="C197" t="s">
        <v>1463</v>
      </c>
      <c r="D197" t="s">
        <v>2117</v>
      </c>
      <c r="E197">
        <v>1061</v>
      </c>
      <c r="F197" s="14" t="s">
        <v>2262</v>
      </c>
      <c r="G197" t="s">
        <v>333</v>
      </c>
      <c r="H197" s="14">
        <v>0.88750000000000007</v>
      </c>
      <c r="O197" s="11"/>
      <c r="Q197" s="11"/>
      <c r="AA197" s="11"/>
      <c r="AL197" s="11"/>
      <c r="AS197" s="11"/>
      <c r="BD197" s="12"/>
      <c r="BE197" s="12"/>
      <c r="BF197" s="14"/>
    </row>
    <row r="198" spans="1:58" x14ac:dyDescent="0.15">
      <c r="A198" t="s">
        <v>2137</v>
      </c>
      <c r="B198" t="s">
        <v>1632</v>
      </c>
      <c r="C198" t="s">
        <v>1471</v>
      </c>
      <c r="D198" t="s">
        <v>2138</v>
      </c>
      <c r="E198">
        <v>315</v>
      </c>
      <c r="F198" s="14" t="s">
        <v>61</v>
      </c>
      <c r="G198" t="s">
        <v>1354</v>
      </c>
      <c r="H198" s="14">
        <v>0.88750000000000007</v>
      </c>
      <c r="AW198" s="11"/>
      <c r="BD198" s="12"/>
      <c r="BE198" s="13"/>
      <c r="BF198" s="14"/>
    </row>
    <row r="199" spans="1:58" x14ac:dyDescent="0.15">
      <c r="A199" t="s">
        <v>2147</v>
      </c>
      <c r="B199" t="s">
        <v>1376</v>
      </c>
      <c r="C199" t="s">
        <v>1467</v>
      </c>
      <c r="D199" t="s">
        <v>2148</v>
      </c>
      <c r="E199">
        <v>1056</v>
      </c>
      <c r="F199" s="14" t="s">
        <v>2265</v>
      </c>
      <c r="G199" t="s">
        <v>1170</v>
      </c>
      <c r="H199" s="14">
        <v>0.88750000000000007</v>
      </c>
      <c r="AL199" s="11"/>
      <c r="AO199" s="11"/>
      <c r="BD199" s="12"/>
      <c r="BE199" s="12"/>
      <c r="BF199" s="14"/>
    </row>
    <row r="200" spans="1:58" x14ac:dyDescent="0.15">
      <c r="A200" t="s">
        <v>2153</v>
      </c>
      <c r="B200" t="s">
        <v>563</v>
      </c>
      <c r="C200" t="s">
        <v>1471</v>
      </c>
      <c r="D200" t="s">
        <v>2154</v>
      </c>
      <c r="E200">
        <v>924</v>
      </c>
      <c r="F200" s="14" t="s">
        <v>61</v>
      </c>
      <c r="G200" t="s">
        <v>729</v>
      </c>
      <c r="H200" s="14">
        <v>0.88750000000000007</v>
      </c>
      <c r="W200" s="11"/>
      <c r="Y200" s="11"/>
      <c r="AA200" s="11"/>
      <c r="AL200" s="11"/>
      <c r="AO200" s="11"/>
      <c r="BD200" s="12"/>
      <c r="BE200" s="12"/>
      <c r="BF200" s="14"/>
    </row>
    <row r="201" spans="1:58" x14ac:dyDescent="0.15">
      <c r="A201" t="s">
        <v>2155</v>
      </c>
      <c r="B201" t="s">
        <v>1385</v>
      </c>
      <c r="C201" t="s">
        <v>1463</v>
      </c>
      <c r="D201" t="s">
        <v>2156</v>
      </c>
      <c r="E201">
        <v>415</v>
      </c>
      <c r="F201" s="14" t="s">
        <v>2262</v>
      </c>
      <c r="G201" t="s">
        <v>675</v>
      </c>
      <c r="H201" s="14">
        <v>0.88750000000000007</v>
      </c>
      <c r="Q201" s="11"/>
      <c r="Y201" s="11"/>
      <c r="AU201" s="11"/>
      <c r="BD201" s="12"/>
      <c r="BE201" s="12"/>
      <c r="BF201" s="14"/>
    </row>
    <row r="202" spans="1:58" x14ac:dyDescent="0.15">
      <c r="A202" t="s">
        <v>2159</v>
      </c>
      <c r="B202" t="s">
        <v>1391</v>
      </c>
      <c r="C202" t="s">
        <v>1463</v>
      </c>
      <c r="D202" t="s">
        <v>2160</v>
      </c>
      <c r="E202">
        <v>1939</v>
      </c>
      <c r="F202" s="14" t="s">
        <v>2262</v>
      </c>
      <c r="G202" t="s">
        <v>531</v>
      </c>
      <c r="H202" s="14">
        <v>0.88750000000000007</v>
      </c>
      <c r="Y202" s="11"/>
      <c r="AL202" s="11"/>
      <c r="BD202" s="12"/>
      <c r="BE202" s="12"/>
      <c r="BF202" s="14"/>
    </row>
    <row r="203" spans="1:58" x14ac:dyDescent="0.15">
      <c r="A203" t="s">
        <v>2177</v>
      </c>
      <c r="B203" t="s">
        <v>1380</v>
      </c>
      <c r="C203" t="s">
        <v>1467</v>
      </c>
      <c r="D203" t="s">
        <v>2178</v>
      </c>
      <c r="E203">
        <v>1007</v>
      </c>
      <c r="F203" s="14" t="s">
        <v>71</v>
      </c>
      <c r="G203" t="s">
        <v>661</v>
      </c>
      <c r="H203" s="14">
        <v>0.88750000000000007</v>
      </c>
      <c r="O203" s="11"/>
      <c r="Q203" s="11"/>
      <c r="W203" s="11"/>
      <c r="AO203" s="11"/>
      <c r="AQ203" s="11"/>
      <c r="AU203" s="11"/>
      <c r="BD203" s="12"/>
      <c r="BE203" s="12"/>
      <c r="BF203" s="14"/>
    </row>
    <row r="204" spans="1:58" x14ac:dyDescent="0.15">
      <c r="A204" t="s">
        <v>2181</v>
      </c>
      <c r="B204" t="s">
        <v>1385</v>
      </c>
      <c r="C204" t="s">
        <v>1463</v>
      </c>
      <c r="D204" t="s">
        <v>2182</v>
      </c>
      <c r="E204">
        <v>1003</v>
      </c>
      <c r="F204" s="14" t="s">
        <v>104</v>
      </c>
      <c r="G204" t="s">
        <v>400</v>
      </c>
      <c r="H204" s="14">
        <v>0.88750000000000007</v>
      </c>
      <c r="Q204" s="11"/>
      <c r="AJ204" s="11"/>
      <c r="AO204" s="11"/>
      <c r="AQ204" s="11"/>
      <c r="BD204" s="12"/>
      <c r="BE204" s="12"/>
      <c r="BF204" s="14"/>
    </row>
    <row r="205" spans="1:58" x14ac:dyDescent="0.15">
      <c r="A205" t="s">
        <v>2187</v>
      </c>
      <c r="B205" t="s">
        <v>1388</v>
      </c>
      <c r="C205" t="s">
        <v>1463</v>
      </c>
      <c r="D205" t="s">
        <v>2188</v>
      </c>
      <c r="E205">
        <v>1934</v>
      </c>
      <c r="F205" s="14" t="s">
        <v>2262</v>
      </c>
      <c r="G205" t="s">
        <v>524</v>
      </c>
      <c r="H205" s="14">
        <v>0.88750000000000007</v>
      </c>
      <c r="O205" s="11"/>
      <c r="Y205" s="11"/>
      <c r="AA205" s="11"/>
      <c r="AO205" s="11"/>
      <c r="AQ205" s="11"/>
      <c r="BD205" s="12"/>
      <c r="BE205" s="12"/>
      <c r="BF205" s="14"/>
    </row>
    <row r="206" spans="1:58" x14ac:dyDescent="0.15">
      <c r="A206" t="s">
        <v>2189</v>
      </c>
      <c r="B206" t="s">
        <v>1394</v>
      </c>
      <c r="C206" t="s">
        <v>1537</v>
      </c>
      <c r="D206" t="s">
        <v>2190</v>
      </c>
      <c r="E206">
        <v>1406</v>
      </c>
      <c r="F206" s="14" t="s">
        <v>2272</v>
      </c>
      <c r="G206" t="s">
        <v>234</v>
      </c>
      <c r="H206" s="14">
        <v>0.88750000000000007</v>
      </c>
      <c r="BD206" s="12"/>
      <c r="BE206" s="13"/>
      <c r="BF206" s="14"/>
    </row>
    <row r="207" spans="1:58" x14ac:dyDescent="0.15">
      <c r="A207" t="s">
        <v>2191</v>
      </c>
      <c r="B207" t="s">
        <v>1398</v>
      </c>
      <c r="C207" t="s">
        <v>1471</v>
      </c>
      <c r="D207" t="s">
        <v>2192</v>
      </c>
      <c r="E207">
        <v>1764</v>
      </c>
      <c r="F207" s="14" t="s">
        <v>2259</v>
      </c>
      <c r="G207" t="s">
        <v>420</v>
      </c>
      <c r="H207" s="14">
        <v>0.88750000000000007</v>
      </c>
      <c r="O207" s="11"/>
      <c r="AA207" s="11"/>
      <c r="BD207" s="12"/>
      <c r="BE207" s="12"/>
      <c r="BF207" s="14"/>
    </row>
    <row r="208" spans="1:58" x14ac:dyDescent="0.15">
      <c r="A208" t="s">
        <v>2206</v>
      </c>
      <c r="B208" t="s">
        <v>1368</v>
      </c>
      <c r="C208" t="s">
        <v>1460</v>
      </c>
      <c r="D208" t="s">
        <v>2207</v>
      </c>
      <c r="E208">
        <v>1370</v>
      </c>
      <c r="F208" s="14" t="s">
        <v>2271</v>
      </c>
      <c r="G208" t="s">
        <v>714</v>
      </c>
      <c r="H208" s="14">
        <v>0.88750000000000007</v>
      </c>
      <c r="BD208" s="12"/>
      <c r="BE208" s="13"/>
      <c r="BF208" s="14"/>
    </row>
    <row r="209" spans="1:58" x14ac:dyDescent="0.15">
      <c r="A209" t="s">
        <v>2208</v>
      </c>
      <c r="B209" t="s">
        <v>1376</v>
      </c>
      <c r="C209" t="s">
        <v>1467</v>
      </c>
      <c r="D209" t="s">
        <v>2209</v>
      </c>
      <c r="E209">
        <v>638</v>
      </c>
      <c r="F209" s="14" t="s">
        <v>2263</v>
      </c>
      <c r="G209" t="s">
        <v>410</v>
      </c>
      <c r="H209" s="14">
        <v>0.88750000000000007</v>
      </c>
      <c r="AJ209" s="11"/>
      <c r="AU209" s="11"/>
      <c r="BD209" s="12"/>
      <c r="BE209" s="12"/>
      <c r="BF209" s="14"/>
    </row>
    <row r="210" spans="1:58" x14ac:dyDescent="0.15">
      <c r="A210" t="s">
        <v>2210</v>
      </c>
      <c r="B210" t="s">
        <v>1376</v>
      </c>
      <c r="C210" t="s">
        <v>1467</v>
      </c>
      <c r="D210" t="s">
        <v>2211</v>
      </c>
      <c r="E210">
        <v>820</v>
      </c>
      <c r="F210" s="14" t="s">
        <v>2265</v>
      </c>
      <c r="G210" t="s">
        <v>1376</v>
      </c>
      <c r="H210" s="14">
        <v>0.88750000000000007</v>
      </c>
      <c r="Y210" s="11"/>
      <c r="AL210" s="11"/>
      <c r="AS210" s="11"/>
      <c r="BD210" s="12"/>
      <c r="BE210" s="12"/>
      <c r="BF210" s="14"/>
    </row>
    <row r="211" spans="1:58" x14ac:dyDescent="0.15">
      <c r="A211" t="s">
        <v>2214</v>
      </c>
      <c r="B211" t="s">
        <v>563</v>
      </c>
      <c r="C211" t="s">
        <v>1471</v>
      </c>
      <c r="D211" t="s">
        <v>2215</v>
      </c>
      <c r="E211">
        <v>932</v>
      </c>
      <c r="F211" s="14" t="s">
        <v>61</v>
      </c>
      <c r="G211" t="s">
        <v>516</v>
      </c>
      <c r="H211" s="14">
        <v>0.88750000000000007</v>
      </c>
      <c r="BD211" s="12"/>
      <c r="BE211" s="13"/>
      <c r="BF211" s="14"/>
    </row>
    <row r="212" spans="1:58" x14ac:dyDescent="0.15">
      <c r="A212" t="s">
        <v>2216</v>
      </c>
      <c r="B212" t="s">
        <v>1383</v>
      </c>
      <c r="C212" t="s">
        <v>1460</v>
      </c>
      <c r="D212" t="s">
        <v>2217</v>
      </c>
      <c r="E212">
        <v>1822</v>
      </c>
      <c r="F212" s="14" t="s">
        <v>2271</v>
      </c>
      <c r="G212" t="s">
        <v>390</v>
      </c>
      <c r="H212" s="14">
        <v>0.88750000000000007</v>
      </c>
      <c r="Q212" s="11"/>
      <c r="AJ212" s="11"/>
      <c r="BD212" s="12"/>
      <c r="BE212" s="12"/>
      <c r="BF212" s="14"/>
    </row>
    <row r="213" spans="1:58" x14ac:dyDescent="0.15">
      <c r="A213" t="s">
        <v>2222</v>
      </c>
      <c r="B213" t="s">
        <v>1394</v>
      </c>
      <c r="C213" t="s">
        <v>1537</v>
      </c>
      <c r="D213" t="s">
        <v>2223</v>
      </c>
      <c r="E213">
        <v>1318</v>
      </c>
      <c r="F213" s="14" t="s">
        <v>2272</v>
      </c>
      <c r="G213" t="s">
        <v>65</v>
      </c>
      <c r="H213" s="14">
        <v>0.88750000000000007</v>
      </c>
      <c r="O213" s="11"/>
      <c r="Y213" s="11"/>
      <c r="AA213" s="11"/>
      <c r="AJ213" s="11"/>
      <c r="AL213" s="11"/>
      <c r="AO213" s="11"/>
      <c r="AQ213" s="11"/>
      <c r="AU213" s="11"/>
      <c r="BD213" s="12"/>
      <c r="BE213" s="12"/>
      <c r="BF213" s="14"/>
    </row>
    <row r="214" spans="1:58" x14ac:dyDescent="0.15">
      <c r="A214" t="s">
        <v>2224</v>
      </c>
      <c r="B214" t="s">
        <v>1398</v>
      </c>
      <c r="C214" t="s">
        <v>1471</v>
      </c>
      <c r="D214" t="s">
        <v>2225</v>
      </c>
      <c r="E214">
        <v>484</v>
      </c>
      <c r="F214" s="14" t="s">
        <v>61</v>
      </c>
      <c r="G214" t="s">
        <v>721</v>
      </c>
      <c r="H214" s="14">
        <v>0.88750000000000007</v>
      </c>
      <c r="O214" s="11"/>
      <c r="AJ214" s="11"/>
      <c r="AO214" s="11"/>
      <c r="AQ214" s="11"/>
      <c r="AS214" s="11"/>
      <c r="BD214" s="12"/>
      <c r="BE214" s="12"/>
      <c r="BF214" s="14"/>
    </row>
    <row r="215" spans="1:58" x14ac:dyDescent="0.15">
      <c r="A215" t="s">
        <v>2230</v>
      </c>
      <c r="B215" t="s">
        <v>1501</v>
      </c>
      <c r="C215" t="s">
        <v>1502</v>
      </c>
      <c r="D215" t="s">
        <v>2231</v>
      </c>
      <c r="E215">
        <v>1361</v>
      </c>
      <c r="F215" s="14" t="s">
        <v>2268</v>
      </c>
      <c r="G215" t="s">
        <v>370</v>
      </c>
      <c r="H215" s="14">
        <v>0.88750000000000007</v>
      </c>
      <c r="Q215" s="11"/>
      <c r="AU215" s="11"/>
      <c r="BD215" s="12"/>
      <c r="BE215" s="12"/>
      <c r="BF215" s="14"/>
    </row>
    <row r="216" spans="1:58" x14ac:dyDescent="0.15">
      <c r="A216" t="s">
        <v>1746</v>
      </c>
      <c r="B216" t="s">
        <v>1747</v>
      </c>
      <c r="C216" t="s">
        <v>1460</v>
      </c>
      <c r="D216" t="s">
        <v>1749</v>
      </c>
      <c r="E216">
        <v>131</v>
      </c>
      <c r="F216" s="14" t="s">
        <v>83</v>
      </c>
      <c r="G216" t="s">
        <v>237</v>
      </c>
      <c r="H216" s="14">
        <v>0.88800000000000001</v>
      </c>
      <c r="AA216" s="11"/>
      <c r="AS216" s="11"/>
      <c r="BD216" s="12"/>
      <c r="BE216" s="12"/>
      <c r="BF216" s="14"/>
    </row>
    <row r="217" spans="1:58" x14ac:dyDescent="0.15">
      <c r="A217" t="s">
        <v>2232</v>
      </c>
      <c r="B217" t="s">
        <v>1506</v>
      </c>
      <c r="C217" t="s">
        <v>1506</v>
      </c>
      <c r="D217" t="s">
        <v>2233</v>
      </c>
      <c r="E217">
        <v>957</v>
      </c>
      <c r="F217" s="14" t="s">
        <v>2260</v>
      </c>
      <c r="G217" t="s">
        <v>682</v>
      </c>
      <c r="H217" s="14">
        <v>0.89090909090909098</v>
      </c>
      <c r="Q217" s="11"/>
      <c r="AJ217" s="11"/>
      <c r="AS217" s="11"/>
      <c r="AU217" s="11"/>
      <c r="BD217" s="12"/>
      <c r="BE217" s="12"/>
      <c r="BF217" s="14"/>
    </row>
    <row r="218" spans="1:58" x14ac:dyDescent="0.15">
      <c r="A218" t="s">
        <v>1552</v>
      </c>
      <c r="B218" t="s">
        <v>1369</v>
      </c>
      <c r="C218" t="s">
        <v>1463</v>
      </c>
      <c r="D218" t="s">
        <v>1553</v>
      </c>
      <c r="E218">
        <v>1693</v>
      </c>
      <c r="F218" s="14" t="s">
        <v>2262</v>
      </c>
      <c r="G218" t="s">
        <v>172</v>
      </c>
      <c r="H218" s="14">
        <v>0.89333333333333331</v>
      </c>
      <c r="AJ218" s="11"/>
      <c r="AO218" s="11"/>
      <c r="AQ218" s="11"/>
      <c r="BD218" s="12"/>
      <c r="BE218" s="12"/>
      <c r="BF218" s="14"/>
    </row>
    <row r="219" spans="1:58" x14ac:dyDescent="0.15">
      <c r="A219" t="s">
        <v>1635</v>
      </c>
      <c r="B219" t="s">
        <v>1367</v>
      </c>
      <c r="C219" t="s">
        <v>1467</v>
      </c>
      <c r="D219" t="s">
        <v>1636</v>
      </c>
      <c r="E219">
        <v>2098</v>
      </c>
      <c r="F219" s="14" t="s">
        <v>2265</v>
      </c>
      <c r="G219" t="s">
        <v>608</v>
      </c>
      <c r="H219" s="14">
        <v>0.89333333333333331</v>
      </c>
      <c r="AL219" s="11"/>
      <c r="AO219" s="11"/>
      <c r="BD219" s="12"/>
      <c r="BE219" s="12"/>
      <c r="BF219" s="14"/>
    </row>
    <row r="220" spans="1:58" x14ac:dyDescent="0.15">
      <c r="A220" t="s">
        <v>1637</v>
      </c>
      <c r="B220" t="s">
        <v>1368</v>
      </c>
      <c r="C220" t="s">
        <v>1460</v>
      </c>
      <c r="D220" t="s">
        <v>1639</v>
      </c>
      <c r="E220">
        <v>1657</v>
      </c>
      <c r="F220" s="14" t="s">
        <v>2271</v>
      </c>
      <c r="G220" t="s">
        <v>120</v>
      </c>
      <c r="H220" s="14">
        <v>0.89333333333333331</v>
      </c>
      <c r="Q220" s="11"/>
      <c r="BD220" s="12"/>
      <c r="BE220" s="13"/>
      <c r="BF220" s="14"/>
    </row>
    <row r="221" spans="1:58" x14ac:dyDescent="0.15">
      <c r="A221" t="s">
        <v>1686</v>
      </c>
      <c r="B221" t="s">
        <v>1550</v>
      </c>
      <c r="C221" t="s">
        <v>1521</v>
      </c>
      <c r="D221" t="s">
        <v>1688</v>
      </c>
      <c r="E221">
        <v>574</v>
      </c>
      <c r="F221" s="14" t="s">
        <v>2261</v>
      </c>
      <c r="G221" t="s">
        <v>240</v>
      </c>
      <c r="H221" s="14">
        <v>0.89333333333333331</v>
      </c>
      <c r="O221" s="11"/>
      <c r="Q221" s="11"/>
      <c r="W221" s="11"/>
      <c r="AO221" s="11"/>
      <c r="AQ221" s="11"/>
      <c r="AU221" s="11"/>
      <c r="BD221" s="12"/>
      <c r="BE221" s="12"/>
      <c r="BF221" s="14"/>
    </row>
    <row r="222" spans="1:58" x14ac:dyDescent="0.15">
      <c r="A222" t="s">
        <v>1773</v>
      </c>
      <c r="B222" t="s">
        <v>563</v>
      </c>
      <c r="C222" t="s">
        <v>1471</v>
      </c>
      <c r="D222" t="s">
        <v>1774</v>
      </c>
      <c r="E222">
        <v>878</v>
      </c>
      <c r="F222" s="14" t="s">
        <v>61</v>
      </c>
      <c r="G222" t="s">
        <v>984</v>
      </c>
      <c r="H222" s="14">
        <v>0.89333333333333331</v>
      </c>
      <c r="Q222" s="11"/>
      <c r="AJ222" s="11"/>
      <c r="AO222" s="11"/>
      <c r="AQ222" s="11"/>
      <c r="BD222" s="12"/>
      <c r="BE222" s="12"/>
      <c r="BF222" s="14"/>
    </row>
    <row r="223" spans="1:58" x14ac:dyDescent="0.15">
      <c r="A223" t="s">
        <v>1781</v>
      </c>
      <c r="B223" t="s">
        <v>1676</v>
      </c>
      <c r="C223" t="s">
        <v>1502</v>
      </c>
      <c r="D223" t="s">
        <v>1782</v>
      </c>
      <c r="E223">
        <v>410</v>
      </c>
      <c r="F223" s="14" t="s">
        <v>77</v>
      </c>
      <c r="G223" t="s">
        <v>748</v>
      </c>
      <c r="H223" s="14">
        <v>0.89333333333333331</v>
      </c>
      <c r="O223" s="11"/>
      <c r="AA223" s="11"/>
      <c r="BD223" s="12"/>
      <c r="BE223" s="12"/>
      <c r="BF223" s="14"/>
    </row>
    <row r="224" spans="1:58" x14ac:dyDescent="0.15">
      <c r="A224" t="s">
        <v>1783</v>
      </c>
      <c r="B224" t="s">
        <v>1496</v>
      </c>
      <c r="C224" t="s">
        <v>1497</v>
      </c>
      <c r="D224" t="s">
        <v>1784</v>
      </c>
      <c r="E224">
        <v>1777</v>
      </c>
      <c r="F224" s="14" t="s">
        <v>2270</v>
      </c>
      <c r="G224" t="s">
        <v>329</v>
      </c>
      <c r="H224" s="14">
        <v>0.89333333333333331</v>
      </c>
      <c r="Y224" s="11"/>
      <c r="AA224" s="11"/>
      <c r="AJ224" s="11"/>
      <c r="AL224" s="11"/>
      <c r="AO224" s="11"/>
      <c r="AS224" s="11"/>
      <c r="BD224" s="12"/>
      <c r="BE224" s="12"/>
      <c r="BF224" s="14"/>
    </row>
    <row r="225" spans="1:58" x14ac:dyDescent="0.15">
      <c r="A225" t="s">
        <v>1890</v>
      </c>
      <c r="B225" t="s">
        <v>1383</v>
      </c>
      <c r="C225" t="s">
        <v>1460</v>
      </c>
      <c r="D225" t="s">
        <v>1891</v>
      </c>
      <c r="E225">
        <v>1500</v>
      </c>
      <c r="F225" s="14" t="s">
        <v>2271</v>
      </c>
      <c r="G225" t="s">
        <v>84</v>
      </c>
      <c r="H225" s="14">
        <v>0.89333333333333331</v>
      </c>
      <c r="Q225" s="11"/>
      <c r="Y225" s="11"/>
      <c r="AW225" s="11"/>
      <c r="BD225" s="12"/>
      <c r="BE225" s="13"/>
      <c r="BF225" s="14"/>
    </row>
    <row r="226" spans="1:58" x14ac:dyDescent="0.15">
      <c r="A226" t="s">
        <v>1953</v>
      </c>
      <c r="B226" t="s">
        <v>1367</v>
      </c>
      <c r="C226" t="s">
        <v>1467</v>
      </c>
      <c r="D226" t="s">
        <v>1954</v>
      </c>
      <c r="E226">
        <v>1475</v>
      </c>
      <c r="F226" s="14" t="s">
        <v>2265</v>
      </c>
      <c r="G226" t="s">
        <v>1053</v>
      </c>
      <c r="H226" s="14">
        <v>0.89333333333333331</v>
      </c>
      <c r="O226" s="11"/>
      <c r="AO226" s="11"/>
      <c r="AQ226" s="11"/>
      <c r="BD226" s="12"/>
      <c r="BE226" s="12"/>
      <c r="BF226" s="14"/>
    </row>
    <row r="227" spans="1:58" x14ac:dyDescent="0.15">
      <c r="A227" t="s">
        <v>2053</v>
      </c>
      <c r="B227" t="s">
        <v>1544</v>
      </c>
      <c r="C227" t="s">
        <v>1460</v>
      </c>
      <c r="D227" t="s">
        <v>2054</v>
      </c>
      <c r="E227">
        <v>1300</v>
      </c>
      <c r="F227" s="14" t="s">
        <v>83</v>
      </c>
      <c r="G227" t="s">
        <v>655</v>
      </c>
      <c r="H227" s="14">
        <v>0.89333333333333331</v>
      </c>
      <c r="O227" s="11"/>
      <c r="AJ227" s="11"/>
      <c r="BD227" s="12"/>
      <c r="BE227" s="12"/>
      <c r="BF227" s="14"/>
    </row>
    <row r="228" spans="1:58" x14ac:dyDescent="0.15">
      <c r="A228" t="s">
        <v>2114</v>
      </c>
      <c r="B228" t="s">
        <v>1385</v>
      </c>
      <c r="C228" t="s">
        <v>1463</v>
      </c>
      <c r="D228" t="s">
        <v>2115</v>
      </c>
      <c r="E228">
        <v>1082</v>
      </c>
      <c r="F228" s="14" t="s">
        <v>104</v>
      </c>
      <c r="G228" t="s">
        <v>742</v>
      </c>
      <c r="H228" s="14">
        <v>0.89333333333333331</v>
      </c>
      <c r="AW228" s="11"/>
      <c r="BD228" s="12"/>
      <c r="BE228" s="13"/>
      <c r="BF228" s="14"/>
    </row>
    <row r="229" spans="1:58" x14ac:dyDescent="0.15">
      <c r="A229" t="s">
        <v>2173</v>
      </c>
      <c r="B229" t="s">
        <v>1370</v>
      </c>
      <c r="C229" t="s">
        <v>1521</v>
      </c>
      <c r="D229" t="s">
        <v>2174</v>
      </c>
      <c r="E229">
        <v>298</v>
      </c>
      <c r="F229" s="14" t="s">
        <v>67</v>
      </c>
      <c r="G229" t="s">
        <v>873</v>
      </c>
      <c r="H229" s="14">
        <v>0.89333333333333331</v>
      </c>
      <c r="O229" s="11"/>
      <c r="Y229" s="11"/>
      <c r="AA229" s="11"/>
      <c r="AJ229" s="11"/>
      <c r="AL229" s="11"/>
      <c r="AO229" s="11"/>
      <c r="AQ229" s="11"/>
      <c r="AU229" s="11"/>
      <c r="BD229" s="12"/>
      <c r="BE229" s="12"/>
      <c r="BF229" s="14"/>
    </row>
    <row r="230" spans="1:58" x14ac:dyDescent="0.15">
      <c r="A230" t="s">
        <v>2228</v>
      </c>
      <c r="B230" t="s">
        <v>1747</v>
      </c>
      <c r="C230" t="s">
        <v>1460</v>
      </c>
      <c r="D230" t="s">
        <v>2229</v>
      </c>
      <c r="E230">
        <v>1893</v>
      </c>
      <c r="F230" s="14" t="s">
        <v>2271</v>
      </c>
      <c r="G230" t="s">
        <v>482</v>
      </c>
      <c r="H230" s="14">
        <v>0.89333333333333331</v>
      </c>
      <c r="O230" s="11"/>
      <c r="AJ230" s="11"/>
      <c r="AO230" s="11"/>
      <c r="AQ230" s="11"/>
      <c r="AS230" s="11"/>
      <c r="BD230" s="12"/>
      <c r="BE230" s="12"/>
      <c r="BF230" s="14"/>
    </row>
    <row r="231" spans="1:58" x14ac:dyDescent="0.15">
      <c r="A231" t="s">
        <v>1793</v>
      </c>
      <c r="B231" t="s">
        <v>1370</v>
      </c>
      <c r="C231" t="s">
        <v>1521</v>
      </c>
      <c r="D231" t="s">
        <v>1794</v>
      </c>
      <c r="E231">
        <v>67</v>
      </c>
      <c r="F231" s="14" t="s">
        <v>67</v>
      </c>
      <c r="G231" t="s">
        <v>1279</v>
      </c>
      <c r="H231" s="14">
        <v>0.89411764705882357</v>
      </c>
      <c r="Y231" s="11"/>
      <c r="AA231" s="11"/>
      <c r="AO231" s="11"/>
      <c r="AQ231" s="11"/>
      <c r="AU231" s="11"/>
      <c r="BD231" s="12"/>
      <c r="BE231" s="12"/>
      <c r="BF231" s="14"/>
    </row>
    <row r="232" spans="1:58" x14ac:dyDescent="0.15">
      <c r="A232" t="s">
        <v>1819</v>
      </c>
      <c r="B232" t="s">
        <v>1387</v>
      </c>
      <c r="C232" t="s">
        <v>1467</v>
      </c>
      <c r="D232" t="s">
        <v>1820</v>
      </c>
      <c r="E232">
        <v>976</v>
      </c>
      <c r="F232" s="14" t="s">
        <v>2263</v>
      </c>
      <c r="G232" t="s">
        <v>87</v>
      </c>
      <c r="H232" s="14">
        <v>0.89411764705882357</v>
      </c>
      <c r="Y232" s="11"/>
      <c r="AA232" s="11"/>
      <c r="AJ232" s="11"/>
      <c r="AL232" s="11"/>
      <c r="AO232" s="11"/>
      <c r="AQ232" s="11"/>
      <c r="AU232" s="11"/>
      <c r="BD232" s="12"/>
      <c r="BE232" s="12"/>
      <c r="BF232" s="14"/>
    </row>
    <row r="233" spans="1:58" x14ac:dyDescent="0.15">
      <c r="A233" t="s">
        <v>1999</v>
      </c>
      <c r="B233" t="s">
        <v>789</v>
      </c>
      <c r="C233" t="s">
        <v>1521</v>
      </c>
      <c r="D233" t="s">
        <v>2000</v>
      </c>
      <c r="E233">
        <v>1323</v>
      </c>
      <c r="F233" s="14" t="s">
        <v>2261</v>
      </c>
      <c r="G233" t="s">
        <v>1291</v>
      </c>
      <c r="H233" s="14">
        <v>0.89411764705882357</v>
      </c>
      <c r="Y233" s="11"/>
      <c r="BD233" s="12"/>
      <c r="BE233" s="12"/>
      <c r="BF233" s="14"/>
    </row>
    <row r="234" spans="1:58" x14ac:dyDescent="0.15">
      <c r="A234" t="s">
        <v>2095</v>
      </c>
      <c r="B234" t="s">
        <v>1367</v>
      </c>
      <c r="C234" t="s">
        <v>1467</v>
      </c>
      <c r="D234" t="s">
        <v>2096</v>
      </c>
      <c r="E234">
        <v>80</v>
      </c>
      <c r="F234" s="14" t="s">
        <v>2263</v>
      </c>
      <c r="G234" t="s">
        <v>1277</v>
      </c>
      <c r="H234" s="14">
        <v>0.89411764705882357</v>
      </c>
      <c r="Q234" s="11"/>
      <c r="AL234" s="11"/>
      <c r="AU234" s="11"/>
      <c r="BD234" s="12"/>
      <c r="BE234" s="12"/>
      <c r="BF234" s="14"/>
    </row>
    <row r="235" spans="1:58" x14ac:dyDescent="0.15">
      <c r="A235" t="s">
        <v>1811</v>
      </c>
      <c r="B235" t="s">
        <v>1506</v>
      </c>
      <c r="C235" t="s">
        <v>1506</v>
      </c>
      <c r="D235" t="s">
        <v>1812</v>
      </c>
      <c r="E235">
        <v>1102</v>
      </c>
      <c r="F235" s="14" t="s">
        <v>2260</v>
      </c>
      <c r="G235" t="s">
        <v>372</v>
      </c>
      <c r="H235" s="14">
        <v>0.89677419354838717</v>
      </c>
      <c r="AJ235" s="11"/>
      <c r="AL235" s="11"/>
      <c r="AO235" s="11"/>
      <c r="AQ235" s="11"/>
      <c r="BD235" s="12"/>
      <c r="BE235" s="12"/>
      <c r="BF235" s="14"/>
    </row>
    <row r="236" spans="1:58" x14ac:dyDescent="0.15">
      <c r="A236" t="s">
        <v>2013</v>
      </c>
      <c r="B236" t="s">
        <v>1632</v>
      </c>
      <c r="C236" t="s">
        <v>1471</v>
      </c>
      <c r="D236" t="s">
        <v>2014</v>
      </c>
      <c r="E236">
        <v>405</v>
      </c>
      <c r="F236" s="14" t="s">
        <v>61</v>
      </c>
      <c r="G236" t="s">
        <v>428</v>
      </c>
      <c r="H236" s="14">
        <v>0.89677419354838717</v>
      </c>
      <c r="O236" s="11"/>
      <c r="Y236" s="11"/>
      <c r="AA236" s="11"/>
      <c r="BD236" s="12"/>
      <c r="BE236" s="13"/>
      <c r="BF236" s="14"/>
    </row>
    <row r="237" spans="1:58" x14ac:dyDescent="0.15">
      <c r="A237" t="s">
        <v>2234</v>
      </c>
      <c r="B237" t="s">
        <v>1506</v>
      </c>
      <c r="C237" t="s">
        <v>1506</v>
      </c>
      <c r="D237" t="s">
        <v>2235</v>
      </c>
      <c r="E237">
        <v>744</v>
      </c>
      <c r="F237" s="14" t="s">
        <v>2260</v>
      </c>
      <c r="G237" t="s">
        <v>920</v>
      </c>
      <c r="H237" s="14">
        <v>0.89677419354838717</v>
      </c>
      <c r="BD237" s="12"/>
      <c r="BE237" s="13"/>
      <c r="BF237" s="14"/>
    </row>
    <row r="238" spans="1:58" x14ac:dyDescent="0.15">
      <c r="A238" t="s">
        <v>1575</v>
      </c>
      <c r="B238" t="s">
        <v>1394</v>
      </c>
      <c r="C238" t="s">
        <v>1537</v>
      </c>
      <c r="D238" t="s">
        <v>1576</v>
      </c>
      <c r="E238">
        <v>1227</v>
      </c>
      <c r="F238" s="14" t="s">
        <v>54</v>
      </c>
      <c r="G238" t="s">
        <v>397</v>
      </c>
      <c r="H238" s="14">
        <v>0.9</v>
      </c>
      <c r="Q238" s="11"/>
      <c r="AJ238" s="11"/>
      <c r="AQ238" s="11"/>
      <c r="AU238" s="11"/>
      <c r="BD238" s="12"/>
      <c r="BE238" s="12"/>
      <c r="BF238" s="14"/>
    </row>
    <row r="239" spans="1:58" x14ac:dyDescent="0.15">
      <c r="A239" t="s">
        <v>1648</v>
      </c>
      <c r="B239" t="s">
        <v>1386</v>
      </c>
      <c r="C239" t="s">
        <v>1463</v>
      </c>
      <c r="D239" t="s">
        <v>1649</v>
      </c>
      <c r="E239">
        <v>873</v>
      </c>
      <c r="F239" s="14" t="s">
        <v>104</v>
      </c>
      <c r="G239" t="s">
        <v>533</v>
      </c>
      <c r="H239" s="14">
        <v>0.9</v>
      </c>
      <c r="O239" s="11"/>
      <c r="AA239" s="11"/>
      <c r="BD239" s="12"/>
      <c r="BE239" s="12"/>
      <c r="BF239" s="14"/>
    </row>
    <row r="240" spans="1:58" x14ac:dyDescent="0.15">
      <c r="A240" t="s">
        <v>1663</v>
      </c>
      <c r="B240" t="s">
        <v>1369</v>
      </c>
      <c r="C240" t="s">
        <v>1463</v>
      </c>
      <c r="D240" t="s">
        <v>1664</v>
      </c>
      <c r="E240">
        <v>1556</v>
      </c>
      <c r="F240" s="14" t="s">
        <v>2262</v>
      </c>
      <c r="G240" t="s">
        <v>320</v>
      </c>
      <c r="H240" s="14">
        <v>0.9</v>
      </c>
      <c r="Y240" s="11"/>
      <c r="AA240" s="11"/>
      <c r="AJ240" s="11"/>
      <c r="AL240" s="11"/>
      <c r="AO240" s="11"/>
      <c r="AS240" s="11"/>
      <c r="BD240" s="12"/>
      <c r="BE240" s="12"/>
      <c r="BF240" s="14"/>
    </row>
    <row r="241" spans="1:58" x14ac:dyDescent="0.15">
      <c r="A241" t="s">
        <v>1667</v>
      </c>
      <c r="B241" t="s">
        <v>1383</v>
      </c>
      <c r="C241" t="s">
        <v>1460</v>
      </c>
      <c r="D241" t="s">
        <v>1668</v>
      </c>
      <c r="E241">
        <v>1328</v>
      </c>
      <c r="F241" s="14" t="s">
        <v>2271</v>
      </c>
      <c r="G241" t="s">
        <v>1289</v>
      </c>
      <c r="H241" s="14">
        <v>0.9</v>
      </c>
      <c r="O241" s="11"/>
      <c r="AJ241" s="11"/>
      <c r="BD241" s="12"/>
      <c r="BE241" s="12"/>
      <c r="BF241" s="14"/>
    </row>
    <row r="242" spans="1:58" x14ac:dyDescent="0.15">
      <c r="A242" t="s">
        <v>1836</v>
      </c>
      <c r="B242" t="s">
        <v>1368</v>
      </c>
      <c r="C242" t="s">
        <v>1460</v>
      </c>
      <c r="D242" t="s">
        <v>1837</v>
      </c>
      <c r="E242">
        <v>936</v>
      </c>
      <c r="F242" s="14" t="s">
        <v>83</v>
      </c>
      <c r="G242" t="s">
        <v>439</v>
      </c>
      <c r="H242" s="14">
        <v>0.9</v>
      </c>
      <c r="Y242" s="11"/>
      <c r="AJ242" s="11"/>
      <c r="AO242" s="11"/>
      <c r="AQ242" s="11"/>
      <c r="BD242" s="12"/>
      <c r="BE242" s="12"/>
      <c r="BF242" s="14"/>
    </row>
    <row r="243" spans="1:58" x14ac:dyDescent="0.15">
      <c r="A243" t="s">
        <v>1943</v>
      </c>
      <c r="B243" t="s">
        <v>1402</v>
      </c>
      <c r="C243" t="s">
        <v>1471</v>
      </c>
      <c r="D243" t="s">
        <v>1944</v>
      </c>
      <c r="E243">
        <v>627</v>
      </c>
      <c r="F243" s="14" t="s">
        <v>2259</v>
      </c>
      <c r="G243" t="s">
        <v>1402</v>
      </c>
      <c r="H243" s="14">
        <v>0.9</v>
      </c>
      <c r="Q243" s="11"/>
      <c r="BD243" s="12"/>
      <c r="BE243" s="13"/>
      <c r="BF243" s="14"/>
    </row>
    <row r="244" spans="1:58" x14ac:dyDescent="0.15">
      <c r="A244" t="s">
        <v>1955</v>
      </c>
      <c r="B244" t="s">
        <v>1370</v>
      </c>
      <c r="C244" t="s">
        <v>1521</v>
      </c>
      <c r="D244" t="s">
        <v>1956</v>
      </c>
      <c r="E244">
        <v>527</v>
      </c>
      <c r="F244" s="14" t="s">
        <v>67</v>
      </c>
      <c r="G244" t="s">
        <v>1338</v>
      </c>
      <c r="H244" s="14">
        <v>0.9</v>
      </c>
      <c r="O244" s="11"/>
      <c r="Y244" s="11"/>
      <c r="AJ244" s="11"/>
      <c r="AL244" s="11"/>
      <c r="AO244" s="11"/>
      <c r="AQ244" s="11"/>
      <c r="AU244" s="11"/>
      <c r="BD244" s="12"/>
      <c r="BE244" s="12"/>
      <c r="BF244" s="14"/>
    </row>
    <row r="245" spans="1:58" x14ac:dyDescent="0.15">
      <c r="A245" t="s">
        <v>1969</v>
      </c>
      <c r="B245" t="s">
        <v>1392</v>
      </c>
      <c r="C245" t="s">
        <v>1471</v>
      </c>
      <c r="D245" t="s">
        <v>1970</v>
      </c>
      <c r="E245">
        <v>1000</v>
      </c>
      <c r="F245" s="14" t="s">
        <v>61</v>
      </c>
      <c r="G245" t="s">
        <v>556</v>
      </c>
      <c r="H245" s="14">
        <v>0.9</v>
      </c>
      <c r="Q245" s="11"/>
      <c r="BD245" s="12"/>
      <c r="BE245" s="12"/>
      <c r="BF245" s="14"/>
    </row>
    <row r="246" spans="1:58" x14ac:dyDescent="0.15">
      <c r="A246" t="s">
        <v>2063</v>
      </c>
      <c r="B246" t="s">
        <v>1367</v>
      </c>
      <c r="C246" t="s">
        <v>1467</v>
      </c>
      <c r="D246" t="s">
        <v>2064</v>
      </c>
      <c r="E246">
        <v>875</v>
      </c>
      <c r="F246" s="14" t="s">
        <v>2263</v>
      </c>
      <c r="G246" t="s">
        <v>432</v>
      </c>
      <c r="H246" s="14">
        <v>0.9</v>
      </c>
      <c r="O246" s="11"/>
      <c r="AU246" s="11"/>
      <c r="BD246" s="12"/>
      <c r="BE246" s="12"/>
      <c r="BF246" s="14"/>
    </row>
    <row r="247" spans="1:58" x14ac:dyDescent="0.15">
      <c r="A247" t="s">
        <v>2118</v>
      </c>
      <c r="B247" t="s">
        <v>789</v>
      </c>
      <c r="C247" t="s">
        <v>1521</v>
      </c>
      <c r="D247" t="s">
        <v>2119</v>
      </c>
      <c r="E247">
        <v>1647</v>
      </c>
      <c r="F247" s="14" t="s">
        <v>2261</v>
      </c>
      <c r="G247" t="s">
        <v>141</v>
      </c>
      <c r="H247" s="14">
        <v>0.9</v>
      </c>
      <c r="BF247" s="14"/>
    </row>
    <row r="248" spans="1:58" x14ac:dyDescent="0.15">
      <c r="A248" t="s">
        <v>2183</v>
      </c>
      <c r="B248" t="s">
        <v>1387</v>
      </c>
      <c r="C248" t="s">
        <v>1467</v>
      </c>
      <c r="D248" t="s">
        <v>2184</v>
      </c>
      <c r="E248">
        <v>609</v>
      </c>
      <c r="F248" s="14" t="s">
        <v>2263</v>
      </c>
      <c r="G248" t="s">
        <v>733</v>
      </c>
      <c r="H248" s="14">
        <v>0.9</v>
      </c>
      <c r="Q248" s="11"/>
      <c r="Y248" s="11"/>
      <c r="AJ248" s="11"/>
      <c r="AO248" s="11"/>
      <c r="AQ248" s="11"/>
      <c r="AS248" s="11"/>
      <c r="BD248" s="12"/>
      <c r="BE248" s="12"/>
      <c r="BF248" s="14"/>
    </row>
    <row r="249" spans="1:58" x14ac:dyDescent="0.15">
      <c r="A249" t="s">
        <v>2199</v>
      </c>
      <c r="B249" t="s">
        <v>1402</v>
      </c>
      <c r="C249" t="s">
        <v>1471</v>
      </c>
      <c r="D249" t="s">
        <v>2200</v>
      </c>
      <c r="E249">
        <v>1857</v>
      </c>
      <c r="F249" s="14" t="s">
        <v>2259</v>
      </c>
      <c r="G249" t="s">
        <v>472</v>
      </c>
      <c r="H249" s="14">
        <v>0.9</v>
      </c>
      <c r="AO249" s="11"/>
      <c r="AQ249" s="11"/>
      <c r="BD249" s="12"/>
      <c r="BE249" s="12"/>
      <c r="BF249" s="14"/>
    </row>
    <row r="250" spans="1:58" x14ac:dyDescent="0.15">
      <c r="A250" t="s">
        <v>1752</v>
      </c>
      <c r="B250" t="s">
        <v>1506</v>
      </c>
      <c r="C250" t="s">
        <v>1506</v>
      </c>
      <c r="D250" t="s">
        <v>1753</v>
      </c>
      <c r="E250">
        <v>741</v>
      </c>
      <c r="F250" s="14" t="s">
        <v>2260</v>
      </c>
      <c r="G250" t="s">
        <v>335</v>
      </c>
      <c r="H250" s="14">
        <v>0.90344827586206899</v>
      </c>
      <c r="W250" s="11"/>
      <c r="Y250" s="11"/>
      <c r="AA250" s="11"/>
      <c r="AL250" s="11"/>
      <c r="BD250" s="12"/>
      <c r="BE250" s="12"/>
      <c r="BF250" s="14"/>
    </row>
    <row r="251" spans="1:58" x14ac:dyDescent="0.15">
      <c r="A251" t="s">
        <v>1524</v>
      </c>
      <c r="B251" t="s">
        <v>1378</v>
      </c>
      <c r="C251" t="s">
        <v>1471</v>
      </c>
      <c r="D251" t="s">
        <v>1525</v>
      </c>
      <c r="E251">
        <v>835</v>
      </c>
      <c r="F251" s="14" t="s">
        <v>61</v>
      </c>
      <c r="G251" t="s">
        <v>519</v>
      </c>
      <c r="H251" s="14">
        <v>0.90526315789473688</v>
      </c>
      <c r="BD251" s="12"/>
      <c r="BE251" s="13"/>
      <c r="BF251" s="14"/>
    </row>
    <row r="252" spans="1:58" x14ac:dyDescent="0.15">
      <c r="A252" t="s">
        <v>1536</v>
      </c>
      <c r="B252" t="s">
        <v>1394</v>
      </c>
      <c r="C252" t="s">
        <v>1537</v>
      </c>
      <c r="D252" t="s">
        <v>1539</v>
      </c>
      <c r="E252">
        <v>1085</v>
      </c>
      <c r="F252" s="14" t="s">
        <v>2272</v>
      </c>
      <c r="G252" t="s">
        <v>1110</v>
      </c>
      <c r="H252" s="14">
        <v>0.90526315789473688</v>
      </c>
      <c r="O252" s="11"/>
      <c r="BD252" s="12"/>
      <c r="BE252" s="12"/>
      <c r="BF252" s="14"/>
    </row>
    <row r="253" spans="1:58" x14ac:dyDescent="0.15">
      <c r="A253" t="s">
        <v>1616</v>
      </c>
      <c r="B253" t="s">
        <v>1392</v>
      </c>
      <c r="C253" t="s">
        <v>1471</v>
      </c>
      <c r="D253" t="s">
        <v>1617</v>
      </c>
      <c r="E253">
        <v>928</v>
      </c>
      <c r="F253" s="14" t="s">
        <v>2259</v>
      </c>
      <c r="G253" t="s">
        <v>132</v>
      </c>
      <c r="H253" s="14">
        <v>0.90526315789473688</v>
      </c>
      <c r="Q253" s="11"/>
      <c r="Y253" s="11"/>
      <c r="AJ253" s="11"/>
      <c r="AL253" s="11"/>
      <c r="AS253" s="11"/>
      <c r="BD253" s="12"/>
      <c r="BE253" s="12"/>
      <c r="BF253" s="14"/>
    </row>
    <row r="254" spans="1:58" x14ac:dyDescent="0.15">
      <c r="A254" t="s">
        <v>1625</v>
      </c>
      <c r="B254" t="s">
        <v>1402</v>
      </c>
      <c r="C254" t="s">
        <v>1471</v>
      </c>
      <c r="D254" t="s">
        <v>1626</v>
      </c>
      <c r="E254">
        <v>76</v>
      </c>
      <c r="F254" s="14" t="s">
        <v>61</v>
      </c>
      <c r="G254" t="s">
        <v>280</v>
      </c>
      <c r="H254" s="14">
        <v>0.90526315789473688</v>
      </c>
      <c r="Y254" s="11"/>
      <c r="AL254" s="11"/>
      <c r="BD254" s="12"/>
      <c r="BE254" s="12"/>
      <c r="BF254" s="14"/>
    </row>
    <row r="255" spans="1:58" x14ac:dyDescent="0.15">
      <c r="A255" t="s">
        <v>1771</v>
      </c>
      <c r="B255" t="s">
        <v>1380</v>
      </c>
      <c r="C255" t="s">
        <v>1467</v>
      </c>
      <c r="D255" t="s">
        <v>1772</v>
      </c>
      <c r="E255">
        <v>1794</v>
      </c>
      <c r="F255" s="14" t="s">
        <v>2265</v>
      </c>
      <c r="G255" t="s">
        <v>350</v>
      </c>
      <c r="H255" s="14">
        <v>0.90526315789473688</v>
      </c>
      <c r="O255" s="11"/>
      <c r="AJ255" s="11"/>
      <c r="AO255" s="11"/>
      <c r="AQ255" s="11"/>
      <c r="AS255" s="11"/>
      <c r="BD255" s="12"/>
      <c r="BE255" s="12"/>
      <c r="BF255" s="14"/>
    </row>
    <row r="256" spans="1:58" x14ac:dyDescent="0.15">
      <c r="A256" t="s">
        <v>1844</v>
      </c>
      <c r="B256" t="s">
        <v>1378</v>
      </c>
      <c r="C256" t="s">
        <v>1471</v>
      </c>
      <c r="D256" t="s">
        <v>1845</v>
      </c>
      <c r="E256">
        <v>1668</v>
      </c>
      <c r="F256" s="14" t="s">
        <v>2259</v>
      </c>
      <c r="G256" t="s">
        <v>123</v>
      </c>
      <c r="H256" s="14">
        <v>0.90526315789473688</v>
      </c>
      <c r="Y256" s="11"/>
      <c r="AA256" s="11"/>
      <c r="AL256" s="11"/>
      <c r="AO256" s="11"/>
      <c r="AS256" s="11"/>
      <c r="AU256" s="11"/>
      <c r="BD256" s="12"/>
      <c r="BE256" s="12"/>
      <c r="BF256" s="14"/>
    </row>
    <row r="257" spans="1:58" x14ac:dyDescent="0.15">
      <c r="A257" t="s">
        <v>1874</v>
      </c>
      <c r="B257" t="s">
        <v>492</v>
      </c>
      <c r="C257" t="s">
        <v>1471</v>
      </c>
      <c r="D257" t="s">
        <v>1875</v>
      </c>
      <c r="E257">
        <v>601</v>
      </c>
      <c r="F257" s="14" t="s">
        <v>61</v>
      </c>
      <c r="G257" t="s">
        <v>1275</v>
      </c>
      <c r="H257" s="14">
        <v>0.90526315789473688</v>
      </c>
      <c r="O257" s="11"/>
      <c r="Y257" s="11"/>
      <c r="AJ257" s="11"/>
      <c r="AL257" s="11"/>
      <c r="AQ257" s="11"/>
      <c r="AS257" s="11"/>
      <c r="BD257" s="12"/>
      <c r="BE257" s="12"/>
      <c r="BF257" s="14"/>
    </row>
    <row r="258" spans="1:58" x14ac:dyDescent="0.15">
      <c r="A258" t="s">
        <v>1930</v>
      </c>
      <c r="B258" t="s">
        <v>1383</v>
      </c>
      <c r="C258" t="s">
        <v>1460</v>
      </c>
      <c r="D258" t="s">
        <v>1931</v>
      </c>
      <c r="E258">
        <v>1347</v>
      </c>
      <c r="F258" s="14" t="s">
        <v>2271</v>
      </c>
      <c r="G258" t="s">
        <v>1344</v>
      </c>
      <c r="H258" s="14">
        <v>0.90526315789473688</v>
      </c>
      <c r="Y258" s="11"/>
      <c r="AA258" s="11"/>
      <c r="AJ258" s="11"/>
      <c r="BD258" s="12"/>
      <c r="BE258" s="12"/>
      <c r="BF258" s="14"/>
    </row>
    <row r="259" spans="1:58" x14ac:dyDescent="0.15">
      <c r="A259" t="s">
        <v>1993</v>
      </c>
      <c r="B259" t="s">
        <v>1403</v>
      </c>
      <c r="C259" t="s">
        <v>1537</v>
      </c>
      <c r="D259" t="s">
        <v>1994</v>
      </c>
      <c r="E259">
        <v>794</v>
      </c>
      <c r="F259" s="14" t="s">
        <v>54</v>
      </c>
      <c r="G259" t="s">
        <v>613</v>
      </c>
      <c r="H259" s="14">
        <v>0.90526315789473688</v>
      </c>
      <c r="BD259" s="12"/>
      <c r="BE259" s="13"/>
      <c r="BF259" s="14"/>
    </row>
    <row r="260" spans="1:58" x14ac:dyDescent="0.15">
      <c r="A260" t="s">
        <v>2005</v>
      </c>
      <c r="B260" t="s">
        <v>1400</v>
      </c>
      <c r="C260" t="s">
        <v>1537</v>
      </c>
      <c r="D260" t="s">
        <v>2006</v>
      </c>
      <c r="E260">
        <v>1086</v>
      </c>
      <c r="F260" s="14" t="s">
        <v>2272</v>
      </c>
      <c r="G260" t="s">
        <v>458</v>
      </c>
      <c r="H260" s="14">
        <v>0.90526315789473688</v>
      </c>
      <c r="O260" s="11"/>
      <c r="Q260" s="11"/>
      <c r="W260" s="11"/>
      <c r="BD260" s="12"/>
      <c r="BE260" s="13"/>
      <c r="BF260" s="14"/>
    </row>
    <row r="261" spans="1:58" x14ac:dyDescent="0.15">
      <c r="A261" t="s">
        <v>2093</v>
      </c>
      <c r="B261" t="s">
        <v>1632</v>
      </c>
      <c r="C261" t="s">
        <v>1471</v>
      </c>
      <c r="D261" t="s">
        <v>2094</v>
      </c>
      <c r="E261">
        <v>420</v>
      </c>
      <c r="F261" s="14" t="s">
        <v>61</v>
      </c>
      <c r="G261" t="s">
        <v>221</v>
      </c>
      <c r="H261" s="14">
        <v>0.90526315789473688</v>
      </c>
      <c r="Y261" s="11"/>
      <c r="AJ261" s="11"/>
      <c r="AS261" s="11"/>
      <c r="BD261" s="12"/>
      <c r="BE261" s="12"/>
      <c r="BF261" s="14"/>
    </row>
    <row r="262" spans="1:58" x14ac:dyDescent="0.15">
      <c r="A262" t="s">
        <v>2120</v>
      </c>
      <c r="B262" t="s">
        <v>1396</v>
      </c>
      <c r="C262" t="s">
        <v>1467</v>
      </c>
      <c r="D262" t="s">
        <v>2121</v>
      </c>
      <c r="E262">
        <v>743</v>
      </c>
      <c r="F262" s="14" t="s">
        <v>2263</v>
      </c>
      <c r="G262" t="s">
        <v>1180</v>
      </c>
      <c r="H262" s="14">
        <v>0.90526315789473688</v>
      </c>
      <c r="O262" s="11"/>
      <c r="BD262" s="13"/>
      <c r="BE262" s="13"/>
      <c r="BF262" s="14"/>
    </row>
    <row r="263" spans="1:58" x14ac:dyDescent="0.15">
      <c r="A263" t="s">
        <v>2151</v>
      </c>
      <c r="B263" t="s">
        <v>1380</v>
      </c>
      <c r="C263" t="s">
        <v>1467</v>
      </c>
      <c r="D263" t="s">
        <v>2152</v>
      </c>
      <c r="E263">
        <v>1792</v>
      </c>
      <c r="F263" s="14" t="s">
        <v>2265</v>
      </c>
      <c r="G263" t="s">
        <v>383</v>
      </c>
      <c r="H263" s="14">
        <v>0.90526315789473688</v>
      </c>
      <c r="AS263" s="11"/>
      <c r="BD263" s="12"/>
      <c r="BE263" s="12"/>
      <c r="BF263" s="14"/>
    </row>
    <row r="264" spans="1:58" x14ac:dyDescent="0.15">
      <c r="A264" t="s">
        <v>2175</v>
      </c>
      <c r="B264" t="s">
        <v>1370</v>
      </c>
      <c r="C264" t="s">
        <v>1521</v>
      </c>
      <c r="D264" t="s">
        <v>2176</v>
      </c>
      <c r="E264">
        <v>360</v>
      </c>
      <c r="F264" s="14" t="s">
        <v>67</v>
      </c>
      <c r="G264" t="s">
        <v>355</v>
      </c>
      <c r="H264" s="14">
        <v>0.90526315789473688</v>
      </c>
      <c r="O264" s="11"/>
      <c r="AA264" s="11"/>
      <c r="BD264" s="12"/>
      <c r="BE264" s="12"/>
      <c r="BF264" s="14"/>
    </row>
    <row r="265" spans="1:58" x14ac:dyDescent="0.15">
      <c r="A265" t="s">
        <v>1832</v>
      </c>
      <c r="B265" t="s">
        <v>1506</v>
      </c>
      <c r="C265" t="s">
        <v>1506</v>
      </c>
      <c r="D265" t="s">
        <v>1833</v>
      </c>
      <c r="E265">
        <v>732</v>
      </c>
      <c r="F265" s="14" t="s">
        <v>2260</v>
      </c>
      <c r="G265" t="s">
        <v>1248</v>
      </c>
      <c r="H265" s="14">
        <v>0.90666666666666673</v>
      </c>
      <c r="AO265" s="11"/>
      <c r="AQ265" s="11"/>
      <c r="BD265" s="12"/>
      <c r="BE265" s="12"/>
      <c r="BF265" s="14"/>
    </row>
    <row r="266" spans="1:58" x14ac:dyDescent="0.15">
      <c r="A266" t="s">
        <v>1614</v>
      </c>
      <c r="B266" t="s">
        <v>1386</v>
      </c>
      <c r="C266" t="s">
        <v>1463</v>
      </c>
      <c r="D266" t="s">
        <v>1615</v>
      </c>
      <c r="E266">
        <v>1803</v>
      </c>
      <c r="F266" s="14" t="s">
        <v>2262</v>
      </c>
      <c r="G266" t="s">
        <v>365</v>
      </c>
      <c r="H266" s="14">
        <v>0.91</v>
      </c>
      <c r="O266" s="11"/>
      <c r="W266" s="11"/>
      <c r="BD266" s="12"/>
      <c r="BE266" s="13"/>
      <c r="BF266" s="14"/>
    </row>
    <row r="267" spans="1:58" x14ac:dyDescent="0.15">
      <c r="A267" t="s">
        <v>1623</v>
      </c>
      <c r="B267" t="s">
        <v>1398</v>
      </c>
      <c r="C267" t="s">
        <v>1471</v>
      </c>
      <c r="D267" t="s">
        <v>1624</v>
      </c>
      <c r="E267">
        <v>251</v>
      </c>
      <c r="F267" s="14" t="s">
        <v>61</v>
      </c>
      <c r="G267" t="s">
        <v>814</v>
      </c>
      <c r="H267" s="14">
        <v>0.91</v>
      </c>
      <c r="O267" s="11"/>
      <c r="AO267" s="11"/>
      <c r="AQ267" s="11"/>
      <c r="BD267" s="12"/>
      <c r="BE267" s="12"/>
      <c r="BF267" s="14"/>
    </row>
    <row r="268" spans="1:58" x14ac:dyDescent="0.15">
      <c r="A268" t="s">
        <v>1765</v>
      </c>
      <c r="B268" t="s">
        <v>1376</v>
      </c>
      <c r="C268" t="s">
        <v>1467</v>
      </c>
      <c r="D268" t="s">
        <v>1766</v>
      </c>
      <c r="E268">
        <v>1881</v>
      </c>
      <c r="F268" s="14" t="s">
        <v>2265</v>
      </c>
      <c r="G268" t="s">
        <v>507</v>
      </c>
      <c r="H268" s="14">
        <v>0.91</v>
      </c>
      <c r="BD268" s="13"/>
      <c r="BE268" s="13"/>
      <c r="BF268" s="14"/>
    </row>
    <row r="269" spans="1:58" x14ac:dyDescent="0.15">
      <c r="A269" t="s">
        <v>1986</v>
      </c>
      <c r="B269" t="s">
        <v>1632</v>
      </c>
      <c r="C269" t="s">
        <v>1471</v>
      </c>
      <c r="D269" t="s">
        <v>1987</v>
      </c>
      <c r="E269">
        <v>381</v>
      </c>
      <c r="F269" s="14" t="s">
        <v>61</v>
      </c>
      <c r="G269" t="s">
        <v>681</v>
      </c>
      <c r="H269" s="14">
        <v>0.91</v>
      </c>
      <c r="O269" s="11"/>
      <c r="AJ269" s="11"/>
      <c r="AO269" s="11"/>
      <c r="AQ269" s="11"/>
      <c r="AS269" s="11"/>
      <c r="BD269" s="12"/>
      <c r="BE269" s="12"/>
      <c r="BF269" s="14"/>
    </row>
    <row r="270" spans="1:58" x14ac:dyDescent="0.15">
      <c r="A270" t="s">
        <v>2021</v>
      </c>
      <c r="B270" t="s">
        <v>1383</v>
      </c>
      <c r="C270" t="s">
        <v>1460</v>
      </c>
      <c r="D270" t="s">
        <v>2022</v>
      </c>
      <c r="E270">
        <v>1314</v>
      </c>
      <c r="F270" s="14" t="s">
        <v>54</v>
      </c>
      <c r="G270" t="s">
        <v>391</v>
      </c>
      <c r="H270" s="14">
        <v>0.91</v>
      </c>
      <c r="Y270" s="11"/>
      <c r="AA270" s="11"/>
      <c r="AJ270" s="11"/>
      <c r="AL270" s="11"/>
      <c r="AO270" s="11"/>
      <c r="AQ270" s="11"/>
      <c r="BD270" s="12"/>
      <c r="BE270" s="12"/>
      <c r="BF270" s="14"/>
    </row>
    <row r="271" spans="1:58" x14ac:dyDescent="0.15">
      <c r="A271" t="s">
        <v>1600</v>
      </c>
      <c r="B271" t="s">
        <v>68</v>
      </c>
      <c r="C271" t="s">
        <v>1521</v>
      </c>
      <c r="D271" t="s">
        <v>1602</v>
      </c>
      <c r="E271">
        <v>183</v>
      </c>
      <c r="F271" s="14" t="s">
        <v>67</v>
      </c>
      <c r="G271" t="s">
        <v>68</v>
      </c>
      <c r="H271" s="14">
        <v>0.91111111111111109</v>
      </c>
      <c r="AJ271" s="11"/>
      <c r="AO271" s="11"/>
      <c r="AQ271" s="11"/>
      <c r="BD271" s="12"/>
      <c r="BE271" s="12"/>
      <c r="BF271" s="14"/>
    </row>
    <row r="272" spans="1:58" x14ac:dyDescent="0.15">
      <c r="A272" t="s">
        <v>2195</v>
      </c>
      <c r="B272" t="s">
        <v>143</v>
      </c>
      <c r="C272" t="s">
        <v>1521</v>
      </c>
      <c r="D272" t="s">
        <v>2196</v>
      </c>
      <c r="E272">
        <v>782</v>
      </c>
      <c r="F272" s="14" t="s">
        <v>67</v>
      </c>
      <c r="G272" t="s">
        <v>143</v>
      </c>
      <c r="H272" s="14">
        <v>0.91111111111111109</v>
      </c>
      <c r="AA272" s="11"/>
      <c r="AJ272" s="11"/>
      <c r="AO272" s="11"/>
      <c r="AQ272" s="11"/>
      <c r="AS272" s="11"/>
      <c r="AU272" s="11"/>
      <c r="BD272" s="12"/>
      <c r="BE272" s="12"/>
      <c r="BF272" s="14"/>
    </row>
    <row r="273" spans="1:58" x14ac:dyDescent="0.15">
      <c r="A273" t="s">
        <v>1854</v>
      </c>
      <c r="B273" t="s">
        <v>1385</v>
      </c>
      <c r="C273" t="s">
        <v>1463</v>
      </c>
      <c r="D273" t="s">
        <v>1855</v>
      </c>
      <c r="E273">
        <v>2028</v>
      </c>
      <c r="F273" s="14" t="s">
        <v>2261</v>
      </c>
      <c r="G273" t="s">
        <v>2018</v>
      </c>
      <c r="H273" s="14">
        <v>0.91254906791453028</v>
      </c>
      <c r="BF273" s="14"/>
    </row>
    <row r="274" spans="1:58" x14ac:dyDescent="0.15">
      <c r="A274" t="s">
        <v>1540</v>
      </c>
      <c r="B274" t="s">
        <v>1394</v>
      </c>
      <c r="C274" t="s">
        <v>1537</v>
      </c>
      <c r="D274" t="s">
        <v>1541</v>
      </c>
      <c r="E274">
        <v>805</v>
      </c>
      <c r="F274" s="14" t="s">
        <v>54</v>
      </c>
      <c r="G274" t="s">
        <v>497</v>
      </c>
      <c r="H274" s="14">
        <v>0.91428571428571426</v>
      </c>
      <c r="AJ274" s="11"/>
      <c r="AO274" s="11"/>
      <c r="AQ274" s="11"/>
      <c r="BD274" s="12"/>
      <c r="BE274" s="12"/>
      <c r="BF274" s="14"/>
    </row>
    <row r="275" spans="1:58" x14ac:dyDescent="0.15">
      <c r="A275" t="s">
        <v>1560</v>
      </c>
      <c r="B275" t="s">
        <v>1378</v>
      </c>
      <c r="C275" t="s">
        <v>1471</v>
      </c>
      <c r="D275" t="s">
        <v>1561</v>
      </c>
      <c r="E275">
        <v>657</v>
      </c>
      <c r="F275" s="14" t="s">
        <v>61</v>
      </c>
      <c r="G275" t="s">
        <v>1313</v>
      </c>
      <c r="H275" s="14">
        <v>0.91428571428571426</v>
      </c>
      <c r="AA275" s="11"/>
      <c r="AJ275" s="11"/>
      <c r="AO275" s="11"/>
      <c r="AQ275" s="11"/>
      <c r="BD275" s="12"/>
      <c r="BE275" s="12"/>
      <c r="BF275" s="14"/>
    </row>
    <row r="276" spans="1:58" x14ac:dyDescent="0.15">
      <c r="A276" t="s">
        <v>1577</v>
      </c>
      <c r="B276" t="s">
        <v>1398</v>
      </c>
      <c r="C276" t="s">
        <v>1471</v>
      </c>
      <c r="D276" t="s">
        <v>1578</v>
      </c>
      <c r="E276">
        <v>511</v>
      </c>
      <c r="F276" s="14" t="s">
        <v>61</v>
      </c>
      <c r="G276" t="s">
        <v>686</v>
      </c>
      <c r="H276" s="14">
        <v>0.91428571428571426</v>
      </c>
      <c r="O276" s="11"/>
      <c r="AJ276" s="11"/>
      <c r="AO276" s="11"/>
      <c r="AQ276" s="11"/>
      <c r="AU276" s="11"/>
      <c r="BD276" s="12"/>
      <c r="BE276" s="12"/>
      <c r="BF276" s="14"/>
    </row>
    <row r="277" spans="1:58" x14ac:dyDescent="0.15">
      <c r="A277" t="s">
        <v>1758</v>
      </c>
      <c r="B277" t="s">
        <v>563</v>
      </c>
      <c r="C277" t="s">
        <v>1471</v>
      </c>
      <c r="D277" t="s">
        <v>1759</v>
      </c>
      <c r="E277">
        <v>778</v>
      </c>
      <c r="F277" s="14" t="s">
        <v>61</v>
      </c>
      <c r="G277" t="s">
        <v>442</v>
      </c>
      <c r="H277" s="14">
        <v>0.91428571428571426</v>
      </c>
      <c r="Q277" s="11"/>
      <c r="Y277" s="11"/>
      <c r="AU277" s="11"/>
      <c r="BD277" s="12"/>
      <c r="BE277" s="12"/>
      <c r="BF277" s="14"/>
    </row>
    <row r="278" spans="1:58" x14ac:dyDescent="0.15">
      <c r="A278" t="s">
        <v>1838</v>
      </c>
      <c r="B278" t="s">
        <v>1369</v>
      </c>
      <c r="C278" t="s">
        <v>1463</v>
      </c>
      <c r="D278" t="s">
        <v>1839</v>
      </c>
      <c r="E278">
        <v>1507</v>
      </c>
      <c r="F278" s="14" t="s">
        <v>2262</v>
      </c>
      <c r="G278" t="s">
        <v>444</v>
      </c>
      <c r="H278" s="14">
        <v>0.91428571428571426</v>
      </c>
      <c r="Q278" s="11"/>
      <c r="AL278" s="11"/>
      <c r="BD278" s="12"/>
      <c r="BE278" s="12"/>
      <c r="BF278" s="14"/>
    </row>
    <row r="279" spans="1:58" x14ac:dyDescent="0.15">
      <c r="A279" t="s">
        <v>1840</v>
      </c>
      <c r="B279" t="s">
        <v>1376</v>
      </c>
      <c r="C279" t="s">
        <v>1467</v>
      </c>
      <c r="D279" t="s">
        <v>1841</v>
      </c>
      <c r="E279">
        <v>903</v>
      </c>
      <c r="F279" s="14" t="s">
        <v>2263</v>
      </c>
      <c r="G279" t="s">
        <v>286</v>
      </c>
      <c r="H279" s="14">
        <v>0.91428571428571426</v>
      </c>
      <c r="Y279" s="11"/>
      <c r="AA279" s="11"/>
      <c r="AL279" s="11"/>
      <c r="BD279" s="12"/>
      <c r="BE279" s="12"/>
      <c r="BF279" s="14"/>
    </row>
    <row r="280" spans="1:58" x14ac:dyDescent="0.15">
      <c r="A280" t="s">
        <v>1911</v>
      </c>
      <c r="B280" t="s">
        <v>1369</v>
      </c>
      <c r="C280" t="s">
        <v>1463</v>
      </c>
      <c r="D280" t="s">
        <v>1912</v>
      </c>
      <c r="E280">
        <v>1455</v>
      </c>
      <c r="F280" s="14" t="s">
        <v>2262</v>
      </c>
      <c r="G280" t="s">
        <v>310</v>
      </c>
      <c r="H280" s="14">
        <v>0.91428571428571426</v>
      </c>
      <c r="Q280" s="11"/>
      <c r="Y280" s="11"/>
      <c r="AL280" s="11"/>
      <c r="AO280" s="11"/>
      <c r="AQ280" s="11"/>
      <c r="BD280" s="12"/>
      <c r="BE280" s="12"/>
      <c r="BF280" s="14"/>
    </row>
    <row r="281" spans="1:58" x14ac:dyDescent="0.15">
      <c r="A281" t="s">
        <v>1925</v>
      </c>
      <c r="B281" t="s">
        <v>1380</v>
      </c>
      <c r="C281" t="s">
        <v>1467</v>
      </c>
      <c r="D281" t="s">
        <v>1926</v>
      </c>
      <c r="E281">
        <v>1016</v>
      </c>
      <c r="F281" s="14" t="s">
        <v>2263</v>
      </c>
      <c r="G281" t="s">
        <v>1322</v>
      </c>
      <c r="H281" s="14">
        <v>0.91428571428571426</v>
      </c>
      <c r="O281" s="11"/>
      <c r="Y281" s="11"/>
      <c r="AU281" s="11"/>
      <c r="BD281" s="12"/>
      <c r="BE281" s="12"/>
      <c r="BF281" s="14"/>
    </row>
    <row r="282" spans="1:58" x14ac:dyDescent="0.15">
      <c r="A282" t="s">
        <v>1589</v>
      </c>
      <c r="B282" t="s">
        <v>1550</v>
      </c>
      <c r="C282" t="s">
        <v>1502</v>
      </c>
      <c r="D282" t="s">
        <v>1591</v>
      </c>
      <c r="E282">
        <v>1247</v>
      </c>
      <c r="F282" s="14" t="s">
        <v>77</v>
      </c>
      <c r="G282" t="s">
        <v>189</v>
      </c>
      <c r="H282" s="14">
        <v>0.9157894736842106</v>
      </c>
      <c r="O282" s="11"/>
      <c r="BD282" s="13"/>
      <c r="BE282" s="13"/>
      <c r="BF282" s="14"/>
    </row>
    <row r="283" spans="1:58" x14ac:dyDescent="0.15">
      <c r="A283" t="s">
        <v>1870</v>
      </c>
      <c r="B283" t="s">
        <v>1550</v>
      </c>
      <c r="C283" t="s">
        <v>1463</v>
      </c>
      <c r="D283" t="s">
        <v>1872</v>
      </c>
      <c r="E283">
        <v>1043</v>
      </c>
      <c r="F283" s="14" t="s">
        <v>104</v>
      </c>
      <c r="G283" t="s">
        <v>433</v>
      </c>
      <c r="H283" s="14">
        <v>0.9157894736842106</v>
      </c>
      <c r="O283" s="11"/>
      <c r="BD283" s="12"/>
      <c r="BE283" s="12"/>
      <c r="BF283" s="14"/>
    </row>
    <row r="284" spans="1:58" x14ac:dyDescent="0.15">
      <c r="A284" t="s">
        <v>1983</v>
      </c>
      <c r="B284" t="s">
        <v>1550</v>
      </c>
      <c r="C284" t="s">
        <v>1460</v>
      </c>
      <c r="D284" t="s">
        <v>1985</v>
      </c>
      <c r="E284">
        <v>952</v>
      </c>
      <c r="F284" s="14" t="s">
        <v>83</v>
      </c>
      <c r="G284" t="s">
        <v>574</v>
      </c>
      <c r="H284" s="14">
        <v>0.9157894736842106</v>
      </c>
      <c r="O284" s="11"/>
      <c r="AJ284" s="11"/>
      <c r="BD284" s="12"/>
      <c r="BE284" s="12"/>
      <c r="BF284" s="14"/>
    </row>
    <row r="285" spans="1:58" x14ac:dyDescent="0.15">
      <c r="A285" t="s">
        <v>1697</v>
      </c>
      <c r="B285" t="s">
        <v>1385</v>
      </c>
      <c r="C285" t="s">
        <v>1463</v>
      </c>
      <c r="D285" t="s">
        <v>1698</v>
      </c>
      <c r="E285">
        <v>1002</v>
      </c>
      <c r="F285" s="14" t="s">
        <v>2262</v>
      </c>
      <c r="G285" t="s">
        <v>295</v>
      </c>
      <c r="H285" s="14">
        <v>0.91818181818181821</v>
      </c>
      <c r="AL285" s="11"/>
      <c r="AS285" s="11"/>
      <c r="BD285" s="12"/>
      <c r="BE285" s="12"/>
      <c r="BF285" s="14"/>
    </row>
    <row r="286" spans="1:58" x14ac:dyDescent="0.15">
      <c r="A286" t="s">
        <v>1730</v>
      </c>
      <c r="B286" t="s">
        <v>1369</v>
      </c>
      <c r="C286" t="s">
        <v>1463</v>
      </c>
      <c r="D286" t="s">
        <v>1731</v>
      </c>
      <c r="E286">
        <v>1420</v>
      </c>
      <c r="F286" s="14" t="s">
        <v>2262</v>
      </c>
      <c r="G286" t="s">
        <v>1146</v>
      </c>
      <c r="H286" s="14">
        <v>0.91818181818181821</v>
      </c>
      <c r="O286" s="11"/>
      <c r="AJ286" s="11"/>
      <c r="AO286" s="11"/>
      <c r="AQ286" s="11"/>
      <c r="AS286" s="11"/>
      <c r="BD286" s="12"/>
      <c r="BE286" s="12"/>
      <c r="BF286" s="14"/>
    </row>
    <row r="287" spans="1:58" x14ac:dyDescent="0.15">
      <c r="A287" t="s">
        <v>1477</v>
      </c>
      <c r="B287" t="s">
        <v>563</v>
      </c>
      <c r="C287" t="s">
        <v>1471</v>
      </c>
      <c r="D287" t="s">
        <v>1479</v>
      </c>
      <c r="E287">
        <v>281</v>
      </c>
      <c r="F287" s="14" t="s">
        <v>61</v>
      </c>
      <c r="G287" t="s">
        <v>928</v>
      </c>
      <c r="H287" s="14">
        <v>0.92</v>
      </c>
      <c r="O287" s="11"/>
      <c r="Y287" s="11"/>
      <c r="AA287" s="11"/>
      <c r="AL287" s="11"/>
      <c r="AU287" s="11"/>
      <c r="BD287" s="12"/>
      <c r="BE287" s="12"/>
      <c r="BF287" s="14"/>
    </row>
    <row r="288" spans="1:58" x14ac:dyDescent="0.15">
      <c r="A288" t="s">
        <v>1526</v>
      </c>
      <c r="B288" t="s">
        <v>1380</v>
      </c>
      <c r="C288" t="s">
        <v>1467</v>
      </c>
      <c r="D288" t="s">
        <v>1527</v>
      </c>
      <c r="E288">
        <v>1732</v>
      </c>
      <c r="F288" s="14" t="s">
        <v>2265</v>
      </c>
      <c r="G288" t="s">
        <v>277</v>
      </c>
      <c r="H288" s="14">
        <v>0.92</v>
      </c>
      <c r="O288" s="11"/>
      <c r="Q288" s="11"/>
      <c r="W288" s="11"/>
      <c r="AL288" s="11"/>
      <c r="AU288" s="11"/>
      <c r="BD288" s="12"/>
      <c r="BE288" s="12"/>
      <c r="BF288" s="14"/>
    </row>
    <row r="289" spans="1:58" x14ac:dyDescent="0.15">
      <c r="A289" t="s">
        <v>1603</v>
      </c>
      <c r="B289" t="s">
        <v>1372</v>
      </c>
      <c r="C289" t="s">
        <v>1521</v>
      </c>
      <c r="D289" t="s">
        <v>1372</v>
      </c>
      <c r="E289">
        <v>1514</v>
      </c>
      <c r="F289" s="14" t="s">
        <v>2261</v>
      </c>
      <c r="G289" t="s">
        <v>1209</v>
      </c>
      <c r="H289" s="14">
        <v>0.92</v>
      </c>
      <c r="Q289" s="11"/>
      <c r="AW289" s="11"/>
      <c r="BD289" s="12"/>
      <c r="BE289" s="13"/>
      <c r="BF289" s="14"/>
    </row>
    <row r="290" spans="1:58" x14ac:dyDescent="0.15">
      <c r="A290" t="s">
        <v>1671</v>
      </c>
      <c r="B290" t="s">
        <v>1387</v>
      </c>
      <c r="C290" t="s">
        <v>1467</v>
      </c>
      <c r="D290" t="s">
        <v>1673</v>
      </c>
      <c r="E290">
        <v>990</v>
      </c>
      <c r="F290" s="14" t="s">
        <v>2263</v>
      </c>
      <c r="G290" t="s">
        <v>419</v>
      </c>
      <c r="H290" s="14">
        <v>0.92</v>
      </c>
      <c r="BD290" s="12"/>
      <c r="BE290" s="13"/>
      <c r="BF290" s="14"/>
    </row>
    <row r="291" spans="1:58" x14ac:dyDescent="0.15">
      <c r="A291" t="s">
        <v>2097</v>
      </c>
      <c r="B291" t="s">
        <v>1721</v>
      </c>
      <c r="C291" t="s">
        <v>1497</v>
      </c>
      <c r="D291" t="s">
        <v>2098</v>
      </c>
      <c r="E291">
        <v>476</v>
      </c>
      <c r="F291" s="14" t="s">
        <v>270</v>
      </c>
      <c r="G291" t="s">
        <v>875</v>
      </c>
      <c r="H291" s="14">
        <v>0.92</v>
      </c>
      <c r="AJ291" s="11"/>
      <c r="AO291" s="11"/>
      <c r="AQ291" s="11"/>
      <c r="BD291" s="12"/>
      <c r="BE291" s="12"/>
      <c r="BF291" s="14"/>
    </row>
    <row r="292" spans="1:58" x14ac:dyDescent="0.15">
      <c r="A292" t="s">
        <v>1848</v>
      </c>
      <c r="B292" t="s">
        <v>563</v>
      </c>
      <c r="C292" t="s">
        <v>1471</v>
      </c>
      <c r="D292" t="s">
        <v>1849</v>
      </c>
      <c r="E292">
        <v>1010</v>
      </c>
      <c r="F292" s="14" t="s">
        <v>61</v>
      </c>
      <c r="G292" t="s">
        <v>117</v>
      </c>
      <c r="H292" s="14">
        <v>0.92173913043478262</v>
      </c>
      <c r="AL292" s="11"/>
      <c r="AO292" s="11"/>
      <c r="AQ292" s="11"/>
      <c r="AS292" s="11"/>
      <c r="BD292" s="12"/>
      <c r="BE292" s="12"/>
      <c r="BF292" s="14"/>
    </row>
    <row r="293" spans="1:58" x14ac:dyDescent="0.15">
      <c r="A293" t="s">
        <v>1919</v>
      </c>
      <c r="B293" t="s">
        <v>527</v>
      </c>
      <c r="C293" t="s">
        <v>1521</v>
      </c>
      <c r="D293" t="s">
        <v>1920</v>
      </c>
      <c r="E293">
        <v>509</v>
      </c>
      <c r="F293" s="14" t="s">
        <v>67</v>
      </c>
      <c r="G293" t="s">
        <v>149</v>
      </c>
      <c r="H293" s="14">
        <v>0.92173913043478262</v>
      </c>
      <c r="Q293" s="11"/>
      <c r="AA293" s="11"/>
      <c r="AS293" s="11"/>
      <c r="AU293" s="11"/>
      <c r="BD293" s="12"/>
      <c r="BE293" s="12"/>
      <c r="BF293" s="14"/>
    </row>
    <row r="294" spans="1:58" x14ac:dyDescent="0.15">
      <c r="A294" t="s">
        <v>1991</v>
      </c>
      <c r="B294" t="s">
        <v>1369</v>
      </c>
      <c r="C294" t="s">
        <v>1463</v>
      </c>
      <c r="D294" t="s">
        <v>1992</v>
      </c>
      <c r="E294">
        <v>1905</v>
      </c>
      <c r="F294" s="14" t="s">
        <v>2262</v>
      </c>
      <c r="G294" t="s">
        <v>485</v>
      </c>
      <c r="H294" s="14">
        <v>0.92173913043478262</v>
      </c>
      <c r="AL294" s="11"/>
      <c r="AO294" s="11"/>
      <c r="BD294" s="12"/>
      <c r="BE294" s="12"/>
      <c r="BF294" s="14"/>
    </row>
    <row r="295" spans="1:58" x14ac:dyDescent="0.15">
      <c r="A295" t="s">
        <v>2045</v>
      </c>
      <c r="B295" t="s">
        <v>1387</v>
      </c>
      <c r="C295" t="s">
        <v>1467</v>
      </c>
      <c r="D295" t="s">
        <v>2046</v>
      </c>
      <c r="E295">
        <v>269</v>
      </c>
      <c r="F295" s="14" t="s">
        <v>2265</v>
      </c>
      <c r="G295" t="s">
        <v>620</v>
      </c>
      <c r="H295" s="14">
        <v>0.92173913043478262</v>
      </c>
      <c r="Q295" s="11"/>
      <c r="Y295" s="11"/>
      <c r="AU295" s="11"/>
      <c r="BD295" s="12"/>
      <c r="BE295" s="12"/>
      <c r="BF295" s="14"/>
    </row>
    <row r="296" spans="1:58" x14ac:dyDescent="0.15">
      <c r="A296" t="s">
        <v>2161</v>
      </c>
      <c r="B296" t="s">
        <v>1394</v>
      </c>
      <c r="C296" t="s">
        <v>1537</v>
      </c>
      <c r="D296" t="s">
        <v>2162</v>
      </c>
      <c r="E296">
        <v>1416</v>
      </c>
      <c r="F296" s="14" t="s">
        <v>2272</v>
      </c>
      <c r="G296" t="s">
        <v>803</v>
      </c>
      <c r="H296" s="14">
        <v>0.92173913043478262</v>
      </c>
      <c r="O296" s="11"/>
      <c r="Q296" s="11"/>
      <c r="W296" s="11"/>
      <c r="AO296" s="11"/>
      <c r="AQ296" s="11"/>
      <c r="AU296" s="11"/>
      <c r="BD296" s="12"/>
      <c r="BE296" s="12"/>
      <c r="BF296" s="14"/>
    </row>
    <row r="297" spans="1:58" x14ac:dyDescent="0.15">
      <c r="A297" t="s">
        <v>1738</v>
      </c>
      <c r="B297" t="s">
        <v>563</v>
      </c>
      <c r="C297" t="s">
        <v>1471</v>
      </c>
      <c r="D297" t="s">
        <v>1739</v>
      </c>
      <c r="E297">
        <v>264</v>
      </c>
      <c r="F297" s="14" t="s">
        <v>61</v>
      </c>
      <c r="G297" t="s">
        <v>543</v>
      </c>
      <c r="H297" s="14">
        <v>0.92500000000000004</v>
      </c>
      <c r="O297" s="11"/>
      <c r="Q297" s="11"/>
      <c r="Y297" s="11"/>
      <c r="AA297" s="11"/>
      <c r="AS297" s="11"/>
      <c r="BD297" s="12"/>
      <c r="BE297" s="12"/>
      <c r="BF297" s="14"/>
    </row>
    <row r="298" spans="1:58" x14ac:dyDescent="0.15">
      <c r="A298" t="s">
        <v>1799</v>
      </c>
      <c r="B298" t="s">
        <v>1385</v>
      </c>
      <c r="C298" t="s">
        <v>1463</v>
      </c>
      <c r="D298" t="s">
        <v>1800</v>
      </c>
      <c r="E298">
        <v>557</v>
      </c>
      <c r="F298" s="14" t="s">
        <v>104</v>
      </c>
      <c r="G298" t="s">
        <v>105</v>
      </c>
      <c r="H298" s="14">
        <v>0.92500000000000004</v>
      </c>
      <c r="O298" s="11"/>
      <c r="Y298" s="11"/>
      <c r="AJ298" s="11"/>
      <c r="AS298" s="11"/>
      <c r="BD298" s="12"/>
      <c r="BE298" s="12"/>
      <c r="BF298" s="14"/>
    </row>
    <row r="299" spans="1:58" x14ac:dyDescent="0.15">
      <c r="A299" t="s">
        <v>1817</v>
      </c>
      <c r="B299" t="s">
        <v>1385</v>
      </c>
      <c r="C299" t="s">
        <v>1463</v>
      </c>
      <c r="D299" t="s">
        <v>1818</v>
      </c>
      <c r="E299">
        <v>479</v>
      </c>
      <c r="F299" s="14" t="s">
        <v>104</v>
      </c>
      <c r="G299" t="s">
        <v>424</v>
      </c>
      <c r="H299" s="14">
        <v>0.92500000000000004</v>
      </c>
      <c r="O299" s="11"/>
      <c r="Q299" s="11"/>
      <c r="W299" s="11"/>
      <c r="Y299" s="11"/>
      <c r="AO299" s="11"/>
      <c r="BD299" s="12"/>
      <c r="BE299" s="12"/>
      <c r="BF299" s="14"/>
    </row>
    <row r="300" spans="1:58" x14ac:dyDescent="0.15">
      <c r="A300" t="s">
        <v>1826</v>
      </c>
      <c r="B300" t="s">
        <v>1398</v>
      </c>
      <c r="C300" t="s">
        <v>1471</v>
      </c>
      <c r="D300" t="s">
        <v>1827</v>
      </c>
      <c r="E300">
        <v>351</v>
      </c>
      <c r="F300" s="14" t="s">
        <v>61</v>
      </c>
      <c r="G300" t="s">
        <v>481</v>
      </c>
      <c r="H300" s="14">
        <v>0.92500000000000004</v>
      </c>
      <c r="Q300" s="11"/>
      <c r="AO300" s="11"/>
      <c r="AQ300" s="11"/>
      <c r="BD300" s="12"/>
      <c r="BE300" s="12"/>
      <c r="BF300" s="14"/>
    </row>
    <row r="301" spans="1:58" x14ac:dyDescent="0.15">
      <c r="A301" t="s">
        <v>1941</v>
      </c>
      <c r="B301" t="s">
        <v>1398</v>
      </c>
      <c r="C301" t="s">
        <v>1471</v>
      </c>
      <c r="D301" t="s">
        <v>1942</v>
      </c>
      <c r="E301">
        <v>374</v>
      </c>
      <c r="F301" s="14" t="s">
        <v>61</v>
      </c>
      <c r="G301" t="s">
        <v>848</v>
      </c>
      <c r="H301" s="14">
        <v>0.92500000000000004</v>
      </c>
      <c r="BD301" s="12"/>
      <c r="BE301" s="13"/>
      <c r="BF301" s="14"/>
    </row>
    <row r="302" spans="1:58" x14ac:dyDescent="0.15">
      <c r="A302" t="s">
        <v>2065</v>
      </c>
      <c r="B302" t="s">
        <v>1721</v>
      </c>
      <c r="C302" t="s">
        <v>1497</v>
      </c>
      <c r="D302" t="s">
        <v>2066</v>
      </c>
      <c r="E302">
        <v>246</v>
      </c>
      <c r="F302" s="14" t="s">
        <v>270</v>
      </c>
      <c r="G302" t="s">
        <v>363</v>
      </c>
      <c r="H302" s="14">
        <v>0.92500000000000004</v>
      </c>
      <c r="O302" s="11"/>
      <c r="AJ302" s="11"/>
      <c r="BD302" s="12"/>
      <c r="BE302" s="12"/>
      <c r="BF302" s="14"/>
    </row>
    <row r="303" spans="1:58" x14ac:dyDescent="0.15">
      <c r="A303" t="s">
        <v>2107</v>
      </c>
      <c r="B303" t="s">
        <v>979</v>
      </c>
      <c r="C303" t="s">
        <v>1537</v>
      </c>
      <c r="D303" t="s">
        <v>2109</v>
      </c>
      <c r="E303">
        <v>1931</v>
      </c>
      <c r="F303" s="14" t="s">
        <v>2265</v>
      </c>
      <c r="G303" t="s">
        <v>1847</v>
      </c>
      <c r="H303" s="14">
        <v>0.92611726955882712</v>
      </c>
      <c r="AA303" s="11"/>
      <c r="AL303" s="11"/>
      <c r="AQ303" s="11"/>
      <c r="AU303" s="11"/>
      <c r="BD303" s="12"/>
      <c r="BE303" s="12"/>
      <c r="BF303" s="14"/>
    </row>
    <row r="304" spans="1:58" x14ac:dyDescent="0.15">
      <c r="A304" t="s">
        <v>2143</v>
      </c>
      <c r="B304" t="s">
        <v>1370</v>
      </c>
      <c r="C304" t="s">
        <v>1521</v>
      </c>
      <c r="D304" t="s">
        <v>2144</v>
      </c>
      <c r="E304">
        <v>456</v>
      </c>
      <c r="F304" s="14" t="s">
        <v>2261</v>
      </c>
      <c r="G304" t="s">
        <v>1324</v>
      </c>
      <c r="H304" s="14">
        <v>0.92727272727272725</v>
      </c>
      <c r="Q304" s="11"/>
      <c r="W304" s="11"/>
      <c r="AS304" s="11"/>
      <c r="AU304" s="11"/>
      <c r="BD304" s="12"/>
      <c r="BE304" s="12"/>
      <c r="BF304" s="14"/>
    </row>
    <row r="305" spans="1:58" x14ac:dyDescent="0.15">
      <c r="A305" t="s">
        <v>1734</v>
      </c>
      <c r="B305" t="s">
        <v>1378</v>
      </c>
      <c r="C305" t="s">
        <v>1471</v>
      </c>
      <c r="D305" t="s">
        <v>1735</v>
      </c>
      <c r="E305">
        <v>1157</v>
      </c>
      <c r="F305" s="14" t="s">
        <v>2259</v>
      </c>
      <c r="G305" t="s">
        <v>1017</v>
      </c>
      <c r="H305" s="14">
        <v>0.92800000000000005</v>
      </c>
      <c r="O305" s="11"/>
      <c r="AJ305" s="11"/>
      <c r="AO305" s="11"/>
      <c r="AQ305" s="11"/>
      <c r="AS305" s="11"/>
      <c r="BD305" s="12"/>
      <c r="BE305" s="12"/>
      <c r="BF305" s="14"/>
    </row>
    <row r="306" spans="1:58" x14ac:dyDescent="0.15">
      <c r="A306" t="s">
        <v>1823</v>
      </c>
      <c r="B306" t="s">
        <v>1391</v>
      </c>
      <c r="C306" t="s">
        <v>1463</v>
      </c>
      <c r="D306" t="s">
        <v>309</v>
      </c>
      <c r="E306">
        <v>2088</v>
      </c>
      <c r="F306" s="14" t="s">
        <v>2262</v>
      </c>
      <c r="G306" t="s">
        <v>2273</v>
      </c>
      <c r="H306" s="14">
        <v>0.9285223185885747</v>
      </c>
      <c r="BD306" s="13"/>
      <c r="BE306" s="13"/>
      <c r="BF306" s="14"/>
    </row>
    <row r="307" spans="1:58" x14ac:dyDescent="0.15">
      <c r="A307" t="s">
        <v>2203</v>
      </c>
      <c r="B307" t="s">
        <v>582</v>
      </c>
      <c r="C307" t="s">
        <v>1521</v>
      </c>
      <c r="D307" t="s">
        <v>2205</v>
      </c>
      <c r="E307">
        <v>1975</v>
      </c>
      <c r="F307" s="14" t="s">
        <v>2261</v>
      </c>
      <c r="G307" t="s">
        <v>582</v>
      </c>
      <c r="H307" s="14">
        <v>0.9285714285714286</v>
      </c>
      <c r="O307" s="11"/>
      <c r="W307" s="11"/>
      <c r="Y307" s="11"/>
      <c r="AA307" s="11"/>
      <c r="AO307" s="11"/>
      <c r="AQ307" s="11"/>
      <c r="AS307" s="11"/>
      <c r="BD307" s="12"/>
      <c r="BE307" s="12"/>
      <c r="BF307" s="14"/>
    </row>
    <row r="308" spans="1:58" x14ac:dyDescent="0.15">
      <c r="A308" t="s">
        <v>2070</v>
      </c>
      <c r="B308" t="s">
        <v>1529</v>
      </c>
      <c r="C308" t="s">
        <v>1502</v>
      </c>
      <c r="D308" t="s">
        <v>2071</v>
      </c>
      <c r="E308">
        <v>926</v>
      </c>
      <c r="F308" s="14" t="s">
        <v>77</v>
      </c>
      <c r="G308" t="s">
        <v>2274</v>
      </c>
      <c r="H308" s="14">
        <v>0.93043478260869572</v>
      </c>
      <c r="Y308" s="11"/>
      <c r="AJ308" s="11"/>
      <c r="AL308" s="11"/>
      <c r="BD308" s="12"/>
      <c r="BE308" s="12"/>
      <c r="BF308" s="14"/>
    </row>
    <row r="309" spans="1:58" x14ac:dyDescent="0.15">
      <c r="A309" t="s">
        <v>2134</v>
      </c>
      <c r="B309" t="s">
        <v>1550</v>
      </c>
      <c r="C309" t="s">
        <v>1502</v>
      </c>
      <c r="D309" t="s">
        <v>2136</v>
      </c>
      <c r="E309">
        <v>830</v>
      </c>
      <c r="F309" s="14" t="s">
        <v>77</v>
      </c>
      <c r="G309" t="s">
        <v>572</v>
      </c>
      <c r="H309" s="14">
        <v>0.93043478260869572</v>
      </c>
      <c r="O309" s="11"/>
      <c r="AL309" s="11"/>
      <c r="BD309" s="12"/>
      <c r="BE309" s="12"/>
      <c r="BF309" s="14"/>
    </row>
    <row r="310" spans="1:58" x14ac:dyDescent="0.15">
      <c r="A310" t="s">
        <v>1605</v>
      </c>
      <c r="B310" t="s">
        <v>1376</v>
      </c>
      <c r="C310" t="s">
        <v>1467</v>
      </c>
      <c r="D310" t="s">
        <v>1606</v>
      </c>
      <c r="E310">
        <v>595</v>
      </c>
      <c r="F310" s="14" t="s">
        <v>2263</v>
      </c>
      <c r="G310" t="s">
        <v>2275</v>
      </c>
      <c r="H310" s="14">
        <v>0.93076923076923079</v>
      </c>
      <c r="Q310" s="11"/>
      <c r="Y310" s="11"/>
      <c r="AA310" s="11"/>
      <c r="AO310" s="11"/>
      <c r="AQ310" s="11"/>
      <c r="BD310" s="12"/>
      <c r="BE310" s="12"/>
      <c r="BF310" s="14"/>
    </row>
    <row r="311" spans="1:58" x14ac:dyDescent="0.15">
      <c r="A311" t="s">
        <v>2122</v>
      </c>
      <c r="B311" t="s">
        <v>1400</v>
      </c>
      <c r="C311" t="s">
        <v>1537</v>
      </c>
      <c r="D311" t="s">
        <v>2123</v>
      </c>
      <c r="E311">
        <v>1678</v>
      </c>
      <c r="F311" s="14" t="s">
        <v>2272</v>
      </c>
      <c r="G311" t="s">
        <v>379</v>
      </c>
      <c r="H311" s="14">
        <v>0.93076923076923079</v>
      </c>
      <c r="AL311" s="11"/>
      <c r="BD311" s="12"/>
      <c r="BE311" s="12"/>
      <c r="BF311" s="14"/>
    </row>
    <row r="312" spans="1:58" x14ac:dyDescent="0.15">
      <c r="A312" t="s">
        <v>1495</v>
      </c>
      <c r="B312" t="s">
        <v>1496</v>
      </c>
      <c r="C312" t="s">
        <v>1497</v>
      </c>
      <c r="D312" t="s">
        <v>1499</v>
      </c>
      <c r="E312">
        <v>300</v>
      </c>
      <c r="F312" s="14" t="s">
        <v>270</v>
      </c>
      <c r="G312" t="s">
        <v>852</v>
      </c>
      <c r="H312" s="14">
        <v>0.93333333333333335</v>
      </c>
      <c r="O312" s="11"/>
      <c r="Q312" s="11"/>
      <c r="AA312" s="11"/>
      <c r="AL312" s="11"/>
      <c r="AS312" s="11"/>
      <c r="BD312" s="12"/>
      <c r="BE312" s="12"/>
      <c r="BF312" s="14"/>
    </row>
    <row r="313" spans="1:58" x14ac:dyDescent="0.15">
      <c r="A313" t="s">
        <v>1724</v>
      </c>
      <c r="B313" t="s">
        <v>1721</v>
      </c>
      <c r="C313" t="s">
        <v>1497</v>
      </c>
      <c r="D313" t="s">
        <v>1725</v>
      </c>
      <c r="E313">
        <v>829</v>
      </c>
      <c r="F313" s="14" t="s">
        <v>270</v>
      </c>
      <c r="G313" t="s">
        <v>421</v>
      </c>
      <c r="H313" s="14">
        <v>0.93333333333333335</v>
      </c>
      <c r="AL313" s="11"/>
      <c r="AO313" s="11"/>
      <c r="BD313" s="12"/>
      <c r="BE313" s="12"/>
      <c r="BF313" s="14"/>
    </row>
    <row r="314" spans="1:58" x14ac:dyDescent="0.15">
      <c r="A314" t="s">
        <v>1957</v>
      </c>
      <c r="B314" t="s">
        <v>1374</v>
      </c>
      <c r="C314" t="s">
        <v>1471</v>
      </c>
      <c r="D314" t="s">
        <v>1958</v>
      </c>
      <c r="E314">
        <v>654</v>
      </c>
      <c r="F314" s="14" t="s">
        <v>61</v>
      </c>
      <c r="G314" t="s">
        <v>650</v>
      </c>
      <c r="H314" s="14">
        <v>0.93333333333333335</v>
      </c>
      <c r="AL314" s="11"/>
      <c r="AO314" s="11"/>
      <c r="BD314" s="12"/>
      <c r="BE314" s="12"/>
      <c r="BF314" s="14"/>
    </row>
    <row r="315" spans="1:58" x14ac:dyDescent="0.15">
      <c r="A315" t="s">
        <v>1779</v>
      </c>
      <c r="B315" t="s">
        <v>1400</v>
      </c>
      <c r="C315" t="s">
        <v>1537</v>
      </c>
      <c r="D315" t="s">
        <v>1780</v>
      </c>
      <c r="E315">
        <v>1578</v>
      </c>
      <c r="F315" s="14" t="s">
        <v>2272</v>
      </c>
      <c r="G315" t="s">
        <v>961</v>
      </c>
      <c r="H315" s="14">
        <v>0.93571428571428572</v>
      </c>
      <c r="Y315" s="11"/>
      <c r="BD315" s="12"/>
      <c r="BE315" s="13"/>
      <c r="BF315" s="14"/>
    </row>
    <row r="316" spans="1:58" x14ac:dyDescent="0.15">
      <c r="A316" t="s">
        <v>1939</v>
      </c>
      <c r="B316" t="s">
        <v>1394</v>
      </c>
      <c r="C316" t="s">
        <v>1537</v>
      </c>
      <c r="D316" t="s">
        <v>1940</v>
      </c>
      <c r="E316">
        <v>349</v>
      </c>
      <c r="F316" s="14" t="s">
        <v>54</v>
      </c>
      <c r="G316" t="s">
        <v>832</v>
      </c>
      <c r="H316" s="14">
        <v>0.93571428571428572</v>
      </c>
      <c r="Q316" s="11"/>
      <c r="Y316" s="11"/>
      <c r="AU316" s="11"/>
      <c r="BD316" s="12"/>
      <c r="BE316" s="12"/>
      <c r="BF316" s="14"/>
    </row>
    <row r="317" spans="1:58" x14ac:dyDescent="0.15">
      <c r="A317" t="s">
        <v>1866</v>
      </c>
      <c r="B317" t="s">
        <v>1496</v>
      </c>
      <c r="C317" t="s">
        <v>1497</v>
      </c>
      <c r="D317" t="s">
        <v>1867</v>
      </c>
      <c r="E317">
        <v>824</v>
      </c>
      <c r="F317" s="14" t="s">
        <v>270</v>
      </c>
      <c r="G317" t="s">
        <v>1198</v>
      </c>
      <c r="H317" s="14">
        <v>0.93600000000000005</v>
      </c>
      <c r="O317" s="11"/>
      <c r="Q317" s="11"/>
      <c r="W317" s="11"/>
      <c r="AO317" s="11"/>
      <c r="AQ317" s="11"/>
      <c r="AU317" s="11"/>
      <c r="BD317" s="12"/>
      <c r="BE317" s="12"/>
      <c r="BF317" s="14"/>
    </row>
    <row r="318" spans="1:58" x14ac:dyDescent="0.15">
      <c r="A318" t="s">
        <v>1852</v>
      </c>
      <c r="B318" t="s">
        <v>1383</v>
      </c>
      <c r="C318" t="s">
        <v>1460</v>
      </c>
      <c r="D318" t="s">
        <v>1853</v>
      </c>
      <c r="E318">
        <v>199</v>
      </c>
      <c r="F318" s="14" t="s">
        <v>83</v>
      </c>
      <c r="G318" t="s">
        <v>712</v>
      </c>
      <c r="H318" s="14">
        <v>0.93793103448275861</v>
      </c>
      <c r="O318" s="11"/>
      <c r="Y318" s="11"/>
      <c r="AJ318" s="11"/>
      <c r="AS318" s="11"/>
      <c r="BD318" s="12"/>
      <c r="BE318" s="12"/>
      <c r="BF318" s="14"/>
    </row>
    <row r="319" spans="1:58" x14ac:dyDescent="0.15">
      <c r="A319" t="s">
        <v>1592</v>
      </c>
      <c r="B319" t="s">
        <v>789</v>
      </c>
      <c r="C319" t="s">
        <v>1521</v>
      </c>
      <c r="D319" t="s">
        <v>1594</v>
      </c>
      <c r="E319">
        <v>1200</v>
      </c>
      <c r="F319" s="14" t="s">
        <v>67</v>
      </c>
      <c r="G319" t="s">
        <v>134</v>
      </c>
      <c r="H319" s="14">
        <v>0.93846153846153846</v>
      </c>
      <c r="AL319" s="11"/>
      <c r="BD319" s="12"/>
      <c r="BE319" s="12"/>
      <c r="BF319" s="14"/>
    </row>
    <row r="320" spans="1:58" x14ac:dyDescent="0.15">
      <c r="A320" t="s">
        <v>1906</v>
      </c>
      <c r="B320" t="s">
        <v>789</v>
      </c>
      <c r="C320" t="s">
        <v>1521</v>
      </c>
      <c r="D320" t="s">
        <v>1907</v>
      </c>
      <c r="E320">
        <v>1133</v>
      </c>
      <c r="F320" s="14" t="s">
        <v>67</v>
      </c>
      <c r="G320" t="s">
        <v>301</v>
      </c>
      <c r="H320" s="14">
        <v>0.93846153846153846</v>
      </c>
      <c r="O320" s="11"/>
      <c r="AU320" s="11"/>
      <c r="BD320" s="12"/>
      <c r="BE320" s="12"/>
      <c r="BF320" s="14"/>
    </row>
    <row r="321" spans="1:58" x14ac:dyDescent="0.15">
      <c r="A321" t="s">
        <v>2128</v>
      </c>
      <c r="B321" t="s">
        <v>1496</v>
      </c>
      <c r="C321" t="s">
        <v>1497</v>
      </c>
      <c r="D321" t="s">
        <v>2129</v>
      </c>
      <c r="E321">
        <v>1510</v>
      </c>
      <c r="F321" s="14" t="s">
        <v>2270</v>
      </c>
      <c r="G321" t="s">
        <v>271</v>
      </c>
      <c r="H321" s="14">
        <v>0.93846153846153846</v>
      </c>
      <c r="Y321" s="11"/>
      <c r="AW321" s="11"/>
      <c r="BD321" s="12"/>
      <c r="BE321" s="13"/>
      <c r="BF321" s="14"/>
    </row>
    <row r="322" spans="1:58" x14ac:dyDescent="0.15">
      <c r="A322" t="s">
        <v>2179</v>
      </c>
      <c r="B322" t="s">
        <v>1529</v>
      </c>
      <c r="C322" t="s">
        <v>1502</v>
      </c>
      <c r="D322" t="s">
        <v>2180</v>
      </c>
      <c r="E322">
        <v>437</v>
      </c>
      <c r="F322" s="14" t="s">
        <v>77</v>
      </c>
      <c r="G322" t="s">
        <v>97</v>
      </c>
      <c r="H322" s="14">
        <v>0.93846153846153846</v>
      </c>
      <c r="AO322" s="11"/>
      <c r="BD322" s="12"/>
      <c r="BE322" s="12"/>
      <c r="BF322" s="14"/>
    </row>
    <row r="323" spans="1:58" x14ac:dyDescent="0.15">
      <c r="A323" t="s">
        <v>2099</v>
      </c>
      <c r="B323" t="s">
        <v>1368</v>
      </c>
      <c r="C323" t="s">
        <v>1460</v>
      </c>
      <c r="D323" t="s">
        <v>2100</v>
      </c>
      <c r="E323">
        <v>793</v>
      </c>
      <c r="F323" s="14" t="s">
        <v>83</v>
      </c>
      <c r="G323" t="s">
        <v>2276</v>
      </c>
      <c r="H323" s="14">
        <v>0.94000000000000006</v>
      </c>
      <c r="AO323" s="11"/>
      <c r="AQ323" s="11"/>
      <c r="AU323" s="11"/>
      <c r="BD323" s="12"/>
      <c r="BE323" s="12"/>
      <c r="BF323" s="14"/>
    </row>
    <row r="324" spans="1:58" x14ac:dyDescent="0.15">
      <c r="A324" t="s">
        <v>1967</v>
      </c>
      <c r="B324" t="s">
        <v>1391</v>
      </c>
      <c r="C324" t="s">
        <v>1463</v>
      </c>
      <c r="D324" t="s">
        <v>1968</v>
      </c>
      <c r="E324">
        <v>417</v>
      </c>
      <c r="F324" s="14" t="s">
        <v>104</v>
      </c>
      <c r="G324" t="s">
        <v>2277</v>
      </c>
      <c r="H324" s="14">
        <v>0.94285714285714284</v>
      </c>
      <c r="Y324" s="11"/>
      <c r="AW324" s="11"/>
      <c r="BD324" s="12"/>
      <c r="BE324" s="13"/>
      <c r="BF324" s="14"/>
    </row>
    <row r="325" spans="1:58" x14ac:dyDescent="0.15">
      <c r="A325" t="s">
        <v>2036</v>
      </c>
      <c r="B325" t="s">
        <v>1370</v>
      </c>
      <c r="C325" t="s">
        <v>1521</v>
      </c>
      <c r="D325" t="s">
        <v>2037</v>
      </c>
      <c r="E325">
        <v>2009</v>
      </c>
      <c r="F325" s="14" t="s">
        <v>2261</v>
      </c>
      <c r="G325" t="s">
        <v>2266</v>
      </c>
      <c r="H325" s="14">
        <v>0.94444444444444442</v>
      </c>
      <c r="AL325" s="11"/>
      <c r="AO325" s="11"/>
      <c r="AQ325" s="11"/>
      <c r="AS325" s="11"/>
      <c r="BD325" s="12"/>
      <c r="BE325" s="12"/>
      <c r="BF325" s="14"/>
    </row>
    <row r="326" spans="1:58" x14ac:dyDescent="0.15">
      <c r="A326" t="s">
        <v>2080</v>
      </c>
      <c r="B326" t="s">
        <v>1392</v>
      </c>
      <c r="C326" t="s">
        <v>1471</v>
      </c>
      <c r="D326" t="s">
        <v>2081</v>
      </c>
      <c r="E326">
        <v>832</v>
      </c>
      <c r="F326" s="14" t="s">
        <v>2259</v>
      </c>
      <c r="G326" t="s">
        <v>94</v>
      </c>
      <c r="H326" s="14">
        <v>0.94545454545454544</v>
      </c>
      <c r="Y326" s="11"/>
      <c r="AA326" s="11"/>
      <c r="AL326" s="11"/>
      <c r="AU326" s="11"/>
      <c r="BD326" s="12"/>
      <c r="BE326" s="12"/>
      <c r="BF326" s="14"/>
    </row>
    <row r="327" spans="1:58" x14ac:dyDescent="0.15">
      <c r="A327" t="s">
        <v>1609</v>
      </c>
      <c r="B327" t="s">
        <v>1403</v>
      </c>
      <c r="C327" t="s">
        <v>1537</v>
      </c>
      <c r="D327" t="s">
        <v>1611</v>
      </c>
      <c r="E327">
        <v>448</v>
      </c>
      <c r="F327" s="14" t="s">
        <v>54</v>
      </c>
      <c r="G327" t="s">
        <v>2278</v>
      </c>
      <c r="H327" s="14">
        <v>0.94666666666666666</v>
      </c>
      <c r="AL327" s="11"/>
      <c r="AU327" s="11"/>
      <c r="BD327" s="12"/>
      <c r="BE327" s="12"/>
      <c r="BF327" s="14"/>
    </row>
    <row r="328" spans="1:58" x14ac:dyDescent="0.15">
      <c r="A328" t="s">
        <v>2145</v>
      </c>
      <c r="B328" t="s">
        <v>1881</v>
      </c>
      <c r="C328" t="s">
        <v>1497</v>
      </c>
      <c r="D328" t="s">
        <v>2146</v>
      </c>
      <c r="E328">
        <v>1088</v>
      </c>
      <c r="F328" s="14" t="s">
        <v>2270</v>
      </c>
      <c r="G328" t="s">
        <v>571</v>
      </c>
      <c r="H328" s="14">
        <v>0.95</v>
      </c>
      <c r="Y328" s="11"/>
      <c r="AA328" s="11"/>
      <c r="AU328" s="11"/>
      <c r="BD328" s="12"/>
      <c r="BE328" s="12"/>
      <c r="BF328" s="14"/>
    </row>
    <row r="329" spans="1:58" x14ac:dyDescent="0.15">
      <c r="A329" t="s">
        <v>2171</v>
      </c>
      <c r="B329" t="s">
        <v>492</v>
      </c>
      <c r="C329" t="s">
        <v>1471</v>
      </c>
      <c r="D329" t="s">
        <v>2172</v>
      </c>
      <c r="E329">
        <v>589</v>
      </c>
      <c r="F329" s="14" t="s">
        <v>61</v>
      </c>
      <c r="G329" t="s">
        <v>217</v>
      </c>
      <c r="H329" s="14">
        <v>0.95</v>
      </c>
      <c r="AL329" s="11"/>
      <c r="AO329" s="11"/>
      <c r="BD329" s="12"/>
      <c r="BE329" s="12"/>
      <c r="BF329" s="14"/>
    </row>
    <row r="330" spans="1:58" x14ac:dyDescent="0.15">
      <c r="A330" t="s">
        <v>1528</v>
      </c>
      <c r="B330" t="s">
        <v>1529</v>
      </c>
      <c r="C330" t="s">
        <v>1502</v>
      </c>
      <c r="D330" t="s">
        <v>1531</v>
      </c>
      <c r="E330">
        <v>1747</v>
      </c>
      <c r="F330" s="14" t="s">
        <v>2268</v>
      </c>
      <c r="G330" t="s">
        <v>315</v>
      </c>
      <c r="H330" s="14">
        <v>0.95294117647058818</v>
      </c>
      <c r="AA330" s="11"/>
      <c r="AJ330" s="11"/>
      <c r="AS330" s="11"/>
      <c r="AU330" s="11"/>
      <c r="BD330" s="12"/>
      <c r="BE330" s="12"/>
      <c r="BF330" s="14"/>
    </row>
    <row r="331" spans="1:58" x14ac:dyDescent="0.15">
      <c r="A331" t="s">
        <v>1809</v>
      </c>
      <c r="B331" t="s">
        <v>1506</v>
      </c>
      <c r="C331" t="s">
        <v>1506</v>
      </c>
      <c r="D331" t="s">
        <v>1810</v>
      </c>
      <c r="E331">
        <v>729</v>
      </c>
      <c r="F331" s="14" t="s">
        <v>2260</v>
      </c>
      <c r="G331" t="s">
        <v>785</v>
      </c>
      <c r="H331" s="14">
        <v>0.95294117647058818</v>
      </c>
      <c r="O331" s="11"/>
      <c r="Y331" s="11"/>
      <c r="AJ331" s="11"/>
      <c r="AS331" s="11"/>
      <c r="BD331" s="12"/>
      <c r="BE331" s="12"/>
      <c r="BF331" s="14"/>
    </row>
    <row r="332" spans="1:58" x14ac:dyDescent="0.15">
      <c r="A332" t="s">
        <v>1902</v>
      </c>
      <c r="B332" t="s">
        <v>1506</v>
      </c>
      <c r="C332" t="s">
        <v>1506</v>
      </c>
      <c r="D332" t="s">
        <v>1903</v>
      </c>
      <c r="E332">
        <v>1012</v>
      </c>
      <c r="F332" s="14" t="s">
        <v>2260</v>
      </c>
      <c r="G332" t="s">
        <v>2030</v>
      </c>
      <c r="H332" s="14">
        <v>0.95520628321688672</v>
      </c>
      <c r="BD332" s="12"/>
      <c r="BE332" s="13"/>
      <c r="BF332" s="14"/>
    </row>
    <row r="333" spans="1:58" x14ac:dyDescent="0.15">
      <c r="A333" t="s">
        <v>1562</v>
      </c>
      <c r="B333" t="s">
        <v>1380</v>
      </c>
      <c r="C333" t="s">
        <v>1467</v>
      </c>
      <c r="D333" t="s">
        <v>1563</v>
      </c>
      <c r="E333">
        <v>1717</v>
      </c>
      <c r="F333" s="14" t="s">
        <v>2265</v>
      </c>
      <c r="G333" t="s">
        <v>375</v>
      </c>
      <c r="H333" s="14">
        <v>0.9555555555555556</v>
      </c>
      <c r="O333" s="11"/>
      <c r="BD333" s="12"/>
      <c r="BE333" s="13"/>
      <c r="BF333" s="14"/>
    </row>
    <row r="334" spans="1:58" x14ac:dyDescent="0.15">
      <c r="A334" t="s">
        <v>2074</v>
      </c>
      <c r="B334" t="s">
        <v>1387</v>
      </c>
      <c r="C334" t="s">
        <v>1467</v>
      </c>
      <c r="D334" t="s">
        <v>2075</v>
      </c>
      <c r="E334">
        <v>620</v>
      </c>
      <c r="F334" s="14" t="s">
        <v>2263</v>
      </c>
      <c r="G334" t="s">
        <v>111</v>
      </c>
      <c r="H334" s="14">
        <v>0.95609756097560972</v>
      </c>
      <c r="Y334" s="11"/>
      <c r="AL334" s="11"/>
      <c r="BD334" s="12"/>
      <c r="BE334" s="12"/>
      <c r="BF334" s="14"/>
    </row>
    <row r="335" spans="1:58" x14ac:dyDescent="0.15">
      <c r="A335" t="s">
        <v>1572</v>
      </c>
      <c r="B335" t="s">
        <v>662</v>
      </c>
      <c r="C335" t="s">
        <v>1537</v>
      </c>
      <c r="D335" t="s">
        <v>1574</v>
      </c>
      <c r="E335">
        <v>196</v>
      </c>
      <c r="F335" s="14" t="s">
        <v>54</v>
      </c>
      <c r="G335" t="s">
        <v>273</v>
      </c>
      <c r="H335" s="14">
        <v>0.95789473684210524</v>
      </c>
      <c r="Y335" s="11"/>
      <c r="AA335" s="11"/>
      <c r="AO335" s="11"/>
      <c r="AQ335" s="11"/>
      <c r="AS335" s="11"/>
      <c r="BD335" s="12"/>
      <c r="BE335" s="12"/>
      <c r="BF335" s="14"/>
    </row>
    <row r="336" spans="1:58" x14ac:dyDescent="0.15">
      <c r="A336" t="s">
        <v>1927</v>
      </c>
      <c r="B336" t="s">
        <v>791</v>
      </c>
      <c r="C336" t="s">
        <v>1471</v>
      </c>
      <c r="D336" t="s">
        <v>1929</v>
      </c>
      <c r="E336">
        <v>407</v>
      </c>
      <c r="F336" s="14" t="s">
        <v>61</v>
      </c>
      <c r="G336" t="s">
        <v>791</v>
      </c>
      <c r="H336" s="14">
        <v>0.96</v>
      </c>
      <c r="W336" s="11"/>
      <c r="Y336" s="11"/>
      <c r="AS336" s="11"/>
      <c r="BD336" s="12"/>
      <c r="BE336" s="12"/>
      <c r="BF336" s="14"/>
    </row>
    <row r="337" spans="1:58" x14ac:dyDescent="0.15">
      <c r="A337" t="s">
        <v>1642</v>
      </c>
      <c r="B337" t="s">
        <v>1529</v>
      </c>
      <c r="C337" t="s">
        <v>1502</v>
      </c>
      <c r="D337" t="s">
        <v>1643</v>
      </c>
      <c r="E337">
        <v>567</v>
      </c>
      <c r="F337" s="14" t="s">
        <v>77</v>
      </c>
      <c r="G337" t="s">
        <v>730</v>
      </c>
      <c r="H337" s="14">
        <v>0.9652173913043478</v>
      </c>
      <c r="AA337" s="11"/>
      <c r="AJ337" s="11"/>
      <c r="AL337" s="11"/>
      <c r="AO337" s="11"/>
      <c r="AQ337" s="11"/>
      <c r="AS337" s="11"/>
      <c r="BD337" s="12"/>
      <c r="BE337" s="12"/>
      <c r="BF337" s="14"/>
    </row>
    <row r="338" spans="1:58" x14ac:dyDescent="0.15">
      <c r="A338" t="s">
        <v>1661</v>
      </c>
      <c r="B338" t="s">
        <v>789</v>
      </c>
      <c r="C338" t="s">
        <v>1521</v>
      </c>
      <c r="D338" t="s">
        <v>1662</v>
      </c>
      <c r="E338">
        <v>1123</v>
      </c>
      <c r="F338" s="14" t="s">
        <v>67</v>
      </c>
      <c r="G338" t="s">
        <v>223</v>
      </c>
      <c r="H338" s="14">
        <v>0.97037037037037033</v>
      </c>
      <c r="O338" s="11"/>
      <c r="Y338" s="11"/>
      <c r="AL338" s="11"/>
      <c r="BD338" s="12"/>
      <c r="BE338" s="12"/>
      <c r="BF338" s="14"/>
    </row>
    <row r="339" spans="1:58" x14ac:dyDescent="0.15">
      <c r="A339" t="s">
        <v>1457</v>
      </c>
      <c r="B339" t="s">
        <v>1459</v>
      </c>
      <c r="C339" t="s">
        <v>1460</v>
      </c>
      <c r="D339" t="s">
        <v>447</v>
      </c>
      <c r="E339">
        <v>1496</v>
      </c>
      <c r="F339" s="14" t="s">
        <v>2271</v>
      </c>
      <c r="G339" t="s">
        <v>447</v>
      </c>
      <c r="H339" s="14">
        <v>1</v>
      </c>
      <c r="O339" s="11"/>
      <c r="Y339" s="11"/>
      <c r="AA339" s="11"/>
      <c r="AJ339" s="11"/>
      <c r="AL339" s="11"/>
      <c r="AO339" s="11"/>
      <c r="AQ339" s="11"/>
      <c r="AU339" s="11"/>
      <c r="BD339" s="12"/>
      <c r="BE339" s="12"/>
      <c r="BF339" s="14"/>
    </row>
    <row r="340" spans="1:58" x14ac:dyDescent="0.15">
      <c r="A340" t="s">
        <v>1542</v>
      </c>
      <c r="B340" t="s">
        <v>1398</v>
      </c>
      <c r="C340" t="s">
        <v>1471</v>
      </c>
      <c r="D340" t="s">
        <v>557</v>
      </c>
      <c r="E340">
        <v>2071</v>
      </c>
      <c r="F340" s="14" t="s">
        <v>2259</v>
      </c>
      <c r="G340" t="s">
        <v>557</v>
      </c>
      <c r="H340" s="14">
        <v>1</v>
      </c>
      <c r="AL340" s="11"/>
      <c r="BD340" s="12"/>
      <c r="BE340" s="12"/>
      <c r="BF340" s="14"/>
    </row>
    <row r="341" spans="1:58" x14ac:dyDescent="0.15">
      <c r="A341" t="s">
        <v>1549</v>
      </c>
      <c r="B341" t="s">
        <v>1550</v>
      </c>
      <c r="C341" t="s">
        <v>1471</v>
      </c>
      <c r="D341" t="s">
        <v>519</v>
      </c>
      <c r="E341">
        <v>835</v>
      </c>
      <c r="F341" s="14" t="s">
        <v>61</v>
      </c>
      <c r="G341" t="s">
        <v>519</v>
      </c>
      <c r="H341" s="14">
        <v>1</v>
      </c>
      <c r="O341" s="11"/>
      <c r="Q341" s="11"/>
      <c r="BD341" s="12"/>
      <c r="BE341" s="12"/>
      <c r="BF341" s="14"/>
    </row>
    <row r="342" spans="1:58" x14ac:dyDescent="0.15">
      <c r="A342" t="s">
        <v>1640</v>
      </c>
      <c r="B342" t="s">
        <v>1403</v>
      </c>
      <c r="C342" t="s">
        <v>1537</v>
      </c>
      <c r="D342" t="s">
        <v>1641</v>
      </c>
      <c r="E342">
        <v>2099</v>
      </c>
      <c r="F342" s="14" t="s">
        <v>2272</v>
      </c>
      <c r="G342" t="s">
        <v>1641</v>
      </c>
      <c r="H342" s="14">
        <v>1</v>
      </c>
      <c r="O342" s="11"/>
      <c r="Y342" s="11"/>
      <c r="AA342" s="11"/>
      <c r="AJ342" s="11"/>
      <c r="AL342" s="11"/>
      <c r="AO342" s="11"/>
      <c r="AQ342" s="11"/>
      <c r="AU342" s="11"/>
      <c r="BD342" s="12"/>
      <c r="BE342" s="12"/>
      <c r="BF342" s="14"/>
    </row>
    <row r="343" spans="1:58" x14ac:dyDescent="0.15">
      <c r="A343" t="s">
        <v>1681</v>
      </c>
      <c r="B343" t="s">
        <v>1506</v>
      </c>
      <c r="C343" t="s">
        <v>1506</v>
      </c>
      <c r="D343" t="s">
        <v>514</v>
      </c>
      <c r="E343">
        <v>1843</v>
      </c>
      <c r="F343" s="14" t="s">
        <v>2269</v>
      </c>
      <c r="G343" t="s">
        <v>514</v>
      </c>
      <c r="H343" s="14">
        <v>1</v>
      </c>
      <c r="O343" s="11"/>
      <c r="AJ343" s="11"/>
      <c r="BD343" s="12"/>
      <c r="BE343" s="12"/>
      <c r="BF343" s="14"/>
    </row>
    <row r="344" spans="1:58" x14ac:dyDescent="0.15">
      <c r="A344" t="s">
        <v>1754</v>
      </c>
      <c r="B344" t="s">
        <v>1506</v>
      </c>
      <c r="C344" t="s">
        <v>1506</v>
      </c>
      <c r="D344" t="s">
        <v>1755</v>
      </c>
      <c r="E344">
        <v>1212</v>
      </c>
      <c r="F344" s="14" t="s">
        <v>90</v>
      </c>
      <c r="G344" t="s">
        <v>1755</v>
      </c>
      <c r="H344" s="14">
        <v>1</v>
      </c>
      <c r="W344" s="11"/>
      <c r="BD344" s="12"/>
      <c r="BE344" s="13"/>
      <c r="BF344" s="14"/>
    </row>
    <row r="345" spans="1:58" x14ac:dyDescent="0.15">
      <c r="A345" t="s">
        <v>1821</v>
      </c>
      <c r="B345" t="s">
        <v>1388</v>
      </c>
      <c r="C345" t="s">
        <v>1463</v>
      </c>
      <c r="D345" t="s">
        <v>1822</v>
      </c>
      <c r="E345">
        <v>1922</v>
      </c>
      <c r="F345" s="14" t="s">
        <v>2262</v>
      </c>
      <c r="G345" t="s">
        <v>1822</v>
      </c>
      <c r="H345" s="14">
        <v>1</v>
      </c>
      <c r="Y345" s="11"/>
      <c r="AA345" s="11"/>
      <c r="AU345" s="11"/>
      <c r="BD345" s="12"/>
      <c r="BE345" s="12"/>
      <c r="BF345" s="14"/>
    </row>
    <row r="346" spans="1:58" x14ac:dyDescent="0.15">
      <c r="A346" t="s">
        <v>1846</v>
      </c>
      <c r="B346" t="s">
        <v>1380</v>
      </c>
      <c r="C346" t="s">
        <v>1467</v>
      </c>
      <c r="D346" t="s">
        <v>1847</v>
      </c>
      <c r="E346">
        <v>1931</v>
      </c>
      <c r="F346" s="14" t="s">
        <v>2265</v>
      </c>
      <c r="G346" t="s">
        <v>1847</v>
      </c>
      <c r="H346" s="14">
        <v>1</v>
      </c>
      <c r="O346" s="11"/>
      <c r="BD346" s="12"/>
      <c r="BE346" s="12"/>
      <c r="BF346" s="14"/>
    </row>
    <row r="347" spans="1:58" x14ac:dyDescent="0.15">
      <c r="A347" t="s">
        <v>1873</v>
      </c>
      <c r="B347" t="s">
        <v>1506</v>
      </c>
      <c r="C347" t="s">
        <v>1506</v>
      </c>
      <c r="D347" t="s">
        <v>548</v>
      </c>
      <c r="E347">
        <v>1607</v>
      </c>
      <c r="F347" s="14" t="s">
        <v>2269</v>
      </c>
      <c r="G347" t="s">
        <v>548</v>
      </c>
      <c r="H347" s="14">
        <v>1</v>
      </c>
      <c r="Q347" s="11"/>
      <c r="Y347" s="11"/>
      <c r="AU347" s="11"/>
      <c r="BD347" s="12"/>
      <c r="BE347" s="12"/>
      <c r="BF347" s="14"/>
    </row>
    <row r="348" spans="1:58" x14ac:dyDescent="0.15">
      <c r="A348" t="s">
        <v>1908</v>
      </c>
      <c r="B348" t="s">
        <v>1512</v>
      </c>
      <c r="C348" t="s">
        <v>1467</v>
      </c>
      <c r="D348" t="s">
        <v>475</v>
      </c>
      <c r="E348">
        <v>980</v>
      </c>
      <c r="F348" s="14" t="s">
        <v>2263</v>
      </c>
      <c r="G348" t="s">
        <v>475</v>
      </c>
      <c r="H348" s="14">
        <v>1</v>
      </c>
      <c r="O348" s="11"/>
      <c r="Q348" s="11"/>
      <c r="W348" s="11"/>
      <c r="AO348" s="11"/>
      <c r="AQ348" s="11"/>
      <c r="AU348" s="11"/>
      <c r="BD348" s="12"/>
      <c r="BE348" s="12"/>
      <c r="BF348" s="14"/>
    </row>
    <row r="349" spans="1:58" x14ac:dyDescent="0.15">
      <c r="A349" t="s">
        <v>1988</v>
      </c>
      <c r="B349" t="s">
        <v>1459</v>
      </c>
      <c r="C349" t="s">
        <v>1460</v>
      </c>
      <c r="D349" t="s">
        <v>646</v>
      </c>
      <c r="E349">
        <v>1551</v>
      </c>
      <c r="F349" s="14" t="s">
        <v>2271</v>
      </c>
      <c r="G349" t="s">
        <v>646</v>
      </c>
      <c r="H349" s="14">
        <v>1</v>
      </c>
    </row>
    <row r="350" spans="1:58" x14ac:dyDescent="0.15">
      <c r="A350" t="s">
        <v>2017</v>
      </c>
      <c r="B350" t="s">
        <v>527</v>
      </c>
      <c r="C350" t="s">
        <v>1521</v>
      </c>
      <c r="D350" t="s">
        <v>2018</v>
      </c>
      <c r="E350">
        <v>2028</v>
      </c>
      <c r="F350" s="14" t="s">
        <v>2261</v>
      </c>
      <c r="G350" t="s">
        <v>2018</v>
      </c>
      <c r="H350" s="14">
        <v>1</v>
      </c>
    </row>
    <row r="351" spans="1:58" x14ac:dyDescent="0.15">
      <c r="A351" t="s">
        <v>2029</v>
      </c>
      <c r="B351" t="s">
        <v>1506</v>
      </c>
      <c r="C351" t="s">
        <v>1506</v>
      </c>
      <c r="D351" t="s">
        <v>2030</v>
      </c>
      <c r="E351">
        <v>1012</v>
      </c>
      <c r="F351" s="14" t="s">
        <v>2260</v>
      </c>
      <c r="G351" t="s">
        <v>2030</v>
      </c>
      <c r="H351" s="14">
        <v>1</v>
      </c>
    </row>
    <row r="352" spans="1:58" x14ac:dyDescent="0.15">
      <c r="A352" t="s">
        <v>2033</v>
      </c>
      <c r="B352" t="s">
        <v>1550</v>
      </c>
      <c r="C352" t="s">
        <v>1497</v>
      </c>
      <c r="D352" t="s">
        <v>358</v>
      </c>
      <c r="E352">
        <v>228</v>
      </c>
      <c r="F352" s="14" t="s">
        <v>270</v>
      </c>
      <c r="G352" t="s">
        <v>358</v>
      </c>
      <c r="H352" s="14">
        <v>1</v>
      </c>
    </row>
    <row r="353" spans="1:8" x14ac:dyDescent="0.15">
      <c r="A353" t="s">
        <v>2038</v>
      </c>
      <c r="B353" t="s">
        <v>1374</v>
      </c>
      <c r="C353" t="s">
        <v>1471</v>
      </c>
      <c r="D353" t="s">
        <v>2039</v>
      </c>
      <c r="E353">
        <v>1952</v>
      </c>
      <c r="F353" s="14" t="s">
        <v>2259</v>
      </c>
      <c r="G353" t="s">
        <v>2039</v>
      </c>
      <c r="H353" s="14">
        <v>1</v>
      </c>
    </row>
    <row r="354" spans="1:8" x14ac:dyDescent="0.15">
      <c r="A354" t="s">
        <v>2040</v>
      </c>
      <c r="B354" t="s">
        <v>527</v>
      </c>
      <c r="C354" t="s">
        <v>1521</v>
      </c>
      <c r="D354" t="s">
        <v>624</v>
      </c>
      <c r="E354">
        <v>2210</v>
      </c>
      <c r="F354" s="14" t="s">
        <v>2261</v>
      </c>
      <c r="G354" t="s">
        <v>624</v>
      </c>
      <c r="H354" s="14">
        <v>1</v>
      </c>
    </row>
    <row r="355" spans="1:8" x14ac:dyDescent="0.15">
      <c r="A355" t="s">
        <v>2047</v>
      </c>
      <c r="B355" t="s">
        <v>1388</v>
      </c>
      <c r="C355" t="s">
        <v>1463</v>
      </c>
      <c r="D355" t="s">
        <v>591</v>
      </c>
      <c r="E355">
        <v>2096</v>
      </c>
      <c r="F355" s="14" t="s">
        <v>2262</v>
      </c>
      <c r="G355" t="s">
        <v>591</v>
      </c>
      <c r="H355" s="14">
        <v>1</v>
      </c>
    </row>
    <row r="356" spans="1:8" x14ac:dyDescent="0.15">
      <c r="A356" t="s">
        <v>2050</v>
      </c>
      <c r="B356" t="s">
        <v>143</v>
      </c>
      <c r="C356" t="s">
        <v>1521</v>
      </c>
      <c r="D356" t="s">
        <v>2052</v>
      </c>
      <c r="E356">
        <v>2226</v>
      </c>
      <c r="F356" s="14" t="s">
        <v>2261</v>
      </c>
      <c r="G356" t="s">
        <v>2052</v>
      </c>
      <c r="H356" s="14">
        <v>1</v>
      </c>
    </row>
    <row r="357" spans="1:8" x14ac:dyDescent="0.15">
      <c r="A357" t="s">
        <v>2078</v>
      </c>
      <c r="B357" t="s">
        <v>1388</v>
      </c>
      <c r="C357" t="s">
        <v>1463</v>
      </c>
      <c r="D357" t="s">
        <v>2079</v>
      </c>
      <c r="E357">
        <v>1923</v>
      </c>
      <c r="F357" s="14" t="s">
        <v>2262</v>
      </c>
      <c r="G357" t="s">
        <v>2079</v>
      </c>
      <c r="H357" s="14">
        <v>1</v>
      </c>
    </row>
    <row r="358" spans="1:8" x14ac:dyDescent="0.15">
      <c r="A358" t="s">
        <v>2084</v>
      </c>
      <c r="B358" t="s">
        <v>1396</v>
      </c>
      <c r="C358" t="s">
        <v>1467</v>
      </c>
      <c r="D358" t="s">
        <v>529</v>
      </c>
      <c r="E358">
        <v>2055</v>
      </c>
      <c r="F358" s="14" t="s">
        <v>2265</v>
      </c>
      <c r="G358" t="s">
        <v>529</v>
      </c>
      <c r="H358" s="14">
        <v>1</v>
      </c>
    </row>
    <row r="359" spans="1:8" x14ac:dyDescent="0.15">
      <c r="A359" t="s">
        <v>2112</v>
      </c>
      <c r="B359" t="s">
        <v>563</v>
      </c>
      <c r="C359" t="s">
        <v>1471</v>
      </c>
      <c r="D359" t="s">
        <v>2113</v>
      </c>
      <c r="E359">
        <v>1956</v>
      </c>
      <c r="F359" s="14" t="s">
        <v>2259</v>
      </c>
      <c r="G359" t="s">
        <v>2113</v>
      </c>
      <c r="H359" s="14">
        <v>1</v>
      </c>
    </row>
    <row r="360" spans="1:8" x14ac:dyDescent="0.15">
      <c r="A360" t="s">
        <v>2132</v>
      </c>
      <c r="B360" t="s">
        <v>1506</v>
      </c>
      <c r="C360" t="s">
        <v>1506</v>
      </c>
      <c r="D360" t="s">
        <v>2133</v>
      </c>
      <c r="E360">
        <v>1186</v>
      </c>
      <c r="F360" s="14" t="s">
        <v>2260</v>
      </c>
      <c r="G360" t="s">
        <v>2133</v>
      </c>
      <c r="H360" s="14">
        <v>1</v>
      </c>
    </row>
  </sheetData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9FE1-C443-4F1B-92D6-43FABD5DE64C}">
  <dimension ref="A1:BF360"/>
  <sheetViews>
    <sheetView workbookViewId="0">
      <pane ySplit="1" topLeftCell="A2" activePane="bottomLeft" state="frozen"/>
      <selection pane="bottomLeft" activeCell="F39" sqref="F39"/>
    </sheetView>
  </sheetViews>
  <sheetFormatPr baseColWidth="10" defaultColWidth="8.83203125" defaultRowHeight="13" x14ac:dyDescent="0.15"/>
  <cols>
    <col min="1" max="1" width="9.33203125" bestFit="1" customWidth="1"/>
    <col min="2" max="2" width="17.6640625" bestFit="1" customWidth="1"/>
    <col min="3" max="3" width="23.6640625" bestFit="1" customWidth="1"/>
    <col min="4" max="4" width="44.33203125" bestFit="1" customWidth="1"/>
    <col min="5" max="6" width="7.33203125" bestFit="1" customWidth="1"/>
    <col min="7" max="7" width="43.5" bestFit="1" customWidth="1"/>
    <col min="8" max="8" width="9.5" bestFit="1" customWidth="1"/>
  </cols>
  <sheetData>
    <row r="1" spans="1:58" ht="15" x14ac:dyDescent="0.2">
      <c r="A1" s="9" t="s">
        <v>1449</v>
      </c>
      <c r="B1" s="9" t="s">
        <v>1451</v>
      </c>
      <c r="C1" s="9" t="s">
        <v>1452</v>
      </c>
      <c r="D1" s="9" t="s">
        <v>1456</v>
      </c>
      <c r="E1" s="9" t="s">
        <v>1</v>
      </c>
      <c r="F1" s="9" t="s">
        <v>2</v>
      </c>
      <c r="G1" s="9" t="s">
        <v>3</v>
      </c>
      <c r="H1" s="9" t="s">
        <v>2258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10"/>
      <c r="BB1" s="9"/>
      <c r="BC1" s="9"/>
      <c r="BD1" s="9"/>
      <c r="BE1" s="9"/>
      <c r="BF1" s="9"/>
    </row>
    <row r="2" spans="1:58" x14ac:dyDescent="0.15">
      <c r="A2" t="s">
        <v>1701</v>
      </c>
      <c r="B2" t="s">
        <v>764</v>
      </c>
      <c r="C2" t="s">
        <v>1502</v>
      </c>
      <c r="D2" t="s">
        <v>1702</v>
      </c>
      <c r="E2">
        <v>49</v>
      </c>
      <c r="F2" s="14" t="s">
        <v>77</v>
      </c>
      <c r="G2" t="s">
        <v>610</v>
      </c>
      <c r="H2" s="14">
        <v>0.83529411764705885</v>
      </c>
      <c r="O2" s="11"/>
      <c r="AA2" s="11"/>
      <c r="AJ2" s="11"/>
      <c r="AO2" s="11"/>
      <c r="AQ2" s="11"/>
      <c r="BD2" s="12"/>
      <c r="BE2" s="12"/>
      <c r="BF2" s="14"/>
    </row>
    <row r="3" spans="1:58" x14ac:dyDescent="0.15">
      <c r="A3" t="s">
        <v>2003</v>
      </c>
      <c r="B3" t="s">
        <v>1398</v>
      </c>
      <c r="C3" t="s">
        <v>1471</v>
      </c>
      <c r="D3" t="s">
        <v>2004</v>
      </c>
      <c r="E3">
        <v>65</v>
      </c>
      <c r="F3" s="14" t="s">
        <v>61</v>
      </c>
      <c r="G3" t="s">
        <v>312</v>
      </c>
      <c r="H3" s="14">
        <v>0.84444444444444444</v>
      </c>
      <c r="O3" s="11"/>
      <c r="BD3" s="12"/>
      <c r="BE3" s="12"/>
      <c r="BF3" s="14"/>
    </row>
    <row r="4" spans="1:58" x14ac:dyDescent="0.15">
      <c r="A4" t="s">
        <v>1625</v>
      </c>
      <c r="B4" t="s">
        <v>1402</v>
      </c>
      <c r="C4" t="s">
        <v>1471</v>
      </c>
      <c r="D4" t="s">
        <v>1626</v>
      </c>
      <c r="E4">
        <v>76</v>
      </c>
      <c r="F4" s="14" t="s">
        <v>61</v>
      </c>
      <c r="G4" t="s">
        <v>280</v>
      </c>
      <c r="H4" s="14">
        <v>0.85714285714285721</v>
      </c>
      <c r="Q4" s="11"/>
      <c r="Y4" s="11"/>
      <c r="AU4" s="11"/>
      <c r="BD4" s="12"/>
      <c r="BE4" s="12"/>
      <c r="BF4" s="14"/>
    </row>
    <row r="5" spans="1:58" x14ac:dyDescent="0.15">
      <c r="A5" t="s">
        <v>2185</v>
      </c>
      <c r="B5" t="s">
        <v>764</v>
      </c>
      <c r="C5" t="s">
        <v>1502</v>
      </c>
      <c r="D5" t="s">
        <v>2186</v>
      </c>
      <c r="E5">
        <v>96</v>
      </c>
      <c r="F5" s="14" t="s">
        <v>77</v>
      </c>
      <c r="G5" t="s">
        <v>463</v>
      </c>
      <c r="H5" s="14">
        <v>0.83529411764705885</v>
      </c>
      <c r="O5" s="11"/>
      <c r="Q5" s="11"/>
      <c r="W5" s="11"/>
      <c r="AO5" s="11"/>
      <c r="AQ5" s="11"/>
      <c r="AU5" s="11"/>
      <c r="BD5" s="12"/>
      <c r="BE5" s="12"/>
      <c r="BF5" s="14"/>
    </row>
    <row r="6" spans="1:58" x14ac:dyDescent="0.15">
      <c r="A6" t="s">
        <v>1824</v>
      </c>
      <c r="B6" t="s">
        <v>662</v>
      </c>
      <c r="C6" t="s">
        <v>1537</v>
      </c>
      <c r="D6" t="s">
        <v>1825</v>
      </c>
      <c r="E6">
        <v>129</v>
      </c>
      <c r="F6" s="14" t="s">
        <v>54</v>
      </c>
      <c r="G6" t="s">
        <v>662</v>
      </c>
      <c r="H6" s="14">
        <v>0.84000000000000008</v>
      </c>
      <c r="O6" s="11"/>
      <c r="Y6" s="11"/>
      <c r="AJ6" s="11"/>
      <c r="AS6" s="11"/>
      <c r="BD6" s="12"/>
      <c r="BE6" s="12"/>
      <c r="BF6" s="14"/>
    </row>
    <row r="7" spans="1:58" x14ac:dyDescent="0.15">
      <c r="A7" t="s">
        <v>1547</v>
      </c>
      <c r="B7" t="s">
        <v>1506</v>
      </c>
      <c r="C7" t="s">
        <v>1506</v>
      </c>
      <c r="D7" t="s">
        <v>1548</v>
      </c>
      <c r="E7">
        <v>130</v>
      </c>
      <c r="F7" s="14" t="s">
        <v>2260</v>
      </c>
      <c r="G7" t="s">
        <v>459</v>
      </c>
      <c r="H7" s="14">
        <v>0.84000000000000008</v>
      </c>
      <c r="BD7" s="12"/>
      <c r="BE7" s="13"/>
      <c r="BF7" s="14"/>
    </row>
    <row r="8" spans="1:58" x14ac:dyDescent="0.15">
      <c r="A8" t="s">
        <v>1746</v>
      </c>
      <c r="B8" t="s">
        <v>1747</v>
      </c>
      <c r="C8" t="s">
        <v>1460</v>
      </c>
      <c r="D8" t="s">
        <v>1749</v>
      </c>
      <c r="E8">
        <v>131</v>
      </c>
      <c r="F8" s="14" t="s">
        <v>83</v>
      </c>
      <c r="G8" t="s">
        <v>237</v>
      </c>
      <c r="H8" s="14">
        <v>0.85499999999999998</v>
      </c>
      <c r="O8" s="11"/>
      <c r="AA8" s="11"/>
      <c r="BD8" s="12"/>
      <c r="BE8" s="12"/>
      <c r="BF8" s="14"/>
    </row>
    <row r="9" spans="1:58" x14ac:dyDescent="0.15">
      <c r="A9" t="s">
        <v>1600</v>
      </c>
      <c r="B9" t="s">
        <v>68</v>
      </c>
      <c r="C9" t="s">
        <v>1521</v>
      </c>
      <c r="D9" t="s">
        <v>1602</v>
      </c>
      <c r="E9">
        <v>183</v>
      </c>
      <c r="F9" s="14" t="s">
        <v>67</v>
      </c>
      <c r="G9" t="s">
        <v>68</v>
      </c>
      <c r="H9" s="14">
        <v>0.84761904761904761</v>
      </c>
      <c r="AJ9" s="11"/>
      <c r="AO9" s="11"/>
      <c r="AQ9" s="11"/>
      <c r="AU9" s="11"/>
      <c r="BD9" s="12"/>
      <c r="BE9" s="12"/>
      <c r="BF9" s="14"/>
    </row>
    <row r="10" spans="1:58" x14ac:dyDescent="0.15">
      <c r="A10" t="s">
        <v>1572</v>
      </c>
      <c r="B10" t="s">
        <v>662</v>
      </c>
      <c r="C10" t="s">
        <v>1537</v>
      </c>
      <c r="D10" t="s">
        <v>1574</v>
      </c>
      <c r="E10">
        <v>196</v>
      </c>
      <c r="F10" s="14" t="s">
        <v>54</v>
      </c>
      <c r="G10" t="s">
        <v>273</v>
      </c>
      <c r="H10" s="14">
        <v>0.88823529411764712</v>
      </c>
      <c r="Y10" s="11"/>
      <c r="AA10" s="11"/>
      <c r="AJ10" s="11"/>
      <c r="AL10" s="11"/>
      <c r="AO10" s="11"/>
      <c r="AS10" s="11"/>
      <c r="BD10" s="12"/>
      <c r="BE10" s="12"/>
      <c r="BF10" s="14"/>
    </row>
    <row r="11" spans="1:58" x14ac:dyDescent="0.15">
      <c r="A11" t="s">
        <v>1852</v>
      </c>
      <c r="B11" t="s">
        <v>1383</v>
      </c>
      <c r="C11" t="s">
        <v>1460</v>
      </c>
      <c r="D11" t="s">
        <v>1853</v>
      </c>
      <c r="E11">
        <v>199</v>
      </c>
      <c r="F11" s="14" t="s">
        <v>83</v>
      </c>
      <c r="G11" t="s">
        <v>712</v>
      </c>
      <c r="H11" s="14">
        <v>0.89302325581395348</v>
      </c>
      <c r="O11" s="11"/>
      <c r="AJ11" s="11"/>
      <c r="AL11" s="11"/>
      <c r="AO11" s="11"/>
      <c r="AQ11" s="11"/>
      <c r="BD11" s="12"/>
      <c r="BE11" s="12"/>
      <c r="BF11" s="14"/>
    </row>
    <row r="12" spans="1:58" x14ac:dyDescent="0.15">
      <c r="A12" t="s">
        <v>1934</v>
      </c>
      <c r="B12" t="s">
        <v>358</v>
      </c>
      <c r="C12" t="s">
        <v>1497</v>
      </c>
      <c r="D12" t="s">
        <v>1936</v>
      </c>
      <c r="E12">
        <v>228</v>
      </c>
      <c r="F12" s="14" t="s">
        <v>270</v>
      </c>
      <c r="G12" t="s">
        <v>358</v>
      </c>
      <c r="H12" s="14">
        <v>0.83703703703703702</v>
      </c>
      <c r="BD12" s="12"/>
      <c r="BE12" s="13"/>
      <c r="BF12" s="14"/>
    </row>
    <row r="13" spans="1:58" x14ac:dyDescent="0.15">
      <c r="A13" t="s">
        <v>1656</v>
      </c>
      <c r="B13" t="s">
        <v>1506</v>
      </c>
      <c r="C13" t="s">
        <v>1506</v>
      </c>
      <c r="D13" t="s">
        <v>1657</v>
      </c>
      <c r="E13">
        <v>234</v>
      </c>
      <c r="F13" s="14" t="s">
        <v>2260</v>
      </c>
      <c r="G13" t="s">
        <v>441</v>
      </c>
      <c r="H13" s="14">
        <v>0.85882352941176476</v>
      </c>
      <c r="O13" s="11"/>
      <c r="W13" s="11"/>
      <c r="Y13" s="11"/>
      <c r="AA13" s="11"/>
      <c r="AO13" s="11"/>
      <c r="AQ13" s="11"/>
      <c r="AS13" s="11"/>
      <c r="BD13" s="12"/>
      <c r="BE13" s="12"/>
      <c r="BF13" s="14"/>
    </row>
    <row r="14" spans="1:58" x14ac:dyDescent="0.15">
      <c r="A14" t="s">
        <v>1973</v>
      </c>
      <c r="B14" t="s">
        <v>1398</v>
      </c>
      <c r="C14" t="s">
        <v>1471</v>
      </c>
      <c r="D14" t="s">
        <v>1974</v>
      </c>
      <c r="E14">
        <v>240</v>
      </c>
      <c r="F14" s="14" t="s">
        <v>61</v>
      </c>
      <c r="G14" t="s">
        <v>500</v>
      </c>
      <c r="H14" s="14">
        <v>0.84444444444444444</v>
      </c>
      <c r="O14" s="11"/>
      <c r="Q14" s="11"/>
      <c r="W14" s="11"/>
      <c r="BD14" s="12"/>
      <c r="BE14" s="13"/>
      <c r="BF14" s="14"/>
    </row>
    <row r="15" spans="1:58" x14ac:dyDescent="0.15">
      <c r="A15" t="s">
        <v>2065</v>
      </c>
      <c r="B15" t="s">
        <v>1721</v>
      </c>
      <c r="C15" t="s">
        <v>1497</v>
      </c>
      <c r="D15" t="s">
        <v>2066</v>
      </c>
      <c r="E15">
        <v>246</v>
      </c>
      <c r="F15" s="14" t="s">
        <v>270</v>
      </c>
      <c r="G15" t="s">
        <v>363</v>
      </c>
      <c r="H15" s="14">
        <v>0.8789473684210527</v>
      </c>
      <c r="Y15" s="11"/>
      <c r="AL15" s="11"/>
      <c r="AS15" s="11"/>
      <c r="AU15" s="11"/>
      <c r="BD15" s="12"/>
      <c r="BE15" s="12"/>
      <c r="BF15" s="14"/>
    </row>
    <row r="16" spans="1:58" x14ac:dyDescent="0.15">
      <c r="A16" t="s">
        <v>1623</v>
      </c>
      <c r="B16" t="s">
        <v>1398</v>
      </c>
      <c r="C16" t="s">
        <v>1471</v>
      </c>
      <c r="D16" t="s">
        <v>1624</v>
      </c>
      <c r="E16">
        <v>251</v>
      </c>
      <c r="F16" s="14" t="s">
        <v>61</v>
      </c>
      <c r="G16" t="s">
        <v>814</v>
      </c>
      <c r="H16" s="14">
        <v>0.86875000000000002</v>
      </c>
      <c r="Y16" s="11"/>
      <c r="AA16" s="11"/>
      <c r="AL16" s="11"/>
      <c r="AS16" s="11"/>
      <c r="BD16" s="12"/>
      <c r="BE16" s="12"/>
      <c r="BF16" s="14"/>
    </row>
    <row r="17" spans="1:58" x14ac:dyDescent="0.15">
      <c r="A17" t="s">
        <v>2007</v>
      </c>
      <c r="B17" t="s">
        <v>1676</v>
      </c>
      <c r="C17" t="s">
        <v>1502</v>
      </c>
      <c r="D17" t="s">
        <v>2008</v>
      </c>
      <c r="E17">
        <v>260</v>
      </c>
      <c r="F17" s="14" t="s">
        <v>77</v>
      </c>
      <c r="G17" t="s">
        <v>317</v>
      </c>
      <c r="H17" s="14">
        <v>0.83157894736842108</v>
      </c>
      <c r="AA17" s="11"/>
      <c r="AJ17" s="11"/>
      <c r="AO17" s="11"/>
      <c r="AQ17" s="11"/>
      <c r="AS17" s="11"/>
      <c r="AU17" s="11"/>
      <c r="BD17" s="12"/>
      <c r="BE17" s="12"/>
      <c r="BF17" s="14"/>
    </row>
    <row r="18" spans="1:58" x14ac:dyDescent="0.15">
      <c r="A18" t="s">
        <v>1738</v>
      </c>
      <c r="B18" t="s">
        <v>563</v>
      </c>
      <c r="C18" t="s">
        <v>1471</v>
      </c>
      <c r="D18" t="s">
        <v>1739</v>
      </c>
      <c r="E18">
        <v>264</v>
      </c>
      <c r="F18" s="14" t="s">
        <v>61</v>
      </c>
      <c r="G18" t="s">
        <v>543</v>
      </c>
      <c r="H18" s="14">
        <v>0.88108108108108107</v>
      </c>
      <c r="Y18" s="11"/>
      <c r="AA18" s="11"/>
      <c r="AL18" s="11"/>
      <c r="BD18" s="12"/>
      <c r="BE18" s="12"/>
      <c r="BF18" s="14"/>
    </row>
    <row r="19" spans="1:58" x14ac:dyDescent="0.15">
      <c r="A19" t="s">
        <v>2045</v>
      </c>
      <c r="B19" t="s">
        <v>1387</v>
      </c>
      <c r="C19" t="s">
        <v>1467</v>
      </c>
      <c r="D19" t="s">
        <v>2046</v>
      </c>
      <c r="E19">
        <v>269</v>
      </c>
      <c r="F19" s="14" t="s">
        <v>2265</v>
      </c>
      <c r="G19" t="s">
        <v>620</v>
      </c>
      <c r="H19" s="14">
        <v>0.86511627906976751</v>
      </c>
      <c r="Q19" s="11"/>
      <c r="Y19" s="11"/>
      <c r="AU19" s="11"/>
      <c r="BD19" s="12"/>
      <c r="BE19" s="12"/>
      <c r="BF19" s="14"/>
    </row>
    <row r="20" spans="1:58" x14ac:dyDescent="0.15">
      <c r="A20" t="s">
        <v>1477</v>
      </c>
      <c r="B20" t="s">
        <v>563</v>
      </c>
      <c r="C20" t="s">
        <v>1471</v>
      </c>
      <c r="D20" t="s">
        <v>1479</v>
      </c>
      <c r="E20">
        <v>281</v>
      </c>
      <c r="F20" s="14" t="s">
        <v>61</v>
      </c>
      <c r="G20" t="s">
        <v>928</v>
      </c>
      <c r="H20" s="14">
        <v>0.85217391304347834</v>
      </c>
      <c r="O20" s="11"/>
      <c r="AA20" s="11"/>
      <c r="AU20" s="11"/>
      <c r="BD20" s="12"/>
      <c r="BE20" s="12"/>
      <c r="BF20" s="14"/>
    </row>
    <row r="21" spans="1:58" x14ac:dyDescent="0.15">
      <c r="A21" t="s">
        <v>1880</v>
      </c>
      <c r="B21" t="s">
        <v>1881</v>
      </c>
      <c r="C21" t="s">
        <v>1497</v>
      </c>
      <c r="D21" t="s">
        <v>1883</v>
      </c>
      <c r="E21">
        <v>284</v>
      </c>
      <c r="F21" s="14" t="s">
        <v>270</v>
      </c>
      <c r="G21" t="s">
        <v>628</v>
      </c>
      <c r="H21" s="14">
        <v>0.84516129032258069</v>
      </c>
      <c r="Y21" s="11"/>
      <c r="AJ21" s="11"/>
      <c r="AS21" s="11"/>
      <c r="BD21" s="12"/>
      <c r="BE21" s="12"/>
      <c r="BF21" s="14"/>
    </row>
    <row r="22" spans="1:58" x14ac:dyDescent="0.15">
      <c r="A22" t="s">
        <v>2009</v>
      </c>
      <c r="B22" t="s">
        <v>1506</v>
      </c>
      <c r="C22" t="s">
        <v>1506</v>
      </c>
      <c r="D22" t="s">
        <v>2010</v>
      </c>
      <c r="E22">
        <v>290</v>
      </c>
      <c r="F22" s="14" t="s">
        <v>2260</v>
      </c>
      <c r="G22" t="s">
        <v>483</v>
      </c>
      <c r="H22" s="14">
        <v>0.84000000000000008</v>
      </c>
      <c r="O22" s="11"/>
      <c r="Q22" s="11"/>
      <c r="W22" s="11"/>
      <c r="AW22" s="11"/>
      <c r="BD22" s="12"/>
      <c r="BE22" s="13"/>
      <c r="BF22" s="14"/>
    </row>
    <row r="23" spans="1:58" x14ac:dyDescent="0.15">
      <c r="A23" t="s">
        <v>1785</v>
      </c>
      <c r="B23" t="s">
        <v>1550</v>
      </c>
      <c r="C23" t="s">
        <v>1521</v>
      </c>
      <c r="D23" t="s">
        <v>1787</v>
      </c>
      <c r="E23">
        <v>292</v>
      </c>
      <c r="F23" s="14" t="s">
        <v>67</v>
      </c>
      <c r="G23" t="s">
        <v>621</v>
      </c>
      <c r="H23" s="14">
        <v>0.90059668508287294</v>
      </c>
      <c r="Y23" s="11"/>
      <c r="AA23" s="11"/>
      <c r="AJ23" s="11"/>
      <c r="AL23" s="11"/>
      <c r="AO23" s="11"/>
      <c r="AS23" s="11"/>
      <c r="BD23" s="12"/>
      <c r="BE23" s="12"/>
      <c r="BF23" s="14"/>
    </row>
    <row r="24" spans="1:58" x14ac:dyDescent="0.15">
      <c r="A24" t="s">
        <v>2137</v>
      </c>
      <c r="B24" t="s">
        <v>1632</v>
      </c>
      <c r="C24" t="s">
        <v>1471</v>
      </c>
      <c r="D24" t="s">
        <v>2138</v>
      </c>
      <c r="E24">
        <v>315</v>
      </c>
      <c r="F24" s="14" t="s">
        <v>61</v>
      </c>
      <c r="G24" t="s">
        <v>1354</v>
      </c>
      <c r="H24" s="14">
        <v>0.84827586206896555</v>
      </c>
      <c r="O24" s="11"/>
      <c r="AA24" s="11"/>
      <c r="BD24" s="12"/>
      <c r="BE24" s="12"/>
      <c r="BF24" s="14"/>
    </row>
    <row r="25" spans="1:58" x14ac:dyDescent="0.15">
      <c r="A25" t="s">
        <v>1805</v>
      </c>
      <c r="B25" t="s">
        <v>1394</v>
      </c>
      <c r="C25" t="s">
        <v>1537</v>
      </c>
      <c r="D25" t="s">
        <v>1806</v>
      </c>
      <c r="E25">
        <v>317</v>
      </c>
      <c r="F25" s="14" t="s">
        <v>54</v>
      </c>
      <c r="G25" t="s">
        <v>490</v>
      </c>
      <c r="H25" s="14">
        <v>0.84000000000000008</v>
      </c>
      <c r="AA25" s="11"/>
      <c r="AL25" s="11"/>
      <c r="AS25" s="11"/>
      <c r="BD25" s="12"/>
      <c r="BE25" s="12"/>
      <c r="BF25" s="14"/>
    </row>
    <row r="26" spans="1:58" x14ac:dyDescent="0.15">
      <c r="A26" t="s">
        <v>1939</v>
      </c>
      <c r="B26" t="s">
        <v>1394</v>
      </c>
      <c r="C26" t="s">
        <v>1537</v>
      </c>
      <c r="D26" t="s">
        <v>1940</v>
      </c>
      <c r="E26">
        <v>349</v>
      </c>
      <c r="F26" s="14" t="s">
        <v>54</v>
      </c>
      <c r="G26" t="s">
        <v>832</v>
      </c>
      <c r="H26" s="14">
        <v>0.88837209302325582</v>
      </c>
      <c r="Q26" s="11"/>
      <c r="AJ26" s="11"/>
      <c r="AL26" s="11"/>
      <c r="AO26" s="11"/>
      <c r="AQ26" s="11"/>
      <c r="AS26" s="11"/>
      <c r="BD26" s="12"/>
      <c r="BE26" s="12"/>
      <c r="BF26" s="14"/>
    </row>
    <row r="27" spans="1:58" x14ac:dyDescent="0.15">
      <c r="A27" t="s">
        <v>1826</v>
      </c>
      <c r="B27" t="s">
        <v>1398</v>
      </c>
      <c r="C27" t="s">
        <v>1471</v>
      </c>
      <c r="D27" t="s">
        <v>1827</v>
      </c>
      <c r="E27">
        <v>351</v>
      </c>
      <c r="F27" s="14" t="s">
        <v>61</v>
      </c>
      <c r="G27" t="s">
        <v>481</v>
      </c>
      <c r="H27" s="14">
        <v>0.88333333333333341</v>
      </c>
      <c r="O27" s="11"/>
      <c r="Q27" s="11"/>
      <c r="Y27" s="11"/>
      <c r="AA27" s="11"/>
      <c r="AS27" s="11"/>
      <c r="BD27" s="12"/>
      <c r="BE27" s="12"/>
      <c r="BF27" s="14"/>
    </row>
    <row r="28" spans="1:58" x14ac:dyDescent="0.15">
      <c r="A28" t="s">
        <v>2175</v>
      </c>
      <c r="B28" t="s">
        <v>1370</v>
      </c>
      <c r="C28" t="s">
        <v>1521</v>
      </c>
      <c r="D28" t="s">
        <v>2176</v>
      </c>
      <c r="E28">
        <v>360</v>
      </c>
      <c r="F28" s="14" t="s">
        <v>67</v>
      </c>
      <c r="G28" t="s">
        <v>355</v>
      </c>
      <c r="H28" s="14">
        <v>0.86451612903225805</v>
      </c>
      <c r="Q28" s="11"/>
      <c r="AL28" s="11"/>
      <c r="BD28" s="12"/>
      <c r="BE28" s="13"/>
      <c r="BF28" s="14"/>
    </row>
    <row r="29" spans="1:58" x14ac:dyDescent="0.15">
      <c r="A29" t="s">
        <v>1679</v>
      </c>
      <c r="B29" t="s">
        <v>1506</v>
      </c>
      <c r="C29" t="s">
        <v>1506</v>
      </c>
      <c r="D29" t="s">
        <v>1680</v>
      </c>
      <c r="E29">
        <v>367</v>
      </c>
      <c r="F29" s="14" t="s">
        <v>2260</v>
      </c>
      <c r="G29" t="s">
        <v>626</v>
      </c>
      <c r="H29" s="14">
        <v>0.84000000000000008</v>
      </c>
      <c r="O29" s="11"/>
      <c r="AJ29" s="11"/>
      <c r="AO29" s="11"/>
      <c r="AQ29" s="11"/>
      <c r="AS29" s="11"/>
      <c r="BD29" s="12"/>
      <c r="BE29" s="12"/>
      <c r="BF29" s="14"/>
    </row>
    <row r="30" spans="1:58" x14ac:dyDescent="0.15">
      <c r="A30" t="s">
        <v>1714</v>
      </c>
      <c r="B30" t="s">
        <v>1506</v>
      </c>
      <c r="C30" t="s">
        <v>1506</v>
      </c>
      <c r="D30" t="s">
        <v>1715</v>
      </c>
      <c r="E30">
        <v>368</v>
      </c>
      <c r="F30" s="14" t="s">
        <v>2260</v>
      </c>
      <c r="G30" t="s">
        <v>396</v>
      </c>
      <c r="H30" s="14">
        <v>0.84516129032258069</v>
      </c>
      <c r="Y30" s="11"/>
      <c r="AL30" s="11"/>
      <c r="BD30" s="12"/>
      <c r="BE30" s="12"/>
      <c r="BF30" s="14"/>
    </row>
    <row r="31" spans="1:58" x14ac:dyDescent="0.15">
      <c r="A31" t="s">
        <v>1788</v>
      </c>
      <c r="B31" t="s">
        <v>1512</v>
      </c>
      <c r="C31" t="s">
        <v>1467</v>
      </c>
      <c r="D31" t="s">
        <v>1789</v>
      </c>
      <c r="E31">
        <v>370</v>
      </c>
      <c r="F31" s="14" t="s">
        <v>2263</v>
      </c>
      <c r="G31" t="s">
        <v>522</v>
      </c>
      <c r="H31" s="14">
        <v>0.83333333333333337</v>
      </c>
      <c r="Y31" s="11"/>
      <c r="AA31" s="11"/>
      <c r="AJ31" s="11"/>
      <c r="AO31" s="11"/>
      <c r="AQ31" s="11"/>
      <c r="AS31" s="11"/>
      <c r="AU31" s="11"/>
      <c r="BD31" s="12"/>
      <c r="BE31" s="12"/>
      <c r="BF31" s="14"/>
    </row>
    <row r="32" spans="1:58" x14ac:dyDescent="0.15">
      <c r="A32" t="s">
        <v>1941</v>
      </c>
      <c r="B32" t="s">
        <v>1398</v>
      </c>
      <c r="C32" t="s">
        <v>1471</v>
      </c>
      <c r="D32" t="s">
        <v>1942</v>
      </c>
      <c r="E32">
        <v>374</v>
      </c>
      <c r="F32" s="14" t="s">
        <v>61</v>
      </c>
      <c r="G32" t="s">
        <v>848</v>
      </c>
      <c r="H32" s="14">
        <v>0.88333333333333341</v>
      </c>
      <c r="AA32" s="11"/>
      <c r="AL32" s="11"/>
      <c r="AS32" s="11"/>
      <c r="BD32" s="12"/>
      <c r="BE32" s="12"/>
      <c r="BF32" s="14"/>
    </row>
    <row r="33" spans="1:58" x14ac:dyDescent="0.15">
      <c r="A33" t="s">
        <v>1986</v>
      </c>
      <c r="B33" t="s">
        <v>1632</v>
      </c>
      <c r="C33" t="s">
        <v>1471</v>
      </c>
      <c r="D33" t="s">
        <v>1987</v>
      </c>
      <c r="E33">
        <v>381</v>
      </c>
      <c r="F33" s="14" t="s">
        <v>61</v>
      </c>
      <c r="G33" t="s">
        <v>681</v>
      </c>
      <c r="H33" s="14">
        <v>0.8666666666666667</v>
      </c>
      <c r="Q33" s="11"/>
      <c r="AA33" s="11"/>
      <c r="BD33" s="12"/>
      <c r="BE33" s="12"/>
      <c r="BF33" s="14"/>
    </row>
    <row r="34" spans="1:58" x14ac:dyDescent="0.15">
      <c r="A34" t="s">
        <v>2091</v>
      </c>
      <c r="B34" t="s">
        <v>1506</v>
      </c>
      <c r="C34" t="s">
        <v>1506</v>
      </c>
      <c r="D34" t="s">
        <v>2092</v>
      </c>
      <c r="E34">
        <v>382</v>
      </c>
      <c r="F34" s="14" t="s">
        <v>2260</v>
      </c>
      <c r="G34" t="s">
        <v>596</v>
      </c>
      <c r="H34" s="14">
        <v>0.83448275862068966</v>
      </c>
      <c r="Q34" s="11"/>
      <c r="Y34" s="11"/>
      <c r="AU34" s="11"/>
      <c r="BD34" s="12"/>
      <c r="BE34" s="12"/>
      <c r="BF34" s="14"/>
    </row>
    <row r="35" spans="1:58" x14ac:dyDescent="0.15">
      <c r="A35" t="s">
        <v>1675</v>
      </c>
      <c r="B35" t="s">
        <v>1676</v>
      </c>
      <c r="C35" t="s">
        <v>1502</v>
      </c>
      <c r="D35" t="s">
        <v>1678</v>
      </c>
      <c r="E35">
        <v>401</v>
      </c>
      <c r="F35" s="14" t="s">
        <v>77</v>
      </c>
      <c r="G35" t="s">
        <v>602</v>
      </c>
      <c r="H35" s="14">
        <v>0.83157894736842108</v>
      </c>
      <c r="O35" s="11"/>
      <c r="AA35" s="11"/>
      <c r="AU35" s="11"/>
      <c r="BD35" s="12"/>
      <c r="BE35" s="12"/>
      <c r="BF35" s="14"/>
    </row>
    <row r="36" spans="1:58" x14ac:dyDescent="0.15">
      <c r="A36" t="s">
        <v>1716</v>
      </c>
      <c r="B36" t="s">
        <v>1506</v>
      </c>
      <c r="C36" t="s">
        <v>1506</v>
      </c>
      <c r="D36" t="s">
        <v>1717</v>
      </c>
      <c r="E36">
        <v>403</v>
      </c>
      <c r="F36" s="14" t="s">
        <v>2260</v>
      </c>
      <c r="G36" t="s">
        <v>165</v>
      </c>
      <c r="H36" s="14">
        <v>0.84000000000000008</v>
      </c>
      <c r="AW36" s="11"/>
      <c r="BD36" s="12"/>
      <c r="BE36" s="13"/>
      <c r="BF36" s="14"/>
    </row>
    <row r="37" spans="1:58" x14ac:dyDescent="0.15">
      <c r="A37" t="s">
        <v>2013</v>
      </c>
      <c r="B37" t="s">
        <v>1632</v>
      </c>
      <c r="C37" t="s">
        <v>1471</v>
      </c>
      <c r="D37" t="s">
        <v>2014</v>
      </c>
      <c r="E37">
        <v>405</v>
      </c>
      <c r="F37" s="14" t="s">
        <v>61</v>
      </c>
      <c r="G37" t="s">
        <v>428</v>
      </c>
      <c r="H37" s="14">
        <v>0.86818181818181817</v>
      </c>
      <c r="BD37" s="12"/>
      <c r="BE37" s="13"/>
      <c r="BF37" s="14"/>
    </row>
    <row r="38" spans="1:58" x14ac:dyDescent="0.15">
      <c r="A38" t="s">
        <v>1927</v>
      </c>
      <c r="B38" t="s">
        <v>791</v>
      </c>
      <c r="C38" t="s">
        <v>1471</v>
      </c>
      <c r="D38" t="s">
        <v>1929</v>
      </c>
      <c r="E38">
        <v>407</v>
      </c>
      <c r="F38" s="14" t="s">
        <v>61</v>
      </c>
      <c r="G38" t="s">
        <v>791</v>
      </c>
      <c r="H38" s="14">
        <v>0.87441860465116283</v>
      </c>
      <c r="O38" s="11"/>
      <c r="Y38" s="11"/>
      <c r="AJ38" s="11"/>
      <c r="AO38" s="11"/>
      <c r="AQ38" s="11"/>
      <c r="AS38" s="11"/>
      <c r="AU38" s="11"/>
      <c r="BD38" s="12"/>
      <c r="BE38" s="12"/>
      <c r="BF38" s="14"/>
    </row>
    <row r="39" spans="1:58" x14ac:dyDescent="0.15">
      <c r="A39" t="s">
        <v>1781</v>
      </c>
      <c r="B39" t="s">
        <v>1676</v>
      </c>
      <c r="C39" t="s">
        <v>1502</v>
      </c>
      <c r="D39" t="s">
        <v>1782</v>
      </c>
      <c r="E39">
        <v>410</v>
      </c>
      <c r="F39" s="14" t="s">
        <v>77</v>
      </c>
      <c r="G39" t="s">
        <v>748</v>
      </c>
      <c r="H39" s="14">
        <v>0.84242424242424241</v>
      </c>
      <c r="AW39" s="11"/>
      <c r="BD39" s="12"/>
      <c r="BE39" s="13"/>
      <c r="BF39" s="14"/>
    </row>
    <row r="40" spans="1:58" x14ac:dyDescent="0.15">
      <c r="A40" t="s">
        <v>2155</v>
      </c>
      <c r="B40" t="s">
        <v>1385</v>
      </c>
      <c r="C40" t="s">
        <v>1463</v>
      </c>
      <c r="D40" t="s">
        <v>2156</v>
      </c>
      <c r="E40">
        <v>415</v>
      </c>
      <c r="F40" s="14" t="s">
        <v>2262</v>
      </c>
      <c r="G40" t="s">
        <v>675</v>
      </c>
      <c r="H40" s="14">
        <v>0.84666666666666668</v>
      </c>
      <c r="O40" s="11"/>
      <c r="AO40" s="11"/>
      <c r="AQ40" s="11"/>
      <c r="BD40" s="12"/>
      <c r="BE40" s="12"/>
      <c r="BF40" s="14"/>
    </row>
    <row r="41" spans="1:58" x14ac:dyDescent="0.15">
      <c r="A41" t="s">
        <v>1967</v>
      </c>
      <c r="B41" t="s">
        <v>1391</v>
      </c>
      <c r="C41" t="s">
        <v>1463</v>
      </c>
      <c r="D41" t="s">
        <v>1968</v>
      </c>
      <c r="E41">
        <v>417</v>
      </c>
      <c r="F41" s="14" t="s">
        <v>104</v>
      </c>
      <c r="G41" t="s">
        <v>2277</v>
      </c>
      <c r="H41" s="14">
        <v>0.8666666666666667</v>
      </c>
      <c r="Q41" s="11"/>
      <c r="AL41" s="11"/>
      <c r="AS41" s="11"/>
      <c r="AU41" s="11"/>
      <c r="BD41" s="12"/>
      <c r="BE41" s="12"/>
      <c r="BF41" s="14"/>
    </row>
    <row r="42" spans="1:58" x14ac:dyDescent="0.15">
      <c r="A42" t="s">
        <v>2093</v>
      </c>
      <c r="B42" t="s">
        <v>1632</v>
      </c>
      <c r="C42" t="s">
        <v>1471</v>
      </c>
      <c r="D42" t="s">
        <v>2094</v>
      </c>
      <c r="E42">
        <v>420</v>
      </c>
      <c r="F42" s="14" t="s">
        <v>61</v>
      </c>
      <c r="G42" t="s">
        <v>221</v>
      </c>
      <c r="H42" s="14">
        <v>0.86250000000000004</v>
      </c>
      <c r="Q42" s="11"/>
      <c r="AO42" s="11"/>
      <c r="AQ42" s="11"/>
      <c r="AU42" s="11"/>
      <c r="BD42" s="12"/>
      <c r="BE42" s="12"/>
      <c r="BF42" s="14"/>
    </row>
    <row r="43" spans="1:58" x14ac:dyDescent="0.15">
      <c r="A43" t="s">
        <v>2041</v>
      </c>
      <c r="B43" t="s">
        <v>563</v>
      </c>
      <c r="C43" t="s">
        <v>1471</v>
      </c>
      <c r="D43" t="s">
        <v>2042</v>
      </c>
      <c r="E43">
        <v>444</v>
      </c>
      <c r="F43" s="14" t="s">
        <v>61</v>
      </c>
      <c r="G43" t="s">
        <v>248</v>
      </c>
      <c r="H43" s="14">
        <v>0.84285714285714286</v>
      </c>
      <c r="AL43" s="11"/>
      <c r="AU43" s="11"/>
      <c r="BD43" s="12"/>
      <c r="BE43" s="12"/>
      <c r="BF43" s="14"/>
    </row>
    <row r="44" spans="1:58" x14ac:dyDescent="0.15">
      <c r="A44" t="s">
        <v>1609</v>
      </c>
      <c r="B44" t="s">
        <v>1403</v>
      </c>
      <c r="C44" t="s">
        <v>1537</v>
      </c>
      <c r="D44" t="s">
        <v>1611</v>
      </c>
      <c r="E44">
        <v>448</v>
      </c>
      <c r="F44" s="14" t="s">
        <v>54</v>
      </c>
      <c r="G44" t="s">
        <v>2278</v>
      </c>
      <c r="H44" s="14">
        <v>0.87333333333333341</v>
      </c>
      <c r="O44" s="11"/>
      <c r="Y44" s="11"/>
      <c r="AA44" s="11"/>
      <c r="AJ44" s="11"/>
      <c r="AL44" s="11"/>
      <c r="AO44" s="11"/>
      <c r="AQ44" s="11"/>
      <c r="AU44" s="11"/>
      <c r="BD44" s="12"/>
      <c r="BE44" s="12"/>
      <c r="BF44" s="14"/>
    </row>
    <row r="45" spans="1:58" x14ac:dyDescent="0.15">
      <c r="A45" t="s">
        <v>2097</v>
      </c>
      <c r="B45" t="s">
        <v>1721</v>
      </c>
      <c r="C45" t="s">
        <v>1497</v>
      </c>
      <c r="D45" t="s">
        <v>2098</v>
      </c>
      <c r="E45">
        <v>476</v>
      </c>
      <c r="F45" s="14" t="s">
        <v>270</v>
      </c>
      <c r="G45" t="s">
        <v>875</v>
      </c>
      <c r="H45" s="14">
        <v>0.85000000000000009</v>
      </c>
      <c r="O45" s="11"/>
      <c r="AJ45" s="11"/>
      <c r="AO45" s="11"/>
      <c r="AQ45" s="11"/>
      <c r="AS45" s="11"/>
      <c r="BD45" s="12"/>
      <c r="BE45" s="12"/>
      <c r="BF45" s="14"/>
    </row>
    <row r="46" spans="1:58" x14ac:dyDescent="0.15">
      <c r="A46" t="s">
        <v>1492</v>
      </c>
      <c r="B46" t="s">
        <v>1398</v>
      </c>
      <c r="C46" t="s">
        <v>1471</v>
      </c>
      <c r="D46" t="s">
        <v>1494</v>
      </c>
      <c r="E46">
        <v>478</v>
      </c>
      <c r="F46" s="14" t="s">
        <v>61</v>
      </c>
      <c r="G46" t="s">
        <v>202</v>
      </c>
      <c r="H46" s="14">
        <v>0.84444444444444444</v>
      </c>
      <c r="Y46" s="11"/>
      <c r="AJ46" s="11"/>
      <c r="AO46" s="11"/>
      <c r="AQ46" s="11"/>
      <c r="AU46" s="11"/>
      <c r="BD46" s="12"/>
      <c r="BE46" s="12"/>
      <c r="BF46" s="14"/>
    </row>
    <row r="47" spans="1:58" x14ac:dyDescent="0.15">
      <c r="A47" t="s">
        <v>1817</v>
      </c>
      <c r="B47" t="s">
        <v>1385</v>
      </c>
      <c r="C47" t="s">
        <v>1463</v>
      </c>
      <c r="D47" t="s">
        <v>1818</v>
      </c>
      <c r="E47">
        <v>479</v>
      </c>
      <c r="F47" s="14" t="s">
        <v>104</v>
      </c>
      <c r="G47" t="s">
        <v>424</v>
      </c>
      <c r="H47" s="14">
        <v>0.8789473684210527</v>
      </c>
      <c r="Y47" s="11"/>
      <c r="AA47" s="11"/>
      <c r="AO47" s="11"/>
      <c r="AQ47" s="11"/>
      <c r="BD47" s="12"/>
      <c r="BE47" s="12"/>
      <c r="BF47" s="14"/>
    </row>
    <row r="48" spans="1:58" x14ac:dyDescent="0.15">
      <c r="A48" t="s">
        <v>2224</v>
      </c>
      <c r="B48" t="s">
        <v>1398</v>
      </c>
      <c r="C48" t="s">
        <v>1471</v>
      </c>
      <c r="D48" t="s">
        <v>2225</v>
      </c>
      <c r="E48">
        <v>484</v>
      </c>
      <c r="F48" s="14" t="s">
        <v>61</v>
      </c>
      <c r="G48" t="s">
        <v>721</v>
      </c>
      <c r="H48" s="14">
        <v>0.85000000000000009</v>
      </c>
      <c r="Q48" s="11"/>
      <c r="BD48" s="12"/>
      <c r="BE48" s="12"/>
      <c r="BF48" s="14"/>
    </row>
    <row r="49" spans="1:58" x14ac:dyDescent="0.15">
      <c r="A49" t="s">
        <v>1919</v>
      </c>
      <c r="B49" t="s">
        <v>527</v>
      </c>
      <c r="C49" t="s">
        <v>1521</v>
      </c>
      <c r="D49" t="s">
        <v>1920</v>
      </c>
      <c r="E49">
        <v>509</v>
      </c>
      <c r="F49" s="14" t="s">
        <v>67</v>
      </c>
      <c r="G49" t="s">
        <v>149</v>
      </c>
      <c r="H49" s="14">
        <v>0.87777777777777777</v>
      </c>
      <c r="O49" s="11"/>
      <c r="Q49" s="11"/>
      <c r="AU49" s="11"/>
      <c r="BD49" s="12"/>
      <c r="BE49" s="12"/>
      <c r="BF49" s="14"/>
    </row>
    <row r="50" spans="1:58" x14ac:dyDescent="0.15">
      <c r="A50" t="s">
        <v>1577</v>
      </c>
      <c r="B50" t="s">
        <v>1398</v>
      </c>
      <c r="C50" t="s">
        <v>1471</v>
      </c>
      <c r="D50" t="s">
        <v>1578</v>
      </c>
      <c r="E50">
        <v>511</v>
      </c>
      <c r="F50" s="14" t="s">
        <v>61</v>
      </c>
      <c r="G50" t="s">
        <v>686</v>
      </c>
      <c r="H50" s="14">
        <v>0.8727272727272728</v>
      </c>
      <c r="AJ50" s="11"/>
      <c r="AO50" s="11"/>
      <c r="AQ50" s="11"/>
      <c r="BD50" s="12"/>
      <c r="BE50" s="12"/>
      <c r="BF50" s="14"/>
    </row>
    <row r="51" spans="1:58" x14ac:dyDescent="0.15">
      <c r="A51" t="s">
        <v>2055</v>
      </c>
      <c r="B51" t="s">
        <v>1537</v>
      </c>
      <c r="C51" t="s">
        <v>1537</v>
      </c>
      <c r="D51" t="s">
        <v>2056</v>
      </c>
      <c r="E51">
        <v>512</v>
      </c>
      <c r="F51" s="14" t="s">
        <v>54</v>
      </c>
      <c r="G51" t="s">
        <v>219</v>
      </c>
      <c r="H51" s="14">
        <v>0.83750000000000002</v>
      </c>
      <c r="AL51" s="11"/>
      <c r="AO51" s="11"/>
      <c r="AS51" s="11"/>
      <c r="BD51" s="12"/>
      <c r="BE51" s="12"/>
      <c r="BF51" s="14"/>
    </row>
    <row r="52" spans="1:58" x14ac:dyDescent="0.15">
      <c r="A52" t="s">
        <v>1629</v>
      </c>
      <c r="B52" t="s">
        <v>1506</v>
      </c>
      <c r="C52" t="s">
        <v>1506</v>
      </c>
      <c r="D52" t="s">
        <v>1630</v>
      </c>
      <c r="E52">
        <v>521</v>
      </c>
      <c r="F52" s="14" t="s">
        <v>2260</v>
      </c>
      <c r="G52" t="s">
        <v>672</v>
      </c>
      <c r="H52" s="14">
        <v>0.84516129032258069</v>
      </c>
      <c r="Y52" s="11"/>
      <c r="AA52" s="11"/>
      <c r="BD52" s="12"/>
      <c r="BE52" s="12"/>
      <c r="BF52" s="14"/>
    </row>
    <row r="53" spans="1:58" x14ac:dyDescent="0.15">
      <c r="A53" t="s">
        <v>1955</v>
      </c>
      <c r="B53" t="s">
        <v>1370</v>
      </c>
      <c r="C53" t="s">
        <v>1521</v>
      </c>
      <c r="D53" t="s">
        <v>1956</v>
      </c>
      <c r="E53">
        <v>527</v>
      </c>
      <c r="F53" s="14" t="s">
        <v>67</v>
      </c>
      <c r="G53" t="s">
        <v>1338</v>
      </c>
      <c r="H53" s="14">
        <v>0.86</v>
      </c>
      <c r="Q53" s="11"/>
      <c r="W53" s="11"/>
      <c r="Y53" s="11"/>
      <c r="AJ53" s="11"/>
      <c r="AO53" s="11"/>
      <c r="AQ53" s="11"/>
      <c r="BD53" s="12"/>
      <c r="BE53" s="12"/>
      <c r="BF53" s="14"/>
    </row>
    <row r="54" spans="1:58" x14ac:dyDescent="0.15">
      <c r="A54" t="s">
        <v>2141</v>
      </c>
      <c r="B54" t="s">
        <v>1370</v>
      </c>
      <c r="C54" t="s">
        <v>1521</v>
      </c>
      <c r="D54" t="s">
        <v>2142</v>
      </c>
      <c r="E54">
        <v>527</v>
      </c>
      <c r="F54" s="14" t="s">
        <v>67</v>
      </c>
      <c r="G54" t="s">
        <v>1338</v>
      </c>
      <c r="H54" s="14">
        <v>0.86</v>
      </c>
      <c r="AJ54" s="11"/>
      <c r="AO54" s="11"/>
      <c r="AQ54" s="11"/>
      <c r="AS54" s="11"/>
      <c r="BD54" s="12"/>
      <c r="BE54" s="12"/>
      <c r="BF54" s="14"/>
    </row>
    <row r="55" spans="1:58" x14ac:dyDescent="0.15">
      <c r="A55" t="s">
        <v>1793</v>
      </c>
      <c r="B55" t="s">
        <v>1370</v>
      </c>
      <c r="C55" t="s">
        <v>1521</v>
      </c>
      <c r="D55" t="s">
        <v>1794</v>
      </c>
      <c r="E55">
        <v>527</v>
      </c>
      <c r="F55" s="14" t="s">
        <v>67</v>
      </c>
      <c r="G55" t="s">
        <v>1338</v>
      </c>
      <c r="H55" s="14">
        <v>0.86206896551724144</v>
      </c>
      <c r="O55" s="11"/>
      <c r="Q55" s="11"/>
      <c r="W55" s="11"/>
      <c r="AO55" s="11"/>
      <c r="AQ55" s="11"/>
      <c r="AU55" s="11"/>
      <c r="BD55" s="12"/>
      <c r="BE55" s="12"/>
      <c r="BF55" s="14"/>
    </row>
    <row r="56" spans="1:58" x14ac:dyDescent="0.15">
      <c r="A56" t="s">
        <v>1913</v>
      </c>
      <c r="B56" t="s">
        <v>1370</v>
      </c>
      <c r="C56" t="s">
        <v>1521</v>
      </c>
      <c r="D56" t="s">
        <v>1914</v>
      </c>
      <c r="E56">
        <v>527</v>
      </c>
      <c r="F56" s="14" t="s">
        <v>67</v>
      </c>
      <c r="G56" t="s">
        <v>1338</v>
      </c>
      <c r="H56" s="14">
        <v>0.86462136912803822</v>
      </c>
      <c r="Y56" s="11"/>
      <c r="AA56" s="11"/>
      <c r="AJ56" s="11"/>
      <c r="AO56" s="11"/>
      <c r="AQ56" s="11"/>
      <c r="AU56" s="11"/>
      <c r="BD56" s="12"/>
      <c r="BE56" s="12"/>
      <c r="BF56" s="14"/>
    </row>
    <row r="57" spans="1:58" x14ac:dyDescent="0.15">
      <c r="A57" t="s">
        <v>2101</v>
      </c>
      <c r="B57" t="s">
        <v>1370</v>
      </c>
      <c r="C57" t="s">
        <v>1521</v>
      </c>
      <c r="D57" t="s">
        <v>2102</v>
      </c>
      <c r="E57">
        <v>527</v>
      </c>
      <c r="F57" s="14" t="s">
        <v>67</v>
      </c>
      <c r="G57" t="s">
        <v>1338</v>
      </c>
      <c r="H57" s="14">
        <v>0.86486486486486491</v>
      </c>
      <c r="O57" s="11"/>
      <c r="AA57" s="11"/>
      <c r="BD57" s="12"/>
      <c r="BE57" s="12"/>
      <c r="BF57" s="14"/>
    </row>
    <row r="58" spans="1:58" x14ac:dyDescent="0.15">
      <c r="A58" t="s">
        <v>2173</v>
      </c>
      <c r="B58" t="s">
        <v>1370</v>
      </c>
      <c r="C58" t="s">
        <v>1521</v>
      </c>
      <c r="D58" t="s">
        <v>2174</v>
      </c>
      <c r="E58">
        <v>527</v>
      </c>
      <c r="F58" s="14" t="s">
        <v>67</v>
      </c>
      <c r="G58" t="s">
        <v>1338</v>
      </c>
      <c r="H58" s="14">
        <v>0.8666666666666667</v>
      </c>
      <c r="Y58" s="11"/>
      <c r="AA58" s="11"/>
      <c r="AJ58" s="11"/>
      <c r="AS58" s="11"/>
      <c r="BD58" s="12"/>
      <c r="BE58" s="12"/>
      <c r="BF58" s="14"/>
    </row>
    <row r="59" spans="1:58" x14ac:dyDescent="0.15">
      <c r="A59" t="s">
        <v>1762</v>
      </c>
      <c r="B59" t="s">
        <v>1370</v>
      </c>
      <c r="C59" t="s">
        <v>1521</v>
      </c>
      <c r="D59" t="s">
        <v>1764</v>
      </c>
      <c r="E59">
        <v>527</v>
      </c>
      <c r="F59" s="14" t="s">
        <v>67</v>
      </c>
      <c r="G59" t="s">
        <v>1338</v>
      </c>
      <c r="H59" s="14">
        <v>0.86923076923076925</v>
      </c>
      <c r="Y59" s="11"/>
      <c r="BD59" s="12"/>
      <c r="BE59" s="12"/>
      <c r="BF59" s="14"/>
    </row>
    <row r="60" spans="1:58" x14ac:dyDescent="0.15">
      <c r="A60" t="s">
        <v>1878</v>
      </c>
      <c r="B60" t="s">
        <v>1370</v>
      </c>
      <c r="C60" t="s">
        <v>1521</v>
      </c>
      <c r="D60" t="s">
        <v>1879</v>
      </c>
      <c r="E60">
        <v>527</v>
      </c>
      <c r="F60" s="14" t="s">
        <v>67</v>
      </c>
      <c r="G60" t="s">
        <v>1338</v>
      </c>
      <c r="H60" s="14">
        <v>0.872</v>
      </c>
      <c r="O60" s="11"/>
      <c r="Q60" s="11"/>
      <c r="Y60" s="11"/>
      <c r="AA60" s="11"/>
      <c r="AS60" s="11"/>
      <c r="BD60" s="12"/>
      <c r="BE60" s="12"/>
      <c r="BF60" s="14"/>
    </row>
    <row r="61" spans="1:58" x14ac:dyDescent="0.15">
      <c r="A61" t="s">
        <v>2143</v>
      </c>
      <c r="B61" t="s">
        <v>1370</v>
      </c>
      <c r="C61" t="s">
        <v>1521</v>
      </c>
      <c r="D61" t="s">
        <v>2144</v>
      </c>
      <c r="E61">
        <v>527</v>
      </c>
      <c r="F61" s="14" t="s">
        <v>67</v>
      </c>
      <c r="G61" t="s">
        <v>1338</v>
      </c>
      <c r="H61" s="14">
        <v>0.87826086956521743</v>
      </c>
      <c r="O61" s="11"/>
      <c r="Q61" s="11"/>
      <c r="Y61" s="11"/>
      <c r="AL61" s="11"/>
      <c r="AO61" s="11"/>
      <c r="AQ61" s="11"/>
      <c r="BD61" s="12"/>
      <c r="BE61" s="12"/>
      <c r="BF61" s="14"/>
    </row>
    <row r="62" spans="1:58" x14ac:dyDescent="0.15">
      <c r="A62" t="s">
        <v>2165</v>
      </c>
      <c r="B62" t="s">
        <v>1501</v>
      </c>
      <c r="C62" t="s">
        <v>1502</v>
      </c>
      <c r="D62" t="s">
        <v>2166</v>
      </c>
      <c r="E62">
        <v>538</v>
      </c>
      <c r="F62" s="14" t="s">
        <v>77</v>
      </c>
      <c r="G62" t="s">
        <v>191</v>
      </c>
      <c r="H62" s="14">
        <v>0.82631578947368423</v>
      </c>
      <c r="AJ62" s="11"/>
      <c r="AL62" s="11"/>
      <c r="AS62" s="11"/>
      <c r="AU62" s="11"/>
      <c r="BD62" s="12"/>
      <c r="BE62" s="12"/>
      <c r="BF62" s="14"/>
    </row>
    <row r="63" spans="1:58" x14ac:dyDescent="0.15">
      <c r="A63" t="s">
        <v>1807</v>
      </c>
      <c r="B63" t="s">
        <v>1398</v>
      </c>
      <c r="C63" t="s">
        <v>1471</v>
      </c>
      <c r="D63" t="s">
        <v>1808</v>
      </c>
      <c r="E63">
        <v>551</v>
      </c>
      <c r="F63" s="14" t="s">
        <v>61</v>
      </c>
      <c r="G63" t="s">
        <v>736</v>
      </c>
      <c r="H63" s="14">
        <v>0.85000000000000009</v>
      </c>
      <c r="Y63" s="11"/>
      <c r="AA63" s="11"/>
      <c r="AJ63" s="11"/>
      <c r="BD63" s="12"/>
      <c r="BE63" s="12"/>
      <c r="BF63" s="14"/>
    </row>
    <row r="64" spans="1:58" x14ac:dyDescent="0.15">
      <c r="A64" t="s">
        <v>2033</v>
      </c>
      <c r="B64" t="s">
        <v>1550</v>
      </c>
      <c r="C64" t="s">
        <v>1497</v>
      </c>
      <c r="D64" t="s">
        <v>358</v>
      </c>
      <c r="E64">
        <v>556</v>
      </c>
      <c r="F64" s="14" t="s">
        <v>270</v>
      </c>
      <c r="G64" t="s">
        <v>581</v>
      </c>
      <c r="H64" s="14">
        <v>0.88956887188931388</v>
      </c>
      <c r="BD64" s="12"/>
      <c r="BE64" s="12"/>
      <c r="BF64" s="14"/>
    </row>
    <row r="65" spans="1:58" x14ac:dyDescent="0.15">
      <c r="A65" t="s">
        <v>1799</v>
      </c>
      <c r="B65" t="s">
        <v>1385</v>
      </c>
      <c r="C65" t="s">
        <v>1463</v>
      </c>
      <c r="D65" t="s">
        <v>1800</v>
      </c>
      <c r="E65">
        <v>557</v>
      </c>
      <c r="F65" s="14" t="s">
        <v>104</v>
      </c>
      <c r="G65" t="s">
        <v>105</v>
      </c>
      <c r="H65" s="14">
        <v>0.8789473684210527</v>
      </c>
      <c r="O65" s="11"/>
      <c r="AL65" s="11"/>
      <c r="BD65" s="12"/>
      <c r="BE65" s="12"/>
      <c r="BF65" s="14"/>
    </row>
    <row r="66" spans="1:58" x14ac:dyDescent="0.15">
      <c r="A66" t="s">
        <v>1642</v>
      </c>
      <c r="B66" t="s">
        <v>1529</v>
      </c>
      <c r="C66" t="s">
        <v>1502</v>
      </c>
      <c r="D66" t="s">
        <v>1643</v>
      </c>
      <c r="E66">
        <v>567</v>
      </c>
      <c r="F66" s="14" t="s">
        <v>77</v>
      </c>
      <c r="G66" t="s">
        <v>730</v>
      </c>
      <c r="H66" s="14">
        <v>0.9</v>
      </c>
      <c r="Y66" s="11"/>
      <c r="AA66" s="11"/>
      <c r="AO66" s="11"/>
      <c r="AQ66" s="11"/>
      <c r="BD66" s="12"/>
      <c r="BE66" s="12"/>
      <c r="BF66" s="14"/>
    </row>
    <row r="67" spans="1:58" x14ac:dyDescent="0.15">
      <c r="A67" t="s">
        <v>1686</v>
      </c>
      <c r="B67" t="s">
        <v>1550</v>
      </c>
      <c r="C67" t="s">
        <v>1521</v>
      </c>
      <c r="D67" t="s">
        <v>1688</v>
      </c>
      <c r="E67">
        <v>574</v>
      </c>
      <c r="F67" s="14" t="s">
        <v>2261</v>
      </c>
      <c r="G67" t="s">
        <v>240</v>
      </c>
      <c r="H67" s="14">
        <v>0.90537454747981061</v>
      </c>
      <c r="AJ67" s="11"/>
      <c r="AO67" s="11"/>
      <c r="AQ67" s="11"/>
      <c r="BD67" s="12"/>
      <c r="BE67" s="12"/>
      <c r="BF67" s="14"/>
    </row>
    <row r="68" spans="1:58" x14ac:dyDescent="0.15">
      <c r="A68" t="s">
        <v>1842</v>
      </c>
      <c r="B68" t="s">
        <v>1376</v>
      </c>
      <c r="C68" t="s">
        <v>1467</v>
      </c>
      <c r="D68" t="s">
        <v>1843</v>
      </c>
      <c r="E68">
        <v>582</v>
      </c>
      <c r="F68" s="14" t="s">
        <v>2263</v>
      </c>
      <c r="G68" t="s">
        <v>967</v>
      </c>
      <c r="H68" s="14">
        <v>0.83684210526315794</v>
      </c>
      <c r="O68" s="11"/>
      <c r="Y68" s="11"/>
      <c r="AL68" s="11"/>
      <c r="AU68" s="11"/>
      <c r="BD68" s="12"/>
      <c r="BE68" s="12"/>
      <c r="BF68" s="14"/>
    </row>
    <row r="69" spans="1:58" x14ac:dyDescent="0.15">
      <c r="A69" t="s">
        <v>2171</v>
      </c>
      <c r="B69" t="s">
        <v>492</v>
      </c>
      <c r="C69" t="s">
        <v>1471</v>
      </c>
      <c r="D69" t="s">
        <v>2172</v>
      </c>
      <c r="E69">
        <v>589</v>
      </c>
      <c r="F69" s="14" t="s">
        <v>61</v>
      </c>
      <c r="G69" t="s">
        <v>217</v>
      </c>
      <c r="H69" s="14">
        <v>0.88</v>
      </c>
      <c r="BD69" s="12"/>
      <c r="BE69" s="13"/>
      <c r="BF69" s="14"/>
    </row>
    <row r="70" spans="1:58" x14ac:dyDescent="0.15">
      <c r="A70" t="s">
        <v>1605</v>
      </c>
      <c r="B70" t="s">
        <v>1376</v>
      </c>
      <c r="C70" t="s">
        <v>1467</v>
      </c>
      <c r="D70" t="s">
        <v>1606</v>
      </c>
      <c r="E70">
        <v>595</v>
      </c>
      <c r="F70" s="14" t="s">
        <v>2263</v>
      </c>
      <c r="G70" t="s">
        <v>2275</v>
      </c>
      <c r="H70" s="14">
        <v>0.87083333333333335</v>
      </c>
      <c r="O70" s="11"/>
      <c r="Y70" s="11"/>
      <c r="AL70" s="11"/>
      <c r="AU70" s="11"/>
      <c r="BD70" s="12"/>
      <c r="BE70" s="12"/>
      <c r="BF70" s="14"/>
    </row>
    <row r="71" spans="1:58" x14ac:dyDescent="0.15">
      <c r="A71" t="s">
        <v>1874</v>
      </c>
      <c r="B71" t="s">
        <v>492</v>
      </c>
      <c r="C71" t="s">
        <v>1471</v>
      </c>
      <c r="D71" t="s">
        <v>1875</v>
      </c>
      <c r="E71">
        <v>601</v>
      </c>
      <c r="F71" s="14" t="s">
        <v>61</v>
      </c>
      <c r="G71" t="s">
        <v>1275</v>
      </c>
      <c r="H71" s="14">
        <v>0.8606060606060606</v>
      </c>
      <c r="Q71" s="11"/>
      <c r="AJ71" s="11"/>
      <c r="AO71" s="11"/>
      <c r="AQ71" s="11"/>
      <c r="AU71" s="11"/>
      <c r="BD71" s="12"/>
      <c r="BE71" s="12"/>
      <c r="BF71" s="14"/>
    </row>
    <row r="72" spans="1:58" x14ac:dyDescent="0.15">
      <c r="A72" t="s">
        <v>2183</v>
      </c>
      <c r="B72" t="s">
        <v>1387</v>
      </c>
      <c r="C72" t="s">
        <v>1467</v>
      </c>
      <c r="D72" t="s">
        <v>2184</v>
      </c>
      <c r="E72">
        <v>609</v>
      </c>
      <c r="F72" s="14" t="s">
        <v>2263</v>
      </c>
      <c r="G72" t="s">
        <v>733</v>
      </c>
      <c r="H72" s="14">
        <v>0.84736842105263166</v>
      </c>
      <c r="O72" s="11"/>
      <c r="AA72" s="11"/>
      <c r="BD72" s="12"/>
      <c r="BE72" s="12"/>
      <c r="BF72" s="14"/>
    </row>
    <row r="73" spans="1:58" x14ac:dyDescent="0.15">
      <c r="A73" t="s">
        <v>1582</v>
      </c>
      <c r="B73" t="s">
        <v>1544</v>
      </c>
      <c r="C73" t="s">
        <v>1460</v>
      </c>
      <c r="D73" t="s">
        <v>1583</v>
      </c>
      <c r="E73">
        <v>615</v>
      </c>
      <c r="F73" s="14" t="s">
        <v>83</v>
      </c>
      <c r="G73" t="s">
        <v>1544</v>
      </c>
      <c r="H73" s="14">
        <v>0.85853658536585364</v>
      </c>
      <c r="AJ73" s="11"/>
      <c r="AS73" s="11"/>
      <c r="AU73" s="11"/>
      <c r="BD73" s="12"/>
      <c r="BE73" s="12"/>
      <c r="BF73" s="14"/>
    </row>
    <row r="74" spans="1:58" x14ac:dyDescent="0.15">
      <c r="A74" t="s">
        <v>1898</v>
      </c>
      <c r="B74" t="s">
        <v>1544</v>
      </c>
      <c r="C74" t="s">
        <v>1460</v>
      </c>
      <c r="D74" t="s">
        <v>1899</v>
      </c>
      <c r="E74">
        <v>615</v>
      </c>
      <c r="F74" s="14" t="s">
        <v>83</v>
      </c>
      <c r="G74" t="s">
        <v>1544</v>
      </c>
      <c r="H74" s="14">
        <v>0.85853658536585364</v>
      </c>
      <c r="Q74" s="11"/>
      <c r="AO74" s="11"/>
      <c r="AQ74" s="11"/>
      <c r="AU74" s="11"/>
      <c r="BD74" s="12"/>
      <c r="BE74" s="12"/>
      <c r="BF74" s="14"/>
    </row>
    <row r="75" spans="1:58" x14ac:dyDescent="0.15">
      <c r="A75" t="s">
        <v>1945</v>
      </c>
      <c r="B75" t="s">
        <v>1544</v>
      </c>
      <c r="C75" t="s">
        <v>1460</v>
      </c>
      <c r="D75" t="s">
        <v>1946</v>
      </c>
      <c r="E75">
        <v>615</v>
      </c>
      <c r="F75" s="14" t="s">
        <v>83</v>
      </c>
      <c r="G75" t="s">
        <v>1544</v>
      </c>
      <c r="H75" s="14">
        <v>0.85853658536585364</v>
      </c>
      <c r="Q75" s="11"/>
      <c r="AA75" s="11"/>
      <c r="AL75" s="11"/>
      <c r="AS75" s="11"/>
      <c r="BD75" s="12"/>
      <c r="BE75" s="12"/>
      <c r="BF75" s="14"/>
    </row>
    <row r="76" spans="1:58" x14ac:dyDescent="0.15">
      <c r="A76" t="s">
        <v>1977</v>
      </c>
      <c r="B76" t="s">
        <v>1544</v>
      </c>
      <c r="C76" t="s">
        <v>1460</v>
      </c>
      <c r="D76" t="s">
        <v>1978</v>
      </c>
      <c r="E76">
        <v>615</v>
      </c>
      <c r="F76" s="14" t="s">
        <v>83</v>
      </c>
      <c r="G76" t="s">
        <v>1544</v>
      </c>
      <c r="H76" s="14">
        <v>0.85853658536585364</v>
      </c>
      <c r="Q76" s="11"/>
      <c r="Y76" s="11"/>
      <c r="AA76" s="11"/>
      <c r="AJ76" s="11"/>
      <c r="BD76" s="12"/>
      <c r="BE76" s="12"/>
      <c r="BF76" s="14"/>
    </row>
    <row r="77" spans="1:58" x14ac:dyDescent="0.15">
      <c r="A77" t="s">
        <v>2027</v>
      </c>
      <c r="B77" t="s">
        <v>1544</v>
      </c>
      <c r="C77" t="s">
        <v>1460</v>
      </c>
      <c r="D77" t="s">
        <v>2028</v>
      </c>
      <c r="E77">
        <v>615</v>
      </c>
      <c r="F77" s="14" t="s">
        <v>83</v>
      </c>
      <c r="G77" t="s">
        <v>1544</v>
      </c>
      <c r="H77" s="14">
        <v>0.85853658536585364</v>
      </c>
      <c r="Q77" s="11"/>
      <c r="AW77" s="11"/>
      <c r="BD77" s="12"/>
      <c r="BE77" s="13"/>
      <c r="BF77" s="14"/>
    </row>
    <row r="78" spans="1:58" x14ac:dyDescent="0.15">
      <c r="A78" t="s">
        <v>2085</v>
      </c>
      <c r="B78" t="s">
        <v>1544</v>
      </c>
      <c r="C78" t="s">
        <v>1460</v>
      </c>
      <c r="D78" t="s">
        <v>2086</v>
      </c>
      <c r="E78">
        <v>615</v>
      </c>
      <c r="F78" s="14" t="s">
        <v>83</v>
      </c>
      <c r="G78" t="s">
        <v>1544</v>
      </c>
      <c r="H78" s="14">
        <v>0.85853658536585364</v>
      </c>
      <c r="Y78" s="11"/>
      <c r="AW78" s="11"/>
      <c r="BD78" s="12"/>
      <c r="BE78" s="13"/>
      <c r="BF78" s="14"/>
    </row>
    <row r="79" spans="1:58" x14ac:dyDescent="0.15">
      <c r="A79" t="s">
        <v>2124</v>
      </c>
      <c r="B79" t="s">
        <v>1544</v>
      </c>
      <c r="C79" t="s">
        <v>1460</v>
      </c>
      <c r="D79" t="s">
        <v>2125</v>
      </c>
      <c r="E79">
        <v>615</v>
      </c>
      <c r="F79" s="14" t="s">
        <v>83</v>
      </c>
      <c r="G79" t="s">
        <v>1544</v>
      </c>
      <c r="H79" s="14">
        <v>0.85853658536585364</v>
      </c>
      <c r="Q79" s="11"/>
      <c r="AA79" s="11"/>
      <c r="AU79" s="11"/>
      <c r="BD79" s="12"/>
      <c r="BE79" s="12"/>
      <c r="BF79" s="14"/>
    </row>
    <row r="80" spans="1:58" x14ac:dyDescent="0.15">
      <c r="A80" t="s">
        <v>1710</v>
      </c>
      <c r="B80" t="s">
        <v>1544</v>
      </c>
      <c r="C80" t="s">
        <v>1460</v>
      </c>
      <c r="D80" t="s">
        <v>1711</v>
      </c>
      <c r="E80">
        <v>615</v>
      </c>
      <c r="F80" s="14" t="s">
        <v>83</v>
      </c>
      <c r="G80" t="s">
        <v>1544</v>
      </c>
      <c r="H80" s="14">
        <v>0.86153846153846159</v>
      </c>
      <c r="O80" s="11"/>
      <c r="Q80" s="11"/>
      <c r="W80" s="11"/>
      <c r="AA80" s="11"/>
      <c r="AJ80" s="11"/>
      <c r="AQ80" s="11"/>
      <c r="AS80" s="11"/>
      <c r="BD80" s="12"/>
      <c r="BE80" s="12"/>
      <c r="BF80" s="14"/>
    </row>
    <row r="81" spans="1:58" x14ac:dyDescent="0.15">
      <c r="A81" t="s">
        <v>2053</v>
      </c>
      <c r="B81" t="s">
        <v>1544</v>
      </c>
      <c r="C81" t="s">
        <v>1460</v>
      </c>
      <c r="D81" t="s">
        <v>2054</v>
      </c>
      <c r="E81">
        <v>615</v>
      </c>
      <c r="F81" s="14" t="s">
        <v>83</v>
      </c>
      <c r="G81" t="s">
        <v>1544</v>
      </c>
      <c r="H81" s="14">
        <v>0.86857142857142855</v>
      </c>
      <c r="O81" s="11"/>
      <c r="AA81" s="11"/>
      <c r="AU81" s="11"/>
      <c r="BD81" s="12"/>
      <c r="BE81" s="12"/>
      <c r="BF81" s="14"/>
    </row>
    <row r="82" spans="1:58" x14ac:dyDescent="0.15">
      <c r="A82" t="s">
        <v>1543</v>
      </c>
      <c r="B82" t="s">
        <v>1544</v>
      </c>
      <c r="C82" t="s">
        <v>1460</v>
      </c>
      <c r="D82" t="s">
        <v>1546</v>
      </c>
      <c r="E82">
        <v>615</v>
      </c>
      <c r="F82" s="14" t="s">
        <v>83</v>
      </c>
      <c r="G82" t="s">
        <v>1544</v>
      </c>
      <c r="H82" s="14">
        <v>0.87058823529411766</v>
      </c>
      <c r="O82" s="11"/>
      <c r="AA82" s="11"/>
      <c r="BD82" s="12"/>
      <c r="BE82" s="12"/>
      <c r="BF82" s="14"/>
    </row>
    <row r="83" spans="1:58" x14ac:dyDescent="0.15">
      <c r="A83" t="s">
        <v>1932</v>
      </c>
      <c r="B83" t="s">
        <v>764</v>
      </c>
      <c r="C83" t="s">
        <v>1502</v>
      </c>
      <c r="D83" t="s">
        <v>1933</v>
      </c>
      <c r="E83">
        <v>617</v>
      </c>
      <c r="F83" s="14" t="s">
        <v>77</v>
      </c>
      <c r="G83" t="s">
        <v>2267</v>
      </c>
      <c r="H83" s="14">
        <v>0.64500000000000002</v>
      </c>
      <c r="AL83" s="11"/>
      <c r="AS83" s="11"/>
      <c r="BD83" s="12"/>
      <c r="BE83" s="12"/>
      <c r="BF83" s="14"/>
    </row>
    <row r="84" spans="1:58" x14ac:dyDescent="0.15">
      <c r="A84" t="s">
        <v>2179</v>
      </c>
      <c r="B84" t="s">
        <v>1529</v>
      </c>
      <c r="C84" t="s">
        <v>1502</v>
      </c>
      <c r="D84" t="s">
        <v>2180</v>
      </c>
      <c r="E84">
        <v>617</v>
      </c>
      <c r="F84" s="14" t="s">
        <v>77</v>
      </c>
      <c r="G84" t="s">
        <v>2267</v>
      </c>
      <c r="H84" s="14">
        <v>0.65806451612903227</v>
      </c>
      <c r="AL84" s="11"/>
      <c r="BD84" s="12"/>
      <c r="BE84" s="12"/>
      <c r="BF84" s="14"/>
    </row>
    <row r="85" spans="1:58" x14ac:dyDescent="0.15">
      <c r="A85" t="s">
        <v>2074</v>
      </c>
      <c r="B85" t="s">
        <v>1387</v>
      </c>
      <c r="C85" t="s">
        <v>1467</v>
      </c>
      <c r="D85" t="s">
        <v>2075</v>
      </c>
      <c r="E85">
        <v>620</v>
      </c>
      <c r="F85" s="14" t="s">
        <v>2263</v>
      </c>
      <c r="G85" t="s">
        <v>111</v>
      </c>
      <c r="H85" s="14">
        <v>0.90491803278688532</v>
      </c>
      <c r="Y85" s="11"/>
      <c r="AW85" s="11"/>
      <c r="BD85" s="12"/>
      <c r="BE85" s="13"/>
      <c r="BF85" s="14"/>
    </row>
    <row r="86" spans="1:58" x14ac:dyDescent="0.15">
      <c r="A86" t="s">
        <v>1943</v>
      </c>
      <c r="B86" t="s">
        <v>1402</v>
      </c>
      <c r="C86" t="s">
        <v>1471</v>
      </c>
      <c r="D86" t="s">
        <v>1944</v>
      </c>
      <c r="E86">
        <v>627</v>
      </c>
      <c r="F86" s="14" t="s">
        <v>2259</v>
      </c>
      <c r="G86" t="s">
        <v>1402</v>
      </c>
      <c r="H86" s="14">
        <v>0.85294117647058831</v>
      </c>
      <c r="AL86" s="11"/>
      <c r="BD86" s="12"/>
      <c r="BE86" s="12"/>
      <c r="BF86" s="14"/>
    </row>
    <row r="87" spans="1:58" x14ac:dyDescent="0.15">
      <c r="A87" t="s">
        <v>1579</v>
      </c>
      <c r="B87" t="s">
        <v>1402</v>
      </c>
      <c r="C87" t="s">
        <v>1471</v>
      </c>
      <c r="D87" t="s">
        <v>1581</v>
      </c>
      <c r="E87">
        <v>627</v>
      </c>
      <c r="F87" s="14" t="s">
        <v>2259</v>
      </c>
      <c r="G87" t="s">
        <v>1402</v>
      </c>
      <c r="H87" s="14">
        <v>0.85625000000000007</v>
      </c>
      <c r="Y87" s="11"/>
      <c r="AA87" s="11"/>
      <c r="AL87" s="11"/>
      <c r="AO87" s="11"/>
      <c r="AQ87" s="11"/>
      <c r="AS87" s="11"/>
      <c r="BD87" s="12"/>
      <c r="BE87" s="12"/>
      <c r="BF87" s="14"/>
    </row>
    <row r="88" spans="1:58" x14ac:dyDescent="0.15">
      <c r="A88" t="s">
        <v>1862</v>
      </c>
      <c r="B88" t="s">
        <v>1402</v>
      </c>
      <c r="C88" t="s">
        <v>1471</v>
      </c>
      <c r="D88" t="s">
        <v>1863</v>
      </c>
      <c r="E88">
        <v>627</v>
      </c>
      <c r="F88" s="14" t="s">
        <v>2259</v>
      </c>
      <c r="G88" t="s">
        <v>1402</v>
      </c>
      <c r="H88" s="14">
        <v>0.85625000000000007</v>
      </c>
      <c r="Q88" s="11"/>
      <c r="W88" s="11"/>
      <c r="Y88" s="11"/>
      <c r="BD88" s="12"/>
      <c r="BE88" s="13"/>
      <c r="BF88" s="14"/>
    </row>
    <row r="89" spans="1:58" x14ac:dyDescent="0.15">
      <c r="A89" t="s">
        <v>1828</v>
      </c>
      <c r="B89" t="s">
        <v>1402</v>
      </c>
      <c r="C89" t="s">
        <v>1471</v>
      </c>
      <c r="D89" t="s">
        <v>1829</v>
      </c>
      <c r="E89">
        <v>627</v>
      </c>
      <c r="F89" s="14" t="s">
        <v>2259</v>
      </c>
      <c r="G89" t="s">
        <v>1402</v>
      </c>
      <c r="H89" s="14">
        <v>0.85806451612903234</v>
      </c>
      <c r="BF89" s="14"/>
    </row>
    <row r="90" spans="1:58" x14ac:dyDescent="0.15">
      <c r="A90" t="s">
        <v>1975</v>
      </c>
      <c r="B90" t="s">
        <v>1402</v>
      </c>
      <c r="C90" t="s">
        <v>1471</v>
      </c>
      <c r="D90" t="s">
        <v>1976</v>
      </c>
      <c r="E90">
        <v>627</v>
      </c>
      <c r="F90" s="14" t="s">
        <v>2259</v>
      </c>
      <c r="G90" t="s">
        <v>1402</v>
      </c>
      <c r="H90" s="14">
        <v>0.85806451612903234</v>
      </c>
      <c r="Q90" s="11"/>
      <c r="W90" s="11"/>
      <c r="Y90" s="11"/>
      <c r="AU90" s="11"/>
      <c r="BD90" s="12"/>
      <c r="BE90" s="12"/>
      <c r="BF90" s="14"/>
    </row>
    <row r="91" spans="1:58" x14ac:dyDescent="0.15">
      <c r="A91" t="s">
        <v>2193</v>
      </c>
      <c r="B91" t="s">
        <v>1402</v>
      </c>
      <c r="C91" t="s">
        <v>1471</v>
      </c>
      <c r="D91" t="s">
        <v>2194</v>
      </c>
      <c r="E91">
        <v>627</v>
      </c>
      <c r="F91" s="14" t="s">
        <v>2259</v>
      </c>
      <c r="G91" t="s">
        <v>1402</v>
      </c>
      <c r="H91" s="14">
        <v>0.85806451612903234</v>
      </c>
      <c r="O91" s="11"/>
      <c r="AA91" s="11"/>
      <c r="AO91" s="11"/>
      <c r="AQ91" s="11"/>
      <c r="AS91" s="11"/>
      <c r="BD91" s="12"/>
      <c r="BE91" s="12"/>
      <c r="BF91" s="14"/>
    </row>
    <row r="92" spans="1:58" x14ac:dyDescent="0.15">
      <c r="A92" t="s">
        <v>2226</v>
      </c>
      <c r="B92" t="s">
        <v>1402</v>
      </c>
      <c r="C92" t="s">
        <v>1471</v>
      </c>
      <c r="D92" t="s">
        <v>2227</v>
      </c>
      <c r="E92">
        <v>627</v>
      </c>
      <c r="F92" s="14" t="s">
        <v>2259</v>
      </c>
      <c r="G92" t="s">
        <v>1402</v>
      </c>
      <c r="H92" s="14">
        <v>0.85806451612903234</v>
      </c>
      <c r="AL92" s="11"/>
      <c r="AS92" s="11"/>
      <c r="BD92" s="12"/>
      <c r="BE92" s="12"/>
      <c r="BF92" s="14"/>
    </row>
    <row r="93" spans="1:58" x14ac:dyDescent="0.15">
      <c r="A93" t="s">
        <v>2199</v>
      </c>
      <c r="B93" t="s">
        <v>1402</v>
      </c>
      <c r="C93" t="s">
        <v>1471</v>
      </c>
      <c r="D93" t="s">
        <v>2200</v>
      </c>
      <c r="E93">
        <v>627</v>
      </c>
      <c r="F93" s="14" t="s">
        <v>2259</v>
      </c>
      <c r="G93" t="s">
        <v>1402</v>
      </c>
      <c r="H93" s="14">
        <v>0.875</v>
      </c>
      <c r="O93" s="11"/>
      <c r="AA93" s="11"/>
      <c r="AU93" s="11"/>
      <c r="BD93" s="12"/>
      <c r="BE93" s="12"/>
      <c r="BF93" s="14"/>
    </row>
    <row r="94" spans="1:58" x14ac:dyDescent="0.15">
      <c r="A94" t="s">
        <v>2208</v>
      </c>
      <c r="B94" t="s">
        <v>1376</v>
      </c>
      <c r="C94" t="s">
        <v>1467</v>
      </c>
      <c r="D94" t="s">
        <v>2209</v>
      </c>
      <c r="E94">
        <v>638</v>
      </c>
      <c r="F94" s="14" t="s">
        <v>2263</v>
      </c>
      <c r="G94" t="s">
        <v>410</v>
      </c>
      <c r="H94" s="14">
        <v>0.83684210526315794</v>
      </c>
      <c r="Q94" s="11"/>
      <c r="Y94" s="11"/>
      <c r="AJ94" s="11"/>
      <c r="AL94" s="11"/>
      <c r="AO94" s="11"/>
      <c r="AQ94" s="11"/>
      <c r="BD94" s="12"/>
      <c r="BE94" s="12"/>
      <c r="BF94" s="14"/>
    </row>
    <row r="95" spans="1:58" x14ac:dyDescent="0.15">
      <c r="A95" t="s">
        <v>1712</v>
      </c>
      <c r="B95" t="s">
        <v>1537</v>
      </c>
      <c r="C95" t="s">
        <v>1537</v>
      </c>
      <c r="D95" t="s">
        <v>1713</v>
      </c>
      <c r="E95">
        <v>639</v>
      </c>
      <c r="F95" s="14" t="s">
        <v>54</v>
      </c>
      <c r="G95" t="s">
        <v>817</v>
      </c>
      <c r="H95" s="14">
        <v>0.83157894736842108</v>
      </c>
      <c r="BD95" s="12"/>
      <c r="BE95" s="13"/>
      <c r="BF95" s="14"/>
    </row>
    <row r="96" spans="1:58" x14ac:dyDescent="0.15">
      <c r="A96" t="s">
        <v>1989</v>
      </c>
      <c r="B96" t="s">
        <v>1369</v>
      </c>
      <c r="C96" t="s">
        <v>1463</v>
      </c>
      <c r="D96" t="s">
        <v>1990</v>
      </c>
      <c r="E96">
        <v>642</v>
      </c>
      <c r="F96" s="14" t="s">
        <v>2262</v>
      </c>
      <c r="G96" t="s">
        <v>504</v>
      </c>
      <c r="H96" s="14">
        <v>0.84516129032258069</v>
      </c>
      <c r="Y96" s="11"/>
      <c r="AA96" s="11"/>
      <c r="AL96" s="11"/>
      <c r="BD96" s="12"/>
      <c r="BE96" s="12"/>
      <c r="BF96" s="14"/>
    </row>
    <row r="97" spans="1:58" x14ac:dyDescent="0.15">
      <c r="A97" t="s">
        <v>1644</v>
      </c>
      <c r="B97" t="s">
        <v>563</v>
      </c>
      <c r="C97" t="s">
        <v>1471</v>
      </c>
      <c r="D97" t="s">
        <v>1645</v>
      </c>
      <c r="E97">
        <v>652</v>
      </c>
      <c r="F97" s="14" t="s">
        <v>61</v>
      </c>
      <c r="G97" t="s">
        <v>422</v>
      </c>
      <c r="H97" s="14">
        <v>0.84285714285714286</v>
      </c>
      <c r="Y97" s="11"/>
      <c r="AO97" s="11"/>
      <c r="AQ97" s="11"/>
      <c r="AU97" s="11"/>
      <c r="BD97" s="12"/>
      <c r="BE97" s="12"/>
      <c r="BF97" s="14"/>
    </row>
    <row r="98" spans="1:58" x14ac:dyDescent="0.15">
      <c r="A98" t="s">
        <v>1957</v>
      </c>
      <c r="B98" t="s">
        <v>1374</v>
      </c>
      <c r="C98" t="s">
        <v>1471</v>
      </c>
      <c r="D98" t="s">
        <v>1958</v>
      </c>
      <c r="E98">
        <v>654</v>
      </c>
      <c r="F98" s="14" t="s">
        <v>61</v>
      </c>
      <c r="G98" t="s">
        <v>650</v>
      </c>
      <c r="H98" s="14">
        <v>0.88</v>
      </c>
      <c r="Q98" s="11"/>
      <c r="AA98" s="11"/>
      <c r="AL98" s="11"/>
      <c r="AS98" s="11"/>
      <c r="AW98" s="11"/>
      <c r="BD98" s="12"/>
      <c r="BE98" s="12"/>
      <c r="BF98" s="14"/>
    </row>
    <row r="99" spans="1:58" x14ac:dyDescent="0.15">
      <c r="A99" t="s">
        <v>1534</v>
      </c>
      <c r="B99" t="s">
        <v>1391</v>
      </c>
      <c r="C99" t="s">
        <v>1463</v>
      </c>
      <c r="D99" t="s">
        <v>1535</v>
      </c>
      <c r="E99">
        <v>655</v>
      </c>
      <c r="F99" s="14" t="s">
        <v>104</v>
      </c>
      <c r="G99" t="s">
        <v>398</v>
      </c>
      <c r="H99" s="14">
        <v>0.70000000000000007</v>
      </c>
      <c r="O99" s="11"/>
      <c r="AO99" s="11"/>
      <c r="AQ99" s="11"/>
      <c r="BD99" s="12"/>
      <c r="BE99" s="12"/>
      <c r="BF99" s="14"/>
    </row>
    <row r="100" spans="1:58" x14ac:dyDescent="0.15">
      <c r="A100" t="s">
        <v>1560</v>
      </c>
      <c r="B100" t="s">
        <v>1378</v>
      </c>
      <c r="C100" t="s">
        <v>1471</v>
      </c>
      <c r="D100" t="s">
        <v>1561</v>
      </c>
      <c r="E100">
        <v>657</v>
      </c>
      <c r="F100" s="14" t="s">
        <v>61</v>
      </c>
      <c r="G100" t="s">
        <v>1313</v>
      </c>
      <c r="H100" s="14">
        <v>0.87058823529411766</v>
      </c>
      <c r="O100" s="11"/>
      <c r="AJ100" s="11"/>
      <c r="BD100" s="12"/>
      <c r="BE100" s="12"/>
      <c r="BF100" s="14"/>
    </row>
    <row r="101" spans="1:58" x14ac:dyDescent="0.15">
      <c r="A101" t="s">
        <v>1728</v>
      </c>
      <c r="B101" t="s">
        <v>1368</v>
      </c>
      <c r="C101" t="s">
        <v>1460</v>
      </c>
      <c r="D101" t="s">
        <v>1729</v>
      </c>
      <c r="E101">
        <v>667</v>
      </c>
      <c r="F101" s="14" t="s">
        <v>83</v>
      </c>
      <c r="G101" t="s">
        <v>175</v>
      </c>
      <c r="H101" s="14">
        <v>0.84666666666666668</v>
      </c>
      <c r="O101" s="11"/>
      <c r="AJ101" s="11"/>
      <c r="AO101" s="11"/>
      <c r="AQ101" s="11"/>
      <c r="AS101" s="11"/>
      <c r="BD101" s="12"/>
      <c r="BE101" s="12"/>
      <c r="BF101" s="14"/>
    </row>
    <row r="102" spans="1:58" x14ac:dyDescent="0.15">
      <c r="A102" t="s">
        <v>1631</v>
      </c>
      <c r="B102" t="s">
        <v>1632</v>
      </c>
      <c r="C102" t="s">
        <v>1471</v>
      </c>
      <c r="D102" t="s">
        <v>1634</v>
      </c>
      <c r="E102">
        <v>671</v>
      </c>
      <c r="F102" s="14" t="s">
        <v>61</v>
      </c>
      <c r="G102" t="s">
        <v>468</v>
      </c>
      <c r="H102" s="14">
        <v>0.84285714285714286</v>
      </c>
      <c r="AJ102" s="11"/>
      <c r="AS102" s="11"/>
      <c r="BD102" s="12"/>
      <c r="BE102" s="12"/>
      <c r="BF102" s="14"/>
    </row>
    <row r="103" spans="1:58" x14ac:dyDescent="0.15">
      <c r="A103" t="s">
        <v>2015</v>
      </c>
      <c r="B103" t="s">
        <v>1374</v>
      </c>
      <c r="C103" t="s">
        <v>1471</v>
      </c>
      <c r="D103" t="s">
        <v>2016</v>
      </c>
      <c r="E103">
        <v>683</v>
      </c>
      <c r="F103" s="14" t="s">
        <v>61</v>
      </c>
      <c r="G103" t="s">
        <v>199</v>
      </c>
      <c r="H103" s="14">
        <v>0.83870967741935487</v>
      </c>
      <c r="Q103" s="11"/>
      <c r="AL103" s="11"/>
      <c r="AS103" s="11"/>
      <c r="BD103" s="12"/>
      <c r="BE103" s="12"/>
      <c r="BF103" s="14"/>
    </row>
    <row r="104" spans="1:58" x14ac:dyDescent="0.15">
      <c r="A104" t="s">
        <v>1756</v>
      </c>
      <c r="B104" t="s">
        <v>1632</v>
      </c>
      <c r="C104" t="s">
        <v>1471</v>
      </c>
      <c r="D104" t="s">
        <v>1757</v>
      </c>
      <c r="E104">
        <v>688</v>
      </c>
      <c r="F104" s="14" t="s">
        <v>61</v>
      </c>
      <c r="G104" t="s">
        <v>1269</v>
      </c>
      <c r="H104" s="14">
        <v>0.84827586206896555</v>
      </c>
      <c r="O104" s="11"/>
      <c r="AA104" s="11"/>
      <c r="AO104" s="11"/>
      <c r="AQ104" s="11"/>
      <c r="BD104" s="12"/>
      <c r="BE104" s="12"/>
      <c r="BF104" s="14"/>
    </row>
    <row r="105" spans="1:58" x14ac:dyDescent="0.15">
      <c r="A105" t="s">
        <v>1947</v>
      </c>
      <c r="B105" t="s">
        <v>1676</v>
      </c>
      <c r="C105" t="s">
        <v>1502</v>
      </c>
      <c r="D105" t="s">
        <v>1948</v>
      </c>
      <c r="E105">
        <v>699</v>
      </c>
      <c r="F105" s="14" t="s">
        <v>2268</v>
      </c>
      <c r="G105" t="s">
        <v>214</v>
      </c>
      <c r="H105" s="14">
        <v>0.83157894736842108</v>
      </c>
      <c r="AJ105" s="11"/>
      <c r="AO105" s="11"/>
      <c r="AQ105" s="11"/>
      <c r="BD105" s="12"/>
      <c r="BE105" s="12"/>
      <c r="BF105" s="14"/>
    </row>
    <row r="106" spans="1:58" x14ac:dyDescent="0.15">
      <c r="A106" t="s">
        <v>1726</v>
      </c>
      <c r="B106" t="s">
        <v>1368</v>
      </c>
      <c r="C106" t="s">
        <v>1460</v>
      </c>
      <c r="D106" t="s">
        <v>1727</v>
      </c>
      <c r="E106">
        <v>712</v>
      </c>
      <c r="F106" s="14" t="s">
        <v>83</v>
      </c>
      <c r="G106" t="s">
        <v>289</v>
      </c>
      <c r="H106" s="14">
        <v>0.5708333333333333</v>
      </c>
      <c r="BD106" s="12"/>
      <c r="BE106" s="13"/>
      <c r="BF106" s="14"/>
    </row>
    <row r="107" spans="1:58" x14ac:dyDescent="0.15">
      <c r="A107" t="s">
        <v>2169</v>
      </c>
      <c r="B107" t="s">
        <v>1506</v>
      </c>
      <c r="C107" t="s">
        <v>1506</v>
      </c>
      <c r="D107" t="s">
        <v>2170</v>
      </c>
      <c r="E107">
        <v>729</v>
      </c>
      <c r="F107" s="14" t="s">
        <v>2260</v>
      </c>
      <c r="G107" t="s">
        <v>785</v>
      </c>
      <c r="H107" s="14">
        <v>0.8928571428571429</v>
      </c>
      <c r="AA107" s="11"/>
      <c r="AS107" s="11"/>
      <c r="BD107" s="12"/>
      <c r="BE107" s="12"/>
      <c r="BF107" s="14"/>
    </row>
    <row r="108" spans="1:58" x14ac:dyDescent="0.15">
      <c r="A108" t="s">
        <v>1809</v>
      </c>
      <c r="B108" t="s">
        <v>1506</v>
      </c>
      <c r="C108" t="s">
        <v>1506</v>
      </c>
      <c r="D108" t="s">
        <v>1810</v>
      </c>
      <c r="E108">
        <v>729</v>
      </c>
      <c r="F108" s="14" t="s">
        <v>2260</v>
      </c>
      <c r="G108" t="s">
        <v>785</v>
      </c>
      <c r="H108" s="14">
        <v>0.89629629629629637</v>
      </c>
      <c r="Y108" s="11"/>
      <c r="AL108" s="11"/>
      <c r="AS108" s="11"/>
      <c r="BD108" s="12"/>
      <c r="BE108" s="12"/>
      <c r="BF108" s="14"/>
    </row>
    <row r="109" spans="1:58" x14ac:dyDescent="0.15">
      <c r="A109" t="s">
        <v>1832</v>
      </c>
      <c r="B109" t="s">
        <v>1506</v>
      </c>
      <c r="C109" t="s">
        <v>1506</v>
      </c>
      <c r="D109" t="s">
        <v>1833</v>
      </c>
      <c r="E109">
        <v>732</v>
      </c>
      <c r="F109" s="14" t="s">
        <v>2260</v>
      </c>
      <c r="G109" t="s">
        <v>1248</v>
      </c>
      <c r="H109" s="14">
        <v>0.88</v>
      </c>
      <c r="Q109" s="11"/>
      <c r="Y109" s="11"/>
      <c r="AO109" s="11"/>
      <c r="AQ109" s="11"/>
      <c r="BD109" s="12"/>
      <c r="BE109" s="12"/>
      <c r="BF109" s="14"/>
    </row>
    <row r="110" spans="1:58" x14ac:dyDescent="0.15">
      <c r="A110" t="s">
        <v>1981</v>
      </c>
      <c r="B110" t="s">
        <v>1506</v>
      </c>
      <c r="C110" t="s">
        <v>1506</v>
      </c>
      <c r="D110" t="s">
        <v>1982</v>
      </c>
      <c r="E110">
        <v>738</v>
      </c>
      <c r="F110" s="14" t="s">
        <v>2260</v>
      </c>
      <c r="G110" t="s">
        <v>473</v>
      </c>
      <c r="H110" s="14">
        <v>0.84000000000000008</v>
      </c>
      <c r="AA110" s="11"/>
      <c r="BD110" s="12"/>
      <c r="BE110" s="12"/>
      <c r="BF110" s="14"/>
    </row>
    <row r="111" spans="1:58" x14ac:dyDescent="0.15">
      <c r="A111" t="s">
        <v>1752</v>
      </c>
      <c r="B111" t="s">
        <v>1506</v>
      </c>
      <c r="C111" t="s">
        <v>1506</v>
      </c>
      <c r="D111" t="s">
        <v>1753</v>
      </c>
      <c r="E111">
        <v>741</v>
      </c>
      <c r="F111" s="14" t="s">
        <v>2260</v>
      </c>
      <c r="G111" t="s">
        <v>335</v>
      </c>
      <c r="H111" s="14">
        <v>0.87692307692307692</v>
      </c>
      <c r="Q111" s="11"/>
      <c r="Y111" s="11"/>
      <c r="AU111" s="11"/>
      <c r="BD111" s="12"/>
      <c r="BE111" s="12"/>
      <c r="BF111" s="14"/>
    </row>
    <row r="112" spans="1:58" x14ac:dyDescent="0.15">
      <c r="A112" t="s">
        <v>2120</v>
      </c>
      <c r="B112" t="s">
        <v>1396</v>
      </c>
      <c r="C112" t="s">
        <v>1467</v>
      </c>
      <c r="D112" t="s">
        <v>2121</v>
      </c>
      <c r="E112">
        <v>743</v>
      </c>
      <c r="F112" s="14" t="s">
        <v>2263</v>
      </c>
      <c r="G112" t="s">
        <v>1180</v>
      </c>
      <c r="H112" s="14">
        <v>0.85128205128205126</v>
      </c>
      <c r="Q112" s="11"/>
      <c r="W112" s="11"/>
      <c r="Y112" s="11"/>
      <c r="AA112" s="11"/>
      <c r="AL112" s="11"/>
      <c r="AS112" s="11"/>
      <c r="BD112" s="12"/>
      <c r="BE112" s="12"/>
      <c r="BF112" s="14"/>
    </row>
    <row r="113" spans="1:58" x14ac:dyDescent="0.15">
      <c r="A113" t="s">
        <v>2234</v>
      </c>
      <c r="B113" t="s">
        <v>1506</v>
      </c>
      <c r="C113" t="s">
        <v>1506</v>
      </c>
      <c r="D113" t="s">
        <v>2235</v>
      </c>
      <c r="E113">
        <v>744</v>
      </c>
      <c r="F113" s="14" t="s">
        <v>2260</v>
      </c>
      <c r="G113" t="s">
        <v>920</v>
      </c>
      <c r="H113" s="14">
        <v>0.87317073170731707</v>
      </c>
      <c r="Q113" s="11"/>
      <c r="AA113" s="11"/>
      <c r="AJ113" s="11"/>
      <c r="BD113" s="12"/>
      <c r="BE113" s="12"/>
      <c r="BF113" s="14"/>
    </row>
    <row r="114" spans="1:58" x14ac:dyDescent="0.15">
      <c r="A114" t="s">
        <v>1554</v>
      </c>
      <c r="B114" t="s">
        <v>1374</v>
      </c>
      <c r="C114" t="s">
        <v>1471</v>
      </c>
      <c r="D114" t="s">
        <v>1555</v>
      </c>
      <c r="E114">
        <v>762</v>
      </c>
      <c r="F114" s="14" t="s">
        <v>61</v>
      </c>
      <c r="G114" t="s">
        <v>100</v>
      </c>
      <c r="H114" s="14">
        <v>0.83870967741935487</v>
      </c>
      <c r="Y114" s="11"/>
      <c r="AJ114" s="11"/>
      <c r="AO114" s="11"/>
      <c r="AQ114" s="11"/>
      <c r="BD114" s="12"/>
      <c r="BE114" s="12"/>
      <c r="BF114" s="14"/>
    </row>
    <row r="115" spans="1:58" x14ac:dyDescent="0.15">
      <c r="A115" t="s">
        <v>1587</v>
      </c>
      <c r="B115" t="s">
        <v>1506</v>
      </c>
      <c r="C115" t="s">
        <v>1506</v>
      </c>
      <c r="D115" t="s">
        <v>1588</v>
      </c>
      <c r="E115">
        <v>765</v>
      </c>
      <c r="F115" s="14" t="s">
        <v>2260</v>
      </c>
      <c r="G115" t="s">
        <v>751</v>
      </c>
      <c r="H115" s="14">
        <v>0.84000000000000008</v>
      </c>
      <c r="O115" s="11"/>
      <c r="Q115" s="11"/>
      <c r="W115" s="11"/>
      <c r="AJ115" s="11"/>
      <c r="AO115" s="11"/>
      <c r="AQ115" s="11"/>
      <c r="AS115" s="11"/>
      <c r="AU115" s="11"/>
      <c r="BD115" s="12"/>
      <c r="BE115" s="12"/>
      <c r="BF115" s="14"/>
    </row>
    <row r="116" spans="1:58" x14ac:dyDescent="0.15">
      <c r="A116" t="s">
        <v>2031</v>
      </c>
      <c r="B116" t="s">
        <v>1506</v>
      </c>
      <c r="C116" t="s">
        <v>1506</v>
      </c>
      <c r="D116" t="s">
        <v>2032</v>
      </c>
      <c r="E116">
        <v>776</v>
      </c>
      <c r="F116" s="14" t="s">
        <v>2260</v>
      </c>
      <c r="G116" t="s">
        <v>347</v>
      </c>
      <c r="H116" s="14">
        <v>0.84000000000000008</v>
      </c>
      <c r="Y116" s="11"/>
      <c r="AO116" s="11"/>
      <c r="AQ116" s="11"/>
      <c r="BD116" s="12"/>
      <c r="BE116" s="12"/>
      <c r="BF116" s="14"/>
    </row>
    <row r="117" spans="1:58" x14ac:dyDescent="0.15">
      <c r="A117" t="s">
        <v>1758</v>
      </c>
      <c r="B117" t="s">
        <v>563</v>
      </c>
      <c r="C117" t="s">
        <v>1471</v>
      </c>
      <c r="D117" t="s">
        <v>1759</v>
      </c>
      <c r="E117">
        <v>778</v>
      </c>
      <c r="F117" s="14" t="s">
        <v>61</v>
      </c>
      <c r="G117" t="s">
        <v>442</v>
      </c>
      <c r="H117" s="14">
        <v>0.87058823529411766</v>
      </c>
      <c r="AL117" s="11"/>
      <c r="AS117" s="11"/>
      <c r="AU117" s="11"/>
      <c r="BD117" s="12"/>
      <c r="BE117" s="12"/>
      <c r="BF117" s="14"/>
    </row>
    <row r="118" spans="1:58" x14ac:dyDescent="0.15">
      <c r="A118" t="s">
        <v>1823</v>
      </c>
      <c r="B118" t="s">
        <v>1391</v>
      </c>
      <c r="C118" t="s">
        <v>1463</v>
      </c>
      <c r="D118" t="s">
        <v>309</v>
      </c>
      <c r="E118">
        <v>790</v>
      </c>
      <c r="F118" s="14" t="s">
        <v>61</v>
      </c>
      <c r="G118" t="s">
        <v>492</v>
      </c>
      <c r="H118" s="14">
        <v>0.60624790897550918</v>
      </c>
      <c r="AA118" s="11"/>
      <c r="AJ118" s="11"/>
      <c r="AO118" s="11"/>
      <c r="AQ118" s="11"/>
      <c r="AS118" s="11"/>
      <c r="BD118" s="12"/>
      <c r="BE118" s="12"/>
      <c r="BF118" s="14"/>
    </row>
    <row r="119" spans="1:58" x14ac:dyDescent="0.15">
      <c r="A119" t="s">
        <v>1909</v>
      </c>
      <c r="B119" t="s">
        <v>492</v>
      </c>
      <c r="C119" t="s">
        <v>1471</v>
      </c>
      <c r="D119" t="s">
        <v>1910</v>
      </c>
      <c r="E119">
        <v>790</v>
      </c>
      <c r="F119" s="14" t="s">
        <v>61</v>
      </c>
      <c r="G119" t="s">
        <v>492</v>
      </c>
      <c r="H119" s="14">
        <v>0.84666666666666668</v>
      </c>
      <c r="Q119" s="11"/>
      <c r="Y119" s="11"/>
      <c r="BD119" s="12"/>
      <c r="BE119" s="13"/>
      <c r="BF119" s="14"/>
    </row>
    <row r="120" spans="1:58" x14ac:dyDescent="0.15">
      <c r="A120" t="s">
        <v>1790</v>
      </c>
      <c r="B120" t="s">
        <v>492</v>
      </c>
      <c r="C120" t="s">
        <v>1471</v>
      </c>
      <c r="D120" t="s">
        <v>1792</v>
      </c>
      <c r="E120">
        <v>790</v>
      </c>
      <c r="F120" s="14" t="s">
        <v>61</v>
      </c>
      <c r="G120" t="s">
        <v>492</v>
      </c>
      <c r="H120" s="14">
        <v>0.84827586206896555</v>
      </c>
      <c r="O120" s="11"/>
      <c r="Y120" s="11"/>
      <c r="BD120" s="12"/>
      <c r="BE120" s="12"/>
      <c r="BF120" s="14"/>
    </row>
    <row r="121" spans="1:58" x14ac:dyDescent="0.15">
      <c r="A121" t="s">
        <v>2139</v>
      </c>
      <c r="B121" t="s">
        <v>492</v>
      </c>
      <c r="C121" t="s">
        <v>1471</v>
      </c>
      <c r="D121" t="s">
        <v>2140</v>
      </c>
      <c r="E121">
        <v>790</v>
      </c>
      <c r="F121" s="14" t="s">
        <v>61</v>
      </c>
      <c r="G121" t="s">
        <v>492</v>
      </c>
      <c r="H121" s="14">
        <v>0.84827586206896555</v>
      </c>
      <c r="O121" s="11"/>
      <c r="AJ121" s="11"/>
      <c r="AO121" s="11"/>
      <c r="AQ121" s="11"/>
      <c r="AU121" s="11"/>
      <c r="BD121" s="12"/>
      <c r="BE121" s="12"/>
      <c r="BF121" s="14"/>
    </row>
    <row r="122" spans="1:58" x14ac:dyDescent="0.15">
      <c r="A122" t="s">
        <v>2099</v>
      </c>
      <c r="B122" t="s">
        <v>1368</v>
      </c>
      <c r="C122" t="s">
        <v>1460</v>
      </c>
      <c r="D122" t="s">
        <v>2100</v>
      </c>
      <c r="E122">
        <v>793</v>
      </c>
      <c r="F122" s="14" t="s">
        <v>83</v>
      </c>
      <c r="G122" t="s">
        <v>2276</v>
      </c>
      <c r="H122" s="14">
        <v>0.8954545454545455</v>
      </c>
      <c r="Q122" s="11"/>
      <c r="AJ122" s="11"/>
      <c r="AO122" s="11"/>
      <c r="AQ122" s="11"/>
      <c r="BD122" s="12"/>
      <c r="BE122" s="12"/>
      <c r="BF122" s="14"/>
    </row>
    <row r="123" spans="1:58" x14ac:dyDescent="0.15">
      <c r="A123" t="s">
        <v>1993</v>
      </c>
      <c r="B123" t="s">
        <v>1403</v>
      </c>
      <c r="C123" t="s">
        <v>1537</v>
      </c>
      <c r="D123" t="s">
        <v>1994</v>
      </c>
      <c r="E123">
        <v>794</v>
      </c>
      <c r="F123" s="14" t="s">
        <v>54</v>
      </c>
      <c r="G123" t="s">
        <v>613</v>
      </c>
      <c r="H123" s="14">
        <v>0.85882352941176476</v>
      </c>
      <c r="Y123" s="11"/>
      <c r="AW123" s="11"/>
      <c r="BD123" s="12"/>
      <c r="BE123" s="13"/>
      <c r="BF123" s="14"/>
    </row>
    <row r="124" spans="1:58" x14ac:dyDescent="0.15">
      <c r="A124" t="s">
        <v>1650</v>
      </c>
      <c r="B124" t="s">
        <v>764</v>
      </c>
      <c r="C124" t="s">
        <v>1502</v>
      </c>
      <c r="D124" t="s">
        <v>1651</v>
      </c>
      <c r="E124">
        <v>799</v>
      </c>
      <c r="F124" s="14" t="s">
        <v>77</v>
      </c>
      <c r="G124" t="s">
        <v>505</v>
      </c>
      <c r="H124" s="14">
        <v>0.83529411764705885</v>
      </c>
      <c r="AJ124" s="11"/>
      <c r="AO124" s="11"/>
      <c r="AQ124" s="11"/>
      <c r="BD124" s="12"/>
      <c r="BE124" s="12"/>
      <c r="BF124" s="14"/>
    </row>
    <row r="125" spans="1:58" x14ac:dyDescent="0.15">
      <c r="A125" t="s">
        <v>2107</v>
      </c>
      <c r="B125" t="s">
        <v>979</v>
      </c>
      <c r="C125" t="s">
        <v>1537</v>
      </c>
      <c r="D125" t="s">
        <v>2109</v>
      </c>
      <c r="E125">
        <v>805</v>
      </c>
      <c r="F125" s="14" t="s">
        <v>54</v>
      </c>
      <c r="G125" t="s">
        <v>497</v>
      </c>
      <c r="H125" s="14">
        <v>0.6562625235166677</v>
      </c>
      <c r="AL125" s="11"/>
      <c r="AO125" s="11"/>
      <c r="BD125" s="12"/>
      <c r="BE125" s="12"/>
      <c r="BF125" s="14"/>
    </row>
    <row r="126" spans="1:58" x14ac:dyDescent="0.15">
      <c r="A126" t="s">
        <v>1858</v>
      </c>
      <c r="B126" t="s">
        <v>1394</v>
      </c>
      <c r="C126" t="s">
        <v>1537</v>
      </c>
      <c r="D126" t="s">
        <v>1859</v>
      </c>
      <c r="E126">
        <v>805</v>
      </c>
      <c r="F126" s="14" t="s">
        <v>54</v>
      </c>
      <c r="G126" t="s">
        <v>497</v>
      </c>
      <c r="H126" s="14">
        <v>0.78685527615260464</v>
      </c>
      <c r="Y126" s="11"/>
      <c r="BD126" s="12"/>
      <c r="BE126" s="13"/>
      <c r="BF126" s="14"/>
    </row>
    <row r="127" spans="1:58" x14ac:dyDescent="0.15">
      <c r="A127" t="s">
        <v>1618</v>
      </c>
      <c r="B127" t="s">
        <v>1394</v>
      </c>
      <c r="C127" t="s">
        <v>1537</v>
      </c>
      <c r="D127" t="s">
        <v>1619</v>
      </c>
      <c r="E127">
        <v>805</v>
      </c>
      <c r="F127" s="14" t="s">
        <v>54</v>
      </c>
      <c r="G127" t="s">
        <v>497</v>
      </c>
      <c r="H127" s="14">
        <v>0.80670179701927758</v>
      </c>
      <c r="O127" s="11"/>
      <c r="Q127" s="11"/>
      <c r="W127" s="11"/>
      <c r="AO127" s="11"/>
      <c r="AQ127" s="11"/>
      <c r="AU127" s="11"/>
      <c r="BD127" s="12"/>
      <c r="BE127" s="12"/>
      <c r="BF127" s="14"/>
    </row>
    <row r="128" spans="1:58" x14ac:dyDescent="0.15">
      <c r="A128" t="s">
        <v>1540</v>
      </c>
      <c r="B128" t="s">
        <v>1394</v>
      </c>
      <c r="C128" t="s">
        <v>1537</v>
      </c>
      <c r="D128" t="s">
        <v>1541</v>
      </c>
      <c r="E128">
        <v>805</v>
      </c>
      <c r="F128" s="14" t="s">
        <v>54</v>
      </c>
      <c r="G128" t="s">
        <v>497</v>
      </c>
      <c r="H128" s="14">
        <v>0.8666666666666667</v>
      </c>
      <c r="Q128" s="11"/>
      <c r="AA128" s="11"/>
      <c r="AJ128" s="11"/>
      <c r="BD128" s="12"/>
      <c r="BE128" s="12"/>
      <c r="BF128" s="14"/>
    </row>
    <row r="129" spans="1:58" x14ac:dyDescent="0.15">
      <c r="A129" t="s">
        <v>1652</v>
      </c>
      <c r="B129" t="s">
        <v>1400</v>
      </c>
      <c r="C129" t="s">
        <v>1537</v>
      </c>
      <c r="D129" t="s">
        <v>1654</v>
      </c>
      <c r="E129">
        <v>811</v>
      </c>
      <c r="F129" s="14" t="s">
        <v>54</v>
      </c>
      <c r="G129" t="s">
        <v>389</v>
      </c>
      <c r="H129" s="14">
        <v>0.84516129032258069</v>
      </c>
      <c r="O129" s="11"/>
      <c r="Y129" s="11"/>
      <c r="AJ129" s="11"/>
      <c r="AS129" s="11"/>
      <c r="BD129" s="12"/>
      <c r="BE129" s="12"/>
      <c r="BF129" s="14"/>
    </row>
    <row r="130" spans="1:58" x14ac:dyDescent="0.15">
      <c r="A130" t="s">
        <v>1860</v>
      </c>
      <c r="B130" t="s">
        <v>1398</v>
      </c>
      <c r="C130" t="s">
        <v>1471</v>
      </c>
      <c r="D130" t="s">
        <v>1861</v>
      </c>
      <c r="E130">
        <v>812</v>
      </c>
      <c r="F130" s="14" t="s">
        <v>61</v>
      </c>
      <c r="G130" t="s">
        <v>538</v>
      </c>
      <c r="H130" s="14">
        <v>0.84444444444444444</v>
      </c>
      <c r="AS130" s="11"/>
      <c r="BD130" s="12"/>
      <c r="BE130" s="12"/>
      <c r="BF130" s="14"/>
    </row>
    <row r="131" spans="1:58" x14ac:dyDescent="0.15">
      <c r="A131" t="s">
        <v>1703</v>
      </c>
      <c r="B131" t="s">
        <v>1388</v>
      </c>
      <c r="C131" t="s">
        <v>1463</v>
      </c>
      <c r="D131" t="s">
        <v>1705</v>
      </c>
      <c r="E131">
        <v>819</v>
      </c>
      <c r="F131" s="14" t="s">
        <v>104</v>
      </c>
      <c r="G131" t="s">
        <v>283</v>
      </c>
      <c r="H131" s="14">
        <v>0.52857142857142858</v>
      </c>
      <c r="O131" s="11"/>
      <c r="AA131" s="11"/>
      <c r="BD131" s="12"/>
      <c r="BE131" s="12"/>
      <c r="BF131" s="14"/>
    </row>
    <row r="132" spans="1:58" x14ac:dyDescent="0.15">
      <c r="A132" t="s">
        <v>2220</v>
      </c>
      <c r="B132" t="s">
        <v>1388</v>
      </c>
      <c r="C132" t="s">
        <v>1463</v>
      </c>
      <c r="D132" t="s">
        <v>2221</v>
      </c>
      <c r="E132">
        <v>819</v>
      </c>
      <c r="F132" s="14" t="s">
        <v>104</v>
      </c>
      <c r="G132" t="s">
        <v>283</v>
      </c>
      <c r="H132" s="14">
        <v>0.52941176470588236</v>
      </c>
      <c r="Q132" s="11"/>
      <c r="W132" s="11"/>
      <c r="Y132" s="11"/>
      <c r="AJ132" s="11"/>
      <c r="AQ132" s="11"/>
      <c r="AS132" s="11"/>
      <c r="BD132" s="12"/>
      <c r="BE132" s="12"/>
      <c r="BF132" s="14"/>
    </row>
    <row r="133" spans="1:58" x14ac:dyDescent="0.15">
      <c r="A133" t="s">
        <v>1803</v>
      </c>
      <c r="B133" t="s">
        <v>1388</v>
      </c>
      <c r="C133" t="s">
        <v>1463</v>
      </c>
      <c r="D133" t="s">
        <v>1804</v>
      </c>
      <c r="E133">
        <v>819</v>
      </c>
      <c r="F133" s="14" t="s">
        <v>104</v>
      </c>
      <c r="G133" t="s">
        <v>283</v>
      </c>
      <c r="H133" s="14">
        <v>0.532258064516129</v>
      </c>
      <c r="O133" s="11"/>
      <c r="Y133" s="11"/>
      <c r="AO133" s="11"/>
      <c r="AQ133" s="11"/>
      <c r="AU133" s="11"/>
      <c r="BD133" s="12"/>
      <c r="BE133" s="12"/>
      <c r="BF133" s="14"/>
    </row>
    <row r="134" spans="1:58" x14ac:dyDescent="0.15">
      <c r="A134" t="s">
        <v>1556</v>
      </c>
      <c r="B134" t="s">
        <v>1376</v>
      </c>
      <c r="C134" t="s">
        <v>1467</v>
      </c>
      <c r="D134" t="s">
        <v>1557</v>
      </c>
      <c r="E134">
        <v>820</v>
      </c>
      <c r="F134" s="14" t="s">
        <v>2265</v>
      </c>
      <c r="G134" t="s">
        <v>1376</v>
      </c>
      <c r="H134" s="14">
        <v>0.83684210526315794</v>
      </c>
      <c r="Y134" s="11"/>
      <c r="AO134" s="11"/>
      <c r="AQ134" s="11"/>
      <c r="AS134" s="11"/>
      <c r="AU134" s="11"/>
      <c r="BD134" s="12"/>
      <c r="BE134" s="12"/>
      <c r="BF134" s="14"/>
    </row>
    <row r="135" spans="1:58" x14ac:dyDescent="0.15">
      <c r="A135" t="s">
        <v>1732</v>
      </c>
      <c r="B135" t="s">
        <v>1376</v>
      </c>
      <c r="C135" t="s">
        <v>1467</v>
      </c>
      <c r="D135" t="s">
        <v>1733</v>
      </c>
      <c r="E135">
        <v>820</v>
      </c>
      <c r="F135" s="14" t="s">
        <v>2265</v>
      </c>
      <c r="G135" t="s">
        <v>1376</v>
      </c>
      <c r="H135" s="14">
        <v>0.83684210526315794</v>
      </c>
      <c r="O135" s="11"/>
      <c r="Q135" s="11"/>
      <c r="W135" s="11"/>
      <c r="Y135" s="11"/>
      <c r="AA135" s="11"/>
      <c r="AO135" s="11"/>
      <c r="BD135" s="12"/>
      <c r="BE135" s="12"/>
      <c r="BF135" s="14"/>
    </row>
    <row r="136" spans="1:58" x14ac:dyDescent="0.15">
      <c r="A136" t="s">
        <v>1917</v>
      </c>
      <c r="B136" t="s">
        <v>1376</v>
      </c>
      <c r="C136" t="s">
        <v>1467</v>
      </c>
      <c r="D136" t="s">
        <v>1918</v>
      </c>
      <c r="E136">
        <v>820</v>
      </c>
      <c r="F136" s="14" t="s">
        <v>2265</v>
      </c>
      <c r="G136" t="s">
        <v>1376</v>
      </c>
      <c r="H136" s="14">
        <v>0.83684210526315794</v>
      </c>
      <c r="Q136" s="11"/>
      <c r="Y136" s="11"/>
      <c r="AA136" s="11"/>
      <c r="AL136" s="11"/>
      <c r="AU136" s="11"/>
      <c r="BD136" s="12"/>
      <c r="BE136" s="12"/>
      <c r="BF136" s="14"/>
    </row>
    <row r="137" spans="1:58" x14ac:dyDescent="0.15">
      <c r="A137" t="s">
        <v>2068</v>
      </c>
      <c r="B137" t="s">
        <v>1376</v>
      </c>
      <c r="C137" t="s">
        <v>1467</v>
      </c>
      <c r="D137" t="s">
        <v>2069</v>
      </c>
      <c r="E137">
        <v>820</v>
      </c>
      <c r="F137" s="14" t="s">
        <v>2265</v>
      </c>
      <c r="G137" t="s">
        <v>1376</v>
      </c>
      <c r="H137" s="14">
        <v>0.83684210526315794</v>
      </c>
      <c r="Q137" s="11"/>
      <c r="Y137" s="11"/>
      <c r="AS137" s="11"/>
      <c r="BD137" s="12"/>
      <c r="BE137" s="12"/>
      <c r="BF137" s="14"/>
    </row>
    <row r="138" spans="1:58" x14ac:dyDescent="0.15">
      <c r="A138" t="s">
        <v>2147</v>
      </c>
      <c r="B138" t="s">
        <v>1376</v>
      </c>
      <c r="C138" t="s">
        <v>1467</v>
      </c>
      <c r="D138" t="s">
        <v>2148</v>
      </c>
      <c r="E138">
        <v>820</v>
      </c>
      <c r="F138" s="14" t="s">
        <v>2265</v>
      </c>
      <c r="G138" t="s">
        <v>1376</v>
      </c>
      <c r="H138" s="14">
        <v>0.83684210526315794</v>
      </c>
      <c r="O138" s="11"/>
      <c r="Q138" s="11"/>
      <c r="AA138" s="11"/>
      <c r="AL138" s="11"/>
      <c r="AS138" s="11"/>
      <c r="BD138" s="12"/>
      <c r="BE138" s="12"/>
      <c r="BF138" s="14"/>
    </row>
    <row r="139" spans="1:58" x14ac:dyDescent="0.15">
      <c r="A139" t="s">
        <v>2210</v>
      </c>
      <c r="B139" t="s">
        <v>1376</v>
      </c>
      <c r="C139" t="s">
        <v>1467</v>
      </c>
      <c r="D139" t="s">
        <v>2211</v>
      </c>
      <c r="E139">
        <v>820</v>
      </c>
      <c r="F139" s="14" t="s">
        <v>2265</v>
      </c>
      <c r="G139" t="s">
        <v>1376</v>
      </c>
      <c r="H139" s="14">
        <v>0.83684210526315794</v>
      </c>
      <c r="AL139" s="11"/>
      <c r="AO139" s="11"/>
      <c r="BD139" s="12"/>
      <c r="BE139" s="12"/>
      <c r="BF139" s="14"/>
    </row>
    <row r="140" spans="1:58" x14ac:dyDescent="0.15">
      <c r="A140" t="s">
        <v>1884</v>
      </c>
      <c r="B140" t="s">
        <v>1376</v>
      </c>
      <c r="C140" t="s">
        <v>1467</v>
      </c>
      <c r="D140" t="s">
        <v>1885</v>
      </c>
      <c r="E140">
        <v>820</v>
      </c>
      <c r="F140" s="14" t="s">
        <v>2265</v>
      </c>
      <c r="G140" t="s">
        <v>1376</v>
      </c>
      <c r="H140" s="14">
        <v>0.83742490129795488</v>
      </c>
      <c r="O140" s="11"/>
      <c r="Y140" s="11"/>
      <c r="AJ140" s="11"/>
      <c r="AS140" s="11"/>
      <c r="BD140" s="12"/>
      <c r="BE140" s="12"/>
      <c r="BF140" s="14"/>
    </row>
    <row r="141" spans="1:58" x14ac:dyDescent="0.15">
      <c r="A141" t="s">
        <v>1466</v>
      </c>
      <c r="B141" t="s">
        <v>1376</v>
      </c>
      <c r="C141" t="s">
        <v>1467</v>
      </c>
      <c r="D141" t="s">
        <v>1469</v>
      </c>
      <c r="E141">
        <v>820</v>
      </c>
      <c r="F141" s="14" t="s">
        <v>2265</v>
      </c>
      <c r="G141" t="s">
        <v>1376</v>
      </c>
      <c r="H141" s="14">
        <v>0.83783783783783783</v>
      </c>
      <c r="Y141" s="11"/>
      <c r="AA141" s="11"/>
      <c r="AO141" s="11"/>
      <c r="AQ141" s="11"/>
      <c r="BD141" s="12"/>
      <c r="BE141" s="12"/>
      <c r="BF141" s="14"/>
    </row>
    <row r="142" spans="1:58" x14ac:dyDescent="0.15">
      <c r="A142" t="s">
        <v>2103</v>
      </c>
      <c r="B142" t="s">
        <v>1376</v>
      </c>
      <c r="C142" t="s">
        <v>1467</v>
      </c>
      <c r="D142" t="s">
        <v>2104</v>
      </c>
      <c r="E142">
        <v>820</v>
      </c>
      <c r="F142" s="14" t="s">
        <v>2265</v>
      </c>
      <c r="G142" t="s">
        <v>1376</v>
      </c>
      <c r="H142" s="14">
        <v>0.83783783783783783</v>
      </c>
      <c r="BD142" s="12"/>
      <c r="BE142" s="12"/>
      <c r="BF142" s="14"/>
    </row>
    <row r="143" spans="1:58" x14ac:dyDescent="0.15">
      <c r="A143" t="s">
        <v>1518</v>
      </c>
      <c r="B143" t="s">
        <v>1376</v>
      </c>
      <c r="C143" t="s">
        <v>1467</v>
      </c>
      <c r="D143" t="s">
        <v>1519</v>
      </c>
      <c r="E143">
        <v>820</v>
      </c>
      <c r="F143" s="14" t="s">
        <v>2265</v>
      </c>
      <c r="G143" t="s">
        <v>1376</v>
      </c>
      <c r="H143" s="14">
        <v>0.83888888888888891</v>
      </c>
      <c r="Y143" s="11"/>
      <c r="AA143" s="11"/>
      <c r="AL143" s="11"/>
      <c r="AS143" s="11"/>
      <c r="AU143" s="11"/>
      <c r="BD143" s="12"/>
      <c r="BE143" s="12"/>
      <c r="BF143" s="14"/>
    </row>
    <row r="144" spans="1:58" x14ac:dyDescent="0.15">
      <c r="A144" t="s">
        <v>1866</v>
      </c>
      <c r="B144" t="s">
        <v>1496</v>
      </c>
      <c r="C144" t="s">
        <v>1497</v>
      </c>
      <c r="D144" t="s">
        <v>1867</v>
      </c>
      <c r="E144">
        <v>824</v>
      </c>
      <c r="F144" s="14" t="s">
        <v>270</v>
      </c>
      <c r="G144" t="s">
        <v>1198</v>
      </c>
      <c r="H144" s="14">
        <v>0.87083333333333335</v>
      </c>
      <c r="Q144" s="11"/>
      <c r="AA144" s="11"/>
      <c r="AL144" s="11"/>
      <c r="AS144" s="11"/>
      <c r="AW144" s="11"/>
      <c r="BD144" s="12"/>
      <c r="BE144" s="12"/>
      <c r="BF144" s="14"/>
    </row>
    <row r="145" spans="1:58" x14ac:dyDescent="0.15">
      <c r="A145" t="s">
        <v>1724</v>
      </c>
      <c r="B145" t="s">
        <v>1721</v>
      </c>
      <c r="C145" t="s">
        <v>1497</v>
      </c>
      <c r="D145" t="s">
        <v>1725</v>
      </c>
      <c r="E145">
        <v>829</v>
      </c>
      <c r="F145" s="14" t="s">
        <v>270</v>
      </c>
      <c r="G145" t="s">
        <v>421</v>
      </c>
      <c r="H145" s="14">
        <v>0.8878048780487805</v>
      </c>
      <c r="AA145" s="11"/>
      <c r="AO145" s="11"/>
      <c r="AQ145" s="11"/>
      <c r="BD145" s="12"/>
      <c r="BE145" s="12"/>
      <c r="BF145" s="14"/>
    </row>
    <row r="146" spans="1:58" x14ac:dyDescent="0.15">
      <c r="A146" t="s">
        <v>2134</v>
      </c>
      <c r="B146" t="s">
        <v>1550</v>
      </c>
      <c r="C146" t="s">
        <v>1502</v>
      </c>
      <c r="D146" t="s">
        <v>2136</v>
      </c>
      <c r="E146">
        <v>830</v>
      </c>
      <c r="F146" s="14" t="s">
        <v>77</v>
      </c>
      <c r="G146" t="s">
        <v>572</v>
      </c>
      <c r="H146" s="14">
        <v>0.91832359031684663</v>
      </c>
      <c r="AO146" s="11"/>
      <c r="AQ146" s="11"/>
      <c r="BD146" s="12"/>
      <c r="BE146" s="12"/>
      <c r="BF146" s="14"/>
    </row>
    <row r="147" spans="1:58" x14ac:dyDescent="0.15">
      <c r="A147" t="s">
        <v>2195</v>
      </c>
      <c r="B147" t="s">
        <v>143</v>
      </c>
      <c r="C147" t="s">
        <v>1521</v>
      </c>
      <c r="D147" t="s">
        <v>2196</v>
      </c>
      <c r="E147">
        <v>831</v>
      </c>
      <c r="F147" s="14" t="s">
        <v>67</v>
      </c>
      <c r="G147" t="s">
        <v>2279</v>
      </c>
      <c r="H147" s="14">
        <v>0.88571428571428579</v>
      </c>
      <c r="AL147" s="11"/>
      <c r="AU147" s="11"/>
      <c r="BD147" s="12"/>
      <c r="BE147" s="12"/>
      <c r="BF147" s="14"/>
    </row>
    <row r="148" spans="1:58" x14ac:dyDescent="0.15">
      <c r="A148" t="s">
        <v>2080</v>
      </c>
      <c r="B148" t="s">
        <v>1392</v>
      </c>
      <c r="C148" t="s">
        <v>1471</v>
      </c>
      <c r="D148" t="s">
        <v>2081</v>
      </c>
      <c r="E148">
        <v>832</v>
      </c>
      <c r="F148" s="14" t="s">
        <v>2259</v>
      </c>
      <c r="G148" t="s">
        <v>94</v>
      </c>
      <c r="H148" s="14">
        <v>0.90434782608695652</v>
      </c>
      <c r="AU148" s="11"/>
      <c r="BD148" s="12"/>
      <c r="BE148" s="12"/>
      <c r="BF148" s="14"/>
    </row>
    <row r="149" spans="1:58" x14ac:dyDescent="0.15">
      <c r="A149" t="s">
        <v>1524</v>
      </c>
      <c r="B149" t="s">
        <v>1378</v>
      </c>
      <c r="C149" t="s">
        <v>1471</v>
      </c>
      <c r="D149" t="s">
        <v>1525</v>
      </c>
      <c r="E149">
        <v>835</v>
      </c>
      <c r="F149" s="14" t="s">
        <v>61</v>
      </c>
      <c r="G149" t="s">
        <v>519</v>
      </c>
      <c r="H149" s="14">
        <v>0.86250000000000004</v>
      </c>
      <c r="O149" s="11"/>
      <c r="Q149" s="11"/>
      <c r="W149" s="11"/>
      <c r="AO149" s="11"/>
      <c r="AQ149" s="11"/>
      <c r="AU149" s="11"/>
      <c r="BD149" s="12"/>
      <c r="BE149" s="12"/>
      <c r="BF149" s="14"/>
    </row>
    <row r="150" spans="1:58" x14ac:dyDescent="0.15">
      <c r="A150" t="s">
        <v>2067</v>
      </c>
      <c r="B150" t="s">
        <v>1372</v>
      </c>
      <c r="C150" t="s">
        <v>1521</v>
      </c>
      <c r="D150" t="s">
        <v>772</v>
      </c>
      <c r="E150">
        <v>852</v>
      </c>
      <c r="F150" s="14" t="s">
        <v>2261</v>
      </c>
      <c r="G150" t="s">
        <v>2280</v>
      </c>
      <c r="H150" s="14">
        <v>0.91764705882352948</v>
      </c>
      <c r="Q150" s="11"/>
      <c r="W150" s="11"/>
      <c r="BD150" s="12"/>
      <c r="BE150" s="12"/>
      <c r="BF150" s="14"/>
    </row>
    <row r="151" spans="1:58" x14ac:dyDescent="0.15">
      <c r="A151" t="s">
        <v>2001</v>
      </c>
      <c r="B151" t="s">
        <v>1396</v>
      </c>
      <c r="C151" t="s">
        <v>1467</v>
      </c>
      <c r="D151" t="s">
        <v>2002</v>
      </c>
      <c r="E151">
        <v>867</v>
      </c>
      <c r="F151" s="14" t="s">
        <v>2263</v>
      </c>
      <c r="G151" t="s">
        <v>168</v>
      </c>
      <c r="H151" s="14">
        <v>0.8342857142857143</v>
      </c>
      <c r="AA151" s="11"/>
      <c r="AL151" s="11"/>
      <c r="AS151" s="11"/>
      <c r="BD151" s="12"/>
      <c r="BE151" s="12"/>
      <c r="BF151" s="14"/>
    </row>
    <row r="152" spans="1:58" x14ac:dyDescent="0.15">
      <c r="A152" t="s">
        <v>2019</v>
      </c>
      <c r="B152" t="s">
        <v>563</v>
      </c>
      <c r="C152" t="s">
        <v>1471</v>
      </c>
      <c r="D152" t="s">
        <v>2020</v>
      </c>
      <c r="E152">
        <v>870</v>
      </c>
      <c r="F152" s="14" t="s">
        <v>61</v>
      </c>
      <c r="G152" t="s">
        <v>263</v>
      </c>
      <c r="H152" s="14">
        <v>0.84285714285714286</v>
      </c>
      <c r="Q152" s="11"/>
      <c r="AW152" s="11"/>
      <c r="BD152" s="12"/>
      <c r="BE152" s="13"/>
      <c r="BF152" s="14"/>
    </row>
    <row r="153" spans="1:58" x14ac:dyDescent="0.15">
      <c r="A153" t="s">
        <v>1648</v>
      </c>
      <c r="B153" t="s">
        <v>1386</v>
      </c>
      <c r="C153" t="s">
        <v>1463</v>
      </c>
      <c r="D153" t="s">
        <v>1649</v>
      </c>
      <c r="E153">
        <v>873</v>
      </c>
      <c r="F153" s="14" t="s">
        <v>104</v>
      </c>
      <c r="G153" t="s">
        <v>533</v>
      </c>
      <c r="H153" s="14">
        <v>0.85625000000000007</v>
      </c>
      <c r="BD153" s="13"/>
      <c r="BE153" s="13"/>
      <c r="BF153" s="14"/>
    </row>
    <row r="154" spans="1:58" x14ac:dyDescent="0.15">
      <c r="A154" t="s">
        <v>2063</v>
      </c>
      <c r="B154" t="s">
        <v>1367</v>
      </c>
      <c r="C154" t="s">
        <v>1467</v>
      </c>
      <c r="D154" t="s">
        <v>2064</v>
      </c>
      <c r="E154">
        <v>875</v>
      </c>
      <c r="F154" s="14" t="s">
        <v>2263</v>
      </c>
      <c r="G154" t="s">
        <v>432</v>
      </c>
      <c r="H154" s="14">
        <v>0.84736842105263166</v>
      </c>
      <c r="O154" s="11"/>
      <c r="Q154" s="11"/>
      <c r="AA154" s="11"/>
      <c r="AL154" s="11"/>
      <c r="AS154" s="11"/>
      <c r="BD154" s="12"/>
      <c r="BE154" s="12"/>
      <c r="BF154" s="14"/>
    </row>
    <row r="155" spans="1:58" x14ac:dyDescent="0.15">
      <c r="A155" t="s">
        <v>2095</v>
      </c>
      <c r="B155" t="s">
        <v>1367</v>
      </c>
      <c r="C155" t="s">
        <v>1467</v>
      </c>
      <c r="D155" t="s">
        <v>2096</v>
      </c>
      <c r="E155">
        <v>875</v>
      </c>
      <c r="F155" s="14" t="s">
        <v>2263</v>
      </c>
      <c r="G155" t="s">
        <v>432</v>
      </c>
      <c r="H155" s="14">
        <v>0.84864864864864864</v>
      </c>
      <c r="BD155" s="12"/>
      <c r="BE155" s="13"/>
      <c r="BF155" s="14"/>
    </row>
    <row r="156" spans="1:58" x14ac:dyDescent="0.15">
      <c r="A156" t="s">
        <v>1595</v>
      </c>
      <c r="B156" t="s">
        <v>1367</v>
      </c>
      <c r="C156" t="s">
        <v>1467</v>
      </c>
      <c r="D156" t="s">
        <v>1597</v>
      </c>
      <c r="E156">
        <v>875</v>
      </c>
      <c r="F156" s="14" t="s">
        <v>2263</v>
      </c>
      <c r="G156" t="s">
        <v>432</v>
      </c>
      <c r="H156" s="14">
        <v>0.85000000000000009</v>
      </c>
      <c r="Y156" s="11"/>
      <c r="BD156" s="12"/>
      <c r="BE156" s="13"/>
      <c r="BF156" s="14"/>
    </row>
    <row r="157" spans="1:58" x14ac:dyDescent="0.15">
      <c r="A157" t="s">
        <v>1718</v>
      </c>
      <c r="B157" t="s">
        <v>1367</v>
      </c>
      <c r="C157" t="s">
        <v>1467</v>
      </c>
      <c r="D157" t="s">
        <v>1719</v>
      </c>
      <c r="E157">
        <v>875</v>
      </c>
      <c r="F157" s="14" t="s">
        <v>2263</v>
      </c>
      <c r="G157" t="s">
        <v>432</v>
      </c>
      <c r="H157" s="14">
        <v>0.85142857142857142</v>
      </c>
      <c r="O157" s="11"/>
      <c r="Y157" s="11"/>
      <c r="AA157" s="11"/>
      <c r="AJ157" s="11"/>
      <c r="AL157" s="11"/>
      <c r="AO157" s="11"/>
      <c r="AQ157" s="11"/>
      <c r="AU157" s="11"/>
      <c r="BD157" s="12"/>
      <c r="BE157" s="12"/>
      <c r="BF157" s="14"/>
    </row>
    <row r="158" spans="1:58" x14ac:dyDescent="0.15">
      <c r="A158" t="s">
        <v>1953</v>
      </c>
      <c r="B158" t="s">
        <v>1367</v>
      </c>
      <c r="C158" t="s">
        <v>1467</v>
      </c>
      <c r="D158" t="s">
        <v>1954</v>
      </c>
      <c r="E158">
        <v>875</v>
      </c>
      <c r="F158" s="14" t="s">
        <v>2263</v>
      </c>
      <c r="G158" t="s">
        <v>432</v>
      </c>
      <c r="H158" s="14">
        <v>0.85142857142857142</v>
      </c>
      <c r="Q158" s="11"/>
      <c r="Y158" s="11"/>
      <c r="AJ158" s="11"/>
      <c r="BD158" s="12"/>
      <c r="BE158" s="12"/>
      <c r="BF158" s="14"/>
    </row>
    <row r="159" spans="1:58" x14ac:dyDescent="0.15">
      <c r="A159" t="s">
        <v>1635</v>
      </c>
      <c r="B159" t="s">
        <v>1367</v>
      </c>
      <c r="C159" t="s">
        <v>1467</v>
      </c>
      <c r="D159" t="s">
        <v>1636</v>
      </c>
      <c r="E159">
        <v>875</v>
      </c>
      <c r="F159" s="14" t="s">
        <v>2263</v>
      </c>
      <c r="G159" t="s">
        <v>432</v>
      </c>
      <c r="H159" s="14">
        <v>0.85294117647058831</v>
      </c>
      <c r="AA159" s="11"/>
      <c r="AJ159" s="11"/>
      <c r="AL159" s="11"/>
      <c r="BD159" s="12"/>
      <c r="BE159" s="12"/>
      <c r="BF159" s="14"/>
    </row>
    <row r="160" spans="1:58" x14ac:dyDescent="0.15">
      <c r="A160" t="s">
        <v>1760</v>
      </c>
      <c r="B160" t="s">
        <v>1367</v>
      </c>
      <c r="C160" t="s">
        <v>1467</v>
      </c>
      <c r="D160" t="s">
        <v>1761</v>
      </c>
      <c r="E160">
        <v>875</v>
      </c>
      <c r="F160" s="14" t="s">
        <v>2263</v>
      </c>
      <c r="G160" t="s">
        <v>432</v>
      </c>
      <c r="H160" s="14">
        <v>0.85454545454545461</v>
      </c>
      <c r="AA160" s="11"/>
      <c r="AS160" s="11"/>
      <c r="BD160" s="12"/>
      <c r="BE160" s="12"/>
      <c r="BF160" s="14"/>
    </row>
    <row r="161" spans="1:58" x14ac:dyDescent="0.15">
      <c r="A161" t="s">
        <v>1773</v>
      </c>
      <c r="B161" t="s">
        <v>563</v>
      </c>
      <c r="C161" t="s">
        <v>1471</v>
      </c>
      <c r="D161" t="s">
        <v>1774</v>
      </c>
      <c r="E161">
        <v>878</v>
      </c>
      <c r="F161" s="14" t="s">
        <v>61</v>
      </c>
      <c r="G161" t="s">
        <v>984</v>
      </c>
      <c r="H161" s="14">
        <v>0.85000000000000009</v>
      </c>
      <c r="AJ161" s="11"/>
      <c r="AO161" s="11"/>
      <c r="AQ161" s="11"/>
      <c r="BD161" s="12"/>
      <c r="BE161" s="12"/>
      <c r="BF161" s="14"/>
    </row>
    <row r="162" spans="1:58" x14ac:dyDescent="0.15">
      <c r="A162" t="s">
        <v>1769</v>
      </c>
      <c r="B162" t="s">
        <v>1403</v>
      </c>
      <c r="C162" t="s">
        <v>1537</v>
      </c>
      <c r="D162" t="s">
        <v>1770</v>
      </c>
      <c r="E162">
        <v>883</v>
      </c>
      <c r="F162" s="14" t="s">
        <v>67</v>
      </c>
      <c r="G162" t="s">
        <v>527</v>
      </c>
      <c r="H162" s="14">
        <v>0.66445001724961672</v>
      </c>
      <c r="AW162" s="11"/>
      <c r="BD162" s="12"/>
      <c r="BE162" s="13"/>
      <c r="BF162" s="14"/>
    </row>
    <row r="163" spans="1:58" x14ac:dyDescent="0.15">
      <c r="A163" t="s">
        <v>1736</v>
      </c>
      <c r="B163" t="s">
        <v>1403</v>
      </c>
      <c r="C163" t="s">
        <v>1537</v>
      </c>
      <c r="D163" t="s">
        <v>1737</v>
      </c>
      <c r="E163">
        <v>883</v>
      </c>
      <c r="F163" s="14" t="s">
        <v>67</v>
      </c>
      <c r="G163" t="s">
        <v>527</v>
      </c>
      <c r="H163" s="14">
        <v>0.66995450318636873</v>
      </c>
      <c r="Q163" s="11"/>
      <c r="BD163" s="12"/>
      <c r="BE163" s="13"/>
      <c r="BF163" s="14"/>
    </row>
    <row r="164" spans="1:58" x14ac:dyDescent="0.15">
      <c r="A164" t="s">
        <v>1949</v>
      </c>
      <c r="B164" t="s">
        <v>1537</v>
      </c>
      <c r="C164" t="s">
        <v>1537</v>
      </c>
      <c r="D164" t="s">
        <v>1950</v>
      </c>
      <c r="E164">
        <v>893</v>
      </c>
      <c r="F164" s="14" t="s">
        <v>54</v>
      </c>
      <c r="G164" t="s">
        <v>520</v>
      </c>
      <c r="H164" s="14">
        <v>0.83750000000000002</v>
      </c>
      <c r="Y164" s="11"/>
      <c r="AJ164" s="11"/>
      <c r="AS164" s="11"/>
      <c r="BD164" s="12"/>
      <c r="BE164" s="12"/>
      <c r="BF164" s="14"/>
    </row>
    <row r="165" spans="1:58" x14ac:dyDescent="0.15">
      <c r="A165" t="s">
        <v>1699</v>
      </c>
      <c r="B165" t="s">
        <v>1387</v>
      </c>
      <c r="C165" t="s">
        <v>1467</v>
      </c>
      <c r="D165" t="s">
        <v>1700</v>
      </c>
      <c r="E165">
        <v>898</v>
      </c>
      <c r="F165" s="14" t="s">
        <v>2263</v>
      </c>
      <c r="G165" t="s">
        <v>1221</v>
      </c>
      <c r="H165" s="14">
        <v>0.83529411764705885</v>
      </c>
      <c r="O165" s="11"/>
      <c r="Q165" s="11"/>
      <c r="W165" s="11"/>
      <c r="AO165" s="11"/>
      <c r="AQ165" s="11"/>
      <c r="AU165" s="11"/>
      <c r="BD165" s="12"/>
      <c r="BE165" s="12"/>
      <c r="BF165" s="14"/>
    </row>
    <row r="166" spans="1:58" x14ac:dyDescent="0.15">
      <c r="A166" t="s">
        <v>1840</v>
      </c>
      <c r="B166" t="s">
        <v>1376</v>
      </c>
      <c r="C166" t="s">
        <v>1467</v>
      </c>
      <c r="D166" t="s">
        <v>1841</v>
      </c>
      <c r="E166">
        <v>903</v>
      </c>
      <c r="F166" s="14" t="s">
        <v>2263</v>
      </c>
      <c r="G166" t="s">
        <v>286</v>
      </c>
      <c r="H166" s="14">
        <v>0.85581395348837208</v>
      </c>
      <c r="BD166" s="13"/>
      <c r="BE166" s="13"/>
      <c r="BF166" s="14"/>
    </row>
    <row r="167" spans="1:58" x14ac:dyDescent="0.15">
      <c r="A167" t="s">
        <v>1902</v>
      </c>
      <c r="B167" t="s">
        <v>1506</v>
      </c>
      <c r="C167" t="s">
        <v>1506</v>
      </c>
      <c r="D167" t="s">
        <v>1903</v>
      </c>
      <c r="E167">
        <v>908</v>
      </c>
      <c r="F167" s="14" t="s">
        <v>2260</v>
      </c>
      <c r="G167" t="s">
        <v>671</v>
      </c>
      <c r="H167" s="14">
        <v>0.84000000000000008</v>
      </c>
      <c r="Q167" s="11"/>
      <c r="AL167" s="11"/>
      <c r="AQ167" s="11"/>
      <c r="AS167" s="11"/>
      <c r="BD167" s="12"/>
      <c r="BE167" s="12"/>
      <c r="BF167" s="14"/>
    </row>
    <row r="168" spans="1:58" x14ac:dyDescent="0.15">
      <c r="A168" t="s">
        <v>2057</v>
      </c>
      <c r="B168" t="s">
        <v>1506</v>
      </c>
      <c r="C168" t="s">
        <v>1506</v>
      </c>
      <c r="D168" t="s">
        <v>2058</v>
      </c>
      <c r="E168">
        <v>910</v>
      </c>
      <c r="F168" s="14" t="s">
        <v>2260</v>
      </c>
      <c r="G168" t="s">
        <v>541</v>
      </c>
      <c r="H168" s="14">
        <v>0.83448275862068966</v>
      </c>
      <c r="O168" s="11"/>
      <c r="AA168" s="11"/>
      <c r="BD168" s="12"/>
      <c r="BE168" s="12"/>
      <c r="BF168" s="14"/>
    </row>
    <row r="169" spans="1:58" x14ac:dyDescent="0.15">
      <c r="A169" t="s">
        <v>2153</v>
      </c>
      <c r="B169" t="s">
        <v>563</v>
      </c>
      <c r="C169" t="s">
        <v>1471</v>
      </c>
      <c r="D169" t="s">
        <v>2154</v>
      </c>
      <c r="E169">
        <v>924</v>
      </c>
      <c r="F169" s="14" t="s">
        <v>61</v>
      </c>
      <c r="G169" t="s">
        <v>729</v>
      </c>
      <c r="H169" s="14">
        <v>0.84827586206896555</v>
      </c>
      <c r="AL169" s="11"/>
      <c r="BD169" s="12"/>
      <c r="BE169" s="12"/>
      <c r="BF169" s="14"/>
    </row>
    <row r="170" spans="1:58" x14ac:dyDescent="0.15">
      <c r="A170" t="s">
        <v>2070</v>
      </c>
      <c r="B170" t="s">
        <v>1529</v>
      </c>
      <c r="C170" t="s">
        <v>1502</v>
      </c>
      <c r="D170" t="s">
        <v>2071</v>
      </c>
      <c r="E170">
        <v>926</v>
      </c>
      <c r="F170" s="14" t="s">
        <v>77</v>
      </c>
      <c r="G170" t="s">
        <v>2274</v>
      </c>
      <c r="H170" s="14">
        <v>0.8789473684210527</v>
      </c>
      <c r="W170" s="11"/>
      <c r="Y170" s="11"/>
      <c r="AA170" s="11"/>
      <c r="AL170" s="11"/>
      <c r="BD170" s="12"/>
      <c r="BE170" s="12"/>
      <c r="BF170" s="14"/>
    </row>
    <row r="171" spans="1:58" x14ac:dyDescent="0.15">
      <c r="A171" t="s">
        <v>1616</v>
      </c>
      <c r="B171" t="s">
        <v>1392</v>
      </c>
      <c r="C171" t="s">
        <v>1471</v>
      </c>
      <c r="D171" t="s">
        <v>1617</v>
      </c>
      <c r="E171">
        <v>928</v>
      </c>
      <c r="F171" s="14" t="s">
        <v>2259</v>
      </c>
      <c r="G171" t="s">
        <v>132</v>
      </c>
      <c r="H171" s="14">
        <v>0.86250000000000004</v>
      </c>
      <c r="Y171" s="11"/>
      <c r="AA171" s="11"/>
      <c r="AJ171" s="11"/>
      <c r="AL171" s="11"/>
      <c r="AO171" s="11"/>
      <c r="AS171" s="11"/>
      <c r="BD171" s="12"/>
      <c r="BE171" s="12"/>
      <c r="BF171" s="14"/>
    </row>
    <row r="172" spans="1:58" x14ac:dyDescent="0.15">
      <c r="A172" t="s">
        <v>2214</v>
      </c>
      <c r="B172" t="s">
        <v>563</v>
      </c>
      <c r="C172" t="s">
        <v>1471</v>
      </c>
      <c r="D172" t="s">
        <v>2215</v>
      </c>
      <c r="E172">
        <v>932</v>
      </c>
      <c r="F172" s="14" t="s">
        <v>61</v>
      </c>
      <c r="G172" t="s">
        <v>516</v>
      </c>
      <c r="H172" s="14">
        <v>0.84827586206896555</v>
      </c>
      <c r="O172" s="11"/>
      <c r="Q172" s="11"/>
      <c r="Y172" s="11"/>
      <c r="AA172" s="11"/>
      <c r="AS172" s="11"/>
      <c r="BD172" s="12"/>
      <c r="BE172" s="12"/>
      <c r="BF172" s="14"/>
    </row>
    <row r="173" spans="1:58" x14ac:dyDescent="0.15">
      <c r="A173" t="s">
        <v>1509</v>
      </c>
      <c r="B173" t="s">
        <v>1506</v>
      </c>
      <c r="C173" t="s">
        <v>1506</v>
      </c>
      <c r="D173" t="s">
        <v>1510</v>
      </c>
      <c r="E173">
        <v>934</v>
      </c>
      <c r="F173" s="14" t="s">
        <v>2260</v>
      </c>
      <c r="G173" t="s">
        <v>593</v>
      </c>
      <c r="H173" s="14">
        <v>0.84000000000000008</v>
      </c>
      <c r="AA173" s="11"/>
      <c r="AJ173" s="11"/>
      <c r="AO173" s="11"/>
      <c r="AQ173" s="11"/>
      <c r="BD173" s="12"/>
      <c r="BE173" s="12"/>
      <c r="BF173" s="14"/>
    </row>
    <row r="174" spans="1:58" x14ac:dyDescent="0.15">
      <c r="A174" t="s">
        <v>1836</v>
      </c>
      <c r="B174" t="s">
        <v>1368</v>
      </c>
      <c r="C174" t="s">
        <v>1460</v>
      </c>
      <c r="D174" t="s">
        <v>1837</v>
      </c>
      <c r="E174">
        <v>936</v>
      </c>
      <c r="F174" s="14" t="s">
        <v>83</v>
      </c>
      <c r="G174" t="s">
        <v>439</v>
      </c>
      <c r="H174" s="14">
        <v>0.85625000000000007</v>
      </c>
      <c r="O174" s="11"/>
      <c r="Y174" s="11"/>
      <c r="AA174" s="11"/>
      <c r="AJ174" s="11"/>
      <c r="AL174" s="11"/>
      <c r="AO174" s="11"/>
      <c r="AQ174" s="11"/>
      <c r="AU174" s="11"/>
      <c r="BD174" s="12"/>
      <c r="BE174" s="12"/>
      <c r="BF174" s="14"/>
    </row>
    <row r="175" spans="1:58" x14ac:dyDescent="0.15">
      <c r="A175" t="s">
        <v>1900</v>
      </c>
      <c r="B175" t="s">
        <v>1501</v>
      </c>
      <c r="C175" t="s">
        <v>1502</v>
      </c>
      <c r="D175" t="s">
        <v>1901</v>
      </c>
      <c r="E175">
        <v>942</v>
      </c>
      <c r="F175" s="14" t="s">
        <v>77</v>
      </c>
      <c r="G175" t="s">
        <v>78</v>
      </c>
      <c r="H175" s="14">
        <v>0.83636363636363642</v>
      </c>
      <c r="Q175" s="11"/>
      <c r="W175" s="11"/>
      <c r="AA175" s="11"/>
      <c r="BD175" s="12"/>
      <c r="BE175" s="12"/>
      <c r="BF175" s="14"/>
    </row>
    <row r="176" spans="1:58" x14ac:dyDescent="0.15">
      <c r="A176" t="s">
        <v>1515</v>
      </c>
      <c r="B176" t="s">
        <v>1374</v>
      </c>
      <c r="C176" t="s">
        <v>1471</v>
      </c>
      <c r="D176" t="s">
        <v>1517</v>
      </c>
      <c r="E176">
        <v>944</v>
      </c>
      <c r="F176" s="14" t="s">
        <v>2259</v>
      </c>
      <c r="G176" t="s">
        <v>911</v>
      </c>
      <c r="H176" s="14">
        <v>0.84375</v>
      </c>
      <c r="BD176" s="12"/>
      <c r="BE176" s="13"/>
      <c r="BF176" s="14"/>
    </row>
    <row r="177" spans="1:58" x14ac:dyDescent="0.15">
      <c r="A177" t="s">
        <v>1983</v>
      </c>
      <c r="B177" t="s">
        <v>1550</v>
      </c>
      <c r="C177" t="s">
        <v>1460</v>
      </c>
      <c r="D177" t="s">
        <v>1985</v>
      </c>
      <c r="E177">
        <v>952</v>
      </c>
      <c r="F177" s="14" t="s">
        <v>83</v>
      </c>
      <c r="G177" t="s">
        <v>574</v>
      </c>
      <c r="H177" s="14">
        <v>0.9154955670239513</v>
      </c>
      <c r="O177" s="11"/>
      <c r="AA177" s="11"/>
      <c r="AO177" s="11"/>
      <c r="AQ177" s="11"/>
      <c r="BD177" s="12"/>
      <c r="BE177" s="12"/>
      <c r="BF177" s="14"/>
    </row>
    <row r="178" spans="1:58" x14ac:dyDescent="0.15">
      <c r="A178" t="s">
        <v>2232</v>
      </c>
      <c r="B178" t="s">
        <v>1506</v>
      </c>
      <c r="C178" t="s">
        <v>1506</v>
      </c>
      <c r="D178" t="s">
        <v>2233</v>
      </c>
      <c r="E178">
        <v>957</v>
      </c>
      <c r="F178" s="14" t="s">
        <v>2260</v>
      </c>
      <c r="G178" t="s">
        <v>682</v>
      </c>
      <c r="H178" s="14">
        <v>0.86976744186046517</v>
      </c>
      <c r="Y178" s="11"/>
      <c r="AJ178" s="11"/>
      <c r="AL178" s="11"/>
      <c r="AU178" s="11"/>
      <c r="BD178" s="12"/>
      <c r="BE178" s="12"/>
      <c r="BF178" s="14"/>
    </row>
    <row r="179" spans="1:58" x14ac:dyDescent="0.15">
      <c r="A179" t="s">
        <v>1483</v>
      </c>
      <c r="B179" t="s">
        <v>1385</v>
      </c>
      <c r="C179" t="s">
        <v>1463</v>
      </c>
      <c r="D179" t="s">
        <v>1485</v>
      </c>
      <c r="E179">
        <v>961</v>
      </c>
      <c r="F179" s="14" t="s">
        <v>104</v>
      </c>
      <c r="G179" t="s">
        <v>633</v>
      </c>
      <c r="H179" s="14">
        <v>0.8413793103448276</v>
      </c>
      <c r="Y179" s="11"/>
      <c r="AA179" s="11"/>
      <c r="AJ179" s="11"/>
      <c r="AL179" s="11"/>
      <c r="AQ179" s="11"/>
      <c r="AS179" s="11"/>
      <c r="BD179" s="12"/>
      <c r="BE179" s="12"/>
      <c r="BF179" s="14"/>
    </row>
    <row r="180" spans="1:58" x14ac:dyDescent="0.15">
      <c r="A180" t="s">
        <v>1549</v>
      </c>
      <c r="B180" t="s">
        <v>1550</v>
      </c>
      <c r="C180" t="s">
        <v>1471</v>
      </c>
      <c r="D180" t="s">
        <v>519</v>
      </c>
      <c r="E180">
        <v>968</v>
      </c>
      <c r="F180" s="14" t="s">
        <v>61</v>
      </c>
      <c r="G180" t="s">
        <v>477</v>
      </c>
      <c r="H180" s="14">
        <v>0.9172452976884663</v>
      </c>
      <c r="Y180" s="11"/>
      <c r="AL180" s="11"/>
      <c r="BD180" s="12"/>
      <c r="BE180" s="12"/>
      <c r="BF180" s="14"/>
    </row>
    <row r="181" spans="1:58" x14ac:dyDescent="0.15">
      <c r="A181" t="s">
        <v>1819</v>
      </c>
      <c r="B181" t="s">
        <v>1387</v>
      </c>
      <c r="C181" t="s">
        <v>1467</v>
      </c>
      <c r="D181" t="s">
        <v>1820</v>
      </c>
      <c r="E181">
        <v>976</v>
      </c>
      <c r="F181" s="14" t="s">
        <v>2263</v>
      </c>
      <c r="G181" t="s">
        <v>87</v>
      </c>
      <c r="H181" s="14">
        <v>0.84324324324324329</v>
      </c>
      <c r="AJ181" s="11"/>
      <c r="AO181" s="11"/>
      <c r="AQ181" s="11"/>
      <c r="AU181" s="11"/>
      <c r="BD181" s="12"/>
      <c r="BE181" s="12"/>
      <c r="BF181" s="14"/>
    </row>
    <row r="182" spans="1:58" x14ac:dyDescent="0.15">
      <c r="A182" t="s">
        <v>1908</v>
      </c>
      <c r="B182" t="s">
        <v>1512</v>
      </c>
      <c r="C182" t="s">
        <v>1467</v>
      </c>
      <c r="D182" t="s">
        <v>475</v>
      </c>
      <c r="E182">
        <v>980</v>
      </c>
      <c r="F182" s="14" t="s">
        <v>2263</v>
      </c>
      <c r="G182" t="s">
        <v>475</v>
      </c>
      <c r="H182" s="14">
        <v>0.86875000000000002</v>
      </c>
      <c r="AL182" s="11"/>
      <c r="AO182" s="11"/>
      <c r="BD182" s="12"/>
      <c r="BE182" s="12"/>
      <c r="BF182" s="14"/>
    </row>
    <row r="183" spans="1:58" x14ac:dyDescent="0.15">
      <c r="A183" t="s">
        <v>1671</v>
      </c>
      <c r="B183" t="s">
        <v>1387</v>
      </c>
      <c r="C183" t="s">
        <v>1467</v>
      </c>
      <c r="D183" t="s">
        <v>1673</v>
      </c>
      <c r="E183">
        <v>990</v>
      </c>
      <c r="F183" s="14" t="s">
        <v>2263</v>
      </c>
      <c r="G183" t="s">
        <v>419</v>
      </c>
      <c r="H183" s="14">
        <v>0.84000000000000008</v>
      </c>
      <c r="O183" s="11"/>
      <c r="AL183" s="11"/>
      <c r="AU183" s="11"/>
      <c r="BD183" s="12"/>
      <c r="BE183" s="12"/>
      <c r="BF183" s="14"/>
    </row>
    <row r="184" spans="1:58" x14ac:dyDescent="0.15">
      <c r="A184" t="s">
        <v>1951</v>
      </c>
      <c r="B184" t="s">
        <v>1506</v>
      </c>
      <c r="C184" t="s">
        <v>1506</v>
      </c>
      <c r="D184" t="s">
        <v>1952</v>
      </c>
      <c r="E184">
        <v>992</v>
      </c>
      <c r="F184" s="14" t="s">
        <v>2260</v>
      </c>
      <c r="G184" t="s">
        <v>360</v>
      </c>
      <c r="H184" s="14">
        <v>0.84000000000000008</v>
      </c>
      <c r="Q184" s="11"/>
      <c r="Y184" s="11"/>
      <c r="AU184" s="11"/>
      <c r="BD184" s="12"/>
      <c r="BE184" s="12"/>
      <c r="BF184" s="14"/>
    </row>
    <row r="185" spans="1:58" x14ac:dyDescent="0.15">
      <c r="A185" t="s">
        <v>1567</v>
      </c>
      <c r="B185" t="s">
        <v>764</v>
      </c>
      <c r="C185" t="s">
        <v>1502</v>
      </c>
      <c r="D185" t="s">
        <v>1568</v>
      </c>
      <c r="E185">
        <v>999</v>
      </c>
      <c r="F185" s="14" t="s">
        <v>77</v>
      </c>
      <c r="G185" t="s">
        <v>486</v>
      </c>
      <c r="H185" s="14">
        <v>0.82777777777777783</v>
      </c>
      <c r="O185" s="11"/>
      <c r="Q185" s="11"/>
      <c r="W185" s="11"/>
      <c r="AO185" s="11"/>
      <c r="AQ185" s="11"/>
      <c r="AU185" s="11"/>
      <c r="BD185" s="12"/>
      <c r="BE185" s="12"/>
      <c r="BF185" s="14"/>
    </row>
    <row r="186" spans="1:58" x14ac:dyDescent="0.15">
      <c r="A186" t="s">
        <v>1969</v>
      </c>
      <c r="B186" t="s">
        <v>1392</v>
      </c>
      <c r="C186" t="s">
        <v>1471</v>
      </c>
      <c r="D186" t="s">
        <v>1970</v>
      </c>
      <c r="E186">
        <v>1000</v>
      </c>
      <c r="F186" s="14" t="s">
        <v>61</v>
      </c>
      <c r="G186" t="s">
        <v>556</v>
      </c>
      <c r="H186" s="14">
        <v>0.85806451612903234</v>
      </c>
      <c r="O186" s="11"/>
      <c r="Y186" s="11"/>
      <c r="AJ186" s="11"/>
      <c r="AS186" s="11"/>
      <c r="BD186" s="12"/>
      <c r="BE186" s="12"/>
      <c r="BF186" s="14"/>
    </row>
    <row r="187" spans="1:58" x14ac:dyDescent="0.15">
      <c r="A187" t="s">
        <v>1569</v>
      </c>
      <c r="B187" t="s">
        <v>1392</v>
      </c>
      <c r="C187" t="s">
        <v>1471</v>
      </c>
      <c r="D187" t="s">
        <v>1571</v>
      </c>
      <c r="E187">
        <v>1000</v>
      </c>
      <c r="F187" s="14" t="s">
        <v>61</v>
      </c>
      <c r="G187" t="s">
        <v>556</v>
      </c>
      <c r="H187" s="14">
        <v>0.86206896551724144</v>
      </c>
      <c r="O187" s="11"/>
      <c r="AA187" s="11"/>
      <c r="BD187" s="12"/>
      <c r="BE187" s="12"/>
      <c r="BF187" s="14"/>
    </row>
    <row r="188" spans="1:58" x14ac:dyDescent="0.15">
      <c r="A188" t="s">
        <v>2048</v>
      </c>
      <c r="B188" t="s">
        <v>1392</v>
      </c>
      <c r="C188" t="s">
        <v>1471</v>
      </c>
      <c r="D188" t="s">
        <v>2049</v>
      </c>
      <c r="E188">
        <v>1000</v>
      </c>
      <c r="F188" s="14" t="s">
        <v>61</v>
      </c>
      <c r="G188" t="s">
        <v>556</v>
      </c>
      <c r="H188" s="14">
        <v>0.86428571428571432</v>
      </c>
      <c r="Y188" s="11"/>
      <c r="AA188" s="11"/>
      <c r="AJ188" s="11"/>
      <c r="AS188" s="11"/>
      <c r="BD188" s="12"/>
      <c r="BE188" s="12"/>
      <c r="BF188" s="14"/>
    </row>
    <row r="189" spans="1:58" x14ac:dyDescent="0.15">
      <c r="A189" t="s">
        <v>1706</v>
      </c>
      <c r="B189" t="s">
        <v>1392</v>
      </c>
      <c r="C189" t="s">
        <v>1471</v>
      </c>
      <c r="D189" t="s">
        <v>1707</v>
      </c>
      <c r="E189">
        <v>1000</v>
      </c>
      <c r="F189" s="14" t="s">
        <v>61</v>
      </c>
      <c r="G189" t="s">
        <v>556</v>
      </c>
      <c r="H189" s="14">
        <v>0.8666666666666667</v>
      </c>
      <c r="O189" s="11"/>
      <c r="Q189" s="11"/>
      <c r="AJ189" s="11"/>
      <c r="AQ189" s="11"/>
      <c r="BD189" s="12"/>
      <c r="BE189" s="12"/>
      <c r="BF189" s="14"/>
    </row>
    <row r="190" spans="1:58" x14ac:dyDescent="0.15">
      <c r="A190" t="s">
        <v>1697</v>
      </c>
      <c r="B190" t="s">
        <v>1385</v>
      </c>
      <c r="C190" t="s">
        <v>1463</v>
      </c>
      <c r="D190" t="s">
        <v>1698</v>
      </c>
      <c r="E190">
        <v>1002</v>
      </c>
      <c r="F190" s="14" t="s">
        <v>2262</v>
      </c>
      <c r="G190" t="s">
        <v>295</v>
      </c>
      <c r="H190" s="14">
        <v>0.87222222222222223</v>
      </c>
      <c r="Y190" s="11"/>
      <c r="AA190" s="11"/>
      <c r="BD190" s="12"/>
      <c r="BE190" s="12"/>
      <c r="BF190" s="14"/>
    </row>
    <row r="191" spans="1:58" x14ac:dyDescent="0.15">
      <c r="A191" t="s">
        <v>2181</v>
      </c>
      <c r="B191" t="s">
        <v>1385</v>
      </c>
      <c r="C191" t="s">
        <v>1463</v>
      </c>
      <c r="D191" t="s">
        <v>2182</v>
      </c>
      <c r="E191">
        <v>1003</v>
      </c>
      <c r="F191" s="14" t="s">
        <v>104</v>
      </c>
      <c r="G191" t="s">
        <v>400</v>
      </c>
      <c r="H191" s="14">
        <v>0.84666666666666668</v>
      </c>
      <c r="O191" s="11"/>
      <c r="AJ191" s="11"/>
      <c r="AO191" s="11"/>
      <c r="AQ191" s="11"/>
      <c r="AS191" s="11"/>
      <c r="BD191" s="12"/>
      <c r="BE191" s="12"/>
      <c r="BF191" s="14"/>
    </row>
    <row r="192" spans="1:58" x14ac:dyDescent="0.15">
      <c r="A192" t="s">
        <v>1848</v>
      </c>
      <c r="B192" t="s">
        <v>563</v>
      </c>
      <c r="C192" t="s">
        <v>1471</v>
      </c>
      <c r="D192" t="s">
        <v>1849</v>
      </c>
      <c r="E192">
        <v>1010</v>
      </c>
      <c r="F192" s="14" t="s">
        <v>61</v>
      </c>
      <c r="G192" t="s">
        <v>117</v>
      </c>
      <c r="H192" s="14">
        <v>0.87777777777777777</v>
      </c>
      <c r="AA192" s="11"/>
      <c r="AJ192" s="11"/>
      <c r="AO192" s="11"/>
      <c r="AQ192" s="11"/>
      <c r="AS192" s="11"/>
      <c r="BD192" s="12"/>
      <c r="BE192" s="12"/>
      <c r="BF192" s="14"/>
    </row>
    <row r="193" spans="1:58" x14ac:dyDescent="0.15">
      <c r="A193" t="s">
        <v>2029</v>
      </c>
      <c r="B193" t="s">
        <v>1506</v>
      </c>
      <c r="C193" t="s">
        <v>1506</v>
      </c>
      <c r="D193" t="s">
        <v>2030</v>
      </c>
      <c r="E193">
        <v>1012</v>
      </c>
      <c r="F193" s="14" t="s">
        <v>2260</v>
      </c>
      <c r="G193" t="s">
        <v>2030</v>
      </c>
      <c r="H193" s="14">
        <v>0.93103448275862066</v>
      </c>
      <c r="Q193" s="11"/>
      <c r="AJ193" s="11"/>
      <c r="AL193" s="11"/>
      <c r="AS193" s="11"/>
      <c r="BD193" s="12"/>
      <c r="BE193" s="12"/>
      <c r="BF193" s="14"/>
    </row>
    <row r="194" spans="1:58" x14ac:dyDescent="0.15">
      <c r="A194" t="s">
        <v>1925</v>
      </c>
      <c r="B194" t="s">
        <v>1380</v>
      </c>
      <c r="C194" t="s">
        <v>1467</v>
      </c>
      <c r="D194" t="s">
        <v>1926</v>
      </c>
      <c r="E194">
        <v>1016</v>
      </c>
      <c r="F194" s="14" t="s">
        <v>2263</v>
      </c>
      <c r="G194" t="s">
        <v>1322</v>
      </c>
      <c r="H194" s="14">
        <v>0.85714285714285721</v>
      </c>
      <c r="AS194" s="11"/>
      <c r="BD194" s="12"/>
      <c r="BE194" s="12"/>
      <c r="BF194" s="14"/>
    </row>
    <row r="195" spans="1:58" x14ac:dyDescent="0.15">
      <c r="A195" t="s">
        <v>1868</v>
      </c>
      <c r="B195" t="s">
        <v>1506</v>
      </c>
      <c r="C195" t="s">
        <v>1506</v>
      </c>
      <c r="D195" t="s">
        <v>1869</v>
      </c>
      <c r="E195">
        <v>1018</v>
      </c>
      <c r="F195" s="14" t="s">
        <v>2260</v>
      </c>
      <c r="G195" t="s">
        <v>841</v>
      </c>
      <c r="H195" s="14">
        <v>0.84000000000000008</v>
      </c>
      <c r="O195" s="11"/>
      <c r="AA195" s="11"/>
      <c r="AU195" s="11"/>
      <c r="BD195" s="12"/>
      <c r="BE195" s="12"/>
      <c r="BF195" s="14"/>
    </row>
    <row r="196" spans="1:58" x14ac:dyDescent="0.15">
      <c r="A196" t="s">
        <v>2167</v>
      </c>
      <c r="B196" t="s">
        <v>1506</v>
      </c>
      <c r="C196" t="s">
        <v>1506</v>
      </c>
      <c r="D196" t="s">
        <v>2168</v>
      </c>
      <c r="E196">
        <v>1019</v>
      </c>
      <c r="F196" s="14" t="s">
        <v>2260</v>
      </c>
      <c r="G196" t="s">
        <v>266</v>
      </c>
      <c r="H196" s="14">
        <v>0.83448275862068966</v>
      </c>
      <c r="AA196" s="11"/>
      <c r="AL196" s="11"/>
      <c r="BD196" s="12"/>
      <c r="BE196" s="12"/>
      <c r="BF196" s="14"/>
    </row>
    <row r="197" spans="1:58" x14ac:dyDescent="0.15">
      <c r="A197" t="s">
        <v>1904</v>
      </c>
      <c r="B197" t="s">
        <v>1506</v>
      </c>
      <c r="C197" t="s">
        <v>1506</v>
      </c>
      <c r="D197" t="s">
        <v>1905</v>
      </c>
      <c r="E197">
        <v>1035</v>
      </c>
      <c r="F197" s="14" t="s">
        <v>2260</v>
      </c>
      <c r="G197" t="s">
        <v>616</v>
      </c>
      <c r="H197" s="14">
        <v>0.84000000000000008</v>
      </c>
      <c r="O197" s="11"/>
      <c r="Q197" s="11"/>
      <c r="AA197" s="11"/>
      <c r="AL197" s="11"/>
      <c r="AS197" s="11"/>
      <c r="BD197" s="12"/>
      <c r="BE197" s="12"/>
      <c r="BF197" s="14"/>
    </row>
    <row r="198" spans="1:58" x14ac:dyDescent="0.15">
      <c r="A198" t="s">
        <v>1870</v>
      </c>
      <c r="B198" t="s">
        <v>1550</v>
      </c>
      <c r="C198" t="s">
        <v>1463</v>
      </c>
      <c r="D198" t="s">
        <v>1872</v>
      </c>
      <c r="E198">
        <v>1043</v>
      </c>
      <c r="F198" s="14" t="s">
        <v>104</v>
      </c>
      <c r="G198" t="s">
        <v>433</v>
      </c>
      <c r="H198" s="14">
        <v>0.91077867280398928</v>
      </c>
      <c r="AW198" s="11"/>
      <c r="BD198" s="12"/>
      <c r="BE198" s="13"/>
      <c r="BF198" s="14"/>
    </row>
    <row r="199" spans="1:58" x14ac:dyDescent="0.15">
      <c r="A199" t="s">
        <v>2116</v>
      </c>
      <c r="B199" t="s">
        <v>1391</v>
      </c>
      <c r="C199" t="s">
        <v>1463</v>
      </c>
      <c r="D199" t="s">
        <v>2117</v>
      </c>
      <c r="E199">
        <v>1061</v>
      </c>
      <c r="F199" s="14" t="s">
        <v>2262</v>
      </c>
      <c r="G199" t="s">
        <v>333</v>
      </c>
      <c r="H199" s="14">
        <v>0.84375</v>
      </c>
      <c r="AL199" s="11"/>
      <c r="AO199" s="11"/>
      <c r="BD199" s="12"/>
      <c r="BE199" s="12"/>
      <c r="BF199" s="14"/>
    </row>
    <row r="200" spans="1:58" x14ac:dyDescent="0.15">
      <c r="A200" t="s">
        <v>1695</v>
      </c>
      <c r="B200" t="s">
        <v>563</v>
      </c>
      <c r="C200" t="s">
        <v>1471</v>
      </c>
      <c r="D200" t="s">
        <v>1696</v>
      </c>
      <c r="E200">
        <v>1063</v>
      </c>
      <c r="F200" s="14" t="s">
        <v>61</v>
      </c>
      <c r="G200" t="s">
        <v>560</v>
      </c>
      <c r="H200" s="14">
        <v>0.84285714285714286</v>
      </c>
      <c r="W200" s="11"/>
      <c r="Y200" s="11"/>
      <c r="AA200" s="11"/>
      <c r="AL200" s="11"/>
      <c r="AO200" s="11"/>
      <c r="BD200" s="12"/>
      <c r="BE200" s="12"/>
      <c r="BF200" s="14"/>
    </row>
    <row r="201" spans="1:58" x14ac:dyDescent="0.15">
      <c r="A201" t="s">
        <v>1462</v>
      </c>
      <c r="B201" t="s">
        <v>1369</v>
      </c>
      <c r="C201" t="s">
        <v>1463</v>
      </c>
      <c r="D201" t="s">
        <v>1465</v>
      </c>
      <c r="E201">
        <v>1070</v>
      </c>
      <c r="F201" s="14" t="s">
        <v>104</v>
      </c>
      <c r="G201" t="s">
        <v>570</v>
      </c>
      <c r="H201" s="14">
        <v>0.84516129032258069</v>
      </c>
      <c r="Q201" s="11"/>
      <c r="Y201" s="11"/>
      <c r="AU201" s="11"/>
      <c r="BD201" s="12"/>
      <c r="BE201" s="12"/>
      <c r="BF201" s="14"/>
    </row>
    <row r="202" spans="1:58" x14ac:dyDescent="0.15">
      <c r="A202" t="s">
        <v>2059</v>
      </c>
      <c r="B202" t="s">
        <v>1506</v>
      </c>
      <c r="C202" t="s">
        <v>1506</v>
      </c>
      <c r="D202" t="s">
        <v>2060</v>
      </c>
      <c r="E202">
        <v>1078</v>
      </c>
      <c r="F202" s="14" t="s">
        <v>2260</v>
      </c>
      <c r="G202" t="s">
        <v>648</v>
      </c>
      <c r="H202" s="14">
        <v>0.85882352941176476</v>
      </c>
      <c r="Y202" s="11"/>
      <c r="AL202" s="11"/>
      <c r="BD202" s="12"/>
      <c r="BE202" s="12"/>
      <c r="BF202" s="14"/>
    </row>
    <row r="203" spans="1:58" x14ac:dyDescent="0.15">
      <c r="A203" t="s">
        <v>1894</v>
      </c>
      <c r="B203" t="s">
        <v>764</v>
      </c>
      <c r="C203" t="s">
        <v>1502</v>
      </c>
      <c r="D203" t="s">
        <v>1895</v>
      </c>
      <c r="E203">
        <v>1079</v>
      </c>
      <c r="F203" s="14" t="s">
        <v>77</v>
      </c>
      <c r="G203" t="s">
        <v>1263</v>
      </c>
      <c r="H203" s="14">
        <v>0.84000000000000008</v>
      </c>
      <c r="O203" s="11"/>
      <c r="Q203" s="11"/>
      <c r="W203" s="11"/>
      <c r="AO203" s="11"/>
      <c r="AQ203" s="11"/>
      <c r="AU203" s="11"/>
      <c r="BD203" s="12"/>
      <c r="BE203" s="12"/>
      <c r="BF203" s="14"/>
    </row>
    <row r="204" spans="1:58" x14ac:dyDescent="0.15">
      <c r="A204" t="s">
        <v>2114</v>
      </c>
      <c r="B204" t="s">
        <v>1385</v>
      </c>
      <c r="C204" t="s">
        <v>1463</v>
      </c>
      <c r="D204" t="s">
        <v>2115</v>
      </c>
      <c r="E204">
        <v>1082</v>
      </c>
      <c r="F204" s="14" t="s">
        <v>104</v>
      </c>
      <c r="G204" t="s">
        <v>742</v>
      </c>
      <c r="H204" s="14">
        <v>0.84827586206896555</v>
      </c>
      <c r="Q204" s="11"/>
      <c r="AJ204" s="11"/>
      <c r="AO204" s="11"/>
      <c r="AQ204" s="11"/>
      <c r="BD204" s="12"/>
      <c r="BE204" s="12"/>
      <c r="BF204" s="14"/>
    </row>
    <row r="205" spans="1:58" x14ac:dyDescent="0.15">
      <c r="A205" t="s">
        <v>1536</v>
      </c>
      <c r="B205" t="s">
        <v>1394</v>
      </c>
      <c r="C205" t="s">
        <v>1537</v>
      </c>
      <c r="D205" t="s">
        <v>1539</v>
      </c>
      <c r="E205">
        <v>1085</v>
      </c>
      <c r="F205" s="14" t="s">
        <v>2272</v>
      </c>
      <c r="G205" t="s">
        <v>1110</v>
      </c>
      <c r="H205" s="14">
        <v>0.85882352941176476</v>
      </c>
      <c r="O205" s="11"/>
      <c r="Y205" s="11"/>
      <c r="AA205" s="11"/>
      <c r="AO205" s="11"/>
      <c r="AQ205" s="11"/>
      <c r="BD205" s="12"/>
      <c r="BE205" s="12"/>
      <c r="BF205" s="14"/>
    </row>
    <row r="206" spans="1:58" x14ac:dyDescent="0.15">
      <c r="A206" t="s">
        <v>2005</v>
      </c>
      <c r="B206" t="s">
        <v>1400</v>
      </c>
      <c r="C206" t="s">
        <v>1537</v>
      </c>
      <c r="D206" t="s">
        <v>2006</v>
      </c>
      <c r="E206">
        <v>1086</v>
      </c>
      <c r="F206" s="14" t="s">
        <v>2272</v>
      </c>
      <c r="G206" t="s">
        <v>458</v>
      </c>
      <c r="H206" s="14">
        <v>0.85882352941176476</v>
      </c>
      <c r="BD206" s="12"/>
      <c r="BE206" s="13"/>
      <c r="BF206" s="14"/>
    </row>
    <row r="207" spans="1:58" x14ac:dyDescent="0.15">
      <c r="A207" t="s">
        <v>2145</v>
      </c>
      <c r="B207" t="s">
        <v>1881</v>
      </c>
      <c r="C207" t="s">
        <v>1497</v>
      </c>
      <c r="D207" t="s">
        <v>2146</v>
      </c>
      <c r="E207">
        <v>1088</v>
      </c>
      <c r="F207" s="14" t="s">
        <v>2270</v>
      </c>
      <c r="G207" t="s">
        <v>571</v>
      </c>
      <c r="H207" s="14">
        <v>0.8774193548387097</v>
      </c>
      <c r="O207" s="11"/>
      <c r="AA207" s="11"/>
      <c r="BD207" s="12"/>
      <c r="BE207" s="12"/>
      <c r="BF207" s="14"/>
    </row>
    <row r="208" spans="1:58" x14ac:dyDescent="0.15">
      <c r="A208" t="s">
        <v>1811</v>
      </c>
      <c r="B208" t="s">
        <v>1506</v>
      </c>
      <c r="C208" t="s">
        <v>1506</v>
      </c>
      <c r="D208" t="s">
        <v>1812</v>
      </c>
      <c r="E208">
        <v>1102</v>
      </c>
      <c r="F208" s="14" t="s">
        <v>2260</v>
      </c>
      <c r="G208" t="s">
        <v>372</v>
      </c>
      <c r="H208" s="14">
        <v>0.87317073170731707</v>
      </c>
      <c r="BD208" s="12"/>
      <c r="BE208" s="13"/>
      <c r="BF208" s="14"/>
    </row>
    <row r="209" spans="1:58" x14ac:dyDescent="0.15">
      <c r="A209" t="s">
        <v>2087</v>
      </c>
      <c r="B209" t="s">
        <v>1747</v>
      </c>
      <c r="C209" t="s">
        <v>1460</v>
      </c>
      <c r="D209" t="s">
        <v>2088</v>
      </c>
      <c r="E209">
        <v>1112</v>
      </c>
      <c r="F209" s="14" t="s">
        <v>2271</v>
      </c>
      <c r="G209" t="s">
        <v>1158</v>
      </c>
      <c r="H209" s="14">
        <v>0.83888888888888891</v>
      </c>
      <c r="AJ209" s="11"/>
      <c r="AU209" s="11"/>
      <c r="BD209" s="12"/>
      <c r="BE209" s="12"/>
      <c r="BF209" s="14"/>
    </row>
    <row r="210" spans="1:58" x14ac:dyDescent="0.15">
      <c r="A210" t="s">
        <v>1584</v>
      </c>
      <c r="B210" t="s">
        <v>1537</v>
      </c>
      <c r="C210" t="s">
        <v>1537</v>
      </c>
      <c r="D210" t="s">
        <v>1586</v>
      </c>
      <c r="E210">
        <v>1113</v>
      </c>
      <c r="F210" s="14" t="s">
        <v>54</v>
      </c>
      <c r="G210" t="s">
        <v>205</v>
      </c>
      <c r="H210" s="14">
        <v>0.83157894736842108</v>
      </c>
      <c r="Y210" s="11"/>
      <c r="AL210" s="11"/>
      <c r="AS210" s="11"/>
      <c r="BD210" s="12"/>
      <c r="BE210" s="12"/>
      <c r="BF210" s="14"/>
    </row>
    <row r="211" spans="1:58" x14ac:dyDescent="0.15">
      <c r="A211" t="s">
        <v>1661</v>
      </c>
      <c r="B211" t="s">
        <v>789</v>
      </c>
      <c r="C211" t="s">
        <v>1521</v>
      </c>
      <c r="D211" t="s">
        <v>1662</v>
      </c>
      <c r="E211">
        <v>1123</v>
      </c>
      <c r="F211" s="14" t="s">
        <v>67</v>
      </c>
      <c r="G211" t="s">
        <v>223</v>
      </c>
      <c r="H211" s="14">
        <v>0.91794871794871802</v>
      </c>
      <c r="BD211" s="12"/>
      <c r="BE211" s="13"/>
      <c r="BF211" s="14"/>
    </row>
    <row r="212" spans="1:58" x14ac:dyDescent="0.15">
      <c r="A212" t="s">
        <v>2218</v>
      </c>
      <c r="B212" t="s">
        <v>1386</v>
      </c>
      <c r="C212" t="s">
        <v>1463</v>
      </c>
      <c r="D212" t="s">
        <v>2219</v>
      </c>
      <c r="E212">
        <v>1131</v>
      </c>
      <c r="F212" s="14" t="s">
        <v>83</v>
      </c>
      <c r="G212" t="s">
        <v>883</v>
      </c>
      <c r="H212" s="14">
        <v>0.79497199808290764</v>
      </c>
      <c r="Q212" s="11"/>
      <c r="AJ212" s="11"/>
      <c r="BD212" s="12"/>
      <c r="BE212" s="12"/>
      <c r="BF212" s="14"/>
    </row>
    <row r="213" spans="1:58" x14ac:dyDescent="0.15">
      <c r="A213" t="s">
        <v>1520</v>
      </c>
      <c r="B213" t="s">
        <v>527</v>
      </c>
      <c r="C213" t="s">
        <v>1521</v>
      </c>
      <c r="D213" t="s">
        <v>1523</v>
      </c>
      <c r="E213">
        <v>1133</v>
      </c>
      <c r="F213" s="14" t="s">
        <v>67</v>
      </c>
      <c r="G213" t="s">
        <v>301</v>
      </c>
      <c r="H213" s="14">
        <v>0.86206896551724144</v>
      </c>
      <c r="O213" s="11"/>
      <c r="Y213" s="11"/>
      <c r="AA213" s="11"/>
      <c r="AJ213" s="11"/>
      <c r="AL213" s="11"/>
      <c r="AO213" s="11"/>
      <c r="AQ213" s="11"/>
      <c r="AU213" s="11"/>
      <c r="BD213" s="12"/>
      <c r="BE213" s="12"/>
      <c r="BF213" s="14"/>
    </row>
    <row r="214" spans="1:58" x14ac:dyDescent="0.15">
      <c r="A214" t="s">
        <v>1558</v>
      </c>
      <c r="B214" t="s">
        <v>527</v>
      </c>
      <c r="C214" t="s">
        <v>1521</v>
      </c>
      <c r="D214" t="s">
        <v>1559</v>
      </c>
      <c r="E214">
        <v>1133</v>
      </c>
      <c r="F214" s="14" t="s">
        <v>67</v>
      </c>
      <c r="G214" t="s">
        <v>301</v>
      </c>
      <c r="H214" s="14">
        <v>0.86206896551724144</v>
      </c>
      <c r="O214" s="11"/>
      <c r="AJ214" s="11"/>
      <c r="AO214" s="11"/>
      <c r="AQ214" s="11"/>
      <c r="AS214" s="11"/>
      <c r="BD214" s="12"/>
      <c r="BE214" s="12"/>
      <c r="BF214" s="14"/>
    </row>
    <row r="215" spans="1:58" x14ac:dyDescent="0.15">
      <c r="A215" t="s">
        <v>1665</v>
      </c>
      <c r="B215" t="s">
        <v>527</v>
      </c>
      <c r="C215" t="s">
        <v>1521</v>
      </c>
      <c r="D215" t="s">
        <v>1666</v>
      </c>
      <c r="E215">
        <v>1133</v>
      </c>
      <c r="F215" s="14" t="s">
        <v>67</v>
      </c>
      <c r="G215" t="s">
        <v>301</v>
      </c>
      <c r="H215" s="14">
        <v>0.86206896551724144</v>
      </c>
      <c r="Q215" s="11"/>
      <c r="AU215" s="11"/>
      <c r="BD215" s="12"/>
      <c r="BE215" s="12"/>
      <c r="BF215" s="14"/>
    </row>
    <row r="216" spans="1:58" x14ac:dyDescent="0.15">
      <c r="A216" t="s">
        <v>1693</v>
      </c>
      <c r="B216" t="s">
        <v>527</v>
      </c>
      <c r="C216" t="s">
        <v>1521</v>
      </c>
      <c r="D216" t="s">
        <v>1694</v>
      </c>
      <c r="E216">
        <v>1133</v>
      </c>
      <c r="F216" s="14" t="s">
        <v>67</v>
      </c>
      <c r="G216" t="s">
        <v>301</v>
      </c>
      <c r="H216" s="14">
        <v>0.86206896551724144</v>
      </c>
      <c r="AA216" s="11"/>
      <c r="AS216" s="11"/>
      <c r="BD216" s="12"/>
      <c r="BE216" s="12"/>
      <c r="BF216" s="14"/>
    </row>
    <row r="217" spans="1:58" x14ac:dyDescent="0.15">
      <c r="A217" t="s">
        <v>1906</v>
      </c>
      <c r="B217" t="s">
        <v>789</v>
      </c>
      <c r="C217" t="s">
        <v>1521</v>
      </c>
      <c r="D217" t="s">
        <v>1907</v>
      </c>
      <c r="E217">
        <v>1133</v>
      </c>
      <c r="F217" s="14" t="s">
        <v>67</v>
      </c>
      <c r="G217" t="s">
        <v>301</v>
      </c>
      <c r="H217" s="14">
        <v>0.872</v>
      </c>
      <c r="Q217" s="11"/>
      <c r="AJ217" s="11"/>
      <c r="AS217" s="11"/>
      <c r="AU217" s="11"/>
      <c r="BD217" s="12"/>
      <c r="BE217" s="12"/>
      <c r="BF217" s="14"/>
    </row>
    <row r="218" spans="1:58" x14ac:dyDescent="0.15">
      <c r="A218" t="s">
        <v>1830</v>
      </c>
      <c r="B218" t="s">
        <v>1506</v>
      </c>
      <c r="C218" t="s">
        <v>1506</v>
      </c>
      <c r="D218" t="s">
        <v>1831</v>
      </c>
      <c r="E218">
        <v>1140</v>
      </c>
      <c r="F218" s="14" t="s">
        <v>2260</v>
      </c>
      <c r="G218" t="s">
        <v>325</v>
      </c>
      <c r="H218" s="14">
        <v>0.84000000000000008</v>
      </c>
      <c r="AJ218" s="11"/>
      <c r="AO218" s="11"/>
      <c r="AQ218" s="11"/>
      <c r="BD218" s="12"/>
      <c r="BE218" s="12"/>
      <c r="BF218" s="14"/>
    </row>
    <row r="219" spans="1:58" x14ac:dyDescent="0.15">
      <c r="A219" t="s">
        <v>1777</v>
      </c>
      <c r="B219" t="s">
        <v>1391</v>
      </c>
      <c r="C219" t="s">
        <v>1463</v>
      </c>
      <c r="D219" t="s">
        <v>1778</v>
      </c>
      <c r="E219">
        <v>1146</v>
      </c>
      <c r="F219" s="14" t="s">
        <v>2262</v>
      </c>
      <c r="G219" t="s">
        <v>501</v>
      </c>
      <c r="H219" s="14">
        <v>0.84375</v>
      </c>
      <c r="AL219" s="11"/>
      <c r="AO219" s="11"/>
      <c r="BD219" s="12"/>
      <c r="BE219" s="12"/>
      <c r="BF219" s="14"/>
    </row>
    <row r="220" spans="1:58" x14ac:dyDescent="0.15">
      <c r="A220" t="s">
        <v>1876</v>
      </c>
      <c r="B220" t="s">
        <v>1369</v>
      </c>
      <c r="C220" t="s">
        <v>1463</v>
      </c>
      <c r="D220" t="s">
        <v>1877</v>
      </c>
      <c r="E220">
        <v>1147</v>
      </c>
      <c r="F220" s="14" t="s">
        <v>2262</v>
      </c>
      <c r="G220" t="s">
        <v>723</v>
      </c>
      <c r="H220" s="14">
        <v>0.84516129032258069</v>
      </c>
      <c r="Q220" s="11"/>
      <c r="BD220" s="12"/>
      <c r="BE220" s="13"/>
      <c r="BF220" s="14"/>
    </row>
    <row r="221" spans="1:58" x14ac:dyDescent="0.15">
      <c r="A221" t="s">
        <v>1734</v>
      </c>
      <c r="B221" t="s">
        <v>1378</v>
      </c>
      <c r="C221" t="s">
        <v>1471</v>
      </c>
      <c r="D221" t="s">
        <v>1735</v>
      </c>
      <c r="E221">
        <v>1157</v>
      </c>
      <c r="F221" s="14" t="s">
        <v>2259</v>
      </c>
      <c r="G221" t="s">
        <v>1017</v>
      </c>
      <c r="H221" s="14">
        <v>0.88421052631578945</v>
      </c>
      <c r="O221" s="11"/>
      <c r="Q221" s="11"/>
      <c r="W221" s="11"/>
      <c r="AO221" s="11"/>
      <c r="AQ221" s="11"/>
      <c r="AU221" s="11"/>
      <c r="BD221" s="12"/>
      <c r="BE221" s="12"/>
      <c r="BF221" s="14"/>
    </row>
    <row r="222" spans="1:58" x14ac:dyDescent="0.15">
      <c r="A222" t="s">
        <v>2197</v>
      </c>
      <c r="B222" t="s">
        <v>1506</v>
      </c>
      <c r="C222" t="s">
        <v>1506</v>
      </c>
      <c r="D222" t="s">
        <v>2198</v>
      </c>
      <c r="E222">
        <v>1162</v>
      </c>
      <c r="F222" s="14" t="s">
        <v>2260</v>
      </c>
      <c r="G222" t="s">
        <v>250</v>
      </c>
      <c r="H222" s="14">
        <v>0.84000000000000008</v>
      </c>
      <c r="Q222" s="11"/>
      <c r="AJ222" s="11"/>
      <c r="AO222" s="11"/>
      <c r="AQ222" s="11"/>
      <c r="BD222" s="12"/>
      <c r="BE222" s="12"/>
      <c r="BF222" s="14"/>
    </row>
    <row r="223" spans="1:58" x14ac:dyDescent="0.15">
      <c r="A223" t="s">
        <v>2132</v>
      </c>
      <c r="B223" t="s">
        <v>1506</v>
      </c>
      <c r="C223" t="s">
        <v>1506</v>
      </c>
      <c r="D223" t="s">
        <v>2133</v>
      </c>
      <c r="E223">
        <v>1186</v>
      </c>
      <c r="F223" s="14" t="s">
        <v>2260</v>
      </c>
      <c r="G223" t="s">
        <v>2133</v>
      </c>
      <c r="H223" s="14">
        <v>0.93103448275862066</v>
      </c>
      <c r="O223" s="11"/>
      <c r="AA223" s="11"/>
      <c r="BD223" s="12"/>
      <c r="BE223" s="12"/>
      <c r="BF223" s="14"/>
    </row>
    <row r="224" spans="1:58" x14ac:dyDescent="0.15">
      <c r="A224" t="s">
        <v>1505</v>
      </c>
      <c r="B224" t="s">
        <v>1506</v>
      </c>
      <c r="C224" t="s">
        <v>1506</v>
      </c>
      <c r="D224" t="s">
        <v>1508</v>
      </c>
      <c r="E224">
        <v>1195</v>
      </c>
      <c r="F224" s="14" t="s">
        <v>90</v>
      </c>
      <c r="G224" t="s">
        <v>126</v>
      </c>
      <c r="H224" s="14">
        <v>0.84000000000000008</v>
      </c>
      <c r="Y224" s="11"/>
      <c r="AA224" s="11"/>
      <c r="AJ224" s="11"/>
      <c r="AL224" s="11"/>
      <c r="AO224" s="11"/>
      <c r="AS224" s="11"/>
      <c r="BD224" s="12"/>
      <c r="BE224" s="12"/>
      <c r="BF224" s="14"/>
    </row>
    <row r="225" spans="1:58" x14ac:dyDescent="0.15">
      <c r="A225" t="s">
        <v>1669</v>
      </c>
      <c r="B225" t="s">
        <v>1385</v>
      </c>
      <c r="C225" t="s">
        <v>1463</v>
      </c>
      <c r="D225" t="s">
        <v>1670</v>
      </c>
      <c r="E225">
        <v>1199</v>
      </c>
      <c r="F225" s="14" t="s">
        <v>104</v>
      </c>
      <c r="G225" t="s">
        <v>450</v>
      </c>
      <c r="H225" s="14">
        <v>0.84666666666666668</v>
      </c>
      <c r="Q225" s="11"/>
      <c r="Y225" s="11"/>
      <c r="AW225" s="11"/>
      <c r="BD225" s="12"/>
      <c r="BE225" s="13"/>
      <c r="BF225" s="14"/>
    </row>
    <row r="226" spans="1:58" x14ac:dyDescent="0.15">
      <c r="A226" t="s">
        <v>1592</v>
      </c>
      <c r="B226" t="s">
        <v>789</v>
      </c>
      <c r="C226" t="s">
        <v>1521</v>
      </c>
      <c r="D226" t="s">
        <v>1594</v>
      </c>
      <c r="E226">
        <v>1200</v>
      </c>
      <c r="F226" s="14" t="s">
        <v>67</v>
      </c>
      <c r="G226" t="s">
        <v>134</v>
      </c>
      <c r="H226" s="14">
        <v>0.872</v>
      </c>
      <c r="O226" s="11"/>
      <c r="AO226" s="11"/>
      <c r="AQ226" s="11"/>
      <c r="BD226" s="12"/>
      <c r="BE226" s="12"/>
      <c r="BF226" s="14"/>
    </row>
    <row r="227" spans="1:58" x14ac:dyDescent="0.15">
      <c r="A227" t="s">
        <v>1489</v>
      </c>
      <c r="B227" t="s">
        <v>1391</v>
      </c>
      <c r="C227" t="s">
        <v>1463</v>
      </c>
      <c r="D227" t="s">
        <v>1491</v>
      </c>
      <c r="E227">
        <v>1206</v>
      </c>
      <c r="F227" s="14" t="s">
        <v>104</v>
      </c>
      <c r="G227" t="s">
        <v>709</v>
      </c>
      <c r="H227" s="14">
        <v>0.84375</v>
      </c>
      <c r="O227" s="11"/>
      <c r="AJ227" s="11"/>
      <c r="BD227" s="12"/>
      <c r="BE227" s="12"/>
      <c r="BF227" s="14"/>
    </row>
    <row r="228" spans="1:58" x14ac:dyDescent="0.15">
      <c r="A228" t="s">
        <v>1598</v>
      </c>
      <c r="B228" t="s">
        <v>1459</v>
      </c>
      <c r="C228" t="s">
        <v>1460</v>
      </c>
      <c r="D228" t="s">
        <v>1599</v>
      </c>
      <c r="E228">
        <v>1211</v>
      </c>
      <c r="F228" s="14" t="s">
        <v>83</v>
      </c>
      <c r="G228" t="s">
        <v>604</v>
      </c>
      <c r="H228" s="14">
        <v>0.84666666666666668</v>
      </c>
      <c r="AW228" s="11"/>
      <c r="BD228" s="12"/>
      <c r="BE228" s="13"/>
      <c r="BF228" s="14"/>
    </row>
    <row r="229" spans="1:58" x14ac:dyDescent="0.15">
      <c r="A229" t="s">
        <v>1754</v>
      </c>
      <c r="B229" t="s">
        <v>1506</v>
      </c>
      <c r="C229" t="s">
        <v>1506</v>
      </c>
      <c r="D229" t="s">
        <v>1755</v>
      </c>
      <c r="E229">
        <v>1212</v>
      </c>
      <c r="F229" s="14" t="s">
        <v>90</v>
      </c>
      <c r="G229" t="s">
        <v>1755</v>
      </c>
      <c r="H229" s="14">
        <v>0.93333333333333335</v>
      </c>
      <c r="O229" s="11"/>
      <c r="Y229" s="11"/>
      <c r="AA229" s="11"/>
      <c r="AJ229" s="11"/>
      <c r="AL229" s="11"/>
      <c r="AO229" s="11"/>
      <c r="AQ229" s="11"/>
      <c r="AU229" s="11"/>
      <c r="BD229" s="12"/>
      <c r="BE229" s="12"/>
      <c r="BF229" s="14"/>
    </row>
    <row r="230" spans="1:58" x14ac:dyDescent="0.15">
      <c r="A230" t="s">
        <v>1575</v>
      </c>
      <c r="B230" t="s">
        <v>1394</v>
      </c>
      <c r="C230" t="s">
        <v>1537</v>
      </c>
      <c r="D230" t="s">
        <v>1576</v>
      </c>
      <c r="E230">
        <v>1227</v>
      </c>
      <c r="F230" s="14" t="s">
        <v>54</v>
      </c>
      <c r="G230" t="s">
        <v>397</v>
      </c>
      <c r="H230" s="14">
        <v>0.85454545454545461</v>
      </c>
      <c r="O230" s="11"/>
      <c r="AJ230" s="11"/>
      <c r="AO230" s="11"/>
      <c r="AQ230" s="11"/>
      <c r="AS230" s="11"/>
      <c r="BD230" s="12"/>
      <c r="BE230" s="12"/>
      <c r="BF230" s="14"/>
    </row>
    <row r="231" spans="1:58" x14ac:dyDescent="0.15">
      <c r="A231" t="s">
        <v>1620</v>
      </c>
      <c r="B231" t="s">
        <v>1396</v>
      </c>
      <c r="C231" t="s">
        <v>1467</v>
      </c>
      <c r="D231" t="s">
        <v>1622</v>
      </c>
      <c r="E231">
        <v>1231</v>
      </c>
      <c r="F231" s="14" t="s">
        <v>2265</v>
      </c>
      <c r="G231" t="s">
        <v>1012</v>
      </c>
      <c r="H231" s="14">
        <v>0.83888888888888891</v>
      </c>
      <c r="Y231" s="11"/>
      <c r="AA231" s="11"/>
      <c r="AO231" s="11"/>
      <c r="AQ231" s="11"/>
      <c r="AU231" s="11"/>
      <c r="BD231" s="12"/>
      <c r="BE231" s="12"/>
      <c r="BF231" s="14"/>
    </row>
    <row r="232" spans="1:58" x14ac:dyDescent="0.15">
      <c r="A232" t="s">
        <v>1979</v>
      </c>
      <c r="B232" t="s">
        <v>1537</v>
      </c>
      <c r="C232" t="s">
        <v>1537</v>
      </c>
      <c r="D232" t="s">
        <v>1980</v>
      </c>
      <c r="E232">
        <v>1237</v>
      </c>
      <c r="F232" s="14" t="s">
        <v>54</v>
      </c>
      <c r="G232" t="s">
        <v>652</v>
      </c>
      <c r="H232" s="14">
        <v>0.83589743589743593</v>
      </c>
      <c r="Y232" s="11"/>
      <c r="AA232" s="11"/>
      <c r="AJ232" s="11"/>
      <c r="AL232" s="11"/>
      <c r="AO232" s="11"/>
      <c r="AQ232" s="11"/>
      <c r="AU232" s="11"/>
      <c r="BD232" s="12"/>
      <c r="BE232" s="12"/>
      <c r="BF232" s="14"/>
    </row>
    <row r="233" spans="1:58" x14ac:dyDescent="0.15">
      <c r="A233" t="s">
        <v>1589</v>
      </c>
      <c r="B233" t="s">
        <v>1550</v>
      </c>
      <c r="C233" t="s">
        <v>1502</v>
      </c>
      <c r="D233" t="s">
        <v>1591</v>
      </c>
      <c r="E233">
        <v>1247</v>
      </c>
      <c r="F233" s="14" t="s">
        <v>77</v>
      </c>
      <c r="G233" t="s">
        <v>189</v>
      </c>
      <c r="H233" s="14">
        <v>0.90636982065553495</v>
      </c>
      <c r="Y233" s="11"/>
      <c r="BD233" s="12"/>
      <c r="BE233" s="12"/>
      <c r="BF233" s="14"/>
    </row>
    <row r="234" spans="1:58" x14ac:dyDescent="0.15">
      <c r="A234" t="s">
        <v>1744</v>
      </c>
      <c r="B234" t="s">
        <v>1400</v>
      </c>
      <c r="C234" t="s">
        <v>1537</v>
      </c>
      <c r="D234" t="s">
        <v>1745</v>
      </c>
      <c r="E234">
        <v>1268</v>
      </c>
      <c r="F234" s="14" t="s">
        <v>2272</v>
      </c>
      <c r="G234" t="s">
        <v>585</v>
      </c>
      <c r="H234" s="14">
        <v>0.5696969696969697</v>
      </c>
      <c r="Q234" s="11"/>
      <c r="AL234" s="11"/>
      <c r="AU234" s="11"/>
      <c r="BD234" s="12"/>
      <c r="BE234" s="12"/>
      <c r="BF234" s="14"/>
    </row>
    <row r="235" spans="1:58" x14ac:dyDescent="0.15">
      <c r="A235" t="s">
        <v>2023</v>
      </c>
      <c r="B235" t="s">
        <v>1385</v>
      </c>
      <c r="C235" t="s">
        <v>1463</v>
      </c>
      <c r="D235" t="s">
        <v>2024</v>
      </c>
      <c r="E235">
        <v>1274</v>
      </c>
      <c r="F235" s="14" t="s">
        <v>104</v>
      </c>
      <c r="G235" t="s">
        <v>452</v>
      </c>
      <c r="H235" s="14">
        <v>0.84666666666666668</v>
      </c>
      <c r="AJ235" s="11"/>
      <c r="AL235" s="11"/>
      <c r="AO235" s="11"/>
      <c r="AQ235" s="11"/>
      <c r="BD235" s="12"/>
      <c r="BE235" s="12"/>
      <c r="BF235" s="14"/>
    </row>
    <row r="236" spans="1:58" x14ac:dyDescent="0.15">
      <c r="A236" t="s">
        <v>1937</v>
      </c>
      <c r="B236" t="s">
        <v>1391</v>
      </c>
      <c r="C236" t="s">
        <v>1463</v>
      </c>
      <c r="D236" t="s">
        <v>1938</v>
      </c>
      <c r="E236">
        <v>1293</v>
      </c>
      <c r="F236" s="14" t="s">
        <v>2262</v>
      </c>
      <c r="G236" t="s">
        <v>503</v>
      </c>
      <c r="H236" s="14">
        <v>0.84375</v>
      </c>
      <c r="O236" s="11"/>
      <c r="Y236" s="11"/>
      <c r="AA236" s="11"/>
      <c r="BD236" s="12"/>
      <c r="BE236" s="13"/>
      <c r="BF236" s="14"/>
    </row>
    <row r="237" spans="1:58" x14ac:dyDescent="0.15">
      <c r="A237" t="s">
        <v>1720</v>
      </c>
      <c r="B237" t="s">
        <v>1721</v>
      </c>
      <c r="C237" t="s">
        <v>1497</v>
      </c>
      <c r="D237" t="s">
        <v>1723</v>
      </c>
      <c r="E237">
        <v>1302</v>
      </c>
      <c r="F237" s="14" t="s">
        <v>270</v>
      </c>
      <c r="G237" t="s">
        <v>342</v>
      </c>
      <c r="H237" s="14">
        <v>0.84666666666666668</v>
      </c>
      <c r="BD237" s="12"/>
      <c r="BE237" s="13"/>
      <c r="BF237" s="14"/>
    </row>
    <row r="238" spans="1:58" x14ac:dyDescent="0.15">
      <c r="A238" t="s">
        <v>2021</v>
      </c>
      <c r="B238" t="s">
        <v>1383</v>
      </c>
      <c r="C238" t="s">
        <v>1460</v>
      </c>
      <c r="D238" t="s">
        <v>2022</v>
      </c>
      <c r="E238">
        <v>1314</v>
      </c>
      <c r="F238" s="14" t="s">
        <v>54</v>
      </c>
      <c r="G238" t="s">
        <v>391</v>
      </c>
      <c r="H238" s="14">
        <v>0.86470588235294121</v>
      </c>
      <c r="Q238" s="11"/>
      <c r="AJ238" s="11"/>
      <c r="AQ238" s="11"/>
      <c r="AU238" s="11"/>
      <c r="BD238" s="12"/>
      <c r="BE238" s="12"/>
      <c r="BF238" s="14"/>
    </row>
    <row r="239" spans="1:58" x14ac:dyDescent="0.15">
      <c r="A239" t="s">
        <v>1834</v>
      </c>
      <c r="B239" t="s">
        <v>1459</v>
      </c>
      <c r="C239" t="s">
        <v>1460</v>
      </c>
      <c r="D239" t="s">
        <v>1835</v>
      </c>
      <c r="E239">
        <v>1316</v>
      </c>
      <c r="F239" s="14" t="s">
        <v>83</v>
      </c>
      <c r="G239" t="s">
        <v>695</v>
      </c>
      <c r="H239" s="14">
        <v>0.84666666666666668</v>
      </c>
      <c r="O239" s="11"/>
      <c r="AA239" s="11"/>
      <c r="BD239" s="12"/>
      <c r="BE239" s="12"/>
      <c r="BF239" s="14"/>
    </row>
    <row r="240" spans="1:58" x14ac:dyDescent="0.15">
      <c r="A240" t="s">
        <v>2222</v>
      </c>
      <c r="B240" t="s">
        <v>1394</v>
      </c>
      <c r="C240" t="s">
        <v>1537</v>
      </c>
      <c r="D240" t="s">
        <v>2223</v>
      </c>
      <c r="E240">
        <v>1318</v>
      </c>
      <c r="F240" s="14" t="s">
        <v>2272</v>
      </c>
      <c r="G240" t="s">
        <v>65</v>
      </c>
      <c r="H240" s="14">
        <v>0.84516129032258069</v>
      </c>
      <c r="Y240" s="11"/>
      <c r="AA240" s="11"/>
      <c r="AJ240" s="11"/>
      <c r="AL240" s="11"/>
      <c r="AO240" s="11"/>
      <c r="AS240" s="11"/>
      <c r="BD240" s="12"/>
      <c r="BE240" s="12"/>
      <c r="BF240" s="14"/>
    </row>
    <row r="241" spans="1:58" x14ac:dyDescent="0.15">
      <c r="A241" t="s">
        <v>1689</v>
      </c>
      <c r="B241" t="s">
        <v>1368</v>
      </c>
      <c r="C241" t="s">
        <v>1460</v>
      </c>
      <c r="D241" t="s">
        <v>1690</v>
      </c>
      <c r="E241">
        <v>1320</v>
      </c>
      <c r="F241" s="14" t="s">
        <v>2271</v>
      </c>
      <c r="G241" t="s">
        <v>536</v>
      </c>
      <c r="H241" s="14">
        <v>0.84666666666666668</v>
      </c>
      <c r="O241" s="11"/>
      <c r="AJ241" s="11"/>
      <c r="BD241" s="12"/>
      <c r="BE241" s="12"/>
      <c r="BF241" s="14"/>
    </row>
    <row r="242" spans="1:58" x14ac:dyDescent="0.15">
      <c r="A242" t="s">
        <v>2076</v>
      </c>
      <c r="B242" t="s">
        <v>764</v>
      </c>
      <c r="C242" t="s">
        <v>1502</v>
      </c>
      <c r="D242" t="s">
        <v>2077</v>
      </c>
      <c r="E242">
        <v>1345</v>
      </c>
      <c r="F242" s="14" t="s">
        <v>2268</v>
      </c>
      <c r="G242" t="s">
        <v>1250</v>
      </c>
      <c r="H242" s="14">
        <v>0.84000000000000008</v>
      </c>
      <c r="Y242" s="11"/>
      <c r="AJ242" s="11"/>
      <c r="AO242" s="11"/>
      <c r="AQ242" s="11"/>
      <c r="BD242" s="12"/>
      <c r="BE242" s="12"/>
      <c r="BF242" s="14"/>
    </row>
    <row r="243" spans="1:58" x14ac:dyDescent="0.15">
      <c r="A243" t="s">
        <v>1480</v>
      </c>
      <c r="B243" t="s">
        <v>1383</v>
      </c>
      <c r="C243" t="s">
        <v>1460</v>
      </c>
      <c r="D243" t="s">
        <v>1482</v>
      </c>
      <c r="E243">
        <v>1347</v>
      </c>
      <c r="F243" s="14" t="s">
        <v>2271</v>
      </c>
      <c r="G243" t="s">
        <v>1344</v>
      </c>
      <c r="H243" s="14">
        <v>0.84641022203613991</v>
      </c>
      <c r="Q243" s="11"/>
      <c r="BD243" s="12"/>
      <c r="BE243" s="13"/>
      <c r="BF243" s="14"/>
    </row>
    <row r="244" spans="1:58" x14ac:dyDescent="0.15">
      <c r="A244" t="s">
        <v>1930</v>
      </c>
      <c r="B244" t="s">
        <v>1383</v>
      </c>
      <c r="C244" t="s">
        <v>1460</v>
      </c>
      <c r="D244" t="s">
        <v>1931</v>
      </c>
      <c r="E244">
        <v>1347</v>
      </c>
      <c r="F244" s="14" t="s">
        <v>2271</v>
      </c>
      <c r="G244" t="s">
        <v>1344</v>
      </c>
      <c r="H244" s="14">
        <v>0.8606060606060606</v>
      </c>
      <c r="O244" s="11"/>
      <c r="Y244" s="11"/>
      <c r="AJ244" s="11"/>
      <c r="AL244" s="11"/>
      <c r="AO244" s="11"/>
      <c r="AQ244" s="11"/>
      <c r="AU244" s="11"/>
      <c r="BD244" s="12"/>
      <c r="BE244" s="12"/>
      <c r="BF244" s="14"/>
    </row>
    <row r="245" spans="1:58" x14ac:dyDescent="0.15">
      <c r="A245" t="s">
        <v>1667</v>
      </c>
      <c r="B245" t="s">
        <v>1383</v>
      </c>
      <c r="C245" t="s">
        <v>1460</v>
      </c>
      <c r="D245" t="s">
        <v>1668</v>
      </c>
      <c r="E245">
        <v>1347</v>
      </c>
      <c r="F245" s="14" t="s">
        <v>2271</v>
      </c>
      <c r="G245" t="s">
        <v>1344</v>
      </c>
      <c r="H245" s="14">
        <v>0.86250000000000004</v>
      </c>
      <c r="Q245" s="11"/>
      <c r="BD245" s="12"/>
      <c r="BE245" s="12"/>
      <c r="BF245" s="14"/>
    </row>
    <row r="246" spans="1:58" x14ac:dyDescent="0.15">
      <c r="A246" t="s">
        <v>1532</v>
      </c>
      <c r="B246" t="s">
        <v>1383</v>
      </c>
      <c r="C246" t="s">
        <v>1460</v>
      </c>
      <c r="D246" t="s">
        <v>1533</v>
      </c>
      <c r="E246">
        <v>1347</v>
      </c>
      <c r="F246" s="14" t="s">
        <v>2271</v>
      </c>
      <c r="G246" t="s">
        <v>1344</v>
      </c>
      <c r="H246" s="14">
        <v>0.8666666666666667</v>
      </c>
      <c r="O246" s="11"/>
      <c r="AU246" s="11"/>
      <c r="BD246" s="12"/>
      <c r="BE246" s="12"/>
      <c r="BF246" s="14"/>
    </row>
    <row r="247" spans="1:58" x14ac:dyDescent="0.15">
      <c r="A247" t="s">
        <v>1612</v>
      </c>
      <c r="B247" t="s">
        <v>1383</v>
      </c>
      <c r="C247" t="s">
        <v>1460</v>
      </c>
      <c r="D247" t="s">
        <v>1613</v>
      </c>
      <c r="E247">
        <v>1347</v>
      </c>
      <c r="F247" s="14" t="s">
        <v>2271</v>
      </c>
      <c r="G247" t="s">
        <v>1344</v>
      </c>
      <c r="H247" s="14">
        <v>0.8666666666666667</v>
      </c>
      <c r="BF247" s="14"/>
    </row>
    <row r="248" spans="1:58" x14ac:dyDescent="0.15">
      <c r="A248" t="s">
        <v>1646</v>
      </c>
      <c r="B248" t="s">
        <v>1383</v>
      </c>
      <c r="C248" t="s">
        <v>1460</v>
      </c>
      <c r="D248" t="s">
        <v>1647</v>
      </c>
      <c r="E248">
        <v>1347</v>
      </c>
      <c r="F248" s="14" t="s">
        <v>2271</v>
      </c>
      <c r="G248" t="s">
        <v>1344</v>
      </c>
      <c r="H248" s="14">
        <v>0.8666666666666667</v>
      </c>
      <c r="Q248" s="11"/>
      <c r="Y248" s="11"/>
      <c r="AJ248" s="11"/>
      <c r="AO248" s="11"/>
      <c r="AQ248" s="11"/>
      <c r="AS248" s="11"/>
      <c r="BD248" s="12"/>
      <c r="BE248" s="12"/>
      <c r="BF248" s="14"/>
    </row>
    <row r="249" spans="1:58" x14ac:dyDescent="0.15">
      <c r="A249" t="s">
        <v>1775</v>
      </c>
      <c r="B249" t="s">
        <v>1383</v>
      </c>
      <c r="C249" t="s">
        <v>1460</v>
      </c>
      <c r="D249" t="s">
        <v>1776</v>
      </c>
      <c r="E249">
        <v>1347</v>
      </c>
      <c r="F249" s="14" t="s">
        <v>2271</v>
      </c>
      <c r="G249" t="s">
        <v>1344</v>
      </c>
      <c r="H249" s="14">
        <v>0.8666666666666667</v>
      </c>
      <c r="AO249" s="11"/>
      <c r="AQ249" s="11"/>
      <c r="BD249" s="12"/>
      <c r="BE249" s="12"/>
      <c r="BF249" s="14"/>
    </row>
    <row r="250" spans="1:58" x14ac:dyDescent="0.15">
      <c r="A250" t="s">
        <v>1850</v>
      </c>
      <c r="B250" t="s">
        <v>1383</v>
      </c>
      <c r="C250" t="s">
        <v>1460</v>
      </c>
      <c r="D250" t="s">
        <v>1851</v>
      </c>
      <c r="E250">
        <v>1347</v>
      </c>
      <c r="F250" s="14" t="s">
        <v>2271</v>
      </c>
      <c r="G250" t="s">
        <v>1344</v>
      </c>
      <c r="H250" s="14">
        <v>0.8666666666666667</v>
      </c>
      <c r="W250" s="11"/>
      <c r="Y250" s="11"/>
      <c r="AA250" s="11"/>
      <c r="AL250" s="11"/>
      <c r="BD250" s="12"/>
      <c r="BE250" s="12"/>
      <c r="BF250" s="14"/>
    </row>
    <row r="251" spans="1:58" x14ac:dyDescent="0.15">
      <c r="A251" t="s">
        <v>2216</v>
      </c>
      <c r="B251" t="s">
        <v>1383</v>
      </c>
      <c r="C251" t="s">
        <v>1460</v>
      </c>
      <c r="D251" t="s">
        <v>2217</v>
      </c>
      <c r="E251">
        <v>1347</v>
      </c>
      <c r="F251" s="14" t="s">
        <v>2271</v>
      </c>
      <c r="G251" t="s">
        <v>1344</v>
      </c>
      <c r="H251" s="14">
        <v>0.86685313284990717</v>
      </c>
      <c r="BD251" s="12"/>
      <c r="BE251" s="13"/>
      <c r="BF251" s="14"/>
    </row>
    <row r="252" spans="1:58" x14ac:dyDescent="0.15">
      <c r="A252" t="s">
        <v>1890</v>
      </c>
      <c r="B252" t="s">
        <v>1383</v>
      </c>
      <c r="C252" t="s">
        <v>1460</v>
      </c>
      <c r="D252" t="s">
        <v>1891</v>
      </c>
      <c r="E252">
        <v>1347</v>
      </c>
      <c r="F252" s="14" t="s">
        <v>2271</v>
      </c>
      <c r="G252" t="s">
        <v>1344</v>
      </c>
      <c r="H252" s="14">
        <v>0.86896551724137938</v>
      </c>
      <c r="O252" s="11"/>
      <c r="BD252" s="12"/>
      <c r="BE252" s="12"/>
      <c r="BF252" s="14"/>
    </row>
    <row r="253" spans="1:58" x14ac:dyDescent="0.15">
      <c r="A253" t="s">
        <v>1963</v>
      </c>
      <c r="B253" t="s">
        <v>1383</v>
      </c>
      <c r="C253" t="s">
        <v>1460</v>
      </c>
      <c r="D253" t="s">
        <v>1964</v>
      </c>
      <c r="E253">
        <v>1347</v>
      </c>
      <c r="F253" s="14" t="s">
        <v>2271</v>
      </c>
      <c r="G253" t="s">
        <v>1344</v>
      </c>
      <c r="H253" s="14">
        <v>0.86896551724137938</v>
      </c>
      <c r="Q253" s="11"/>
      <c r="Y253" s="11"/>
      <c r="AJ253" s="11"/>
      <c r="AL253" s="11"/>
      <c r="AS253" s="11"/>
      <c r="BD253" s="12"/>
      <c r="BE253" s="12"/>
      <c r="BF253" s="14"/>
    </row>
    <row r="254" spans="1:58" x14ac:dyDescent="0.15">
      <c r="A254" t="s">
        <v>1995</v>
      </c>
      <c r="B254" t="s">
        <v>1383</v>
      </c>
      <c r="C254" t="s">
        <v>1460</v>
      </c>
      <c r="D254" t="s">
        <v>1996</v>
      </c>
      <c r="E254">
        <v>1347</v>
      </c>
      <c r="F254" s="14" t="s">
        <v>2271</v>
      </c>
      <c r="G254" t="s">
        <v>1344</v>
      </c>
      <c r="H254" s="14">
        <v>0.86896551724137938</v>
      </c>
      <c r="Y254" s="11"/>
      <c r="AL254" s="11"/>
      <c r="BD254" s="12"/>
      <c r="BE254" s="12"/>
      <c r="BF254" s="14"/>
    </row>
    <row r="255" spans="1:58" x14ac:dyDescent="0.15">
      <c r="A255" t="s">
        <v>2043</v>
      </c>
      <c r="B255" t="s">
        <v>1383</v>
      </c>
      <c r="C255" t="s">
        <v>1460</v>
      </c>
      <c r="D255" t="s">
        <v>2044</v>
      </c>
      <c r="E255">
        <v>1347</v>
      </c>
      <c r="F255" s="14" t="s">
        <v>2271</v>
      </c>
      <c r="G255" t="s">
        <v>1344</v>
      </c>
      <c r="H255" s="14">
        <v>0.86896551724137938</v>
      </c>
      <c r="O255" s="11"/>
      <c r="AJ255" s="11"/>
      <c r="AO255" s="11"/>
      <c r="AQ255" s="11"/>
      <c r="AS255" s="11"/>
      <c r="BD255" s="12"/>
      <c r="BE255" s="12"/>
      <c r="BF255" s="14"/>
    </row>
    <row r="256" spans="1:58" x14ac:dyDescent="0.15">
      <c r="A256" t="s">
        <v>2230</v>
      </c>
      <c r="B256" t="s">
        <v>1501</v>
      </c>
      <c r="C256" t="s">
        <v>1502</v>
      </c>
      <c r="D256" t="s">
        <v>2231</v>
      </c>
      <c r="E256">
        <v>1361</v>
      </c>
      <c r="F256" s="14" t="s">
        <v>2268</v>
      </c>
      <c r="G256" t="s">
        <v>370</v>
      </c>
      <c r="H256" s="14">
        <v>0.84000000000000008</v>
      </c>
      <c r="Y256" s="11"/>
      <c r="AA256" s="11"/>
      <c r="AL256" s="11"/>
      <c r="AO256" s="11"/>
      <c r="AS256" s="11"/>
      <c r="AU256" s="11"/>
      <c r="BD256" s="12"/>
      <c r="BE256" s="12"/>
      <c r="BF256" s="14"/>
    </row>
    <row r="257" spans="1:58" x14ac:dyDescent="0.15">
      <c r="A257" t="s">
        <v>2206</v>
      </c>
      <c r="B257" t="s">
        <v>1368</v>
      </c>
      <c r="C257" t="s">
        <v>1460</v>
      </c>
      <c r="D257" t="s">
        <v>2207</v>
      </c>
      <c r="E257">
        <v>1370</v>
      </c>
      <c r="F257" s="14" t="s">
        <v>2271</v>
      </c>
      <c r="G257" t="s">
        <v>714</v>
      </c>
      <c r="H257" s="14">
        <v>0.84666666666666668</v>
      </c>
      <c r="O257" s="11"/>
      <c r="Y257" s="11"/>
      <c r="AJ257" s="11"/>
      <c r="AL257" s="11"/>
      <c r="AQ257" s="11"/>
      <c r="AS257" s="11"/>
      <c r="BD257" s="12"/>
      <c r="BE257" s="12"/>
      <c r="BF257" s="14"/>
    </row>
    <row r="258" spans="1:58" x14ac:dyDescent="0.15">
      <c r="A258" t="s">
        <v>2189</v>
      </c>
      <c r="B258" t="s">
        <v>1394</v>
      </c>
      <c r="C258" t="s">
        <v>1537</v>
      </c>
      <c r="D258" t="s">
        <v>2190</v>
      </c>
      <c r="E258">
        <v>1406</v>
      </c>
      <c r="F258" s="14" t="s">
        <v>2272</v>
      </c>
      <c r="G258" t="s">
        <v>234</v>
      </c>
      <c r="H258" s="14">
        <v>0.84516129032258069</v>
      </c>
      <c r="Y258" s="11"/>
      <c r="AA258" s="11"/>
      <c r="AJ258" s="11"/>
      <c r="BD258" s="12"/>
      <c r="BE258" s="12"/>
      <c r="BF258" s="14"/>
    </row>
    <row r="259" spans="1:58" x14ac:dyDescent="0.15">
      <c r="A259" t="s">
        <v>1797</v>
      </c>
      <c r="B259" t="s">
        <v>563</v>
      </c>
      <c r="C259" t="s">
        <v>1471</v>
      </c>
      <c r="D259" t="s">
        <v>1798</v>
      </c>
      <c r="E259">
        <v>1412</v>
      </c>
      <c r="F259" s="14" t="s">
        <v>2259</v>
      </c>
      <c r="G259" t="s">
        <v>1134</v>
      </c>
      <c r="H259" s="14">
        <v>0.84827586206896555</v>
      </c>
      <c r="BD259" s="12"/>
      <c r="BE259" s="13"/>
      <c r="BF259" s="14"/>
    </row>
    <row r="260" spans="1:58" x14ac:dyDescent="0.15">
      <c r="A260" t="s">
        <v>2161</v>
      </c>
      <c r="B260" t="s">
        <v>1394</v>
      </c>
      <c r="C260" t="s">
        <v>1537</v>
      </c>
      <c r="D260" t="s">
        <v>2162</v>
      </c>
      <c r="E260">
        <v>1416</v>
      </c>
      <c r="F260" s="14" t="s">
        <v>2272</v>
      </c>
      <c r="G260" t="s">
        <v>803</v>
      </c>
      <c r="H260" s="14">
        <v>0.87368421052631584</v>
      </c>
      <c r="O260" s="11"/>
      <c r="Q260" s="11"/>
      <c r="W260" s="11"/>
      <c r="BD260" s="12"/>
      <c r="BE260" s="13"/>
      <c r="BF260" s="14"/>
    </row>
    <row r="261" spans="1:58" x14ac:dyDescent="0.15">
      <c r="A261" t="s">
        <v>1655</v>
      </c>
      <c r="B261" t="s">
        <v>1506</v>
      </c>
      <c r="C261" t="s">
        <v>1506</v>
      </c>
      <c r="D261" t="s">
        <v>948</v>
      </c>
      <c r="E261">
        <v>1419</v>
      </c>
      <c r="F261" s="14" t="s">
        <v>2269</v>
      </c>
      <c r="G261" t="s">
        <v>1136</v>
      </c>
      <c r="H261" s="14">
        <v>0.84242424242424241</v>
      </c>
      <c r="Y261" s="11"/>
      <c r="AJ261" s="11"/>
      <c r="AS261" s="11"/>
      <c r="BD261" s="12"/>
      <c r="BE261" s="12"/>
      <c r="BF261" s="14"/>
    </row>
    <row r="262" spans="1:58" x14ac:dyDescent="0.15">
      <c r="A262" t="s">
        <v>1730</v>
      </c>
      <c r="B262" t="s">
        <v>1369</v>
      </c>
      <c r="C262" t="s">
        <v>1463</v>
      </c>
      <c r="D262" t="s">
        <v>1731</v>
      </c>
      <c r="E262">
        <v>1420</v>
      </c>
      <c r="F262" s="14" t="s">
        <v>2262</v>
      </c>
      <c r="G262" t="s">
        <v>1146</v>
      </c>
      <c r="H262" s="14">
        <v>0.87027027027027026</v>
      </c>
      <c r="O262" s="11"/>
      <c r="BD262" s="13"/>
      <c r="BE262" s="13"/>
      <c r="BF262" s="14"/>
    </row>
    <row r="263" spans="1:58" x14ac:dyDescent="0.15">
      <c r="A263" t="s">
        <v>1911</v>
      </c>
      <c r="B263" t="s">
        <v>1369</v>
      </c>
      <c r="C263" t="s">
        <v>1463</v>
      </c>
      <c r="D263" t="s">
        <v>1912</v>
      </c>
      <c r="E263">
        <v>1455</v>
      </c>
      <c r="F263" s="14" t="s">
        <v>2262</v>
      </c>
      <c r="G263" t="s">
        <v>310</v>
      </c>
      <c r="H263" s="14">
        <v>0.8666666666666667</v>
      </c>
      <c r="AS263" s="11"/>
      <c r="BD263" s="12"/>
      <c r="BE263" s="12"/>
      <c r="BF263" s="14"/>
    </row>
    <row r="264" spans="1:58" x14ac:dyDescent="0.15">
      <c r="A264" t="s">
        <v>1627</v>
      </c>
      <c r="B264" t="s">
        <v>1537</v>
      </c>
      <c r="C264" t="s">
        <v>1537</v>
      </c>
      <c r="D264" t="s">
        <v>1628</v>
      </c>
      <c r="E264">
        <v>1488</v>
      </c>
      <c r="F264" s="14" t="s">
        <v>2272</v>
      </c>
      <c r="G264" t="s">
        <v>152</v>
      </c>
      <c r="H264" s="14">
        <v>0.83750000000000002</v>
      </c>
      <c r="O264" s="11"/>
      <c r="AA264" s="11"/>
      <c r="BD264" s="12"/>
      <c r="BE264" s="12"/>
      <c r="BF264" s="14"/>
    </row>
    <row r="265" spans="1:58" x14ac:dyDescent="0.15">
      <c r="A265" t="s">
        <v>1457</v>
      </c>
      <c r="B265" t="s">
        <v>1459</v>
      </c>
      <c r="C265" t="s">
        <v>1460</v>
      </c>
      <c r="D265" t="s">
        <v>447</v>
      </c>
      <c r="E265">
        <v>1496</v>
      </c>
      <c r="F265" s="14" t="s">
        <v>2271</v>
      </c>
      <c r="G265" t="s">
        <v>447</v>
      </c>
      <c r="H265" s="14">
        <v>0.91764705882352948</v>
      </c>
      <c r="AO265" s="11"/>
      <c r="AQ265" s="11"/>
      <c r="BD265" s="12"/>
      <c r="BE265" s="12"/>
      <c r="BF265" s="14"/>
    </row>
    <row r="266" spans="1:58" x14ac:dyDescent="0.15">
      <c r="A266" t="s">
        <v>1961</v>
      </c>
      <c r="B266" t="s">
        <v>1403</v>
      </c>
      <c r="C266" t="s">
        <v>1537</v>
      </c>
      <c r="D266" t="s">
        <v>1962</v>
      </c>
      <c r="E266">
        <v>1502</v>
      </c>
      <c r="F266" s="14" t="s">
        <v>2272</v>
      </c>
      <c r="G266" t="s">
        <v>1240</v>
      </c>
      <c r="H266" s="14">
        <v>0.84516129032258069</v>
      </c>
      <c r="O266" s="11"/>
      <c r="W266" s="11"/>
      <c r="BD266" s="12"/>
      <c r="BE266" s="13"/>
      <c r="BF266" s="14"/>
    </row>
    <row r="267" spans="1:58" x14ac:dyDescent="0.15">
      <c r="A267" t="s">
        <v>1923</v>
      </c>
      <c r="B267" t="s">
        <v>1403</v>
      </c>
      <c r="C267" t="s">
        <v>1537</v>
      </c>
      <c r="D267" t="s">
        <v>1924</v>
      </c>
      <c r="E267">
        <v>1503</v>
      </c>
      <c r="F267" s="14" t="s">
        <v>2272</v>
      </c>
      <c r="G267" t="s">
        <v>1045</v>
      </c>
      <c r="H267" s="14">
        <v>0.84516129032258069</v>
      </c>
      <c r="O267" s="11"/>
      <c r="AO267" s="11"/>
      <c r="AQ267" s="11"/>
      <c r="BD267" s="12"/>
      <c r="BE267" s="12"/>
      <c r="BF267" s="14"/>
    </row>
    <row r="268" spans="1:58" x14ac:dyDescent="0.15">
      <c r="A268" t="s">
        <v>1838</v>
      </c>
      <c r="B268" t="s">
        <v>1369</v>
      </c>
      <c r="C268" t="s">
        <v>1463</v>
      </c>
      <c r="D268" t="s">
        <v>1839</v>
      </c>
      <c r="E268">
        <v>1507</v>
      </c>
      <c r="F268" s="14" t="s">
        <v>2262</v>
      </c>
      <c r="G268" t="s">
        <v>444</v>
      </c>
      <c r="H268" s="14">
        <v>0.8666666666666667</v>
      </c>
      <c r="BD268" s="13"/>
      <c r="BE268" s="13"/>
      <c r="BF268" s="14"/>
    </row>
    <row r="269" spans="1:58" x14ac:dyDescent="0.15">
      <c r="A269" t="s">
        <v>2128</v>
      </c>
      <c r="B269" t="s">
        <v>1496</v>
      </c>
      <c r="C269" t="s">
        <v>1497</v>
      </c>
      <c r="D269" t="s">
        <v>2129</v>
      </c>
      <c r="E269">
        <v>1510</v>
      </c>
      <c r="F269" s="14" t="s">
        <v>2270</v>
      </c>
      <c r="G269" t="s">
        <v>271</v>
      </c>
      <c r="H269" s="14">
        <v>0.85000000000000009</v>
      </c>
      <c r="O269" s="11"/>
      <c r="AJ269" s="11"/>
      <c r="AO269" s="11"/>
      <c r="AQ269" s="11"/>
      <c r="AS269" s="11"/>
      <c r="BD269" s="12"/>
      <c r="BE269" s="12"/>
      <c r="BF269" s="14"/>
    </row>
    <row r="270" spans="1:58" x14ac:dyDescent="0.15">
      <c r="A270" t="s">
        <v>1495</v>
      </c>
      <c r="B270" t="s">
        <v>1496</v>
      </c>
      <c r="C270" t="s">
        <v>1497</v>
      </c>
      <c r="D270" t="s">
        <v>1499</v>
      </c>
      <c r="E270">
        <v>1510</v>
      </c>
      <c r="F270" s="14" t="s">
        <v>2270</v>
      </c>
      <c r="G270" t="s">
        <v>271</v>
      </c>
      <c r="H270" s="14">
        <v>0.85142857142857142</v>
      </c>
      <c r="Y270" s="11"/>
      <c r="AA270" s="11"/>
      <c r="AJ270" s="11"/>
      <c r="AL270" s="11"/>
      <c r="AO270" s="11"/>
      <c r="AQ270" s="11"/>
      <c r="BD270" s="12"/>
      <c r="BE270" s="12"/>
      <c r="BF270" s="14"/>
    </row>
    <row r="271" spans="1:58" x14ac:dyDescent="0.15">
      <c r="A271" t="s">
        <v>1603</v>
      </c>
      <c r="B271" t="s">
        <v>1372</v>
      </c>
      <c r="C271" t="s">
        <v>1521</v>
      </c>
      <c r="D271" t="s">
        <v>1372</v>
      </c>
      <c r="E271">
        <v>1514</v>
      </c>
      <c r="F271" s="14" t="s">
        <v>2261</v>
      </c>
      <c r="G271" t="s">
        <v>1209</v>
      </c>
      <c r="H271" s="14">
        <v>0.53217391304347827</v>
      </c>
      <c r="AJ271" s="11"/>
      <c r="AO271" s="11"/>
      <c r="AQ271" s="11"/>
      <c r="BD271" s="12"/>
      <c r="BE271" s="12"/>
      <c r="BF271" s="14"/>
    </row>
    <row r="272" spans="1:58" x14ac:dyDescent="0.15">
      <c r="A272" t="s">
        <v>2130</v>
      </c>
      <c r="B272" t="s">
        <v>1501</v>
      </c>
      <c r="C272" t="s">
        <v>1502</v>
      </c>
      <c r="D272" t="s">
        <v>2131</v>
      </c>
      <c r="E272">
        <v>1543</v>
      </c>
      <c r="F272" s="14" t="s">
        <v>2268</v>
      </c>
      <c r="G272" t="s">
        <v>885</v>
      </c>
      <c r="H272" s="14">
        <v>0.8255319148936171</v>
      </c>
      <c r="AA272" s="11"/>
      <c r="AJ272" s="11"/>
      <c r="AO272" s="11"/>
      <c r="AQ272" s="11"/>
      <c r="AS272" s="11"/>
      <c r="AU272" s="11"/>
      <c r="BD272" s="12"/>
      <c r="BE272" s="12"/>
      <c r="BF272" s="14"/>
    </row>
    <row r="273" spans="1:58" x14ac:dyDescent="0.15">
      <c r="A273" t="s">
        <v>1988</v>
      </c>
      <c r="B273" t="s">
        <v>1459</v>
      </c>
      <c r="C273" t="s">
        <v>1460</v>
      </c>
      <c r="D273" t="s">
        <v>646</v>
      </c>
      <c r="E273">
        <v>1551</v>
      </c>
      <c r="F273" s="14" t="s">
        <v>2271</v>
      </c>
      <c r="G273" t="s">
        <v>646</v>
      </c>
      <c r="H273" s="14">
        <v>0.88333333333333341</v>
      </c>
      <c r="BF273" s="14"/>
    </row>
    <row r="274" spans="1:58" x14ac:dyDescent="0.15">
      <c r="A274" t="s">
        <v>1742</v>
      </c>
      <c r="B274" t="s">
        <v>1388</v>
      </c>
      <c r="C274" t="s">
        <v>1463</v>
      </c>
      <c r="D274" t="s">
        <v>1743</v>
      </c>
      <c r="E274">
        <v>1553</v>
      </c>
      <c r="F274" s="14" t="s">
        <v>2262</v>
      </c>
      <c r="G274" t="s">
        <v>426</v>
      </c>
      <c r="H274" s="14">
        <v>0.84666666666666668</v>
      </c>
      <c r="AJ274" s="11"/>
      <c r="AO274" s="11"/>
      <c r="AQ274" s="11"/>
      <c r="BD274" s="12"/>
      <c r="BE274" s="12"/>
      <c r="BF274" s="14"/>
    </row>
    <row r="275" spans="1:58" x14ac:dyDescent="0.15">
      <c r="A275" t="s">
        <v>1663</v>
      </c>
      <c r="B275" t="s">
        <v>1369</v>
      </c>
      <c r="C275" t="s">
        <v>1463</v>
      </c>
      <c r="D275" t="s">
        <v>1664</v>
      </c>
      <c r="E275">
        <v>1556</v>
      </c>
      <c r="F275" s="14" t="s">
        <v>2262</v>
      </c>
      <c r="G275" t="s">
        <v>320</v>
      </c>
      <c r="H275" s="14">
        <v>0.85454545454545461</v>
      </c>
      <c r="AA275" s="11"/>
      <c r="AJ275" s="11"/>
      <c r="AO275" s="11"/>
      <c r="AQ275" s="11"/>
      <c r="BD275" s="12"/>
      <c r="BE275" s="12"/>
      <c r="BF275" s="14"/>
    </row>
    <row r="276" spans="1:58" x14ac:dyDescent="0.15">
      <c r="A276" t="s">
        <v>1801</v>
      </c>
      <c r="B276" t="s">
        <v>1387</v>
      </c>
      <c r="C276" t="s">
        <v>1467</v>
      </c>
      <c r="D276" t="s">
        <v>1802</v>
      </c>
      <c r="E276">
        <v>1563</v>
      </c>
      <c r="F276" s="14" t="s">
        <v>2265</v>
      </c>
      <c r="G276" t="s">
        <v>72</v>
      </c>
      <c r="H276" s="14">
        <v>0.8342857142857143</v>
      </c>
      <c r="O276" s="11"/>
      <c r="AJ276" s="11"/>
      <c r="AO276" s="11"/>
      <c r="AQ276" s="11"/>
      <c r="AU276" s="11"/>
      <c r="BD276" s="12"/>
      <c r="BE276" s="12"/>
      <c r="BF276" s="14"/>
    </row>
    <row r="277" spans="1:58" x14ac:dyDescent="0.15">
      <c r="A277" t="s">
        <v>2025</v>
      </c>
      <c r="B277" t="s">
        <v>1400</v>
      </c>
      <c r="C277" t="s">
        <v>1537</v>
      </c>
      <c r="D277" t="s">
        <v>2026</v>
      </c>
      <c r="E277">
        <v>1570</v>
      </c>
      <c r="F277" s="14" t="s">
        <v>2272</v>
      </c>
      <c r="G277" t="s">
        <v>55</v>
      </c>
      <c r="H277" s="14">
        <v>0.84516129032258069</v>
      </c>
      <c r="Q277" s="11"/>
      <c r="Y277" s="11"/>
      <c r="AU277" s="11"/>
      <c r="BD277" s="12"/>
      <c r="BE277" s="12"/>
      <c r="BF277" s="14"/>
    </row>
    <row r="278" spans="1:58" x14ac:dyDescent="0.15">
      <c r="A278" t="s">
        <v>1779</v>
      </c>
      <c r="B278" t="s">
        <v>1400</v>
      </c>
      <c r="C278" t="s">
        <v>1537</v>
      </c>
      <c r="D278" t="s">
        <v>1780</v>
      </c>
      <c r="E278">
        <v>1578</v>
      </c>
      <c r="F278" s="14" t="s">
        <v>2272</v>
      </c>
      <c r="G278" t="s">
        <v>961</v>
      </c>
      <c r="H278" s="14">
        <v>0.88837209302325582</v>
      </c>
      <c r="Q278" s="11"/>
      <c r="AL278" s="11"/>
      <c r="BD278" s="12"/>
      <c r="BE278" s="12"/>
      <c r="BF278" s="14"/>
    </row>
    <row r="279" spans="1:58" x14ac:dyDescent="0.15">
      <c r="A279" t="s">
        <v>1815</v>
      </c>
      <c r="B279" t="s">
        <v>563</v>
      </c>
      <c r="C279" t="s">
        <v>1471</v>
      </c>
      <c r="D279" t="s">
        <v>1816</v>
      </c>
      <c r="E279">
        <v>1579</v>
      </c>
      <c r="F279" s="14" t="s">
        <v>2259</v>
      </c>
      <c r="G279" t="s">
        <v>563</v>
      </c>
      <c r="H279" s="14">
        <v>0.84444444444444444</v>
      </c>
      <c r="Y279" s="11"/>
      <c r="AA279" s="11"/>
      <c r="AL279" s="11"/>
      <c r="BD279" s="12"/>
      <c r="BE279" s="12"/>
      <c r="BF279" s="14"/>
    </row>
    <row r="280" spans="1:58" x14ac:dyDescent="0.15">
      <c r="A280" t="s">
        <v>1873</v>
      </c>
      <c r="B280" t="s">
        <v>1506</v>
      </c>
      <c r="C280" t="s">
        <v>1506</v>
      </c>
      <c r="D280" t="s">
        <v>548</v>
      </c>
      <c r="E280">
        <v>1607</v>
      </c>
      <c r="F280" s="14" t="s">
        <v>2269</v>
      </c>
      <c r="G280" t="s">
        <v>548</v>
      </c>
      <c r="H280" s="14">
        <v>0.94117647058823528</v>
      </c>
      <c r="Q280" s="11"/>
      <c r="Y280" s="11"/>
      <c r="AL280" s="11"/>
      <c r="AO280" s="11"/>
      <c r="AQ280" s="11"/>
      <c r="BD280" s="12"/>
      <c r="BE280" s="12"/>
      <c r="BF280" s="14"/>
    </row>
    <row r="281" spans="1:58" x14ac:dyDescent="0.15">
      <c r="A281" t="s">
        <v>2072</v>
      </c>
      <c r="B281" t="s">
        <v>563</v>
      </c>
      <c r="C281" t="s">
        <v>1471</v>
      </c>
      <c r="D281" t="s">
        <v>2073</v>
      </c>
      <c r="E281">
        <v>1636</v>
      </c>
      <c r="F281" s="14" t="s">
        <v>2259</v>
      </c>
      <c r="G281" t="s">
        <v>109</v>
      </c>
      <c r="H281" s="14">
        <v>0.84827586206896555</v>
      </c>
      <c r="O281" s="11"/>
      <c r="Y281" s="11"/>
      <c r="AU281" s="11"/>
      <c r="BD281" s="12"/>
      <c r="BE281" s="12"/>
      <c r="BF281" s="14"/>
    </row>
    <row r="282" spans="1:58" x14ac:dyDescent="0.15">
      <c r="A282" t="s">
        <v>1864</v>
      </c>
      <c r="B282" t="s">
        <v>1747</v>
      </c>
      <c r="C282" t="s">
        <v>1460</v>
      </c>
      <c r="D282" t="s">
        <v>1865</v>
      </c>
      <c r="E282">
        <v>1645</v>
      </c>
      <c r="F282" s="14" t="s">
        <v>2271</v>
      </c>
      <c r="G282" t="s">
        <v>146</v>
      </c>
      <c r="H282" s="14">
        <v>0.83888888888888891</v>
      </c>
      <c r="O282" s="11"/>
      <c r="BD282" s="13"/>
      <c r="BE282" s="13"/>
      <c r="BF282" s="14"/>
    </row>
    <row r="283" spans="1:58" x14ac:dyDescent="0.15">
      <c r="A283" t="s">
        <v>2118</v>
      </c>
      <c r="B283" t="s">
        <v>789</v>
      </c>
      <c r="C283" t="s">
        <v>1521</v>
      </c>
      <c r="D283" t="s">
        <v>2119</v>
      </c>
      <c r="E283">
        <v>1647</v>
      </c>
      <c r="F283" s="14" t="s">
        <v>2261</v>
      </c>
      <c r="G283" t="s">
        <v>141</v>
      </c>
      <c r="H283" s="14">
        <v>0.86</v>
      </c>
      <c r="O283" s="11"/>
      <c r="BD283" s="12"/>
      <c r="BE283" s="12"/>
      <c r="BF283" s="14"/>
    </row>
    <row r="284" spans="1:58" x14ac:dyDescent="0.15">
      <c r="A284" t="s">
        <v>1999</v>
      </c>
      <c r="B284" t="s">
        <v>789</v>
      </c>
      <c r="C284" t="s">
        <v>1521</v>
      </c>
      <c r="D284" t="s">
        <v>2000</v>
      </c>
      <c r="E284">
        <v>1647</v>
      </c>
      <c r="F284" s="14" t="s">
        <v>2261</v>
      </c>
      <c r="G284" t="s">
        <v>141</v>
      </c>
      <c r="H284" s="14">
        <v>0.86206896551724144</v>
      </c>
      <c r="O284" s="11"/>
      <c r="AJ284" s="11"/>
      <c r="BD284" s="12"/>
      <c r="BE284" s="12"/>
      <c r="BF284" s="14"/>
    </row>
    <row r="285" spans="1:58" x14ac:dyDescent="0.15">
      <c r="A285" t="s">
        <v>1971</v>
      </c>
      <c r="B285" t="s">
        <v>789</v>
      </c>
      <c r="C285" t="s">
        <v>1521</v>
      </c>
      <c r="D285" t="s">
        <v>1972</v>
      </c>
      <c r="E285">
        <v>1647</v>
      </c>
      <c r="F285" s="14" t="s">
        <v>2261</v>
      </c>
      <c r="G285" t="s">
        <v>141</v>
      </c>
      <c r="H285" s="14">
        <v>0.86428571428571432</v>
      </c>
      <c r="AL285" s="11"/>
      <c r="AS285" s="11"/>
      <c r="BD285" s="12"/>
      <c r="BE285" s="12"/>
      <c r="BF285" s="14"/>
    </row>
    <row r="286" spans="1:58" x14ac:dyDescent="0.15">
      <c r="A286" t="s">
        <v>2082</v>
      </c>
      <c r="B286" t="s">
        <v>789</v>
      </c>
      <c r="C286" t="s">
        <v>1521</v>
      </c>
      <c r="D286" t="s">
        <v>2083</v>
      </c>
      <c r="E286">
        <v>1647</v>
      </c>
      <c r="F286" s="14" t="s">
        <v>2261</v>
      </c>
      <c r="G286" t="s">
        <v>141</v>
      </c>
      <c r="H286" s="14">
        <v>0.86428571428571432</v>
      </c>
      <c r="O286" s="11"/>
      <c r="AJ286" s="11"/>
      <c r="AO286" s="11"/>
      <c r="AQ286" s="11"/>
      <c r="AS286" s="11"/>
      <c r="BD286" s="12"/>
      <c r="BE286" s="12"/>
      <c r="BF286" s="14"/>
    </row>
    <row r="287" spans="1:58" x14ac:dyDescent="0.15">
      <c r="A287" t="s">
        <v>1708</v>
      </c>
      <c r="B287" t="s">
        <v>789</v>
      </c>
      <c r="C287" t="s">
        <v>1521</v>
      </c>
      <c r="D287" t="s">
        <v>1709</v>
      </c>
      <c r="E287">
        <v>1647</v>
      </c>
      <c r="F287" s="14" t="s">
        <v>2261</v>
      </c>
      <c r="G287" t="s">
        <v>141</v>
      </c>
      <c r="H287" s="14">
        <v>0.86923076923076925</v>
      </c>
      <c r="O287" s="11"/>
      <c r="Y287" s="11"/>
      <c r="AA287" s="11"/>
      <c r="AL287" s="11"/>
      <c r="AU287" s="11"/>
      <c r="BD287" s="12"/>
      <c r="BE287" s="12"/>
      <c r="BF287" s="14"/>
    </row>
    <row r="288" spans="1:58" x14ac:dyDescent="0.15">
      <c r="A288" t="s">
        <v>2201</v>
      </c>
      <c r="B288" t="s">
        <v>789</v>
      </c>
      <c r="C288" t="s">
        <v>1521</v>
      </c>
      <c r="D288" t="s">
        <v>2202</v>
      </c>
      <c r="E288">
        <v>1647</v>
      </c>
      <c r="F288" s="14" t="s">
        <v>2261</v>
      </c>
      <c r="G288" t="s">
        <v>141</v>
      </c>
      <c r="H288" s="14">
        <v>0.86923076923076925</v>
      </c>
      <c r="O288" s="11"/>
      <c r="Q288" s="11"/>
      <c r="W288" s="11"/>
      <c r="AL288" s="11"/>
      <c r="AU288" s="11"/>
      <c r="BD288" s="12"/>
      <c r="BE288" s="12"/>
      <c r="BF288" s="14"/>
    </row>
    <row r="289" spans="1:58" x14ac:dyDescent="0.15">
      <c r="A289" t="s">
        <v>1637</v>
      </c>
      <c r="B289" t="s">
        <v>1368</v>
      </c>
      <c r="C289" t="s">
        <v>1460</v>
      </c>
      <c r="D289" t="s">
        <v>1639</v>
      </c>
      <c r="E289">
        <v>1657</v>
      </c>
      <c r="F289" s="14" t="s">
        <v>2271</v>
      </c>
      <c r="G289" t="s">
        <v>120</v>
      </c>
      <c r="H289" s="14">
        <v>0.84827586206896555</v>
      </c>
      <c r="Q289" s="11"/>
      <c r="AW289" s="11"/>
      <c r="BD289" s="12"/>
      <c r="BE289" s="13"/>
      <c r="BF289" s="14"/>
    </row>
    <row r="290" spans="1:58" x14ac:dyDescent="0.15">
      <c r="A290" t="s">
        <v>1844</v>
      </c>
      <c r="B290" t="s">
        <v>1378</v>
      </c>
      <c r="C290" t="s">
        <v>1471</v>
      </c>
      <c r="D290" t="s">
        <v>1845</v>
      </c>
      <c r="E290">
        <v>1668</v>
      </c>
      <c r="F290" s="14" t="s">
        <v>2259</v>
      </c>
      <c r="G290" t="s">
        <v>123</v>
      </c>
      <c r="H290" s="14">
        <v>0.86250000000000004</v>
      </c>
      <c r="BD290" s="12"/>
      <c r="BE290" s="13"/>
      <c r="BF290" s="14"/>
    </row>
    <row r="291" spans="1:58" x14ac:dyDescent="0.15">
      <c r="A291" t="s">
        <v>1767</v>
      </c>
      <c r="B291" t="s">
        <v>1378</v>
      </c>
      <c r="C291" t="s">
        <v>1471</v>
      </c>
      <c r="D291" t="s">
        <v>1768</v>
      </c>
      <c r="E291">
        <v>1668</v>
      </c>
      <c r="F291" s="14" t="s">
        <v>2259</v>
      </c>
      <c r="G291" t="s">
        <v>123</v>
      </c>
      <c r="H291" s="14">
        <v>0.86896551724137938</v>
      </c>
      <c r="AJ291" s="11"/>
      <c r="AO291" s="11"/>
      <c r="AQ291" s="11"/>
      <c r="BD291" s="12"/>
      <c r="BE291" s="12"/>
      <c r="BF291" s="14"/>
    </row>
    <row r="292" spans="1:58" x14ac:dyDescent="0.15">
      <c r="A292" t="s">
        <v>1886</v>
      </c>
      <c r="B292" t="s">
        <v>1378</v>
      </c>
      <c r="C292" t="s">
        <v>1471</v>
      </c>
      <c r="D292" t="s">
        <v>1887</v>
      </c>
      <c r="E292">
        <v>1668</v>
      </c>
      <c r="F292" s="14" t="s">
        <v>2259</v>
      </c>
      <c r="G292" t="s">
        <v>123</v>
      </c>
      <c r="H292" s="14">
        <v>0.86896551724137938</v>
      </c>
      <c r="AL292" s="11"/>
      <c r="AO292" s="11"/>
      <c r="AQ292" s="11"/>
      <c r="AS292" s="11"/>
      <c r="BD292" s="12"/>
      <c r="BE292" s="12"/>
      <c r="BF292" s="14"/>
    </row>
    <row r="293" spans="1:58" x14ac:dyDescent="0.15">
      <c r="A293" t="s">
        <v>2105</v>
      </c>
      <c r="B293" t="s">
        <v>1378</v>
      </c>
      <c r="C293" t="s">
        <v>1471</v>
      </c>
      <c r="D293" t="s">
        <v>2106</v>
      </c>
      <c r="E293">
        <v>1668</v>
      </c>
      <c r="F293" s="14" t="s">
        <v>2259</v>
      </c>
      <c r="G293" t="s">
        <v>123</v>
      </c>
      <c r="H293" s="14">
        <v>0.86896551724137938</v>
      </c>
      <c r="Q293" s="11"/>
      <c r="AA293" s="11"/>
      <c r="AS293" s="11"/>
      <c r="AU293" s="11"/>
      <c r="BD293" s="12"/>
      <c r="BE293" s="12"/>
      <c r="BF293" s="14"/>
    </row>
    <row r="294" spans="1:58" x14ac:dyDescent="0.15">
      <c r="A294" t="s">
        <v>1470</v>
      </c>
      <c r="B294" t="s">
        <v>1378</v>
      </c>
      <c r="C294" t="s">
        <v>1471</v>
      </c>
      <c r="D294" t="s">
        <v>1473</v>
      </c>
      <c r="E294">
        <v>1668</v>
      </c>
      <c r="F294" s="14" t="s">
        <v>2259</v>
      </c>
      <c r="G294" t="s">
        <v>123</v>
      </c>
      <c r="H294" s="14">
        <v>0.87142857142857144</v>
      </c>
      <c r="AL294" s="11"/>
      <c r="AO294" s="11"/>
      <c r="BD294" s="12"/>
      <c r="BE294" s="12"/>
      <c r="BF294" s="14"/>
    </row>
    <row r="295" spans="1:58" x14ac:dyDescent="0.15">
      <c r="A295" t="s">
        <v>1921</v>
      </c>
      <c r="B295" t="s">
        <v>1378</v>
      </c>
      <c r="C295" t="s">
        <v>1471</v>
      </c>
      <c r="D295" t="s">
        <v>1922</v>
      </c>
      <c r="E295">
        <v>1668</v>
      </c>
      <c r="F295" s="14" t="s">
        <v>2259</v>
      </c>
      <c r="G295" t="s">
        <v>123</v>
      </c>
      <c r="H295" s="14">
        <v>0.87142857142857144</v>
      </c>
      <c r="Q295" s="11"/>
      <c r="Y295" s="11"/>
      <c r="AU295" s="11"/>
      <c r="BD295" s="12"/>
      <c r="BE295" s="12"/>
      <c r="BF295" s="14"/>
    </row>
    <row r="296" spans="1:58" x14ac:dyDescent="0.15">
      <c r="A296" t="s">
        <v>1959</v>
      </c>
      <c r="B296" t="s">
        <v>1378</v>
      </c>
      <c r="C296" t="s">
        <v>1471</v>
      </c>
      <c r="D296" t="s">
        <v>1960</v>
      </c>
      <c r="E296">
        <v>1668</v>
      </c>
      <c r="F296" s="14" t="s">
        <v>2259</v>
      </c>
      <c r="G296" t="s">
        <v>123</v>
      </c>
      <c r="H296" s="14">
        <v>0.87142857142857144</v>
      </c>
      <c r="O296" s="11"/>
      <c r="Q296" s="11"/>
      <c r="W296" s="11"/>
      <c r="AO296" s="11"/>
      <c r="AQ296" s="11"/>
      <c r="AU296" s="11"/>
      <c r="BD296" s="12"/>
      <c r="BE296" s="12"/>
      <c r="BF296" s="14"/>
    </row>
    <row r="297" spans="1:58" x14ac:dyDescent="0.15">
      <c r="A297" t="s">
        <v>2149</v>
      </c>
      <c r="B297" t="s">
        <v>1378</v>
      </c>
      <c r="C297" t="s">
        <v>1471</v>
      </c>
      <c r="D297" t="s">
        <v>2150</v>
      </c>
      <c r="E297">
        <v>1668</v>
      </c>
      <c r="F297" s="14" t="s">
        <v>2259</v>
      </c>
      <c r="G297" t="s">
        <v>123</v>
      </c>
      <c r="H297" s="14">
        <v>0.87142857142857144</v>
      </c>
      <c r="O297" s="11"/>
      <c r="Q297" s="11"/>
      <c r="Y297" s="11"/>
      <c r="AA297" s="11"/>
      <c r="AS297" s="11"/>
      <c r="BD297" s="12"/>
      <c r="BE297" s="12"/>
      <c r="BF297" s="14"/>
    </row>
    <row r="298" spans="1:58" x14ac:dyDescent="0.15">
      <c r="A298" t="s">
        <v>1607</v>
      </c>
      <c r="B298" t="s">
        <v>1378</v>
      </c>
      <c r="C298" t="s">
        <v>1471</v>
      </c>
      <c r="D298" t="s">
        <v>1608</v>
      </c>
      <c r="E298">
        <v>1668</v>
      </c>
      <c r="F298" s="14" t="s">
        <v>2259</v>
      </c>
      <c r="G298" t="s">
        <v>123</v>
      </c>
      <c r="H298" s="14">
        <v>0.87407407407407411</v>
      </c>
      <c r="O298" s="11"/>
      <c r="Y298" s="11"/>
      <c r="AJ298" s="11"/>
      <c r="AS298" s="11"/>
      <c r="BD298" s="12"/>
      <c r="BE298" s="12"/>
      <c r="BF298" s="14"/>
    </row>
    <row r="299" spans="1:58" x14ac:dyDescent="0.15">
      <c r="A299" t="s">
        <v>1813</v>
      </c>
      <c r="B299" t="s">
        <v>1378</v>
      </c>
      <c r="C299" t="s">
        <v>1471</v>
      </c>
      <c r="D299" t="s">
        <v>1814</v>
      </c>
      <c r="E299">
        <v>1668</v>
      </c>
      <c r="F299" s="14" t="s">
        <v>2259</v>
      </c>
      <c r="G299" t="s">
        <v>123</v>
      </c>
      <c r="H299" s="14">
        <v>0.87407407407407411</v>
      </c>
      <c r="O299" s="11"/>
      <c r="Q299" s="11"/>
      <c r="W299" s="11"/>
      <c r="Y299" s="11"/>
      <c r="AO299" s="11"/>
      <c r="BD299" s="12"/>
      <c r="BE299" s="12"/>
      <c r="BF299" s="14"/>
    </row>
    <row r="300" spans="1:58" x14ac:dyDescent="0.15">
      <c r="A300" t="s">
        <v>2212</v>
      </c>
      <c r="B300" t="s">
        <v>1378</v>
      </c>
      <c r="C300" t="s">
        <v>1471</v>
      </c>
      <c r="D300" t="s">
        <v>2213</v>
      </c>
      <c r="E300">
        <v>1668</v>
      </c>
      <c r="F300" s="14" t="s">
        <v>2259</v>
      </c>
      <c r="G300" t="s">
        <v>123</v>
      </c>
      <c r="H300" s="14">
        <v>0.87407407407407411</v>
      </c>
      <c r="Q300" s="11"/>
      <c r="AO300" s="11"/>
      <c r="AQ300" s="11"/>
      <c r="BD300" s="12"/>
      <c r="BE300" s="12"/>
      <c r="BF300" s="14"/>
    </row>
    <row r="301" spans="1:58" x14ac:dyDescent="0.15">
      <c r="A301" t="s">
        <v>2122</v>
      </c>
      <c r="B301" t="s">
        <v>1400</v>
      </c>
      <c r="C301" t="s">
        <v>1537</v>
      </c>
      <c r="D301" t="s">
        <v>2123</v>
      </c>
      <c r="E301">
        <v>1678</v>
      </c>
      <c r="F301" s="14" t="s">
        <v>2272</v>
      </c>
      <c r="G301" t="s">
        <v>379</v>
      </c>
      <c r="H301" s="14">
        <v>0.88292682926829269</v>
      </c>
      <c r="BD301" s="12"/>
      <c r="BE301" s="13"/>
      <c r="BF301" s="14"/>
    </row>
    <row r="302" spans="1:58" x14ac:dyDescent="0.15">
      <c r="A302" t="s">
        <v>1552</v>
      </c>
      <c r="B302" t="s">
        <v>1369</v>
      </c>
      <c r="C302" t="s">
        <v>1463</v>
      </c>
      <c r="D302" t="s">
        <v>1553</v>
      </c>
      <c r="E302">
        <v>1693</v>
      </c>
      <c r="F302" s="14" t="s">
        <v>2262</v>
      </c>
      <c r="G302" t="s">
        <v>172</v>
      </c>
      <c r="H302" s="14">
        <v>0.84666666666666668</v>
      </c>
      <c r="O302" s="11"/>
      <c r="AJ302" s="11"/>
      <c r="BD302" s="12"/>
      <c r="BE302" s="12"/>
      <c r="BF302" s="14"/>
    </row>
    <row r="303" spans="1:58" x14ac:dyDescent="0.15">
      <c r="A303" t="s">
        <v>1511</v>
      </c>
      <c r="B303" t="s">
        <v>1512</v>
      </c>
      <c r="C303" t="s">
        <v>1467</v>
      </c>
      <c r="D303" t="s">
        <v>1514</v>
      </c>
      <c r="E303">
        <v>1709</v>
      </c>
      <c r="F303" s="14" t="s">
        <v>2265</v>
      </c>
      <c r="G303" t="s">
        <v>229</v>
      </c>
      <c r="H303" s="14">
        <v>0.83783783783783783</v>
      </c>
      <c r="AA303" s="11"/>
      <c r="AL303" s="11"/>
      <c r="AQ303" s="11"/>
      <c r="AU303" s="11"/>
      <c r="BD303" s="12"/>
      <c r="BE303" s="12"/>
      <c r="BF303" s="14"/>
    </row>
    <row r="304" spans="1:58" x14ac:dyDescent="0.15">
      <c r="A304" t="s">
        <v>1740</v>
      </c>
      <c r="B304" t="s">
        <v>764</v>
      </c>
      <c r="C304" t="s">
        <v>1502</v>
      </c>
      <c r="D304" t="s">
        <v>1741</v>
      </c>
      <c r="E304">
        <v>1715</v>
      </c>
      <c r="F304" s="14" t="s">
        <v>2268</v>
      </c>
      <c r="G304" t="s">
        <v>242</v>
      </c>
      <c r="H304" s="14">
        <v>0.84000000000000008</v>
      </c>
      <c r="Q304" s="11"/>
      <c r="W304" s="11"/>
      <c r="AS304" s="11"/>
      <c r="AU304" s="11"/>
      <c r="BD304" s="12"/>
      <c r="BE304" s="12"/>
      <c r="BF304" s="14"/>
    </row>
    <row r="305" spans="1:58" x14ac:dyDescent="0.15">
      <c r="A305" t="s">
        <v>1562</v>
      </c>
      <c r="B305" t="s">
        <v>1380</v>
      </c>
      <c r="C305" t="s">
        <v>1467</v>
      </c>
      <c r="D305" t="s">
        <v>1563</v>
      </c>
      <c r="E305">
        <v>1717</v>
      </c>
      <c r="F305" s="14" t="s">
        <v>2265</v>
      </c>
      <c r="G305" t="s">
        <v>375</v>
      </c>
      <c r="H305" s="14">
        <v>0.87179487179487181</v>
      </c>
      <c r="O305" s="11"/>
      <c r="AJ305" s="11"/>
      <c r="AO305" s="11"/>
      <c r="AQ305" s="11"/>
      <c r="AS305" s="11"/>
      <c r="BD305" s="12"/>
      <c r="BE305" s="12"/>
      <c r="BF305" s="14"/>
    </row>
    <row r="306" spans="1:58" x14ac:dyDescent="0.15">
      <c r="A306" t="s">
        <v>1526</v>
      </c>
      <c r="B306" t="s">
        <v>1380</v>
      </c>
      <c r="C306" t="s">
        <v>1467</v>
      </c>
      <c r="D306" t="s">
        <v>1527</v>
      </c>
      <c r="E306">
        <v>1732</v>
      </c>
      <c r="F306" s="14" t="s">
        <v>2265</v>
      </c>
      <c r="G306" t="s">
        <v>277</v>
      </c>
      <c r="H306" s="14">
        <v>0.85853658536585364</v>
      </c>
      <c r="BD306" s="13"/>
      <c r="BE306" s="13"/>
      <c r="BF306" s="14"/>
    </row>
    <row r="307" spans="1:58" x14ac:dyDescent="0.15">
      <c r="A307" t="s">
        <v>1486</v>
      </c>
      <c r="B307" t="s">
        <v>1386</v>
      </c>
      <c r="C307" t="s">
        <v>1463</v>
      </c>
      <c r="D307" t="s">
        <v>1488</v>
      </c>
      <c r="E307">
        <v>1747</v>
      </c>
      <c r="F307" s="14" t="s">
        <v>2268</v>
      </c>
      <c r="G307" t="s">
        <v>315</v>
      </c>
      <c r="H307" s="14">
        <v>0.60527472527472526</v>
      </c>
      <c r="O307" s="11"/>
      <c r="W307" s="11"/>
      <c r="Y307" s="11"/>
      <c r="AA307" s="11"/>
      <c r="AO307" s="11"/>
      <c r="AQ307" s="11"/>
      <c r="AS307" s="11"/>
      <c r="BD307" s="12"/>
      <c r="BE307" s="12"/>
      <c r="BF307" s="14"/>
    </row>
    <row r="308" spans="1:58" x14ac:dyDescent="0.15">
      <c r="A308" t="s">
        <v>1856</v>
      </c>
      <c r="B308" t="s">
        <v>1386</v>
      </c>
      <c r="C308" t="s">
        <v>1463</v>
      </c>
      <c r="D308" t="s">
        <v>1857</v>
      </c>
      <c r="E308">
        <v>1747</v>
      </c>
      <c r="F308" s="14" t="s">
        <v>2268</v>
      </c>
      <c r="G308" t="s">
        <v>315</v>
      </c>
      <c r="H308" s="14">
        <v>0.60527472527472526</v>
      </c>
      <c r="Y308" s="11"/>
      <c r="AJ308" s="11"/>
      <c r="AL308" s="11"/>
      <c r="BD308" s="12"/>
      <c r="BE308" s="12"/>
      <c r="BF308" s="14"/>
    </row>
    <row r="309" spans="1:58" x14ac:dyDescent="0.15">
      <c r="A309" t="s">
        <v>1965</v>
      </c>
      <c r="B309" t="s">
        <v>1386</v>
      </c>
      <c r="C309" t="s">
        <v>1463</v>
      </c>
      <c r="D309" t="s">
        <v>1966</v>
      </c>
      <c r="E309">
        <v>1747</v>
      </c>
      <c r="F309" s="14" t="s">
        <v>2268</v>
      </c>
      <c r="G309" t="s">
        <v>315</v>
      </c>
      <c r="H309" s="14">
        <v>0.6100961538461539</v>
      </c>
      <c r="O309" s="11"/>
      <c r="AL309" s="11"/>
      <c r="BD309" s="12"/>
      <c r="BE309" s="12"/>
      <c r="BF309" s="14"/>
    </row>
    <row r="310" spans="1:58" x14ac:dyDescent="0.15">
      <c r="A310" t="s">
        <v>1997</v>
      </c>
      <c r="B310" t="s">
        <v>1386</v>
      </c>
      <c r="C310" t="s">
        <v>1463</v>
      </c>
      <c r="D310" t="s">
        <v>1998</v>
      </c>
      <c r="E310">
        <v>1747</v>
      </c>
      <c r="F310" s="14" t="s">
        <v>2268</v>
      </c>
      <c r="G310" t="s">
        <v>315</v>
      </c>
      <c r="H310" s="14">
        <v>0.87878787878787878</v>
      </c>
      <c r="Q310" s="11"/>
      <c r="Y310" s="11"/>
      <c r="AA310" s="11"/>
      <c r="AO310" s="11"/>
      <c r="AQ310" s="11"/>
      <c r="BD310" s="12"/>
      <c r="BE310" s="12"/>
      <c r="BF310" s="14"/>
    </row>
    <row r="311" spans="1:58" x14ac:dyDescent="0.15">
      <c r="A311" t="s">
        <v>1528</v>
      </c>
      <c r="B311" t="s">
        <v>1529</v>
      </c>
      <c r="C311" t="s">
        <v>1502</v>
      </c>
      <c r="D311" t="s">
        <v>1531</v>
      </c>
      <c r="E311">
        <v>1747</v>
      </c>
      <c r="F311" s="14" t="s">
        <v>2268</v>
      </c>
      <c r="G311" t="s">
        <v>315</v>
      </c>
      <c r="H311" s="14">
        <v>0.88124999999999998</v>
      </c>
      <c r="AL311" s="11"/>
      <c r="BD311" s="12"/>
      <c r="BE311" s="12"/>
      <c r="BF311" s="14"/>
    </row>
    <row r="312" spans="1:58" x14ac:dyDescent="0.15">
      <c r="A312" t="s">
        <v>2089</v>
      </c>
      <c r="B312" t="s">
        <v>1537</v>
      </c>
      <c r="C312" t="s">
        <v>1537</v>
      </c>
      <c r="D312" t="s">
        <v>2090</v>
      </c>
      <c r="E312">
        <v>1750</v>
      </c>
      <c r="F312" s="14" t="s">
        <v>2272</v>
      </c>
      <c r="G312" t="s">
        <v>381</v>
      </c>
      <c r="H312" s="14">
        <v>0.83589743589743593</v>
      </c>
      <c r="O312" s="11"/>
      <c r="Q312" s="11"/>
      <c r="AA312" s="11"/>
      <c r="AL312" s="11"/>
      <c r="AS312" s="11"/>
      <c r="BD312" s="12"/>
      <c r="BE312" s="12"/>
      <c r="BF312" s="14"/>
    </row>
    <row r="313" spans="1:58" x14ac:dyDescent="0.15">
      <c r="A313" t="s">
        <v>2191</v>
      </c>
      <c r="B313" t="s">
        <v>1398</v>
      </c>
      <c r="C313" t="s">
        <v>1471</v>
      </c>
      <c r="D313" t="s">
        <v>2192</v>
      </c>
      <c r="E313">
        <v>1764</v>
      </c>
      <c r="F313" s="14" t="s">
        <v>2259</v>
      </c>
      <c r="G313" t="s">
        <v>420</v>
      </c>
      <c r="H313" s="14">
        <v>0.85000000000000009</v>
      </c>
      <c r="AL313" s="11"/>
      <c r="AO313" s="11"/>
      <c r="BD313" s="12"/>
      <c r="BE313" s="12"/>
      <c r="BF313" s="14"/>
    </row>
    <row r="314" spans="1:58" x14ac:dyDescent="0.15">
      <c r="A314" t="s">
        <v>1896</v>
      </c>
      <c r="B314" t="s">
        <v>1391</v>
      </c>
      <c r="C314" t="s">
        <v>1463</v>
      </c>
      <c r="D314" t="s">
        <v>1897</v>
      </c>
      <c r="E314">
        <v>1765</v>
      </c>
      <c r="F314" s="14" t="s">
        <v>2262</v>
      </c>
      <c r="G314" t="s">
        <v>297</v>
      </c>
      <c r="H314" s="14">
        <v>0.84375</v>
      </c>
      <c r="AL314" s="11"/>
      <c r="AO314" s="11"/>
      <c r="BD314" s="12"/>
      <c r="BE314" s="12"/>
      <c r="BF314" s="14"/>
    </row>
    <row r="315" spans="1:58" x14ac:dyDescent="0.15">
      <c r="A315" t="s">
        <v>1783</v>
      </c>
      <c r="B315" t="s">
        <v>1496</v>
      </c>
      <c r="C315" t="s">
        <v>1497</v>
      </c>
      <c r="D315" t="s">
        <v>1784</v>
      </c>
      <c r="E315">
        <v>1777</v>
      </c>
      <c r="F315" s="14" t="s">
        <v>2270</v>
      </c>
      <c r="G315" t="s">
        <v>329</v>
      </c>
      <c r="H315" s="14">
        <v>0.83684210526315794</v>
      </c>
      <c r="Y315" s="11"/>
      <c r="BD315" s="12"/>
      <c r="BE315" s="13"/>
      <c r="BF315" s="14"/>
    </row>
    <row r="316" spans="1:58" x14ac:dyDescent="0.15">
      <c r="A316" t="s">
        <v>1771</v>
      </c>
      <c r="B316" t="s">
        <v>1380</v>
      </c>
      <c r="C316" t="s">
        <v>1467</v>
      </c>
      <c r="D316" t="s">
        <v>1772</v>
      </c>
      <c r="E316">
        <v>1794</v>
      </c>
      <c r="F316" s="14" t="s">
        <v>2265</v>
      </c>
      <c r="G316" t="s">
        <v>350</v>
      </c>
      <c r="H316" s="14">
        <v>0.85000000000000009</v>
      </c>
      <c r="Q316" s="11"/>
      <c r="Y316" s="11"/>
      <c r="AU316" s="11"/>
      <c r="BD316" s="12"/>
      <c r="BE316" s="12"/>
      <c r="BF316" s="14"/>
    </row>
    <row r="317" spans="1:58" x14ac:dyDescent="0.15">
      <c r="A317" t="s">
        <v>2151</v>
      </c>
      <c r="B317" t="s">
        <v>1380</v>
      </c>
      <c r="C317" t="s">
        <v>1467</v>
      </c>
      <c r="D317" t="s">
        <v>2152</v>
      </c>
      <c r="E317">
        <v>1794</v>
      </c>
      <c r="F317" s="14" t="s">
        <v>2265</v>
      </c>
      <c r="G317" t="s">
        <v>350</v>
      </c>
      <c r="H317" s="14">
        <v>0.85000000000000009</v>
      </c>
      <c r="O317" s="11"/>
      <c r="Q317" s="11"/>
      <c r="W317" s="11"/>
      <c r="AO317" s="11"/>
      <c r="AQ317" s="11"/>
      <c r="AU317" s="11"/>
      <c r="BD317" s="12"/>
      <c r="BE317" s="12"/>
      <c r="BF317" s="14"/>
    </row>
    <row r="318" spans="1:58" x14ac:dyDescent="0.15">
      <c r="A318" t="s">
        <v>1474</v>
      </c>
      <c r="B318" t="s">
        <v>1380</v>
      </c>
      <c r="C318" t="s">
        <v>1467</v>
      </c>
      <c r="D318" t="s">
        <v>1476</v>
      </c>
      <c r="E318">
        <v>1794</v>
      </c>
      <c r="F318" s="14" t="s">
        <v>2265</v>
      </c>
      <c r="G318" t="s">
        <v>350</v>
      </c>
      <c r="H318" s="14">
        <v>0.8540540540540541</v>
      </c>
      <c r="O318" s="11"/>
      <c r="Y318" s="11"/>
      <c r="AJ318" s="11"/>
      <c r="AS318" s="11"/>
      <c r="BD318" s="12"/>
      <c r="BE318" s="12"/>
      <c r="BF318" s="14"/>
    </row>
    <row r="319" spans="1:58" x14ac:dyDescent="0.15">
      <c r="A319" t="s">
        <v>1795</v>
      </c>
      <c r="B319" t="s">
        <v>1380</v>
      </c>
      <c r="C319" t="s">
        <v>1467</v>
      </c>
      <c r="D319" t="s">
        <v>1796</v>
      </c>
      <c r="E319">
        <v>1794</v>
      </c>
      <c r="F319" s="14" t="s">
        <v>2265</v>
      </c>
      <c r="G319" t="s">
        <v>350</v>
      </c>
      <c r="H319" s="14">
        <v>0.8540540540540541</v>
      </c>
      <c r="AL319" s="11"/>
      <c r="BD319" s="12"/>
      <c r="BE319" s="12"/>
      <c r="BF319" s="14"/>
    </row>
    <row r="320" spans="1:58" x14ac:dyDescent="0.15">
      <c r="A320" t="s">
        <v>2110</v>
      </c>
      <c r="B320" t="s">
        <v>1380</v>
      </c>
      <c r="C320" t="s">
        <v>1467</v>
      </c>
      <c r="D320" t="s">
        <v>2111</v>
      </c>
      <c r="E320">
        <v>1794</v>
      </c>
      <c r="F320" s="14" t="s">
        <v>2265</v>
      </c>
      <c r="G320" t="s">
        <v>350</v>
      </c>
      <c r="H320" s="14">
        <v>0.8540540540540541</v>
      </c>
      <c r="O320" s="11"/>
      <c r="AU320" s="11"/>
      <c r="BD320" s="12"/>
      <c r="BE320" s="12"/>
      <c r="BF320" s="14"/>
    </row>
    <row r="321" spans="1:58" x14ac:dyDescent="0.15">
      <c r="A321" t="s">
        <v>2177</v>
      </c>
      <c r="B321" t="s">
        <v>1380</v>
      </c>
      <c r="C321" t="s">
        <v>1467</v>
      </c>
      <c r="D321" t="s">
        <v>2178</v>
      </c>
      <c r="E321">
        <v>1794</v>
      </c>
      <c r="F321" s="14" t="s">
        <v>2265</v>
      </c>
      <c r="G321" t="s">
        <v>350</v>
      </c>
      <c r="H321" s="14">
        <v>0.8540540540540541</v>
      </c>
      <c r="Y321" s="11"/>
      <c r="AW321" s="11"/>
      <c r="BD321" s="12"/>
      <c r="BE321" s="13"/>
      <c r="BF321" s="14"/>
    </row>
    <row r="322" spans="1:58" x14ac:dyDescent="0.15">
      <c r="A322" t="s">
        <v>1888</v>
      </c>
      <c r="B322" t="s">
        <v>1380</v>
      </c>
      <c r="C322" t="s">
        <v>1467</v>
      </c>
      <c r="D322" t="s">
        <v>1889</v>
      </c>
      <c r="E322">
        <v>1794</v>
      </c>
      <c r="F322" s="14" t="s">
        <v>2265</v>
      </c>
      <c r="G322" t="s">
        <v>350</v>
      </c>
      <c r="H322" s="14">
        <v>0.85555555555555562</v>
      </c>
      <c r="AO322" s="11"/>
      <c r="BD322" s="12"/>
      <c r="BE322" s="12"/>
      <c r="BF322" s="14"/>
    </row>
    <row r="323" spans="1:58" x14ac:dyDescent="0.15">
      <c r="A323" t="s">
        <v>1614</v>
      </c>
      <c r="B323" t="s">
        <v>1386</v>
      </c>
      <c r="C323" t="s">
        <v>1463</v>
      </c>
      <c r="D323" t="s">
        <v>1615</v>
      </c>
      <c r="E323">
        <v>1803</v>
      </c>
      <c r="F323" s="14" t="s">
        <v>2262</v>
      </c>
      <c r="G323" t="s">
        <v>365</v>
      </c>
      <c r="H323" s="14">
        <v>0.86470588235294121</v>
      </c>
      <c r="AO323" s="11"/>
      <c r="AQ323" s="11"/>
      <c r="AU323" s="11"/>
      <c r="BD323" s="12"/>
      <c r="BE323" s="12"/>
      <c r="BF323" s="14"/>
    </row>
    <row r="324" spans="1:58" x14ac:dyDescent="0.15">
      <c r="A324" t="s">
        <v>1892</v>
      </c>
      <c r="B324" t="s">
        <v>1386</v>
      </c>
      <c r="C324" t="s">
        <v>1463</v>
      </c>
      <c r="D324" t="s">
        <v>1893</v>
      </c>
      <c r="E324">
        <v>1803</v>
      </c>
      <c r="F324" s="14" t="s">
        <v>2262</v>
      </c>
      <c r="G324" t="s">
        <v>365</v>
      </c>
      <c r="H324" s="14">
        <v>0.86470588235294121</v>
      </c>
      <c r="Y324" s="11"/>
      <c r="AW324" s="11"/>
      <c r="BD324" s="12"/>
      <c r="BE324" s="13"/>
      <c r="BF324" s="14"/>
    </row>
    <row r="325" spans="1:58" x14ac:dyDescent="0.15">
      <c r="A325" t="s">
        <v>1681</v>
      </c>
      <c r="B325" t="s">
        <v>1506</v>
      </c>
      <c r="C325" t="s">
        <v>1506</v>
      </c>
      <c r="D325" t="s">
        <v>514</v>
      </c>
      <c r="E325">
        <v>1843</v>
      </c>
      <c r="F325" s="14" t="s">
        <v>2269</v>
      </c>
      <c r="G325" t="s">
        <v>514</v>
      </c>
      <c r="H325" s="14">
        <v>0.96</v>
      </c>
      <c r="AL325" s="11"/>
      <c r="AO325" s="11"/>
      <c r="AQ325" s="11"/>
      <c r="AS325" s="11"/>
      <c r="BD325" s="12"/>
      <c r="BE325" s="12"/>
      <c r="BF325" s="14"/>
    </row>
    <row r="326" spans="1:58" x14ac:dyDescent="0.15">
      <c r="A326" t="s">
        <v>2157</v>
      </c>
      <c r="B326" t="s">
        <v>1387</v>
      </c>
      <c r="C326" t="s">
        <v>1467</v>
      </c>
      <c r="D326" t="s">
        <v>2158</v>
      </c>
      <c r="E326">
        <v>1873</v>
      </c>
      <c r="F326" s="14" t="s">
        <v>2261</v>
      </c>
      <c r="G326" t="s">
        <v>469</v>
      </c>
      <c r="H326" s="14">
        <v>0.64456140350877189</v>
      </c>
      <c r="Y326" s="11"/>
      <c r="AA326" s="11"/>
      <c r="AL326" s="11"/>
      <c r="AU326" s="11"/>
      <c r="BD326" s="12"/>
      <c r="BE326" s="12"/>
      <c r="BF326" s="14"/>
    </row>
    <row r="327" spans="1:58" x14ac:dyDescent="0.15">
      <c r="A327" t="s">
        <v>1658</v>
      </c>
      <c r="B327" t="s">
        <v>1550</v>
      </c>
      <c r="C327" t="s">
        <v>1467</v>
      </c>
      <c r="D327" t="s">
        <v>1660</v>
      </c>
      <c r="E327">
        <v>1873</v>
      </c>
      <c r="F327" s="14" t="s">
        <v>2261</v>
      </c>
      <c r="G327" t="s">
        <v>469</v>
      </c>
      <c r="H327" s="14">
        <v>0.65261831577870189</v>
      </c>
      <c r="AL327" s="11"/>
      <c r="AU327" s="11"/>
      <c r="BD327" s="12"/>
      <c r="BE327" s="12"/>
      <c r="BF327" s="14"/>
    </row>
    <row r="328" spans="1:58" x14ac:dyDescent="0.15">
      <c r="A328" t="s">
        <v>2163</v>
      </c>
      <c r="B328" t="s">
        <v>1396</v>
      </c>
      <c r="C328" t="s">
        <v>1467</v>
      </c>
      <c r="D328" t="s">
        <v>2164</v>
      </c>
      <c r="E328">
        <v>1873</v>
      </c>
      <c r="F328" s="14" t="s">
        <v>2261</v>
      </c>
      <c r="G328" t="s">
        <v>469</v>
      </c>
      <c r="H328" s="14">
        <v>0.65333333333333332</v>
      </c>
      <c r="Y328" s="11"/>
      <c r="AA328" s="11"/>
      <c r="AU328" s="11"/>
      <c r="BD328" s="12"/>
      <c r="BE328" s="12"/>
      <c r="BF328" s="14"/>
    </row>
    <row r="329" spans="1:58" x14ac:dyDescent="0.15">
      <c r="A329" t="s">
        <v>1674</v>
      </c>
      <c r="B329" t="s">
        <v>1396</v>
      </c>
      <c r="C329" t="s">
        <v>1467</v>
      </c>
      <c r="D329" t="s">
        <v>770</v>
      </c>
      <c r="E329">
        <v>1873</v>
      </c>
      <c r="F329" s="14" t="s">
        <v>2261</v>
      </c>
      <c r="G329" t="s">
        <v>469</v>
      </c>
      <c r="H329" s="14">
        <v>0.90344827586206899</v>
      </c>
      <c r="AL329" s="11"/>
      <c r="AO329" s="11"/>
      <c r="BD329" s="12"/>
      <c r="BE329" s="12"/>
      <c r="BF329" s="14"/>
    </row>
    <row r="330" spans="1:58" x14ac:dyDescent="0.15">
      <c r="A330" t="s">
        <v>1765</v>
      </c>
      <c r="B330" t="s">
        <v>1376</v>
      </c>
      <c r="C330" t="s">
        <v>1467</v>
      </c>
      <c r="D330" t="s">
        <v>1766</v>
      </c>
      <c r="E330">
        <v>1881</v>
      </c>
      <c r="F330" s="14" t="s">
        <v>2265</v>
      </c>
      <c r="G330" t="s">
        <v>507</v>
      </c>
      <c r="H330" s="14">
        <v>0.85238095238095246</v>
      </c>
      <c r="AA330" s="11"/>
      <c r="AJ330" s="11"/>
      <c r="AS330" s="11"/>
      <c r="AU330" s="11"/>
      <c r="BD330" s="12"/>
      <c r="BE330" s="12"/>
      <c r="BF330" s="14"/>
    </row>
    <row r="331" spans="1:58" x14ac:dyDescent="0.15">
      <c r="A331" t="s">
        <v>1564</v>
      </c>
      <c r="B331" t="s">
        <v>764</v>
      </c>
      <c r="C331" t="s">
        <v>1502</v>
      </c>
      <c r="D331" t="s">
        <v>1566</v>
      </c>
      <c r="E331">
        <v>1884</v>
      </c>
      <c r="F331" s="14" t="s">
        <v>2268</v>
      </c>
      <c r="G331" t="s">
        <v>457</v>
      </c>
      <c r="H331" s="14">
        <v>0.84000000000000008</v>
      </c>
      <c r="O331" s="11"/>
      <c r="Y331" s="11"/>
      <c r="AJ331" s="11"/>
      <c r="AS331" s="11"/>
      <c r="BD331" s="12"/>
      <c r="BE331" s="12"/>
      <c r="BF331" s="14"/>
    </row>
    <row r="332" spans="1:58" x14ac:dyDescent="0.15">
      <c r="A332" t="s">
        <v>2228</v>
      </c>
      <c r="B332" t="s">
        <v>1747</v>
      </c>
      <c r="C332" t="s">
        <v>1460</v>
      </c>
      <c r="D332" t="s">
        <v>2229</v>
      </c>
      <c r="E332">
        <v>1893</v>
      </c>
      <c r="F332" s="14" t="s">
        <v>2271</v>
      </c>
      <c r="G332" t="s">
        <v>482</v>
      </c>
      <c r="H332" s="14">
        <v>0.84666666666666668</v>
      </c>
      <c r="BD332" s="12"/>
      <c r="BE332" s="13"/>
      <c r="BF332" s="14"/>
    </row>
    <row r="333" spans="1:58" x14ac:dyDescent="0.15">
      <c r="A333" t="s">
        <v>2034</v>
      </c>
      <c r="B333" t="s">
        <v>1369</v>
      </c>
      <c r="C333" t="s">
        <v>1463</v>
      </c>
      <c r="D333" t="s">
        <v>2035</v>
      </c>
      <c r="E333">
        <v>1905</v>
      </c>
      <c r="F333" s="14" t="s">
        <v>2262</v>
      </c>
      <c r="G333" t="s">
        <v>485</v>
      </c>
      <c r="H333" s="14">
        <v>0.63025210084033612</v>
      </c>
      <c r="O333" s="11"/>
      <c r="BD333" s="12"/>
      <c r="BE333" s="13"/>
      <c r="BF333" s="14"/>
    </row>
    <row r="334" spans="1:58" x14ac:dyDescent="0.15">
      <c r="A334" t="s">
        <v>1991</v>
      </c>
      <c r="B334" t="s">
        <v>1369</v>
      </c>
      <c r="C334" t="s">
        <v>1463</v>
      </c>
      <c r="D334" t="s">
        <v>1992</v>
      </c>
      <c r="E334">
        <v>1905</v>
      </c>
      <c r="F334" s="14" t="s">
        <v>2262</v>
      </c>
      <c r="G334" t="s">
        <v>485</v>
      </c>
      <c r="H334" s="14">
        <v>0.87368421052631584</v>
      </c>
      <c r="Y334" s="11"/>
      <c r="AL334" s="11"/>
      <c r="BD334" s="12"/>
      <c r="BE334" s="12"/>
      <c r="BF334" s="14"/>
    </row>
    <row r="335" spans="1:58" x14ac:dyDescent="0.15">
      <c r="A335" t="s">
        <v>1915</v>
      </c>
      <c r="B335" t="s">
        <v>1374</v>
      </c>
      <c r="C335" t="s">
        <v>1471</v>
      </c>
      <c r="D335" t="s">
        <v>1916</v>
      </c>
      <c r="E335">
        <v>1914</v>
      </c>
      <c r="F335" s="14" t="s">
        <v>2259</v>
      </c>
      <c r="G335" t="s">
        <v>526</v>
      </c>
      <c r="H335" s="14">
        <v>0.84375</v>
      </c>
      <c r="Y335" s="11"/>
      <c r="AA335" s="11"/>
      <c r="AO335" s="11"/>
      <c r="AQ335" s="11"/>
      <c r="AS335" s="11"/>
      <c r="BD335" s="12"/>
      <c r="BE335" s="12"/>
      <c r="BF335" s="14"/>
    </row>
    <row r="336" spans="1:58" x14ac:dyDescent="0.15">
      <c r="A336" t="s">
        <v>1821</v>
      </c>
      <c r="B336" t="s">
        <v>1388</v>
      </c>
      <c r="C336" t="s">
        <v>1463</v>
      </c>
      <c r="D336" t="s">
        <v>1822</v>
      </c>
      <c r="E336">
        <v>1922</v>
      </c>
      <c r="F336" s="14" t="s">
        <v>2262</v>
      </c>
      <c r="G336" t="s">
        <v>1822</v>
      </c>
      <c r="H336" s="14">
        <v>0.90666666666666673</v>
      </c>
      <c r="W336" s="11"/>
      <c r="Y336" s="11"/>
      <c r="AS336" s="11"/>
      <c r="BD336" s="12"/>
      <c r="BE336" s="12"/>
      <c r="BF336" s="14"/>
    </row>
    <row r="337" spans="1:58" x14ac:dyDescent="0.15">
      <c r="A337" t="s">
        <v>2078</v>
      </c>
      <c r="B337" t="s">
        <v>1388</v>
      </c>
      <c r="C337" t="s">
        <v>1463</v>
      </c>
      <c r="D337" t="s">
        <v>2079</v>
      </c>
      <c r="E337">
        <v>1923</v>
      </c>
      <c r="F337" s="14" t="s">
        <v>2262</v>
      </c>
      <c r="G337" t="s">
        <v>2079</v>
      </c>
      <c r="H337" s="14">
        <v>0.90666666666666673</v>
      </c>
      <c r="AA337" s="11"/>
      <c r="AJ337" s="11"/>
      <c r="AL337" s="11"/>
      <c r="AO337" s="11"/>
      <c r="AQ337" s="11"/>
      <c r="AS337" s="11"/>
      <c r="BD337" s="12"/>
      <c r="BE337" s="12"/>
      <c r="BF337" s="14"/>
    </row>
    <row r="338" spans="1:58" x14ac:dyDescent="0.15">
      <c r="A338" t="s">
        <v>1846</v>
      </c>
      <c r="B338" t="s">
        <v>1380</v>
      </c>
      <c r="C338" t="s">
        <v>1467</v>
      </c>
      <c r="D338" t="s">
        <v>1847</v>
      </c>
      <c r="E338">
        <v>1931</v>
      </c>
      <c r="F338" s="14" t="s">
        <v>2265</v>
      </c>
      <c r="G338" t="s">
        <v>1847</v>
      </c>
      <c r="H338" s="14">
        <v>0.88333333333333341</v>
      </c>
      <c r="O338" s="11"/>
      <c r="Y338" s="11"/>
      <c r="AL338" s="11"/>
      <c r="BD338" s="12"/>
      <c r="BE338" s="12"/>
      <c r="BF338" s="14"/>
    </row>
    <row r="339" spans="1:58" x14ac:dyDescent="0.15">
      <c r="A339" t="s">
        <v>2187</v>
      </c>
      <c r="B339" t="s">
        <v>1388</v>
      </c>
      <c r="C339" t="s">
        <v>1463</v>
      </c>
      <c r="D339" t="s">
        <v>2188</v>
      </c>
      <c r="E339">
        <v>1934</v>
      </c>
      <c r="F339" s="14" t="s">
        <v>2262</v>
      </c>
      <c r="G339" t="s">
        <v>524</v>
      </c>
      <c r="H339" s="14">
        <v>0.84666666666666668</v>
      </c>
      <c r="O339" s="11"/>
      <c r="Y339" s="11"/>
      <c r="AA339" s="11"/>
      <c r="AJ339" s="11"/>
      <c r="AL339" s="11"/>
      <c r="AO339" s="11"/>
      <c r="AQ339" s="11"/>
      <c r="AU339" s="11"/>
      <c r="BD339" s="12"/>
      <c r="BE339" s="12"/>
      <c r="BF339" s="14"/>
    </row>
    <row r="340" spans="1:58" x14ac:dyDescent="0.15">
      <c r="A340" t="s">
        <v>2159</v>
      </c>
      <c r="B340" t="s">
        <v>1391</v>
      </c>
      <c r="C340" t="s">
        <v>1463</v>
      </c>
      <c r="D340" t="s">
        <v>2160</v>
      </c>
      <c r="E340">
        <v>1939</v>
      </c>
      <c r="F340" s="14" t="s">
        <v>2262</v>
      </c>
      <c r="G340" t="s">
        <v>531</v>
      </c>
      <c r="H340" s="14">
        <v>0.84375</v>
      </c>
      <c r="AL340" s="11"/>
      <c r="BD340" s="12"/>
      <c r="BE340" s="12"/>
      <c r="BF340" s="14"/>
    </row>
    <row r="341" spans="1:58" x14ac:dyDescent="0.15">
      <c r="A341" t="s">
        <v>2038</v>
      </c>
      <c r="B341" t="s">
        <v>1374</v>
      </c>
      <c r="C341" t="s">
        <v>1471</v>
      </c>
      <c r="D341" t="s">
        <v>2039</v>
      </c>
      <c r="E341">
        <v>1952</v>
      </c>
      <c r="F341" s="14" t="s">
        <v>2259</v>
      </c>
      <c r="G341" t="s">
        <v>2039</v>
      </c>
      <c r="H341" s="14">
        <v>0.9</v>
      </c>
      <c r="O341" s="11"/>
      <c r="Q341" s="11"/>
      <c r="BD341" s="12"/>
      <c r="BE341" s="12"/>
      <c r="BF341" s="14"/>
    </row>
    <row r="342" spans="1:58" x14ac:dyDescent="0.15">
      <c r="A342" t="s">
        <v>2112</v>
      </c>
      <c r="B342" t="s">
        <v>563</v>
      </c>
      <c r="C342" t="s">
        <v>1471</v>
      </c>
      <c r="D342" t="s">
        <v>2113</v>
      </c>
      <c r="E342">
        <v>1956</v>
      </c>
      <c r="F342" s="14" t="s">
        <v>2259</v>
      </c>
      <c r="G342" t="s">
        <v>2113</v>
      </c>
      <c r="H342" s="14">
        <v>0.90714285714285714</v>
      </c>
      <c r="O342" s="11"/>
      <c r="Y342" s="11"/>
      <c r="AA342" s="11"/>
      <c r="AJ342" s="11"/>
      <c r="AL342" s="11"/>
      <c r="AO342" s="11"/>
      <c r="AQ342" s="11"/>
      <c r="AU342" s="11"/>
      <c r="BD342" s="12"/>
      <c r="BE342" s="12"/>
      <c r="BF342" s="14"/>
    </row>
    <row r="343" spans="1:58" x14ac:dyDescent="0.15">
      <c r="A343" t="s">
        <v>1750</v>
      </c>
      <c r="B343" t="s">
        <v>1496</v>
      </c>
      <c r="C343" t="s">
        <v>1497</v>
      </c>
      <c r="D343" t="s">
        <v>1751</v>
      </c>
      <c r="E343">
        <v>1959</v>
      </c>
      <c r="F343" s="14" t="s">
        <v>2270</v>
      </c>
      <c r="G343" t="s">
        <v>558</v>
      </c>
      <c r="H343" s="14">
        <v>0.8318181818181819</v>
      </c>
      <c r="O343" s="11"/>
      <c r="AJ343" s="11"/>
      <c r="BD343" s="12"/>
      <c r="BE343" s="12"/>
      <c r="BF343" s="14"/>
    </row>
    <row r="344" spans="1:58" x14ac:dyDescent="0.15">
      <c r="A344" t="s">
        <v>2203</v>
      </c>
      <c r="B344" t="s">
        <v>582</v>
      </c>
      <c r="C344" t="s">
        <v>1521</v>
      </c>
      <c r="D344" t="s">
        <v>2205</v>
      </c>
      <c r="E344">
        <v>1975</v>
      </c>
      <c r="F344" s="14" t="s">
        <v>2261</v>
      </c>
      <c r="G344" t="s">
        <v>582</v>
      </c>
      <c r="H344" s="14">
        <v>0.86852358434161636</v>
      </c>
      <c r="W344" s="11"/>
      <c r="BD344" s="12"/>
      <c r="BE344" s="13"/>
      <c r="BF344" s="14"/>
    </row>
    <row r="345" spans="1:58" x14ac:dyDescent="0.15">
      <c r="A345" t="s">
        <v>1500</v>
      </c>
      <c r="B345" t="s">
        <v>1501</v>
      </c>
      <c r="C345" t="s">
        <v>1502</v>
      </c>
      <c r="D345" t="s">
        <v>1504</v>
      </c>
      <c r="E345">
        <v>2006</v>
      </c>
      <c r="F345" s="14" t="s">
        <v>2268</v>
      </c>
      <c r="G345" t="s">
        <v>532</v>
      </c>
      <c r="H345" s="14">
        <v>0.83500000000000008</v>
      </c>
      <c r="Y345" s="11"/>
      <c r="AA345" s="11"/>
      <c r="AU345" s="11"/>
      <c r="BD345" s="12"/>
      <c r="BE345" s="12"/>
      <c r="BF345" s="14"/>
    </row>
    <row r="346" spans="1:58" x14ac:dyDescent="0.15">
      <c r="A346" t="s">
        <v>2036</v>
      </c>
      <c r="B346" t="s">
        <v>1370</v>
      </c>
      <c r="C346" t="s">
        <v>1521</v>
      </c>
      <c r="D346" t="s">
        <v>2037</v>
      </c>
      <c r="E346">
        <v>2009</v>
      </c>
      <c r="F346" s="14" t="s">
        <v>2261</v>
      </c>
      <c r="G346" t="s">
        <v>2266</v>
      </c>
      <c r="H346" s="14">
        <v>0.88666666666666671</v>
      </c>
      <c r="O346" s="11"/>
      <c r="BD346" s="12"/>
      <c r="BE346" s="12"/>
      <c r="BF346" s="14"/>
    </row>
    <row r="347" spans="1:58" x14ac:dyDescent="0.15">
      <c r="A347" t="s">
        <v>1854</v>
      </c>
      <c r="B347" t="s">
        <v>1385</v>
      </c>
      <c r="C347" t="s">
        <v>1463</v>
      </c>
      <c r="D347" t="s">
        <v>1855</v>
      </c>
      <c r="E347">
        <v>2028</v>
      </c>
      <c r="F347" s="14" t="s">
        <v>2261</v>
      </c>
      <c r="G347" t="s">
        <v>2018</v>
      </c>
      <c r="H347" s="14">
        <v>0.82748769618784546</v>
      </c>
      <c r="Q347" s="11"/>
      <c r="Y347" s="11"/>
      <c r="AU347" s="11"/>
      <c r="BD347" s="12"/>
      <c r="BE347" s="12"/>
      <c r="BF347" s="14"/>
    </row>
    <row r="348" spans="1:58" x14ac:dyDescent="0.15">
      <c r="A348" t="s">
        <v>2017</v>
      </c>
      <c r="B348" t="s">
        <v>527</v>
      </c>
      <c r="C348" t="s">
        <v>1521</v>
      </c>
      <c r="D348" t="s">
        <v>2018</v>
      </c>
      <c r="E348">
        <v>2028</v>
      </c>
      <c r="F348" s="14" t="s">
        <v>2261</v>
      </c>
      <c r="G348" t="s">
        <v>2018</v>
      </c>
      <c r="H348" s="14">
        <v>0.90714285714285714</v>
      </c>
      <c r="O348" s="11"/>
      <c r="Q348" s="11"/>
      <c r="W348" s="11"/>
      <c r="AO348" s="11"/>
      <c r="AQ348" s="11"/>
      <c r="AU348" s="11"/>
      <c r="BD348" s="12"/>
      <c r="BE348" s="12"/>
      <c r="BF348" s="14"/>
    </row>
    <row r="349" spans="1:58" x14ac:dyDescent="0.15">
      <c r="A349" t="s">
        <v>1691</v>
      </c>
      <c r="B349" t="s">
        <v>1374</v>
      </c>
      <c r="C349" t="s">
        <v>1471</v>
      </c>
      <c r="D349" t="s">
        <v>1692</v>
      </c>
      <c r="E349">
        <v>2055</v>
      </c>
      <c r="F349" s="14" t="s">
        <v>2265</v>
      </c>
      <c r="G349" t="s">
        <v>529</v>
      </c>
      <c r="H349" s="14">
        <v>0.56043956043956045</v>
      </c>
    </row>
    <row r="350" spans="1:58" x14ac:dyDescent="0.15">
      <c r="A350" t="s">
        <v>2084</v>
      </c>
      <c r="B350" t="s">
        <v>1396</v>
      </c>
      <c r="C350" t="s">
        <v>1467</v>
      </c>
      <c r="D350" t="s">
        <v>529</v>
      </c>
      <c r="E350">
        <v>2055</v>
      </c>
      <c r="F350" s="14" t="s">
        <v>2265</v>
      </c>
      <c r="G350" t="s">
        <v>529</v>
      </c>
      <c r="H350" s="14">
        <v>0.88235294117647056</v>
      </c>
    </row>
    <row r="351" spans="1:58" x14ac:dyDescent="0.15">
      <c r="A351" t="s">
        <v>1542</v>
      </c>
      <c r="B351" t="s">
        <v>1398</v>
      </c>
      <c r="C351" t="s">
        <v>1471</v>
      </c>
      <c r="D351" t="s">
        <v>557</v>
      </c>
      <c r="E351">
        <v>2071</v>
      </c>
      <c r="F351" s="14" t="s">
        <v>2259</v>
      </c>
      <c r="G351" t="s">
        <v>557</v>
      </c>
      <c r="H351" s="14">
        <v>0.90769230769230769</v>
      </c>
    </row>
    <row r="352" spans="1:58" x14ac:dyDescent="0.15">
      <c r="A352" t="s">
        <v>2047</v>
      </c>
      <c r="B352" t="s">
        <v>1388</v>
      </c>
      <c r="C352" t="s">
        <v>1463</v>
      </c>
      <c r="D352" t="s">
        <v>591</v>
      </c>
      <c r="E352">
        <v>2096</v>
      </c>
      <c r="F352" s="14" t="s">
        <v>2262</v>
      </c>
      <c r="G352" t="s">
        <v>591</v>
      </c>
      <c r="H352" s="14">
        <v>0.90666666666666673</v>
      </c>
    </row>
    <row r="353" spans="1:8" x14ac:dyDescent="0.15">
      <c r="A353" t="s">
        <v>1640</v>
      </c>
      <c r="B353" t="s">
        <v>1403</v>
      </c>
      <c r="C353" t="s">
        <v>1537</v>
      </c>
      <c r="D353" t="s">
        <v>1641</v>
      </c>
      <c r="E353">
        <v>2099</v>
      </c>
      <c r="F353" s="14" t="s">
        <v>2272</v>
      </c>
      <c r="G353" t="s">
        <v>1641</v>
      </c>
      <c r="H353" s="14">
        <v>0.9</v>
      </c>
    </row>
    <row r="354" spans="1:8" x14ac:dyDescent="0.15">
      <c r="A354" t="s">
        <v>2040</v>
      </c>
      <c r="B354" t="s">
        <v>527</v>
      </c>
      <c r="C354" t="s">
        <v>1521</v>
      </c>
      <c r="D354" t="s">
        <v>624</v>
      </c>
      <c r="E354">
        <v>2210</v>
      </c>
      <c r="F354" s="14" t="s">
        <v>2261</v>
      </c>
      <c r="G354" t="s">
        <v>624</v>
      </c>
      <c r="H354" s="14">
        <v>0.90714285714285714</v>
      </c>
    </row>
    <row r="355" spans="1:8" x14ac:dyDescent="0.15">
      <c r="A355" t="s">
        <v>2126</v>
      </c>
      <c r="B355" t="s">
        <v>1747</v>
      </c>
      <c r="C355" t="s">
        <v>1460</v>
      </c>
      <c r="D355" t="s">
        <v>2127</v>
      </c>
      <c r="E355">
        <v>2226</v>
      </c>
      <c r="F355" s="14" t="s">
        <v>2261</v>
      </c>
      <c r="G355" t="s">
        <v>2052</v>
      </c>
      <c r="H355" s="14">
        <v>0.56043956043956045</v>
      </c>
    </row>
    <row r="356" spans="1:8" x14ac:dyDescent="0.15">
      <c r="A356" t="s">
        <v>2050</v>
      </c>
      <c r="B356" t="s">
        <v>143</v>
      </c>
      <c r="C356" t="s">
        <v>1521</v>
      </c>
      <c r="D356" t="s">
        <v>2052</v>
      </c>
      <c r="E356">
        <v>2226</v>
      </c>
      <c r="F356" s="14" t="s">
        <v>2261</v>
      </c>
      <c r="G356" t="s">
        <v>2052</v>
      </c>
      <c r="H356" s="14">
        <v>0.90769230769230769</v>
      </c>
    </row>
    <row r="357" spans="1:8" x14ac:dyDescent="0.15">
      <c r="A357" t="s">
        <v>1682</v>
      </c>
      <c r="B357" t="s">
        <v>53</v>
      </c>
      <c r="C357" t="s">
        <v>53</v>
      </c>
      <c r="D357" t="s">
        <v>1685</v>
      </c>
      <c r="F357" s="14"/>
      <c r="H357" s="14">
        <v>0</v>
      </c>
    </row>
    <row r="358" spans="1:8" x14ac:dyDescent="0.15">
      <c r="A358" t="s">
        <v>2011</v>
      </c>
      <c r="B358" t="s">
        <v>53</v>
      </c>
      <c r="C358" t="s">
        <v>53</v>
      </c>
      <c r="D358" t="s">
        <v>2012</v>
      </c>
      <c r="F358" s="14"/>
      <c r="H358" s="14">
        <v>0</v>
      </c>
    </row>
    <row r="359" spans="1:8" x14ac:dyDescent="0.15">
      <c r="A359" t="s">
        <v>2061</v>
      </c>
      <c r="B359" t="s">
        <v>53</v>
      </c>
      <c r="C359" t="s">
        <v>53</v>
      </c>
      <c r="D359" t="s">
        <v>2062</v>
      </c>
      <c r="F359" s="14"/>
      <c r="H359" s="14">
        <v>0</v>
      </c>
    </row>
    <row r="360" spans="1:8" x14ac:dyDescent="0.15">
      <c r="A360" t="s">
        <v>2236</v>
      </c>
      <c r="B360" t="s">
        <v>53</v>
      </c>
      <c r="C360" t="s">
        <v>53</v>
      </c>
      <c r="D360" t="s">
        <v>2237</v>
      </c>
      <c r="F360" s="14"/>
      <c r="H360" s="14">
        <v>0</v>
      </c>
    </row>
  </sheetData>
  <sortState xmlns:xlrd2="http://schemas.microsoft.com/office/spreadsheetml/2017/richdata2" ref="A2:H360">
    <sortCondition ref="E1"/>
  </sortState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a4cad7d-cde0-4c4b-9900-a6ca365b2969">
      <UserInfo>
        <DisplayName>DELETED_Jeff.Grist</DisplayName>
        <AccountId>2523</AccountId>
        <AccountType/>
      </UserInfo>
      <UserInfo>
        <DisplayName>DELETED_Myles.Harvey-Kelly</DisplayName>
        <AccountId>2541</AccountId>
        <AccountType/>
      </UserInfo>
      <UserInfo>
        <DisplayName>Sharepoint Pins O365 for MI PINS</DisplayName>
        <AccountId>2542</AccountId>
        <AccountType/>
      </UserInfo>
      <UserInfo>
        <DisplayName>Deleted_Dagnan, Chris</DisplayName>
        <AccountId>2547</AccountId>
        <AccountType/>
      </UserInfo>
      <UserInfo>
        <DisplayName>Berkeley, Simon</DisplayName>
        <AccountId>23</AccountId>
        <AccountType/>
      </UserInfo>
      <UserInfo>
        <DisplayName>Rivett, Malcolm</DisplayName>
        <AccountId>364</AccountId>
        <AccountType/>
      </UserInfo>
      <UserInfo>
        <DisplayName>DELETED_Sheraz.Shafiq</DisplayName>
        <AccountId>83</AccountId>
        <AccountType/>
      </UserInfo>
      <UserInfo>
        <DisplayName>Fort, Gareth</DisplayName>
        <AccountId>2501</AccountId>
        <AccountType/>
      </UserInfo>
    </SharedWithUsers>
    <TaxCatchAll xmlns="9a4cad7d-cde0-4c4b-9900-a6ca365b2969" xsi:nil="true"/>
    <lcf76f155ced4ddcb4097134ff3c332f xmlns="171a6d4e-846b-4045-8024-24f3590889ec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54CDEF871A647AC44520C841F1B03" ma:contentTypeVersion="18" ma:contentTypeDescription="Create a new document." ma:contentTypeScope="" ma:versionID="f51c39a3861aafac8bda2b36dd33066a">
  <xsd:schema xmlns:xsd="http://www.w3.org/2001/XMLSchema" xmlns:xs="http://www.w3.org/2001/XMLSchema" xmlns:p="http://schemas.microsoft.com/office/2006/metadata/properties" xmlns:ns2="171a6d4e-846b-4045-8024-24f3590889ec" xmlns:ns3="9a4cad7d-cde0-4c4b-9900-a6ca365b2969" targetNamespace="http://schemas.microsoft.com/office/2006/metadata/properties" ma:root="true" ma:fieldsID="96526ef20699b48aad4dd24e87762007" ns2:_="" ns3:_="">
    <xsd:import namespace="171a6d4e-846b-4045-8024-24f3590889ec"/>
    <xsd:import namespace="9a4cad7d-cde0-4c4b-9900-a6ca365b2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6d4e-846b-4045-8024-24f3590889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af8cfed-64c2-475b-a96a-20ffe17e8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cad7d-cde0-4c4b-9900-a6ca365b29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cbf16f-f9bf-4ac7-be8f-3899d8a4f6c1}" ma:internalName="TaxCatchAll" ma:showField="CatchAllData" ma:web="9a4cad7d-cde0-4c4b-9900-a6ca365b2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FCFE3-CAF1-4450-80C6-D4564F0FDDC0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C8F11843-6B96-4A46-BE5C-CF128B450A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8C36B-2CE5-47A9-B827-C246168DF3D0}">
  <ds:schemaRefs>
    <ds:schemaRef ds:uri="http://schemas.microsoft.com/office/2006/metadata/properties"/>
    <ds:schemaRef ds:uri="http://schemas.microsoft.com/office/infopath/2007/PartnerControls"/>
    <ds:schemaRef ds:uri="9a4cad7d-cde0-4c4b-9900-a6ca365b2969"/>
    <ds:schemaRef ds:uri="171a6d4e-846b-4045-8024-24f3590889ec"/>
  </ds:schemaRefs>
</ds:datastoreItem>
</file>

<file path=customXml/itemProps4.xml><?xml version="1.0" encoding="utf-8"?>
<ds:datastoreItem xmlns:ds="http://schemas.openxmlformats.org/officeDocument/2006/customXml" ds:itemID="{464DFB57-EE91-46E1-9F29-38FE9C817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6d4e-846b-4045-8024-24f3590889ec"/>
    <ds:schemaRef ds:uri="9a4cad7d-cde0-4c4b-9900-a6ca365b2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bd41ebe-fca6-4f2c-aecb-bf3a17e72416}" enabled="1" method="Privileged" siteId="{bf346810-9c7d-43de-a872-24a2ef3995a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Submitted DPDs</vt:lpstr>
      <vt:lpstr>Key</vt:lpstr>
      <vt:lpstr>LPA Lookup</vt:lpstr>
      <vt:lpstr>LPA</vt:lpstr>
      <vt:lpstr>MiPINS-SQL</vt:lpstr>
      <vt:lpstr>FuzzyLookup_AddIn_Undo_Sheet</vt:lpstr>
      <vt:lpstr>fuzzy LPA lookup</vt:lpstr>
    </vt:vector>
  </TitlesOfParts>
  <Manager/>
  <Company>MHCLG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Rhett Turner</dc:creator>
  <cp:keywords/>
  <dc:description/>
  <cp:lastModifiedBy>Sian Teesdale</cp:lastModifiedBy>
  <cp:revision/>
  <dcterms:created xsi:type="dcterms:W3CDTF">2019-06-26T15:25:14Z</dcterms:created>
  <dcterms:modified xsi:type="dcterms:W3CDTF">2026-01-20T10:47:18Z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0x0101002AA54CDEF871A647AC44520C841F1B03</vt:lpwstr>
  </property>
  <property fmtid="{D5CDD505-2E9C-101B-9397-08002B2CF9AE}" pid="3" name="MediaServiceImageTags">
    <vt:lpwstr/>
  </property>
</Properties>
</file>